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zps99632\Desktop\食研所114年JFM版\繳交食研所\"/>
    </mc:Choice>
  </mc:AlternateContent>
  <xr:revisionPtr revIDLastSave="0" documentId="13_ncr:1_{1B23C4B8-30F8-4F50-BFBA-9B1290489C0B}" xr6:coauthVersionLast="47" xr6:coauthVersionMax="47" xr10:uidLastSave="{00000000-0000-0000-0000-000000000000}"/>
  <bookViews>
    <workbookView xWindow="-120" yWindow="-120" windowWidth="29040" windowHeight="15720" tabRatio="866" activeTab="1" xr2:uid="{00000000-000D-0000-FFFF-FFFF00000000}"/>
  </bookViews>
  <sheets>
    <sheet name="數值累積總表(月)" sheetId="65" r:id="rId1"/>
    <sheet name="生產管理報表(月)" sheetId="13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r:id="rId22"/>
    <sheet name="生產管理報表 8-1(月報廢)" sheetId="57" r:id="rId23"/>
    <sheet name="生產管理報表 8-2(月報廢)" sheetId="58" r:id="rId24"/>
    <sheet name="生產管理報表 8-3(月超用)" sheetId="59" r:id="rId25"/>
    <sheet name="生產管理報表 8-4(月超用)" sheetId="60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4" r:id="rId35"/>
    <sheet name="填寫舉例" sheetId="1" r:id="rId36"/>
    <sheet name="鮮食品群番" sheetId="38" r:id="rId37"/>
    <sheet name="下拉式選單" sheetId="54" r:id="rId38"/>
  </sheets>
  <externalReferences>
    <externalReference r:id="rId39"/>
    <externalReference r:id="rId40"/>
  </externalReference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6-1'!$A$1:$L$132</definedName>
    <definedName name="_xlnm.Print_Area" localSheetId="17">'生產管理報表 6-2'!$A$1:$L$132</definedName>
    <definedName name="_xlnm.Print_Area" localSheetId="18">'生產管理報表 6-3'!$A$1:$L$132</definedName>
    <definedName name="_xlnm.Print_Area" localSheetId="19">'生產管理報表 6-4'!$A$1:$L$133</definedName>
    <definedName name="_xlnm.Print_Area" localSheetId="20">'生產管理報表 6-5'!$A$1:$L$132</definedName>
    <definedName name="_xlnm.Print_Area" localSheetId="26">'生產管理報表 7-1 (週)'!$A$1:$M$70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8-5(週報廢)'!$A$1:$Q$114</definedName>
    <definedName name="_xlnm.Print_Area" localSheetId="28">'生產管理報表 8-6(週報廢)'!$A$1:$P$146</definedName>
    <definedName name="_xlnm.Print_Area" localSheetId="29">'生產管理報表 8-7(週超用)'!$A$1:$Q$30</definedName>
    <definedName name="_xlnm.Print_Area" localSheetId="30">'生產管理報表 8-8(週超用) '!$A$1:$P$114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56" l="1"/>
  <c r="M32" i="56"/>
  <c r="H23" i="13" l="1"/>
  <c r="H22" i="13"/>
  <c r="H21" i="13"/>
  <c r="H20" i="13"/>
  <c r="H19" i="13"/>
  <c r="H18" i="13"/>
  <c r="H17" i="13"/>
  <c r="H16" i="13"/>
  <c r="H15" i="13"/>
  <c r="B23" i="13"/>
  <c r="B22" i="13"/>
  <c r="B21" i="13"/>
  <c r="B20" i="13"/>
  <c r="B19" i="13"/>
  <c r="B18" i="13"/>
  <c r="B17" i="13"/>
  <c r="B16" i="13"/>
  <c r="B15" i="13"/>
  <c r="H8" i="7" l="1"/>
  <c r="I7" i="13" l="1"/>
  <c r="G11" i="65"/>
  <c r="J127" i="24" l="1"/>
  <c r="J126" i="24"/>
  <c r="J124" i="24"/>
  <c r="J123" i="24"/>
  <c r="J130" i="23"/>
  <c r="J129" i="23"/>
  <c r="J128" i="23"/>
  <c r="J126" i="23"/>
  <c r="J125" i="23"/>
  <c r="J124" i="23"/>
  <c r="J123" i="23"/>
  <c r="J119" i="23"/>
  <c r="J118" i="23"/>
  <c r="J117" i="23"/>
  <c r="J116" i="23"/>
  <c r="J115" i="23"/>
  <c r="J114" i="23"/>
  <c r="J113" i="23"/>
  <c r="J112" i="23"/>
  <c r="J125" i="22"/>
  <c r="J124" i="22"/>
  <c r="J123" i="22"/>
  <c r="J113" i="22"/>
  <c r="J112" i="22"/>
  <c r="J127" i="15"/>
  <c r="J126" i="15"/>
  <c r="J125" i="15"/>
  <c r="J124" i="15"/>
  <c r="J123" i="15"/>
  <c r="J121" i="15"/>
  <c r="J120" i="15"/>
  <c r="J119" i="15"/>
  <c r="J118" i="15"/>
  <c r="J117" i="15"/>
  <c r="J116" i="15"/>
  <c r="J113" i="15"/>
  <c r="J112" i="15"/>
  <c r="B36" i="39" l="1"/>
  <c r="B35" i="39"/>
  <c r="B34" i="39"/>
  <c r="B33" i="39"/>
  <c r="B32" i="39"/>
  <c r="B31" i="39"/>
  <c r="B30" i="39"/>
  <c r="B29" i="39"/>
  <c r="B28" i="39"/>
  <c r="AW87" i="52"/>
  <c r="AR87" i="52"/>
  <c r="AH87" i="52"/>
  <c r="AM87" i="52"/>
  <c r="AC87" i="52"/>
  <c r="X87" i="52"/>
  <c r="S87" i="52"/>
  <c r="M87" i="52"/>
  <c r="AV87" i="52"/>
  <c r="AX87" i="52" s="1"/>
  <c r="AQ87" i="52"/>
  <c r="AS87" i="52" s="1"/>
  <c r="AL87" i="52"/>
  <c r="AN87" i="52" s="1"/>
  <c r="AG87" i="52"/>
  <c r="AI87" i="52" s="1"/>
  <c r="AB87" i="52"/>
  <c r="AD87" i="52" s="1"/>
  <c r="W87" i="52"/>
  <c r="K87" i="52" s="1"/>
  <c r="T87" i="52"/>
  <c r="R87" i="52"/>
  <c r="J87" i="52"/>
  <c r="I87" i="52"/>
  <c r="G87" i="52"/>
  <c r="H87" i="52" s="1"/>
  <c r="AW91" i="51"/>
  <c r="AW90" i="51"/>
  <c r="AW89" i="51"/>
  <c r="AW88" i="51"/>
  <c r="AW87" i="51"/>
  <c r="AR91" i="51"/>
  <c r="AR90" i="51"/>
  <c r="AR89" i="51"/>
  <c r="AR88" i="51"/>
  <c r="AR87" i="51"/>
  <c r="AM91" i="51"/>
  <c r="AM90" i="51"/>
  <c r="AM89" i="51"/>
  <c r="AM88" i="51"/>
  <c r="AM87" i="51"/>
  <c r="AH91" i="51"/>
  <c r="AH90" i="51"/>
  <c r="AH89" i="51"/>
  <c r="AH88" i="51"/>
  <c r="AH87" i="51"/>
  <c r="AC91" i="51"/>
  <c r="AC90" i="51"/>
  <c r="AC89" i="51"/>
  <c r="AC88" i="51"/>
  <c r="AC87" i="51"/>
  <c r="X91" i="51"/>
  <c r="X90" i="51"/>
  <c r="X89" i="51"/>
  <c r="X88" i="51"/>
  <c r="X87" i="51"/>
  <c r="S88" i="51"/>
  <c r="S89" i="51"/>
  <c r="S90" i="51"/>
  <c r="S91" i="51"/>
  <c r="S87" i="51"/>
  <c r="M88" i="51"/>
  <c r="M89" i="51"/>
  <c r="M90" i="51"/>
  <c r="M91" i="51"/>
  <c r="M87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X87" i="51" s="1"/>
  <c r="AQ87" i="51"/>
  <c r="AL87" i="51"/>
  <c r="AN87" i="51" s="1"/>
  <c r="AG87" i="51"/>
  <c r="AI87" i="51" s="1"/>
  <c r="AB87" i="51"/>
  <c r="AD87" i="51" s="1"/>
  <c r="W87" i="51"/>
  <c r="Y87" i="51" s="1"/>
  <c r="R87" i="51"/>
  <c r="T87" i="51" s="1"/>
  <c r="J87" i="51"/>
  <c r="I87" i="51"/>
  <c r="G87" i="51"/>
  <c r="H87" i="51" s="1"/>
  <c r="P82" i="50"/>
  <c r="U82" i="50" s="1"/>
  <c r="AW95" i="49"/>
  <c r="AW94" i="49"/>
  <c r="AW93" i="49"/>
  <c r="AW92" i="49"/>
  <c r="AW91" i="49"/>
  <c r="AW90" i="49"/>
  <c r="AW89" i="49"/>
  <c r="AW88" i="49"/>
  <c r="AW87" i="49"/>
  <c r="AR95" i="49"/>
  <c r="AR94" i="49"/>
  <c r="AR93" i="49"/>
  <c r="AR92" i="49"/>
  <c r="AR91" i="49"/>
  <c r="AR90" i="49"/>
  <c r="AR89" i="49"/>
  <c r="AR88" i="49"/>
  <c r="AR87" i="49"/>
  <c r="AM95" i="49"/>
  <c r="AM94" i="49"/>
  <c r="AM93" i="49"/>
  <c r="AM92" i="49"/>
  <c r="AM91" i="49"/>
  <c r="AM90" i="49"/>
  <c r="AM89" i="49"/>
  <c r="AM88" i="49"/>
  <c r="AM87" i="49"/>
  <c r="AH95" i="49"/>
  <c r="AH94" i="49"/>
  <c r="AH93" i="49"/>
  <c r="AH92" i="49"/>
  <c r="AH91" i="49"/>
  <c r="AH90" i="49"/>
  <c r="AH89" i="49"/>
  <c r="AH88" i="49"/>
  <c r="AH87" i="49"/>
  <c r="AC95" i="49"/>
  <c r="AC94" i="49"/>
  <c r="AC93" i="49"/>
  <c r="AC92" i="49"/>
  <c r="AC91" i="49"/>
  <c r="AC90" i="49"/>
  <c r="AC89" i="49"/>
  <c r="AC88" i="49"/>
  <c r="AC87" i="49"/>
  <c r="X95" i="49"/>
  <c r="X94" i="49"/>
  <c r="X93" i="49"/>
  <c r="X92" i="49"/>
  <c r="X91" i="49"/>
  <c r="X90" i="49"/>
  <c r="X89" i="49"/>
  <c r="X88" i="49"/>
  <c r="X87" i="49"/>
  <c r="S95" i="49"/>
  <c r="M95" i="49"/>
  <c r="S87" i="49"/>
  <c r="S94" i="49"/>
  <c r="S93" i="49"/>
  <c r="S92" i="49"/>
  <c r="S91" i="49"/>
  <c r="S90" i="49"/>
  <c r="S89" i="49"/>
  <c r="S88" i="49"/>
  <c r="M94" i="49"/>
  <c r="M93" i="49"/>
  <c r="M92" i="49"/>
  <c r="M91" i="49"/>
  <c r="M90" i="49"/>
  <c r="M89" i="49"/>
  <c r="M88" i="49"/>
  <c r="M87" i="49"/>
  <c r="AW94" i="48"/>
  <c r="AW93" i="48"/>
  <c r="AW92" i="48"/>
  <c r="AW91" i="48"/>
  <c r="AW90" i="48"/>
  <c r="AW89" i="48"/>
  <c r="AW88" i="48"/>
  <c r="AW87" i="48"/>
  <c r="AR94" i="48"/>
  <c r="AR93" i="48"/>
  <c r="AR92" i="48"/>
  <c r="AR91" i="48"/>
  <c r="AR90" i="48"/>
  <c r="AR89" i="48"/>
  <c r="AR88" i="48"/>
  <c r="AR87" i="48"/>
  <c r="AM94" i="48"/>
  <c r="AM93" i="48"/>
  <c r="AM92" i="48"/>
  <c r="AM91" i="48"/>
  <c r="AM90" i="48"/>
  <c r="AM89" i="48"/>
  <c r="AM88" i="48"/>
  <c r="AM87" i="48"/>
  <c r="AH94" i="48"/>
  <c r="AH93" i="48"/>
  <c r="AH92" i="48"/>
  <c r="AH91" i="48"/>
  <c r="AH90" i="48"/>
  <c r="AH89" i="48"/>
  <c r="AH88" i="48"/>
  <c r="AH87" i="48"/>
  <c r="AC94" i="48"/>
  <c r="AC93" i="48"/>
  <c r="AC92" i="48"/>
  <c r="AC91" i="48"/>
  <c r="AC90" i="48"/>
  <c r="AC89" i="48"/>
  <c r="AC88" i="48"/>
  <c r="AC87" i="48"/>
  <c r="X94" i="48"/>
  <c r="X93" i="48"/>
  <c r="X92" i="48"/>
  <c r="X91" i="48"/>
  <c r="X90" i="48"/>
  <c r="X89" i="48"/>
  <c r="X88" i="48"/>
  <c r="X87" i="48"/>
  <c r="S88" i="48"/>
  <c r="S89" i="48"/>
  <c r="S90" i="48"/>
  <c r="S91" i="48"/>
  <c r="S92" i="48"/>
  <c r="S93" i="48"/>
  <c r="S94" i="48"/>
  <c r="S87" i="48"/>
  <c r="M90" i="48"/>
  <c r="M91" i="48"/>
  <c r="M92" i="48"/>
  <c r="M93" i="48"/>
  <c r="M94" i="48"/>
  <c r="M89" i="48"/>
  <c r="M88" i="48"/>
  <c r="M87" i="48"/>
  <c r="AV94" i="48"/>
  <c r="AQ94" i="48"/>
  <c r="AL94" i="48"/>
  <c r="AG94" i="48"/>
  <c r="AB94" i="48"/>
  <c r="W94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K93" i="48"/>
  <c r="J93" i="48"/>
  <c r="I93" i="48"/>
  <c r="G93" i="48"/>
  <c r="AV92" i="48"/>
  <c r="K92" i="48" s="1"/>
  <c r="AQ92" i="48"/>
  <c r="AL92" i="48"/>
  <c r="AG92" i="48"/>
  <c r="AB92" i="48"/>
  <c r="W92" i="48"/>
  <c r="R92" i="48"/>
  <c r="J92" i="48"/>
  <c r="I92" i="48"/>
  <c r="G92" i="48"/>
  <c r="AV91" i="48"/>
  <c r="K91" i="48" s="1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K89" i="48" s="1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K87" i="48" s="1"/>
  <c r="AN87" i="48"/>
  <c r="AL87" i="48"/>
  <c r="AG87" i="48"/>
  <c r="AI87" i="48" s="1"/>
  <c r="AB87" i="48"/>
  <c r="AD87" i="48" s="1"/>
  <c r="W87" i="48"/>
  <c r="Y87" i="48" s="1"/>
  <c r="R87" i="48"/>
  <c r="T87" i="48" s="1"/>
  <c r="J87" i="48"/>
  <c r="I87" i="48"/>
  <c r="H87" i="48"/>
  <c r="G87" i="48"/>
  <c r="AV95" i="49"/>
  <c r="AQ95" i="49"/>
  <c r="AL95" i="49"/>
  <c r="AG95" i="49"/>
  <c r="AB95" i="49"/>
  <c r="W95" i="49"/>
  <c r="R95" i="49"/>
  <c r="K95" i="49"/>
  <c r="J95" i="49"/>
  <c r="I95" i="49"/>
  <c r="G95" i="49"/>
  <c r="AV94" i="49"/>
  <c r="AQ94" i="49"/>
  <c r="AL94" i="49"/>
  <c r="AG94" i="49"/>
  <c r="AB94" i="49"/>
  <c r="W94" i="49"/>
  <c r="R94" i="49"/>
  <c r="J94" i="49"/>
  <c r="I94" i="49"/>
  <c r="G94" i="49"/>
  <c r="AV93" i="49"/>
  <c r="AQ93" i="49"/>
  <c r="AL93" i="49"/>
  <c r="AG93" i="49"/>
  <c r="AB93" i="49"/>
  <c r="W93" i="49"/>
  <c r="R93" i="49"/>
  <c r="J93" i="49"/>
  <c r="I93" i="49"/>
  <c r="G93" i="49"/>
  <c r="AV92" i="49"/>
  <c r="AQ92" i="49"/>
  <c r="AL92" i="49"/>
  <c r="AG92" i="49"/>
  <c r="AB92" i="49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X87" i="49" s="1"/>
  <c r="AQ87" i="49"/>
  <c r="K87" i="49" s="1"/>
  <c r="AL87" i="49"/>
  <c r="AG87" i="49"/>
  <c r="AB87" i="49"/>
  <c r="W87" i="49"/>
  <c r="Y87" i="49" s="1"/>
  <c r="R87" i="49"/>
  <c r="T87" i="49" s="1"/>
  <c r="J87" i="49"/>
  <c r="I87" i="49"/>
  <c r="G87" i="49"/>
  <c r="H87" i="49" s="1"/>
  <c r="P83" i="50" l="1"/>
  <c r="L87" i="52"/>
  <c r="Y87" i="52"/>
  <c r="K87" i="51"/>
  <c r="AS87" i="51"/>
  <c r="K91" i="51"/>
  <c r="K90" i="51"/>
  <c r="K89" i="51"/>
  <c r="K88" i="51"/>
  <c r="Z82" i="50"/>
  <c r="U83" i="50"/>
  <c r="L87" i="48"/>
  <c r="AS87" i="48"/>
  <c r="AX87" i="48"/>
  <c r="K90" i="48"/>
  <c r="K88" i="48"/>
  <c r="K92" i="49"/>
  <c r="K90" i="49"/>
  <c r="K88" i="49"/>
  <c r="AN87" i="49"/>
  <c r="AS87" i="49"/>
  <c r="K91" i="49"/>
  <c r="K89" i="49"/>
  <c r="K94" i="49"/>
  <c r="K93" i="49"/>
  <c r="AD87" i="49"/>
  <c r="AI87" i="49"/>
  <c r="AW89" i="47"/>
  <c r="AW88" i="47"/>
  <c r="AR89" i="47"/>
  <c r="AR88" i="47"/>
  <c r="AM89" i="47"/>
  <c r="AM88" i="47"/>
  <c r="AH89" i="47"/>
  <c r="AH88" i="47"/>
  <c r="AI87" i="47"/>
  <c r="AC89" i="47"/>
  <c r="AC88" i="47"/>
  <c r="AC87" i="47"/>
  <c r="X89" i="47"/>
  <c r="X88" i="47"/>
  <c r="X87" i="47"/>
  <c r="S87" i="47"/>
  <c r="S89" i="47"/>
  <c r="S88" i="47"/>
  <c r="M89" i="47"/>
  <c r="M88" i="47"/>
  <c r="M87" i="47"/>
  <c r="AV89" i="47"/>
  <c r="AQ89" i="47"/>
  <c r="AL89" i="47"/>
  <c r="AG89" i="47"/>
  <c r="AB89" i="47"/>
  <c r="W89" i="47"/>
  <c r="R89" i="47"/>
  <c r="J89" i="47"/>
  <c r="I89" i="47"/>
  <c r="G89" i="47"/>
  <c r="AV88" i="47"/>
  <c r="AQ88" i="47"/>
  <c r="AL88" i="47"/>
  <c r="AN87" i="47" s="1"/>
  <c r="AG88" i="47"/>
  <c r="AB88" i="47"/>
  <c r="W88" i="47"/>
  <c r="R88" i="47"/>
  <c r="T87" i="47" s="1"/>
  <c r="J88" i="47"/>
  <c r="I88" i="47"/>
  <c r="G88" i="47"/>
  <c r="AX87" i="47"/>
  <c r="AS87" i="47"/>
  <c r="AB87" i="47"/>
  <c r="AD87" i="47" s="1"/>
  <c r="W87" i="47"/>
  <c r="R87" i="47"/>
  <c r="K87" i="47"/>
  <c r="J87" i="47"/>
  <c r="I87" i="47"/>
  <c r="G87" i="47"/>
  <c r="H87" i="47" s="1"/>
  <c r="AW88" i="46"/>
  <c r="AW87" i="46"/>
  <c r="AR88" i="46"/>
  <c r="AR87" i="46"/>
  <c r="AM88" i="46"/>
  <c r="AM87" i="46"/>
  <c r="AH88" i="46"/>
  <c r="AH87" i="46"/>
  <c r="AC88" i="46"/>
  <c r="AC87" i="46"/>
  <c r="X88" i="46"/>
  <c r="X87" i="46"/>
  <c r="S88" i="46"/>
  <c r="S87" i="46"/>
  <c r="M88" i="46"/>
  <c r="M87" i="46"/>
  <c r="AV88" i="46"/>
  <c r="AQ88" i="46"/>
  <c r="AL88" i="46"/>
  <c r="AG88" i="46"/>
  <c r="AB88" i="46"/>
  <c r="W88" i="46"/>
  <c r="R88" i="46"/>
  <c r="K88" i="46"/>
  <c r="J88" i="46"/>
  <c r="I88" i="46"/>
  <c r="G88" i="46"/>
  <c r="H87" i="46" s="1"/>
  <c r="AX87" i="46"/>
  <c r="AV87" i="46"/>
  <c r="AQ87" i="46"/>
  <c r="AN87" i="46"/>
  <c r="AL87" i="46"/>
  <c r="AG87" i="46"/>
  <c r="AB87" i="46"/>
  <c r="AD87" i="46" s="1"/>
  <c r="W87" i="46"/>
  <c r="Y87" i="46" s="1"/>
  <c r="R87" i="46"/>
  <c r="T87" i="46" s="1"/>
  <c r="J87" i="46"/>
  <c r="I87" i="46"/>
  <c r="G87" i="46"/>
  <c r="AW91" i="45"/>
  <c r="AW90" i="45"/>
  <c r="AW89" i="45"/>
  <c r="AW88" i="45"/>
  <c r="AW87" i="45"/>
  <c r="AR91" i="45"/>
  <c r="AR90" i="45"/>
  <c r="AR89" i="45"/>
  <c r="AR88" i="45"/>
  <c r="AR87" i="45"/>
  <c r="AM91" i="45"/>
  <c r="AM90" i="45"/>
  <c r="AM89" i="45"/>
  <c r="AM88" i="45"/>
  <c r="AM87" i="45"/>
  <c r="AH91" i="45"/>
  <c r="AH90" i="45"/>
  <c r="AH89" i="45"/>
  <c r="AH88" i="45"/>
  <c r="AH87" i="45"/>
  <c r="AC91" i="45"/>
  <c r="AC90" i="45"/>
  <c r="AC89" i="45"/>
  <c r="AC88" i="45"/>
  <c r="AC87" i="45"/>
  <c r="X91" i="45"/>
  <c r="X90" i="45"/>
  <c r="X89" i="45"/>
  <c r="X88" i="45"/>
  <c r="X87" i="45"/>
  <c r="S88" i="45"/>
  <c r="S89" i="45"/>
  <c r="S90" i="45"/>
  <c r="S91" i="45"/>
  <c r="S87" i="45"/>
  <c r="M88" i="45"/>
  <c r="M89" i="45"/>
  <c r="M90" i="45"/>
  <c r="M91" i="45"/>
  <c r="M87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K89" i="45" s="1"/>
  <c r="AQ89" i="45"/>
  <c r="AL89" i="45"/>
  <c r="AG89" i="45"/>
  <c r="AB89" i="45"/>
  <c r="W89" i="45"/>
  <c r="R89" i="45"/>
  <c r="J89" i="45"/>
  <c r="I89" i="45"/>
  <c r="G89" i="45"/>
  <c r="AV88" i="45"/>
  <c r="K88" i="45" s="1"/>
  <c r="AQ88" i="45"/>
  <c r="AL88" i="45"/>
  <c r="AG88" i="45"/>
  <c r="AB88" i="45"/>
  <c r="W88" i="45"/>
  <c r="R88" i="45"/>
  <c r="J88" i="45"/>
  <c r="I88" i="45"/>
  <c r="G88" i="45"/>
  <c r="H87" i="45" s="1"/>
  <c r="AV87" i="45"/>
  <c r="AX87" i="45" s="1"/>
  <c r="AS87" i="45"/>
  <c r="AQ87" i="45"/>
  <c r="AL87" i="45"/>
  <c r="AN87" i="45" s="1"/>
  <c r="AI87" i="45"/>
  <c r="AG87" i="45"/>
  <c r="AB87" i="45"/>
  <c r="AD87" i="45" s="1"/>
  <c r="W87" i="45"/>
  <c r="R87" i="45"/>
  <c r="T87" i="45" s="1"/>
  <c r="K87" i="45"/>
  <c r="J87" i="45"/>
  <c r="I87" i="45"/>
  <c r="G87" i="45"/>
  <c r="AW195" i="44"/>
  <c r="AW194" i="44"/>
  <c r="AW193" i="44"/>
  <c r="AW192" i="44"/>
  <c r="AW191" i="44"/>
  <c r="AW190" i="44"/>
  <c r="AW189" i="44"/>
  <c r="AW188" i="44"/>
  <c r="AW187" i="44"/>
  <c r="AW186" i="44"/>
  <c r="AW185" i="44"/>
  <c r="AW184" i="44"/>
  <c r="AW183" i="44"/>
  <c r="AW182" i="44"/>
  <c r="AW181" i="44"/>
  <c r="AW180" i="44"/>
  <c r="AW179" i="44"/>
  <c r="AW178" i="44"/>
  <c r="AW177" i="44"/>
  <c r="AW176" i="44"/>
  <c r="AW175" i="44"/>
  <c r="AW174" i="44"/>
  <c r="AW173" i="44"/>
  <c r="AW172" i="44"/>
  <c r="AW171" i="44"/>
  <c r="AW170" i="44"/>
  <c r="AW169" i="44"/>
  <c r="AW168" i="44"/>
  <c r="AW167" i="44"/>
  <c r="AW166" i="44"/>
  <c r="AW165" i="44"/>
  <c r="AW164" i="44"/>
  <c r="AW163" i="44"/>
  <c r="AR195" i="44"/>
  <c r="AR194" i="44"/>
  <c r="AR193" i="44"/>
  <c r="AR192" i="44"/>
  <c r="AR191" i="44"/>
  <c r="AR190" i="44"/>
  <c r="AR189" i="44"/>
  <c r="AR188" i="44"/>
  <c r="AR187" i="44"/>
  <c r="AR186" i="44"/>
  <c r="AR185" i="44"/>
  <c r="AR184" i="44"/>
  <c r="AR183" i="44"/>
  <c r="AR182" i="44"/>
  <c r="AR181" i="44"/>
  <c r="AR180" i="44"/>
  <c r="AR179" i="44"/>
  <c r="AR178" i="44"/>
  <c r="AR177" i="44"/>
  <c r="AR176" i="44"/>
  <c r="AR175" i="44"/>
  <c r="AR174" i="44"/>
  <c r="AR173" i="44"/>
  <c r="AR172" i="44"/>
  <c r="AR171" i="44"/>
  <c r="AR170" i="44"/>
  <c r="AR169" i="44"/>
  <c r="AR168" i="44"/>
  <c r="AR167" i="44"/>
  <c r="AR166" i="44"/>
  <c r="AR165" i="44"/>
  <c r="AR164" i="44"/>
  <c r="AR163" i="44"/>
  <c r="AM195" i="44"/>
  <c r="AM194" i="44"/>
  <c r="AM193" i="44"/>
  <c r="AM192" i="44"/>
  <c r="AM191" i="44"/>
  <c r="AM190" i="44"/>
  <c r="AM189" i="44"/>
  <c r="AM188" i="44"/>
  <c r="AM187" i="44"/>
  <c r="AM186" i="44"/>
  <c r="AM185" i="44"/>
  <c r="AM184" i="44"/>
  <c r="AM183" i="44"/>
  <c r="AM182" i="44"/>
  <c r="AM181" i="44"/>
  <c r="AM180" i="44"/>
  <c r="AM179" i="44"/>
  <c r="AM178" i="44"/>
  <c r="AM177" i="44"/>
  <c r="AM176" i="44"/>
  <c r="AM175" i="44"/>
  <c r="AM174" i="44"/>
  <c r="AM173" i="44"/>
  <c r="AM172" i="44"/>
  <c r="AM171" i="44"/>
  <c r="AM170" i="44"/>
  <c r="AM169" i="44"/>
  <c r="AM168" i="44"/>
  <c r="AM167" i="44"/>
  <c r="AM166" i="44"/>
  <c r="AM165" i="44"/>
  <c r="AM164" i="44"/>
  <c r="AM163" i="44"/>
  <c r="AH195" i="44"/>
  <c r="AH194" i="44"/>
  <c r="AH193" i="44"/>
  <c r="AH192" i="44"/>
  <c r="AH191" i="44"/>
  <c r="AH190" i="44"/>
  <c r="AH189" i="44"/>
  <c r="AH188" i="44"/>
  <c r="AH187" i="44"/>
  <c r="AH186" i="44"/>
  <c r="AH185" i="44"/>
  <c r="AH184" i="44"/>
  <c r="AH183" i="44"/>
  <c r="AH182" i="44"/>
  <c r="AH181" i="44"/>
  <c r="AH180" i="44"/>
  <c r="AH179" i="44"/>
  <c r="AH178" i="44"/>
  <c r="AH177" i="44"/>
  <c r="AH176" i="44"/>
  <c r="AH175" i="44"/>
  <c r="AH174" i="44"/>
  <c r="AH173" i="44"/>
  <c r="AH172" i="44"/>
  <c r="AH171" i="44"/>
  <c r="AH170" i="44"/>
  <c r="AH169" i="44"/>
  <c r="AH168" i="44"/>
  <c r="AH167" i="44"/>
  <c r="AH166" i="44"/>
  <c r="AH165" i="44"/>
  <c r="AH164" i="44"/>
  <c r="AH163" i="44"/>
  <c r="AC195" i="44"/>
  <c r="AC194" i="44"/>
  <c r="AC193" i="44"/>
  <c r="AC192" i="44"/>
  <c r="AC191" i="44"/>
  <c r="AC190" i="44"/>
  <c r="AC189" i="44"/>
  <c r="AC188" i="44"/>
  <c r="AC187" i="44"/>
  <c r="AC186" i="44"/>
  <c r="AC185" i="44"/>
  <c r="AC184" i="44"/>
  <c r="AC183" i="44"/>
  <c r="AC182" i="44"/>
  <c r="AC181" i="44"/>
  <c r="AC180" i="44"/>
  <c r="AC179" i="44"/>
  <c r="AC178" i="44"/>
  <c r="AC177" i="44"/>
  <c r="AC176" i="44"/>
  <c r="AC175" i="44"/>
  <c r="AC174" i="44"/>
  <c r="AC173" i="44"/>
  <c r="AC172" i="44"/>
  <c r="AC171" i="44"/>
  <c r="AC170" i="44"/>
  <c r="AC169" i="44"/>
  <c r="AC168" i="44"/>
  <c r="AC167" i="44"/>
  <c r="AC166" i="44"/>
  <c r="AC165" i="44"/>
  <c r="AC164" i="44"/>
  <c r="AC163" i="44"/>
  <c r="X195" i="44"/>
  <c r="X194" i="44"/>
  <c r="X193" i="44"/>
  <c r="X192" i="44"/>
  <c r="X191" i="44"/>
  <c r="X190" i="44"/>
  <c r="X189" i="44"/>
  <c r="X188" i="44"/>
  <c r="X187" i="44"/>
  <c r="X186" i="44"/>
  <c r="X185" i="44"/>
  <c r="X184" i="44"/>
  <c r="X183" i="44"/>
  <c r="X182" i="44"/>
  <c r="X181" i="44"/>
  <c r="X180" i="44"/>
  <c r="X179" i="44"/>
  <c r="X178" i="44"/>
  <c r="X177" i="44"/>
  <c r="X176" i="44"/>
  <c r="X175" i="44"/>
  <c r="X174" i="44"/>
  <c r="X173" i="44"/>
  <c r="X172" i="44"/>
  <c r="X171" i="44"/>
  <c r="X170" i="44"/>
  <c r="X169" i="44"/>
  <c r="X168" i="44"/>
  <c r="X167" i="44"/>
  <c r="X166" i="44"/>
  <c r="X165" i="44"/>
  <c r="X164" i="44"/>
  <c r="X163" i="44"/>
  <c r="S163" i="44"/>
  <c r="S164" i="44"/>
  <c r="S165" i="44"/>
  <c r="S166" i="44"/>
  <c r="S167" i="44"/>
  <c r="S168" i="44"/>
  <c r="S169" i="44"/>
  <c r="S170" i="44"/>
  <c r="S171" i="44"/>
  <c r="S172" i="44"/>
  <c r="S173" i="44"/>
  <c r="S174" i="44"/>
  <c r="S175" i="44"/>
  <c r="S176" i="44"/>
  <c r="S177" i="44"/>
  <c r="S178" i="44"/>
  <c r="S179" i="44"/>
  <c r="S180" i="44"/>
  <c r="S181" i="44"/>
  <c r="S182" i="44"/>
  <c r="S183" i="44"/>
  <c r="S184" i="44"/>
  <c r="S185" i="44"/>
  <c r="S186" i="44"/>
  <c r="S187" i="44"/>
  <c r="S188" i="44"/>
  <c r="S189" i="44"/>
  <c r="S190" i="44"/>
  <c r="S191" i="44"/>
  <c r="S192" i="44"/>
  <c r="S193" i="44"/>
  <c r="S194" i="44"/>
  <c r="S195" i="44"/>
  <c r="M164" i="44"/>
  <c r="M165" i="44"/>
  <c r="M166" i="44"/>
  <c r="M167" i="44"/>
  <c r="M168" i="44"/>
  <c r="M169" i="44"/>
  <c r="M170" i="44"/>
  <c r="M171" i="44"/>
  <c r="M172" i="44"/>
  <c r="M173" i="44"/>
  <c r="M174" i="44"/>
  <c r="M175" i="44"/>
  <c r="M176" i="44"/>
  <c r="M177" i="44"/>
  <c r="M178" i="44"/>
  <c r="M179" i="44"/>
  <c r="M180" i="44"/>
  <c r="M181" i="44"/>
  <c r="M182" i="44"/>
  <c r="M183" i="44"/>
  <c r="M184" i="44"/>
  <c r="M185" i="44"/>
  <c r="M186" i="44"/>
  <c r="M187" i="44"/>
  <c r="M188" i="44"/>
  <c r="M189" i="44"/>
  <c r="M190" i="44"/>
  <c r="M191" i="44"/>
  <c r="M192" i="44"/>
  <c r="M193" i="44"/>
  <c r="M194" i="44"/>
  <c r="M195" i="44"/>
  <c r="M163" i="44"/>
  <c r="AV195" i="44"/>
  <c r="AQ195" i="44"/>
  <c r="AL195" i="44"/>
  <c r="AG195" i="44"/>
  <c r="AB195" i="44"/>
  <c r="W195" i="44"/>
  <c r="R195" i="44"/>
  <c r="K195" i="44"/>
  <c r="J195" i="44"/>
  <c r="I195" i="44"/>
  <c r="G195" i="44"/>
  <c r="AV194" i="44"/>
  <c r="AQ194" i="44"/>
  <c r="AL194" i="44"/>
  <c r="AG194" i="44"/>
  <c r="AB194" i="44"/>
  <c r="W194" i="44"/>
  <c r="R194" i="44"/>
  <c r="K194" i="44"/>
  <c r="J194" i="44"/>
  <c r="I194" i="44"/>
  <c r="G194" i="44"/>
  <c r="AV193" i="44"/>
  <c r="AQ193" i="44"/>
  <c r="AL193" i="44"/>
  <c r="AG193" i="44"/>
  <c r="AB193" i="44"/>
  <c r="W193" i="44"/>
  <c r="R193" i="44"/>
  <c r="K193" i="44"/>
  <c r="J193" i="44"/>
  <c r="I193" i="44"/>
  <c r="G193" i="44"/>
  <c r="AV192" i="44"/>
  <c r="K192" i="44" s="1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K187" i="44" s="1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K183" i="44" s="1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V181" i="44"/>
  <c r="AQ181" i="44"/>
  <c r="AL181" i="44"/>
  <c r="AG181" i="44"/>
  <c r="AB181" i="44"/>
  <c r="W181" i="44"/>
  <c r="R181" i="44"/>
  <c r="K181" i="44" s="1"/>
  <c r="J181" i="44"/>
  <c r="I181" i="44"/>
  <c r="G181" i="44"/>
  <c r="AV180" i="44"/>
  <c r="AQ180" i="44"/>
  <c r="AL180" i="44"/>
  <c r="AG180" i="44"/>
  <c r="AB180" i="44"/>
  <c r="W180" i="44"/>
  <c r="R180" i="44"/>
  <c r="K180" i="44" s="1"/>
  <c r="J180" i="44"/>
  <c r="I180" i="44"/>
  <c r="G180" i="44"/>
  <c r="AV179" i="44"/>
  <c r="AQ179" i="44"/>
  <c r="AL179" i="44"/>
  <c r="AG179" i="44"/>
  <c r="AB179" i="44"/>
  <c r="W179" i="44"/>
  <c r="R179" i="44"/>
  <c r="J179" i="44"/>
  <c r="I179" i="44"/>
  <c r="G179" i="44"/>
  <c r="AV178" i="44"/>
  <c r="AQ178" i="44"/>
  <c r="AL178" i="44"/>
  <c r="AG178" i="44"/>
  <c r="AB178" i="44"/>
  <c r="W178" i="44"/>
  <c r="R178" i="44"/>
  <c r="J178" i="44"/>
  <c r="I178" i="44"/>
  <c r="G178" i="44"/>
  <c r="AV177" i="44"/>
  <c r="AQ177" i="44"/>
  <c r="AL177" i="44"/>
  <c r="AG177" i="44"/>
  <c r="AB177" i="44"/>
  <c r="W177" i="44"/>
  <c r="R177" i="44"/>
  <c r="K177" i="44"/>
  <c r="J177" i="44"/>
  <c r="I177" i="44"/>
  <c r="G177" i="44"/>
  <c r="AV176" i="44"/>
  <c r="AQ176" i="44"/>
  <c r="AL176" i="44"/>
  <c r="AG176" i="44"/>
  <c r="AB176" i="44"/>
  <c r="W176" i="44"/>
  <c r="R176" i="44"/>
  <c r="K176" i="44"/>
  <c r="J176" i="44"/>
  <c r="I176" i="44"/>
  <c r="G176" i="44"/>
  <c r="AV175" i="44"/>
  <c r="AQ175" i="44"/>
  <c r="AL175" i="44"/>
  <c r="AG175" i="44"/>
  <c r="AB175" i="44"/>
  <c r="W175" i="44"/>
  <c r="R175" i="44"/>
  <c r="K175" i="44"/>
  <c r="J175" i="44"/>
  <c r="I175" i="44"/>
  <c r="G175" i="44"/>
  <c r="AV174" i="44"/>
  <c r="AQ174" i="44"/>
  <c r="AL174" i="44"/>
  <c r="AG174" i="44"/>
  <c r="AB174" i="44"/>
  <c r="W174" i="44"/>
  <c r="R174" i="44"/>
  <c r="K174" i="44"/>
  <c r="J174" i="44"/>
  <c r="I174" i="44"/>
  <c r="G174" i="44"/>
  <c r="AV173" i="44"/>
  <c r="K173" i="44" s="1"/>
  <c r="AQ173" i="44"/>
  <c r="AL173" i="44"/>
  <c r="AG173" i="44"/>
  <c r="AB173" i="44"/>
  <c r="W173" i="44"/>
  <c r="R173" i="44"/>
  <c r="J173" i="44"/>
  <c r="I173" i="44"/>
  <c r="G173" i="44"/>
  <c r="AV172" i="44"/>
  <c r="K172" i="44" s="1"/>
  <c r="AQ172" i="44"/>
  <c r="AL172" i="44"/>
  <c r="AG172" i="44"/>
  <c r="AB172" i="44"/>
  <c r="W172" i="44"/>
  <c r="R172" i="44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Y163" i="44" s="1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K166" i="44" s="1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K164" i="44" s="1"/>
  <c r="W164" i="44"/>
  <c r="R164" i="44"/>
  <c r="J164" i="44"/>
  <c r="I164" i="44"/>
  <c r="G164" i="44"/>
  <c r="AV163" i="44"/>
  <c r="AQ163" i="44"/>
  <c r="AL163" i="44"/>
  <c r="AG163" i="44"/>
  <c r="K163" i="44" s="1"/>
  <c r="AB163" i="44"/>
  <c r="W163" i="44"/>
  <c r="R163" i="44"/>
  <c r="J163" i="44"/>
  <c r="I163" i="44"/>
  <c r="G163" i="44"/>
  <c r="H163" i="44" s="1"/>
  <c r="B35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B35" i="7"/>
  <c r="AC41" i="7"/>
  <c r="S41" i="7"/>
  <c r="T41" i="7" s="1"/>
  <c r="M41" i="7"/>
  <c r="N41" i="7" s="1"/>
  <c r="F41" i="7"/>
  <c r="AL41" i="7" s="1"/>
  <c r="AC40" i="7"/>
  <c r="S40" i="7"/>
  <c r="T40" i="7" s="1"/>
  <c r="M40" i="7"/>
  <c r="N40" i="7" s="1"/>
  <c r="F40" i="7"/>
  <c r="AL40" i="7" s="1"/>
  <c r="AC39" i="7"/>
  <c r="S39" i="7"/>
  <c r="T39" i="7" s="1"/>
  <c r="M39" i="7"/>
  <c r="N39" i="7" s="1"/>
  <c r="F39" i="7"/>
  <c r="AL39" i="7" s="1"/>
  <c r="AC38" i="7"/>
  <c r="S38" i="7"/>
  <c r="T38" i="7" s="1"/>
  <c r="M38" i="7"/>
  <c r="N38" i="7" s="1"/>
  <c r="F38" i="7"/>
  <c r="AL38" i="7" s="1"/>
  <c r="AC37" i="7"/>
  <c r="S37" i="7"/>
  <c r="T37" i="7" s="1"/>
  <c r="M37" i="7"/>
  <c r="N37" i="7" s="1"/>
  <c r="F37" i="7"/>
  <c r="AL37" i="7" s="1"/>
  <c r="AC36" i="7"/>
  <c r="S36" i="7"/>
  <c r="T36" i="7" s="1"/>
  <c r="M36" i="7"/>
  <c r="N36" i="7" s="1"/>
  <c r="F36" i="7"/>
  <c r="AL36" i="7" s="1"/>
  <c r="AC35" i="7"/>
  <c r="S35" i="7"/>
  <c r="T35" i="7" s="1"/>
  <c r="M35" i="7"/>
  <c r="N35" i="7" s="1"/>
  <c r="F35" i="7"/>
  <c r="AL35" i="7" s="1"/>
  <c r="U39" i="5"/>
  <c r="U38" i="5"/>
  <c r="U37" i="5"/>
  <c r="U36" i="5"/>
  <c r="L87" i="51" l="1"/>
  <c r="AE82" i="50"/>
  <c r="Z83" i="50"/>
  <c r="L87" i="49"/>
  <c r="K89" i="47"/>
  <c r="K88" i="47"/>
  <c r="L87" i="47"/>
  <c r="Y87" i="47"/>
  <c r="AI87" i="46"/>
  <c r="K87" i="46"/>
  <c r="AS87" i="46"/>
  <c r="K91" i="45"/>
  <c r="K90" i="45"/>
  <c r="Y87" i="45"/>
  <c r="K167" i="44"/>
  <c r="K179" i="44"/>
  <c r="K182" i="44"/>
  <c r="K178" i="44"/>
  <c r="AD163" i="44"/>
  <c r="AI163" i="44"/>
  <c r="AN163" i="44"/>
  <c r="K184" i="44"/>
  <c r="AS163" i="44"/>
  <c r="AX163" i="44"/>
  <c r="K186" i="44"/>
  <c r="K170" i="44"/>
  <c r="K190" i="44"/>
  <c r="K171" i="44"/>
  <c r="K191" i="44"/>
  <c r="K169" i="44"/>
  <c r="K189" i="44"/>
  <c r="K168" i="44"/>
  <c r="K188" i="44"/>
  <c r="T163" i="44"/>
  <c r="K165" i="44"/>
  <c r="K185" i="44"/>
  <c r="AD36" i="6"/>
  <c r="N37" i="6"/>
  <c r="T36" i="6"/>
  <c r="T37" i="6"/>
  <c r="N38" i="6"/>
  <c r="T38" i="6"/>
  <c r="AD38" i="6"/>
  <c r="N39" i="6"/>
  <c r="T39" i="6"/>
  <c r="AD39" i="6"/>
  <c r="AD40" i="6"/>
  <c r="N40" i="6"/>
  <c r="T40" i="6"/>
  <c r="N41" i="6"/>
  <c r="N35" i="6"/>
  <c r="T41" i="6"/>
  <c r="T35" i="6"/>
  <c r="F35" i="6"/>
  <c r="F36" i="6"/>
  <c r="F37" i="6"/>
  <c r="F38" i="6"/>
  <c r="F39" i="6"/>
  <c r="F40" i="6"/>
  <c r="F41" i="6"/>
  <c r="G35" i="7"/>
  <c r="J35" i="7"/>
  <c r="J36" i="7"/>
  <c r="J37" i="7"/>
  <c r="J38" i="7"/>
  <c r="J39" i="7"/>
  <c r="J40" i="7"/>
  <c r="J41" i="7"/>
  <c r="L35" i="7"/>
  <c r="L36" i="7"/>
  <c r="L37" i="7"/>
  <c r="L38" i="7"/>
  <c r="L39" i="7"/>
  <c r="L40" i="7"/>
  <c r="L41" i="7"/>
  <c r="R39" i="7"/>
  <c r="V35" i="7"/>
  <c r="V36" i="7"/>
  <c r="V37" i="7"/>
  <c r="V41" i="7"/>
  <c r="X35" i="7"/>
  <c r="X36" i="7"/>
  <c r="X37" i="7"/>
  <c r="X38" i="7"/>
  <c r="X39" i="7"/>
  <c r="X40" i="7"/>
  <c r="X41" i="7"/>
  <c r="Z35" i="7"/>
  <c r="Z36" i="7"/>
  <c r="Z37" i="7"/>
  <c r="Z38" i="7"/>
  <c r="Z39" i="7"/>
  <c r="Z40" i="7"/>
  <c r="Z41" i="7"/>
  <c r="R38" i="7"/>
  <c r="V40" i="7"/>
  <c r="AB35" i="7"/>
  <c r="AB36" i="7"/>
  <c r="AB37" i="7"/>
  <c r="AB38" i="7"/>
  <c r="AB39" i="7"/>
  <c r="AB40" i="7"/>
  <c r="AB41" i="7"/>
  <c r="P39" i="7"/>
  <c r="P40" i="7"/>
  <c r="R41" i="7"/>
  <c r="V38" i="7"/>
  <c r="AD40" i="7"/>
  <c r="AF35" i="7"/>
  <c r="AF40" i="7"/>
  <c r="AH35" i="7"/>
  <c r="AH37" i="7"/>
  <c r="AH40" i="7"/>
  <c r="AJ35" i="7"/>
  <c r="AJ36" i="7"/>
  <c r="AJ37" i="7"/>
  <c r="AJ38" i="7"/>
  <c r="AJ39" i="7"/>
  <c r="AJ40" i="7"/>
  <c r="AJ41" i="7"/>
  <c r="P35" i="7"/>
  <c r="P36" i="7"/>
  <c r="P37" i="7"/>
  <c r="P38" i="7"/>
  <c r="P41" i="7"/>
  <c r="R35" i="7"/>
  <c r="R36" i="7"/>
  <c r="R37" i="7"/>
  <c r="R40" i="7"/>
  <c r="V39" i="7"/>
  <c r="AD35" i="7"/>
  <c r="AD36" i="7"/>
  <c r="AD37" i="7"/>
  <c r="AD38" i="7"/>
  <c r="AD39" i="7"/>
  <c r="AD41" i="7"/>
  <c r="AF36" i="7"/>
  <c r="AF37" i="7"/>
  <c r="AF38" i="7"/>
  <c r="AF39" i="7"/>
  <c r="AF41" i="7"/>
  <c r="AH36" i="7"/>
  <c r="AH38" i="7"/>
  <c r="AH39" i="7"/>
  <c r="AH41" i="7"/>
  <c r="AJ82" i="50" l="1"/>
  <c r="AE83" i="50"/>
  <c r="L87" i="46"/>
  <c r="L87" i="45"/>
  <c r="L163" i="44"/>
  <c r="AL41" i="6"/>
  <c r="AH41" i="6"/>
  <c r="AF41" i="6"/>
  <c r="AB41" i="6"/>
  <c r="R41" i="6"/>
  <c r="P41" i="6"/>
  <c r="AJ41" i="6"/>
  <c r="Z41" i="6"/>
  <c r="X41" i="6"/>
  <c r="V41" i="6"/>
  <c r="L41" i="6"/>
  <c r="J41" i="6"/>
  <c r="AL40" i="6"/>
  <c r="AF40" i="6"/>
  <c r="AB40" i="6"/>
  <c r="AJ40" i="6"/>
  <c r="AH40" i="6"/>
  <c r="Z40" i="6"/>
  <c r="V40" i="6"/>
  <c r="X40" i="6"/>
  <c r="L40" i="6"/>
  <c r="J40" i="6"/>
  <c r="R40" i="6"/>
  <c r="P40" i="6"/>
  <c r="AL39" i="6"/>
  <c r="AH39" i="6"/>
  <c r="AF39" i="6"/>
  <c r="AB39" i="6"/>
  <c r="R39" i="6"/>
  <c r="AJ39" i="6"/>
  <c r="Z39" i="6"/>
  <c r="P39" i="6"/>
  <c r="X39" i="6"/>
  <c r="V39" i="6"/>
  <c r="L39" i="6"/>
  <c r="J39" i="6"/>
  <c r="AL38" i="6"/>
  <c r="AH38" i="6"/>
  <c r="AF38" i="6"/>
  <c r="AB38" i="6"/>
  <c r="R38" i="6"/>
  <c r="AJ38" i="6"/>
  <c r="P38" i="6"/>
  <c r="Z38" i="6"/>
  <c r="X38" i="6"/>
  <c r="V38" i="6"/>
  <c r="L38" i="6"/>
  <c r="J38" i="6"/>
  <c r="AL37" i="6"/>
  <c r="AH37" i="6"/>
  <c r="AF37" i="6"/>
  <c r="AB37" i="6"/>
  <c r="R37" i="6"/>
  <c r="AJ37" i="6"/>
  <c r="Z37" i="6"/>
  <c r="V37" i="6"/>
  <c r="X37" i="6"/>
  <c r="P37" i="6"/>
  <c r="L37" i="6"/>
  <c r="J37" i="6"/>
  <c r="AL36" i="6"/>
  <c r="AH36" i="6"/>
  <c r="AF36" i="6"/>
  <c r="AB36" i="6"/>
  <c r="R36" i="6"/>
  <c r="AJ36" i="6"/>
  <c r="Z36" i="6"/>
  <c r="X36" i="6"/>
  <c r="V36" i="6"/>
  <c r="L36" i="6"/>
  <c r="J36" i="6"/>
  <c r="P36" i="6"/>
  <c r="N36" i="6"/>
  <c r="AL35" i="6"/>
  <c r="AH35" i="6"/>
  <c r="AF35" i="6"/>
  <c r="AB35" i="6"/>
  <c r="R35" i="6"/>
  <c r="P35" i="6"/>
  <c r="AJ35" i="6"/>
  <c r="Z35" i="6"/>
  <c r="V35" i="6"/>
  <c r="X35" i="6"/>
  <c r="L35" i="6"/>
  <c r="J35" i="6"/>
  <c r="G35" i="6"/>
  <c r="AD35" i="6"/>
  <c r="AD41" i="6"/>
  <c r="AD37" i="6"/>
  <c r="AJ83" i="50" l="1"/>
  <c r="AO82" i="50"/>
  <c r="G26" i="3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AO83" i="50" l="1"/>
  <c r="AT82" i="50"/>
  <c r="AT83" i="50" s="1"/>
  <c r="N111" i="19" l="1"/>
  <c r="N110" i="19"/>
  <c r="N109" i="19"/>
  <c r="N95" i="19"/>
  <c r="N94" i="19"/>
  <c r="N84" i="19"/>
  <c r="N83" i="19"/>
  <c r="N82" i="19"/>
  <c r="N81" i="19"/>
  <c r="N67" i="19"/>
  <c r="N69" i="19"/>
  <c r="N68" i="19"/>
  <c r="N56" i="19"/>
  <c r="N55" i="19"/>
  <c r="N53" i="19"/>
  <c r="N40" i="19"/>
  <c r="N38" i="19"/>
  <c r="C1" i="51"/>
  <c r="C36" i="13" l="1"/>
  <c r="C35" i="13"/>
  <c r="C34" i="13"/>
  <c r="C33" i="13"/>
  <c r="C32" i="13"/>
  <c r="C31" i="13"/>
  <c r="C30" i="13"/>
  <c r="C29" i="13"/>
  <c r="C28" i="13"/>
  <c r="J23" i="13"/>
  <c r="J22" i="13"/>
  <c r="J21" i="13"/>
  <c r="J20" i="13"/>
  <c r="J19" i="13"/>
  <c r="J18" i="13"/>
  <c r="J17" i="13"/>
  <c r="J16" i="13"/>
  <c r="J15" i="13"/>
  <c r="D23" i="13"/>
  <c r="D22" i="13"/>
  <c r="D21" i="13"/>
  <c r="D20" i="13"/>
  <c r="D19" i="13"/>
  <c r="D18" i="13"/>
  <c r="D17" i="13"/>
  <c r="D16" i="13"/>
  <c r="D15" i="13"/>
  <c r="J11" i="13"/>
  <c r="J10" i="13"/>
  <c r="J9" i="13"/>
  <c r="J8" i="13"/>
  <c r="J7" i="13"/>
  <c r="J6" i="13"/>
  <c r="C11" i="13"/>
  <c r="C10" i="13"/>
  <c r="C9" i="13"/>
  <c r="C8" i="13"/>
  <c r="C7" i="13"/>
  <c r="C6" i="13"/>
  <c r="AH143" i="64"/>
  <c r="AG143" i="64"/>
  <c r="AF143" i="64"/>
  <c r="AE143" i="64"/>
  <c r="AD143" i="64"/>
  <c r="AC143" i="64"/>
  <c r="AB143" i="64"/>
  <c r="AH142" i="64"/>
  <c r="AG142" i="64"/>
  <c r="AF142" i="64"/>
  <c r="AE142" i="64"/>
  <c r="AD142" i="64"/>
  <c r="AC142" i="64"/>
  <c r="AB142" i="64"/>
  <c r="AA142" i="64"/>
  <c r="AA127" i="64"/>
  <c r="AH143" i="63"/>
  <c r="AG143" i="63"/>
  <c r="AF143" i="63"/>
  <c r="AE143" i="63"/>
  <c r="AD143" i="63"/>
  <c r="AC143" i="63"/>
  <c r="AB143" i="63"/>
  <c r="AH142" i="63"/>
  <c r="AG142" i="63"/>
  <c r="AF142" i="63"/>
  <c r="AE142" i="63"/>
  <c r="AD142" i="63"/>
  <c r="AC142" i="63"/>
  <c r="AB142" i="63"/>
  <c r="AA142" i="63"/>
  <c r="B10" i="40"/>
  <c r="B9" i="40"/>
  <c r="K47" i="56"/>
  <c r="I47" i="56"/>
  <c r="G47" i="56"/>
  <c r="E47" i="56"/>
  <c r="C47" i="56"/>
  <c r="AI3" i="56" s="1"/>
  <c r="B47" i="56"/>
  <c r="AL3" i="56"/>
  <c r="J112" i="25"/>
  <c r="B112" i="25"/>
  <c r="A112" i="25"/>
  <c r="J131" i="23"/>
  <c r="J127" i="23"/>
  <c r="M141" i="62"/>
  <c r="M140" i="62"/>
  <c r="M139" i="62"/>
  <c r="M138" i="62"/>
  <c r="M137" i="62"/>
  <c r="M142" i="62" s="1"/>
  <c r="M133" i="62"/>
  <c r="M132" i="62"/>
  <c r="M131" i="62"/>
  <c r="M130" i="62"/>
  <c r="M129" i="62"/>
  <c r="M134" i="62" s="1"/>
  <c r="M125" i="62"/>
  <c r="M124" i="62"/>
  <c r="M123" i="62"/>
  <c r="M122" i="62"/>
  <c r="M126" i="62" s="1"/>
  <c r="M121" i="62"/>
  <c r="M179" i="20"/>
  <c r="M178" i="20"/>
  <c r="M177" i="20"/>
  <c r="M182" i="20" s="1"/>
  <c r="M169" i="20"/>
  <c r="M174" i="20" s="1"/>
  <c r="M165" i="20"/>
  <c r="M164" i="20"/>
  <c r="M163" i="20"/>
  <c r="M162" i="20"/>
  <c r="M161" i="20"/>
  <c r="M166" i="20" s="1"/>
  <c r="M157" i="20"/>
  <c r="M156" i="20"/>
  <c r="M155" i="20"/>
  <c r="M158" i="20" s="1"/>
  <c r="M154" i="20"/>
  <c r="M153" i="20"/>
  <c r="M142" i="19"/>
  <c r="M141" i="19"/>
  <c r="M140" i="19"/>
  <c r="M139" i="19"/>
  <c r="M138" i="19"/>
  <c r="M137" i="19"/>
  <c r="M133" i="19"/>
  <c r="M132" i="19"/>
  <c r="M131" i="19"/>
  <c r="M130" i="19"/>
  <c r="M129" i="19"/>
  <c r="M134" i="19" s="1"/>
  <c r="M125" i="19"/>
  <c r="M124" i="19"/>
  <c r="M123" i="19"/>
  <c r="M122" i="19"/>
  <c r="M126" i="19" s="1"/>
  <c r="M121" i="19"/>
  <c r="I11" i="13" l="1"/>
  <c r="I10" i="13"/>
  <c r="U35" i="5" l="1"/>
  <c r="U34" i="5"/>
  <c r="U33" i="5"/>
  <c r="H8" i="6"/>
  <c r="D31" i="56" l="1"/>
  <c r="D32" i="56"/>
  <c r="D33" i="56"/>
  <c r="D34" i="56"/>
  <c r="D35" i="56"/>
  <c r="D36" i="56"/>
  <c r="D37" i="56"/>
  <c r="D38" i="56"/>
  <c r="D39" i="56"/>
  <c r="D40" i="56"/>
  <c r="D41" i="56"/>
  <c r="D42" i="56"/>
  <c r="D43" i="56"/>
  <c r="D44" i="56"/>
  <c r="D45" i="56"/>
  <c r="F31" i="56"/>
  <c r="F32" i="56"/>
  <c r="F33" i="56"/>
  <c r="F34" i="56"/>
  <c r="F35" i="56"/>
  <c r="F36" i="56"/>
  <c r="F37" i="56"/>
  <c r="F38" i="56"/>
  <c r="F39" i="56"/>
  <c r="F40" i="56"/>
  <c r="F41" i="56"/>
  <c r="F42" i="56"/>
  <c r="F43" i="56"/>
  <c r="F44" i="56"/>
  <c r="F45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J31" i="56"/>
  <c r="J32" i="56"/>
  <c r="J33" i="56"/>
  <c r="J34" i="56"/>
  <c r="J35" i="56"/>
  <c r="J36" i="56"/>
  <c r="J37" i="56"/>
  <c r="J38" i="56"/>
  <c r="J39" i="56"/>
  <c r="J40" i="56"/>
  <c r="J41" i="56"/>
  <c r="J42" i="56"/>
  <c r="J43" i="56"/>
  <c r="J44" i="56"/>
  <c r="J45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C42" i="41"/>
  <c r="M25" i="56" l="1"/>
  <c r="L24" i="56"/>
  <c r="L25" i="56"/>
  <c r="L26" i="56"/>
  <c r="L27" i="56"/>
  <c r="L28" i="56"/>
  <c r="L29" i="56"/>
  <c r="L30" i="56"/>
  <c r="J24" i="56"/>
  <c r="J25" i="56"/>
  <c r="J26" i="56"/>
  <c r="J27" i="56"/>
  <c r="J28" i="56"/>
  <c r="J29" i="56"/>
  <c r="J30" i="56"/>
  <c r="H24" i="56"/>
  <c r="H25" i="56"/>
  <c r="H26" i="56"/>
  <c r="H27" i="56"/>
  <c r="H28" i="56"/>
  <c r="H29" i="56"/>
  <c r="H30" i="56"/>
  <c r="F24" i="56"/>
  <c r="F25" i="56"/>
  <c r="F26" i="56"/>
  <c r="F27" i="56"/>
  <c r="F28" i="56"/>
  <c r="F29" i="56"/>
  <c r="F30" i="56"/>
  <c r="D25" i="56"/>
  <c r="D26" i="56"/>
  <c r="D27" i="56"/>
  <c r="D28" i="56"/>
  <c r="D29" i="56"/>
  <c r="D30" i="56"/>
  <c r="J86" i="25" l="1"/>
  <c r="J100" i="24"/>
  <c r="J99" i="24"/>
  <c r="J97" i="24"/>
  <c r="J105" i="23"/>
  <c r="J104" i="23"/>
  <c r="J103" i="23"/>
  <c r="J102" i="23"/>
  <c r="J101" i="23"/>
  <c r="J100" i="23"/>
  <c r="J99" i="23"/>
  <c r="J98" i="23"/>
  <c r="J97" i="23"/>
  <c r="J94" i="23"/>
  <c r="J93" i="23"/>
  <c r="J92" i="23"/>
  <c r="J91" i="23"/>
  <c r="J90" i="23"/>
  <c r="J89" i="23"/>
  <c r="J88" i="23"/>
  <c r="J87" i="23"/>
  <c r="J86" i="23"/>
  <c r="J100" i="22"/>
  <c r="J98" i="22"/>
  <c r="J97" i="22"/>
  <c r="J87" i="22"/>
  <c r="J86" i="22"/>
  <c r="J101" i="15"/>
  <c r="J100" i="15"/>
  <c r="J99" i="15"/>
  <c r="J98" i="15"/>
  <c r="J97" i="15"/>
  <c r="J95" i="15"/>
  <c r="J94" i="15"/>
  <c r="J93" i="15"/>
  <c r="J92" i="15"/>
  <c r="J91" i="15"/>
  <c r="J88" i="15"/>
  <c r="J87" i="15"/>
  <c r="J86" i="15"/>
  <c r="C1" i="50"/>
  <c r="C1" i="52"/>
  <c r="AW67" i="52"/>
  <c r="AR67" i="52"/>
  <c r="AM67" i="52"/>
  <c r="AH67" i="52"/>
  <c r="AC67" i="52"/>
  <c r="X67" i="52"/>
  <c r="S67" i="52"/>
  <c r="M67" i="52"/>
  <c r="AV67" i="52"/>
  <c r="AX67" i="52" s="1"/>
  <c r="AQ67" i="52"/>
  <c r="AL67" i="52"/>
  <c r="AN67" i="52" s="1"/>
  <c r="AG67" i="52"/>
  <c r="AI67" i="52" s="1"/>
  <c r="AB67" i="52"/>
  <c r="AD67" i="52" s="1"/>
  <c r="W67" i="52"/>
  <c r="Y67" i="52" s="1"/>
  <c r="T67" i="52"/>
  <c r="R67" i="52"/>
  <c r="J67" i="52"/>
  <c r="I67" i="52"/>
  <c r="G67" i="52"/>
  <c r="H67" i="52" s="1"/>
  <c r="AW70" i="51"/>
  <c r="AW69" i="51"/>
  <c r="AW68" i="51"/>
  <c r="AW67" i="51"/>
  <c r="AR70" i="51"/>
  <c r="AR69" i="51"/>
  <c r="AR68" i="51"/>
  <c r="AR67" i="51"/>
  <c r="AM70" i="51"/>
  <c r="AM69" i="51"/>
  <c r="AM68" i="51"/>
  <c r="AM67" i="51"/>
  <c r="AH70" i="51"/>
  <c r="AH69" i="51"/>
  <c r="AH68" i="51"/>
  <c r="AH67" i="51"/>
  <c r="AC70" i="51"/>
  <c r="AC69" i="51"/>
  <c r="AC68" i="51"/>
  <c r="AC67" i="51"/>
  <c r="X70" i="51"/>
  <c r="X69" i="51"/>
  <c r="X68" i="51"/>
  <c r="X67" i="51"/>
  <c r="S68" i="51"/>
  <c r="S69" i="51"/>
  <c r="S70" i="51"/>
  <c r="S67" i="51"/>
  <c r="M68" i="51"/>
  <c r="M69" i="51"/>
  <c r="M70" i="51"/>
  <c r="M67" i="51"/>
  <c r="AV70" i="51"/>
  <c r="AQ70" i="51"/>
  <c r="AL70" i="51"/>
  <c r="AG70" i="51"/>
  <c r="AB70" i="51"/>
  <c r="W70" i="51"/>
  <c r="R70" i="51"/>
  <c r="K70" i="51"/>
  <c r="J70" i="51"/>
  <c r="I70" i="51"/>
  <c r="G70" i="51"/>
  <c r="AV69" i="51"/>
  <c r="AQ69" i="51"/>
  <c r="AL69" i="51"/>
  <c r="AG69" i="51"/>
  <c r="AB69" i="51"/>
  <c r="W69" i="51"/>
  <c r="R69" i="51"/>
  <c r="K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V67" i="51"/>
  <c r="AX67" i="51" s="1"/>
  <c r="AQ67" i="51"/>
  <c r="AS67" i="51" s="1"/>
  <c r="AL67" i="51"/>
  <c r="AN67" i="51" s="1"/>
  <c r="AG67" i="51"/>
  <c r="AB67" i="51"/>
  <c r="AD67" i="51" s="1"/>
  <c r="W67" i="51"/>
  <c r="Y67" i="51" s="1"/>
  <c r="R67" i="51"/>
  <c r="K67" i="51" s="1"/>
  <c r="J67" i="51"/>
  <c r="I67" i="51"/>
  <c r="G67" i="51"/>
  <c r="H67" i="51" s="1"/>
  <c r="C1" i="49"/>
  <c r="L67" i="49"/>
  <c r="AW75" i="49"/>
  <c r="AW74" i="49"/>
  <c r="AW73" i="49"/>
  <c r="AW72" i="49"/>
  <c r="AW71" i="49"/>
  <c r="AW70" i="49"/>
  <c r="AW69" i="49"/>
  <c r="AW68" i="49"/>
  <c r="AW67" i="49"/>
  <c r="AR75" i="49"/>
  <c r="AR74" i="49"/>
  <c r="AR73" i="49"/>
  <c r="AR72" i="49"/>
  <c r="AR71" i="49"/>
  <c r="AR70" i="49"/>
  <c r="AR69" i="49"/>
  <c r="AR68" i="49"/>
  <c r="AR67" i="49"/>
  <c r="AM75" i="49"/>
  <c r="AM74" i="49"/>
  <c r="AM73" i="49"/>
  <c r="AM72" i="49"/>
  <c r="AM71" i="49"/>
  <c r="AM70" i="49"/>
  <c r="AM69" i="49"/>
  <c r="AM68" i="49"/>
  <c r="AM67" i="49"/>
  <c r="AH75" i="49"/>
  <c r="AH74" i="49"/>
  <c r="AH73" i="49"/>
  <c r="AH72" i="49"/>
  <c r="AH71" i="49"/>
  <c r="AH70" i="49"/>
  <c r="AH69" i="49"/>
  <c r="AH68" i="49"/>
  <c r="AH67" i="49"/>
  <c r="AC75" i="49"/>
  <c r="AC74" i="49"/>
  <c r="AC73" i="49"/>
  <c r="AC72" i="49"/>
  <c r="AC71" i="49"/>
  <c r="AC70" i="49"/>
  <c r="AC69" i="49"/>
  <c r="AC68" i="49"/>
  <c r="AC67" i="49"/>
  <c r="X75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67" i="49"/>
  <c r="M68" i="49"/>
  <c r="M69" i="49"/>
  <c r="M70" i="49"/>
  <c r="M71" i="49"/>
  <c r="M72" i="49"/>
  <c r="M73" i="49"/>
  <c r="M74" i="49"/>
  <c r="M75" i="49"/>
  <c r="M67" i="49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K74" i="49"/>
  <c r="J74" i="49"/>
  <c r="I74" i="49"/>
  <c r="G74" i="49"/>
  <c r="AV73" i="49"/>
  <c r="K73" i="49" s="1"/>
  <c r="AQ73" i="49"/>
  <c r="AL73" i="49"/>
  <c r="AG73" i="49"/>
  <c r="AB73" i="49"/>
  <c r="AD67" i="49" s="1"/>
  <c r="W73" i="49"/>
  <c r="R73" i="49"/>
  <c r="J73" i="49"/>
  <c r="I73" i="49"/>
  <c r="G73" i="49"/>
  <c r="AV72" i="49"/>
  <c r="K72" i="49" s="1"/>
  <c r="AQ72" i="49"/>
  <c r="AL72" i="49"/>
  <c r="AG72" i="49"/>
  <c r="AB72" i="49"/>
  <c r="W72" i="49"/>
  <c r="R72" i="49"/>
  <c r="J72" i="49"/>
  <c r="I72" i="49"/>
  <c r="G72" i="49"/>
  <c r="AV71" i="49"/>
  <c r="AQ71" i="49"/>
  <c r="K71" i="49" s="1"/>
  <c r="AL71" i="49"/>
  <c r="AG71" i="49"/>
  <c r="AB71" i="49"/>
  <c r="W71" i="49"/>
  <c r="R71" i="49"/>
  <c r="J71" i="49"/>
  <c r="I71" i="49"/>
  <c r="G71" i="49"/>
  <c r="AV70" i="49"/>
  <c r="AQ70" i="49"/>
  <c r="K70" i="49" s="1"/>
  <c r="AL70" i="49"/>
  <c r="AG70" i="49"/>
  <c r="AB70" i="49"/>
  <c r="W70" i="49"/>
  <c r="R70" i="49"/>
  <c r="J70" i="49"/>
  <c r="I70" i="49"/>
  <c r="G70" i="49"/>
  <c r="AV69" i="49"/>
  <c r="AQ69" i="49"/>
  <c r="AL69" i="49"/>
  <c r="K69" i="49" s="1"/>
  <c r="AG69" i="49"/>
  <c r="AB69" i="49"/>
  <c r="W69" i="49"/>
  <c r="R69" i="49"/>
  <c r="J69" i="49"/>
  <c r="I69" i="49"/>
  <c r="G69" i="49"/>
  <c r="AV68" i="49"/>
  <c r="AQ68" i="49"/>
  <c r="AL68" i="49"/>
  <c r="AN67" i="49" s="1"/>
  <c r="AG68" i="49"/>
  <c r="AB68" i="49"/>
  <c r="W68" i="49"/>
  <c r="R68" i="49"/>
  <c r="J68" i="49"/>
  <c r="I68" i="49"/>
  <c r="G68" i="49"/>
  <c r="AV67" i="49"/>
  <c r="AQ67" i="49"/>
  <c r="AS67" i="49" s="1"/>
  <c r="AL67" i="49"/>
  <c r="AG67" i="49"/>
  <c r="AB67" i="49"/>
  <c r="W67" i="49"/>
  <c r="Y67" i="49" s="1"/>
  <c r="R67" i="49"/>
  <c r="T67" i="49" s="1"/>
  <c r="J67" i="49"/>
  <c r="I67" i="49"/>
  <c r="G67" i="49"/>
  <c r="H67" i="49" s="1"/>
  <c r="C1" i="47"/>
  <c r="C1" i="48"/>
  <c r="AW75" i="48"/>
  <c r="AW74" i="48"/>
  <c r="AW73" i="48"/>
  <c r="AW72" i="48"/>
  <c r="AW70" i="48"/>
  <c r="AW69" i="48"/>
  <c r="AW68" i="48"/>
  <c r="AW67" i="48"/>
  <c r="AR75" i="48"/>
  <c r="AR74" i="48"/>
  <c r="AR73" i="48"/>
  <c r="AR72" i="48"/>
  <c r="AR70" i="48"/>
  <c r="AR69" i="48"/>
  <c r="AR68" i="48"/>
  <c r="AR67" i="48"/>
  <c r="AM75" i="48"/>
  <c r="AM74" i="48"/>
  <c r="AM73" i="48"/>
  <c r="AM72" i="48"/>
  <c r="AM70" i="48"/>
  <c r="AM69" i="48"/>
  <c r="AM68" i="48"/>
  <c r="AM67" i="48"/>
  <c r="AH75" i="48"/>
  <c r="AH74" i="48"/>
  <c r="AH73" i="48"/>
  <c r="AH72" i="48"/>
  <c r="AH70" i="48"/>
  <c r="AH69" i="48"/>
  <c r="AH68" i="48"/>
  <c r="AH67" i="48"/>
  <c r="AC75" i="48"/>
  <c r="AC74" i="48"/>
  <c r="AC73" i="48"/>
  <c r="AC72" i="48"/>
  <c r="AC71" i="48"/>
  <c r="AC70" i="48"/>
  <c r="AC69" i="48"/>
  <c r="AC68" i="48"/>
  <c r="AC67" i="48"/>
  <c r="X75" i="48"/>
  <c r="X74" i="48"/>
  <c r="X73" i="48"/>
  <c r="X72" i="48"/>
  <c r="X71" i="48"/>
  <c r="X70" i="48"/>
  <c r="X69" i="48"/>
  <c r="X68" i="48"/>
  <c r="X67" i="48"/>
  <c r="S68" i="48"/>
  <c r="S69" i="48"/>
  <c r="S70" i="48"/>
  <c r="S71" i="48"/>
  <c r="S72" i="48"/>
  <c r="S73" i="48"/>
  <c r="S74" i="48"/>
  <c r="S75" i="48"/>
  <c r="S67" i="48"/>
  <c r="M68" i="48"/>
  <c r="M69" i="48"/>
  <c r="M70" i="48"/>
  <c r="M71" i="48"/>
  <c r="M72" i="48"/>
  <c r="M73" i="48"/>
  <c r="M74" i="48"/>
  <c r="M75" i="48"/>
  <c r="M67" i="48"/>
  <c r="AV75" i="48"/>
  <c r="AQ75" i="48"/>
  <c r="AL75" i="48"/>
  <c r="AG75" i="48"/>
  <c r="AB75" i="48"/>
  <c r="W75" i="48"/>
  <c r="R75" i="48"/>
  <c r="K75" i="48"/>
  <c r="J75" i="48"/>
  <c r="I75" i="48"/>
  <c r="G75" i="48"/>
  <c r="AV74" i="48"/>
  <c r="AQ74" i="48"/>
  <c r="AL74" i="48"/>
  <c r="AG74" i="48"/>
  <c r="AB74" i="48"/>
  <c r="W74" i="48"/>
  <c r="R74" i="48"/>
  <c r="K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X67" i="48" s="1"/>
  <c r="AQ72" i="48"/>
  <c r="AL72" i="48"/>
  <c r="AG72" i="48"/>
  <c r="AB72" i="48"/>
  <c r="W72" i="48"/>
  <c r="R72" i="48"/>
  <c r="J72" i="48"/>
  <c r="I72" i="48"/>
  <c r="G72" i="48"/>
  <c r="AB71" i="48"/>
  <c r="W71" i="48"/>
  <c r="K71" i="48" s="1"/>
  <c r="R71" i="48"/>
  <c r="J71" i="48"/>
  <c r="I71" i="48"/>
  <c r="G71" i="48"/>
  <c r="AV70" i="48"/>
  <c r="AQ70" i="48"/>
  <c r="AL70" i="48"/>
  <c r="AG70" i="48"/>
  <c r="AB70" i="48"/>
  <c r="W70" i="48"/>
  <c r="K70" i="48" s="1"/>
  <c r="R70" i="48"/>
  <c r="J70" i="48"/>
  <c r="I70" i="48"/>
  <c r="G70" i="48"/>
  <c r="AV69" i="48"/>
  <c r="AQ69" i="48"/>
  <c r="AL69" i="48"/>
  <c r="AG69" i="48"/>
  <c r="AB69" i="48"/>
  <c r="W69" i="48"/>
  <c r="R69" i="48"/>
  <c r="K69" i="48" s="1"/>
  <c r="J69" i="48"/>
  <c r="I69" i="48"/>
  <c r="G69" i="48"/>
  <c r="AV68" i="48"/>
  <c r="AQ68" i="48"/>
  <c r="AL68" i="48"/>
  <c r="AG68" i="48"/>
  <c r="AB68" i="48"/>
  <c r="W68" i="48"/>
  <c r="R68" i="48"/>
  <c r="K68" i="48" s="1"/>
  <c r="J68" i="48"/>
  <c r="I68" i="48"/>
  <c r="G68" i="48"/>
  <c r="AV67" i="48"/>
  <c r="AQ67" i="48"/>
  <c r="AS67" i="48" s="1"/>
  <c r="AL67" i="48"/>
  <c r="AG67" i="48"/>
  <c r="AI67" i="48" s="1"/>
  <c r="AB67" i="48"/>
  <c r="W67" i="48"/>
  <c r="R67" i="48"/>
  <c r="J67" i="48"/>
  <c r="I67" i="48"/>
  <c r="G67" i="48"/>
  <c r="H67" i="48" s="1"/>
  <c r="AW70" i="47"/>
  <c r="AW69" i="47"/>
  <c r="AW68" i="47"/>
  <c r="AW67" i="47"/>
  <c r="AR70" i="47"/>
  <c r="AR69" i="47"/>
  <c r="AR68" i="47"/>
  <c r="AR67" i="47"/>
  <c r="AM70" i="47"/>
  <c r="AM69" i="47"/>
  <c r="AM68" i="47"/>
  <c r="AM67" i="47"/>
  <c r="AH70" i="47"/>
  <c r="AH69" i="47"/>
  <c r="AH68" i="47"/>
  <c r="AH67" i="47"/>
  <c r="AC70" i="47"/>
  <c r="AC69" i="47"/>
  <c r="AC68" i="47"/>
  <c r="AC67" i="47"/>
  <c r="X70" i="47"/>
  <c r="X69" i="47"/>
  <c r="X68" i="47"/>
  <c r="X67" i="47"/>
  <c r="S68" i="47"/>
  <c r="S69" i="47"/>
  <c r="S70" i="47"/>
  <c r="S67" i="47"/>
  <c r="M68" i="47"/>
  <c r="M69" i="47"/>
  <c r="M70" i="47"/>
  <c r="M67" i="47"/>
  <c r="AV70" i="47"/>
  <c r="AQ70" i="47"/>
  <c r="AL70" i="47"/>
  <c r="AG70" i="47"/>
  <c r="AB70" i="47"/>
  <c r="W70" i="47"/>
  <c r="R70" i="47"/>
  <c r="K70" i="47"/>
  <c r="J70" i="47"/>
  <c r="I70" i="47"/>
  <c r="G70" i="47"/>
  <c r="AV69" i="47"/>
  <c r="AQ69" i="47"/>
  <c r="AL69" i="47"/>
  <c r="AG69" i="47"/>
  <c r="AB69" i="47"/>
  <c r="W69" i="47"/>
  <c r="R69" i="47"/>
  <c r="J69" i="47"/>
  <c r="I69" i="47"/>
  <c r="G69" i="47"/>
  <c r="AV68" i="47"/>
  <c r="AQ68" i="47"/>
  <c r="AL68" i="47"/>
  <c r="AG68" i="47"/>
  <c r="AB68" i="47"/>
  <c r="W68" i="47"/>
  <c r="R68" i="47"/>
  <c r="J68" i="47"/>
  <c r="I68" i="47"/>
  <c r="G68" i="47"/>
  <c r="AV67" i="47"/>
  <c r="AX67" i="47" s="1"/>
  <c r="AQ67" i="47"/>
  <c r="AS67" i="47" s="1"/>
  <c r="AL67" i="47"/>
  <c r="AN67" i="47" s="1"/>
  <c r="AG67" i="47"/>
  <c r="AB67" i="47"/>
  <c r="AD67" i="47" s="1"/>
  <c r="W67" i="47"/>
  <c r="Y67" i="47" s="1"/>
  <c r="R67" i="47"/>
  <c r="K67" i="47" s="1"/>
  <c r="J67" i="47"/>
  <c r="I67" i="47"/>
  <c r="G67" i="47"/>
  <c r="H67" i="47" s="1"/>
  <c r="C1" i="46"/>
  <c r="AW68" i="46"/>
  <c r="AW67" i="46"/>
  <c r="AR68" i="46"/>
  <c r="AR67" i="46"/>
  <c r="AM68" i="46"/>
  <c r="AM67" i="46"/>
  <c r="AH68" i="46"/>
  <c r="AH67" i="46"/>
  <c r="AC68" i="46"/>
  <c r="AC67" i="46"/>
  <c r="X68" i="46"/>
  <c r="X67" i="46"/>
  <c r="S68" i="46"/>
  <c r="S67" i="46"/>
  <c r="M68" i="46"/>
  <c r="M67" i="46"/>
  <c r="AV68" i="46"/>
  <c r="AQ68" i="46"/>
  <c r="AL68" i="46"/>
  <c r="AG68" i="46"/>
  <c r="AB68" i="46"/>
  <c r="W68" i="46"/>
  <c r="R68" i="46"/>
  <c r="K68" i="46"/>
  <c r="J68" i="46"/>
  <c r="I68" i="46"/>
  <c r="G68" i="46"/>
  <c r="AX67" i="46"/>
  <c r="AV67" i="46"/>
  <c r="AQ67" i="46"/>
  <c r="AS67" i="46" s="1"/>
  <c r="AL67" i="46"/>
  <c r="AN67" i="46" s="1"/>
  <c r="AG67" i="46"/>
  <c r="AB67" i="46"/>
  <c r="W67" i="46"/>
  <c r="Y67" i="46" s="1"/>
  <c r="R67" i="46"/>
  <c r="K67" i="46" s="1"/>
  <c r="J67" i="46"/>
  <c r="I67" i="46"/>
  <c r="G67" i="46"/>
  <c r="H67" i="46" s="1"/>
  <c r="AW71" i="45"/>
  <c r="AW70" i="45"/>
  <c r="AW69" i="45"/>
  <c r="AW68" i="45"/>
  <c r="AW67" i="45"/>
  <c r="AR71" i="45"/>
  <c r="AR70" i="45"/>
  <c r="AR69" i="45"/>
  <c r="AR68" i="45"/>
  <c r="AR67" i="45"/>
  <c r="AM71" i="45"/>
  <c r="AM70" i="45"/>
  <c r="AM69" i="45"/>
  <c r="AM68" i="45"/>
  <c r="AM67" i="45"/>
  <c r="AH71" i="45"/>
  <c r="AH70" i="45"/>
  <c r="AH69" i="45"/>
  <c r="AH68" i="45"/>
  <c r="AH67" i="45"/>
  <c r="AC71" i="45"/>
  <c r="AC70" i="45"/>
  <c r="AC69" i="45"/>
  <c r="AC68" i="45"/>
  <c r="AC67" i="45"/>
  <c r="X71" i="45"/>
  <c r="X70" i="45"/>
  <c r="X69" i="45"/>
  <c r="X68" i="45"/>
  <c r="X67" i="45"/>
  <c r="S68" i="45"/>
  <c r="S69" i="45"/>
  <c r="S70" i="45"/>
  <c r="S71" i="45"/>
  <c r="S67" i="45"/>
  <c r="C1" i="45"/>
  <c r="M68" i="45"/>
  <c r="M69" i="45"/>
  <c r="M70" i="45"/>
  <c r="M71" i="45"/>
  <c r="M67" i="45"/>
  <c r="AV71" i="45"/>
  <c r="AQ71" i="45"/>
  <c r="AL71" i="45"/>
  <c r="AG71" i="45"/>
  <c r="AB71" i="45"/>
  <c r="W71" i="45"/>
  <c r="R71" i="45"/>
  <c r="K71" i="45"/>
  <c r="J71" i="45"/>
  <c r="I71" i="45"/>
  <c r="G71" i="45"/>
  <c r="AV70" i="45"/>
  <c r="AQ70" i="45"/>
  <c r="AL70" i="45"/>
  <c r="AG70" i="45"/>
  <c r="AB70" i="45"/>
  <c r="W70" i="45"/>
  <c r="R70" i="45"/>
  <c r="K70" i="45"/>
  <c r="J70" i="45"/>
  <c r="I70" i="45"/>
  <c r="G70" i="45"/>
  <c r="AV69" i="45"/>
  <c r="K69" i="45" s="1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X67" i="45" s="1"/>
  <c r="AS67" i="45"/>
  <c r="AQ67" i="45"/>
  <c r="AL67" i="45"/>
  <c r="AN67" i="45" s="1"/>
  <c r="AI67" i="45"/>
  <c r="AG67" i="45"/>
  <c r="AB67" i="45"/>
  <c r="AD67" i="45" s="1"/>
  <c r="W67" i="45"/>
  <c r="R67" i="45"/>
  <c r="T67" i="45" s="1"/>
  <c r="K67" i="45"/>
  <c r="J67" i="45"/>
  <c r="I67" i="45"/>
  <c r="G67" i="45"/>
  <c r="H67" i="45" s="1"/>
  <c r="C1" i="44"/>
  <c r="AW156" i="44"/>
  <c r="AW155" i="44"/>
  <c r="AW154" i="44"/>
  <c r="AW153" i="44"/>
  <c r="AW152" i="44"/>
  <c r="AW151" i="44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6" i="44"/>
  <c r="AW135" i="44"/>
  <c r="AW134" i="44"/>
  <c r="AW133" i="44"/>
  <c r="AW132" i="44"/>
  <c r="AW131" i="44"/>
  <c r="AW130" i="44"/>
  <c r="AW129" i="44"/>
  <c r="AW128" i="44"/>
  <c r="AW127" i="44"/>
  <c r="AW126" i="44"/>
  <c r="AW125" i="44"/>
  <c r="AW124" i="44"/>
  <c r="AW123" i="44"/>
  <c r="AR156" i="44"/>
  <c r="AR155" i="44"/>
  <c r="AR154" i="44"/>
  <c r="AR153" i="44"/>
  <c r="AR152" i="44"/>
  <c r="AR151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R132" i="44"/>
  <c r="AR131" i="44"/>
  <c r="AR130" i="44"/>
  <c r="AR129" i="44"/>
  <c r="AR128" i="44"/>
  <c r="AR127" i="44"/>
  <c r="AR126" i="44"/>
  <c r="AR125" i="44"/>
  <c r="AR124" i="44"/>
  <c r="AR123" i="44"/>
  <c r="AM152" i="44"/>
  <c r="AM153" i="44"/>
  <c r="AM154" i="44"/>
  <c r="AM155" i="44"/>
  <c r="AM156" i="44"/>
  <c r="AM151" i="44"/>
  <c r="AM124" i="44"/>
  <c r="AM125" i="44"/>
  <c r="AM126" i="44"/>
  <c r="AM127" i="44"/>
  <c r="AM128" i="44"/>
  <c r="AM129" i="44"/>
  <c r="AM130" i="44"/>
  <c r="AM131" i="44"/>
  <c r="AM132" i="44"/>
  <c r="AM133" i="44"/>
  <c r="AM134" i="44"/>
  <c r="AM135" i="44"/>
  <c r="AM136" i="44"/>
  <c r="AM137" i="44"/>
  <c r="AM138" i="44"/>
  <c r="AM139" i="44"/>
  <c r="AM140" i="44"/>
  <c r="AM141" i="44"/>
  <c r="AM142" i="44"/>
  <c r="AM143" i="44"/>
  <c r="AM144" i="44"/>
  <c r="AM145" i="44"/>
  <c r="AM146" i="44"/>
  <c r="AM147" i="44"/>
  <c r="AM148" i="44"/>
  <c r="AM149" i="44"/>
  <c r="AM123" i="44"/>
  <c r="AI123" i="44"/>
  <c r="AH156" i="44"/>
  <c r="AH155" i="44"/>
  <c r="AH154" i="44"/>
  <c r="AH153" i="44"/>
  <c r="AH152" i="44"/>
  <c r="AH151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H132" i="44"/>
  <c r="AH131" i="44"/>
  <c r="AH130" i="44"/>
  <c r="AH129" i="44"/>
  <c r="AH128" i="44"/>
  <c r="AH127" i="44"/>
  <c r="AH126" i="44"/>
  <c r="AH125" i="44"/>
  <c r="AH124" i="44"/>
  <c r="AH123" i="44"/>
  <c r="AC156" i="44"/>
  <c r="AC155" i="44"/>
  <c r="AC154" i="44"/>
  <c r="AC153" i="44"/>
  <c r="AC152" i="44"/>
  <c r="AC151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AC132" i="44"/>
  <c r="AC131" i="44"/>
  <c r="AC130" i="44"/>
  <c r="AC129" i="44"/>
  <c r="AC128" i="44"/>
  <c r="AC127" i="44"/>
  <c r="AC126" i="44"/>
  <c r="AC125" i="44"/>
  <c r="AC124" i="44"/>
  <c r="AC123" i="44"/>
  <c r="X156" i="44"/>
  <c r="X155" i="44"/>
  <c r="X154" i="44"/>
  <c r="X153" i="44"/>
  <c r="X152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X126" i="44"/>
  <c r="X125" i="44"/>
  <c r="X124" i="44"/>
  <c r="X123" i="44"/>
  <c r="S124" i="44"/>
  <c r="S125" i="44"/>
  <c r="S126" i="44"/>
  <c r="S127" i="44"/>
  <c r="S128" i="44"/>
  <c r="S129" i="44"/>
  <c r="S130" i="44"/>
  <c r="S131" i="44"/>
  <c r="S132" i="44"/>
  <c r="S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52" i="44"/>
  <c r="S153" i="44"/>
  <c r="S154" i="44"/>
  <c r="S155" i="44"/>
  <c r="S156" i="44"/>
  <c r="S123" i="44"/>
  <c r="M124" i="44"/>
  <c r="M125" i="44"/>
  <c r="M126" i="44"/>
  <c r="M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52" i="44"/>
  <c r="M153" i="44"/>
  <c r="M154" i="44"/>
  <c r="M155" i="44"/>
  <c r="M156" i="44"/>
  <c r="M123" i="44"/>
  <c r="AV156" i="44"/>
  <c r="AQ156" i="44"/>
  <c r="AL156" i="44"/>
  <c r="AG156" i="44"/>
  <c r="AB156" i="44"/>
  <c r="W156" i="44"/>
  <c r="R156" i="44"/>
  <c r="K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K151" i="44"/>
  <c r="J151" i="44"/>
  <c r="I151" i="44"/>
  <c r="G151" i="44"/>
  <c r="W150" i="44"/>
  <c r="R150" i="44"/>
  <c r="K150" i="44" s="1"/>
  <c r="J150" i="44"/>
  <c r="I150" i="44"/>
  <c r="G150" i="44"/>
  <c r="AV149" i="44"/>
  <c r="AQ149" i="44"/>
  <c r="AL149" i="44"/>
  <c r="AG149" i="44"/>
  <c r="AB149" i="44"/>
  <c r="W149" i="44"/>
  <c r="R149" i="44"/>
  <c r="K149" i="44"/>
  <c r="J149" i="44"/>
  <c r="I149" i="44"/>
  <c r="G149" i="44"/>
  <c r="AV148" i="44"/>
  <c r="AQ148" i="44"/>
  <c r="AL148" i="44"/>
  <c r="AG148" i="44"/>
  <c r="AB148" i="44"/>
  <c r="W148" i="44"/>
  <c r="R148" i="44"/>
  <c r="K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V146" i="44"/>
  <c r="AQ146" i="44"/>
  <c r="AL146" i="44"/>
  <c r="AG146" i="44"/>
  <c r="AB146" i="44"/>
  <c r="W146" i="44"/>
  <c r="R146" i="44"/>
  <c r="K146" i="44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AG144" i="44"/>
  <c r="AB144" i="44"/>
  <c r="W144" i="44"/>
  <c r="R144" i="44"/>
  <c r="J144" i="44"/>
  <c r="I144" i="44"/>
  <c r="G144" i="44"/>
  <c r="AV143" i="44"/>
  <c r="AQ143" i="44"/>
  <c r="AL143" i="44"/>
  <c r="AG143" i="44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J142" i="44"/>
  <c r="I142" i="44"/>
  <c r="G142" i="44"/>
  <c r="AV141" i="44"/>
  <c r="AQ141" i="44"/>
  <c r="AL141" i="44"/>
  <c r="AG141" i="44"/>
  <c r="AB141" i="44"/>
  <c r="W141" i="44"/>
  <c r="R141" i="44"/>
  <c r="K141" i="44"/>
  <c r="J141" i="44"/>
  <c r="I141" i="44"/>
  <c r="G141" i="44"/>
  <c r="AV140" i="44"/>
  <c r="AQ140" i="44"/>
  <c r="AL140" i="44"/>
  <c r="K140" i="44" s="1"/>
  <c r="AG140" i="44"/>
  <c r="AB140" i="44"/>
  <c r="W140" i="44"/>
  <c r="R140" i="44"/>
  <c r="J140" i="44"/>
  <c r="I140" i="44"/>
  <c r="G140" i="44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K138" i="44" s="1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K135" i="44" s="1"/>
  <c r="W135" i="44"/>
  <c r="R135" i="44"/>
  <c r="J135" i="44"/>
  <c r="I135" i="44"/>
  <c r="G135" i="44"/>
  <c r="AV134" i="44"/>
  <c r="AQ134" i="44"/>
  <c r="AL134" i="44"/>
  <c r="AG134" i="44"/>
  <c r="AB134" i="44"/>
  <c r="W134" i="44"/>
  <c r="K134" i="44" s="1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K132" i="44" s="1"/>
  <c r="J132" i="44"/>
  <c r="I132" i="44"/>
  <c r="G132" i="44"/>
  <c r="AV131" i="44"/>
  <c r="AQ131" i="44"/>
  <c r="AL131" i="44"/>
  <c r="AG131" i="44"/>
  <c r="AB131" i="44"/>
  <c r="W131" i="44"/>
  <c r="R131" i="44"/>
  <c r="K131" i="44" s="1"/>
  <c r="J131" i="44"/>
  <c r="I131" i="44"/>
  <c r="G131" i="44"/>
  <c r="AV130" i="44"/>
  <c r="AQ130" i="44"/>
  <c r="AL130" i="44"/>
  <c r="AG130" i="44"/>
  <c r="AB130" i="44"/>
  <c r="W130" i="44"/>
  <c r="R130" i="44"/>
  <c r="K130" i="44"/>
  <c r="J130" i="44"/>
  <c r="I130" i="44"/>
  <c r="G130" i="44"/>
  <c r="AV129" i="44"/>
  <c r="AQ129" i="44"/>
  <c r="AL129" i="44"/>
  <c r="AG129" i="44"/>
  <c r="AB129" i="44"/>
  <c r="W129" i="44"/>
  <c r="R129" i="44"/>
  <c r="K129" i="44" s="1"/>
  <c r="J129" i="44"/>
  <c r="I129" i="44"/>
  <c r="G129" i="44"/>
  <c r="AV128" i="44"/>
  <c r="AQ128" i="44"/>
  <c r="AL128" i="44"/>
  <c r="AG128" i="44"/>
  <c r="AB128" i="44"/>
  <c r="W128" i="44"/>
  <c r="R128" i="44"/>
  <c r="K128" i="44"/>
  <c r="J128" i="44"/>
  <c r="I128" i="44"/>
  <c r="G128" i="44"/>
  <c r="AV127" i="44"/>
  <c r="AQ127" i="44"/>
  <c r="AL127" i="44"/>
  <c r="AG127" i="44"/>
  <c r="AB127" i="44"/>
  <c r="W127" i="44"/>
  <c r="R127" i="44"/>
  <c r="K127" i="44"/>
  <c r="J127" i="44"/>
  <c r="I127" i="44"/>
  <c r="G127" i="44"/>
  <c r="AV126" i="44"/>
  <c r="AQ126" i="44"/>
  <c r="AL126" i="44"/>
  <c r="AG126" i="44"/>
  <c r="AB126" i="44"/>
  <c r="W126" i="44"/>
  <c r="R126" i="44"/>
  <c r="K126" i="44"/>
  <c r="J126" i="44"/>
  <c r="I126" i="44"/>
  <c r="G126" i="44"/>
  <c r="AV125" i="44"/>
  <c r="AQ125" i="44"/>
  <c r="AL125" i="44"/>
  <c r="AG125" i="44"/>
  <c r="AB125" i="44"/>
  <c r="W125" i="44"/>
  <c r="R125" i="44"/>
  <c r="K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B28" i="6"/>
  <c r="AC34" i="6"/>
  <c r="S34" i="6"/>
  <c r="M34" i="6"/>
  <c r="AC33" i="6"/>
  <c r="S33" i="6"/>
  <c r="F33" i="6" s="1"/>
  <c r="M33" i="6"/>
  <c r="N33" i="6" s="1"/>
  <c r="AC32" i="6"/>
  <c r="S32" i="6"/>
  <c r="F32" i="6" s="1"/>
  <c r="M32" i="6"/>
  <c r="N32" i="6" s="1"/>
  <c r="AC31" i="6"/>
  <c r="S31" i="6"/>
  <c r="M31" i="6"/>
  <c r="AC30" i="6"/>
  <c r="S30" i="6"/>
  <c r="M30" i="6"/>
  <c r="AC29" i="6"/>
  <c r="S29" i="6"/>
  <c r="M29" i="6"/>
  <c r="AC28" i="6"/>
  <c r="S28" i="6"/>
  <c r="M28" i="6"/>
  <c r="B28" i="7"/>
  <c r="AC34" i="7"/>
  <c r="AD34" i="7" s="1"/>
  <c r="S34" i="7"/>
  <c r="T34" i="7" s="1"/>
  <c r="M34" i="7"/>
  <c r="N34" i="7" s="1"/>
  <c r="F34" i="7"/>
  <c r="AL34" i="7" s="1"/>
  <c r="AC33" i="7"/>
  <c r="AD33" i="7" s="1"/>
  <c r="S33" i="7"/>
  <c r="T33" i="7" s="1"/>
  <c r="M33" i="7"/>
  <c r="N33" i="7" s="1"/>
  <c r="F33" i="7"/>
  <c r="AL33" i="7" s="1"/>
  <c r="AC32" i="7"/>
  <c r="AD32" i="7" s="1"/>
  <c r="S32" i="7"/>
  <c r="T32" i="7" s="1"/>
  <c r="M32" i="7"/>
  <c r="N32" i="7" s="1"/>
  <c r="F32" i="7"/>
  <c r="AL32" i="7" s="1"/>
  <c r="AC31" i="7"/>
  <c r="AD31" i="7" s="1"/>
  <c r="S31" i="7"/>
  <c r="T31" i="7" s="1"/>
  <c r="M31" i="7"/>
  <c r="N31" i="7" s="1"/>
  <c r="F31" i="7"/>
  <c r="AL31" i="7" s="1"/>
  <c r="AC30" i="7"/>
  <c r="AD30" i="7" s="1"/>
  <c r="S30" i="7"/>
  <c r="T30" i="7" s="1"/>
  <c r="M30" i="7"/>
  <c r="N30" i="7" s="1"/>
  <c r="F30" i="7"/>
  <c r="AL30" i="7" s="1"/>
  <c r="AC29" i="7"/>
  <c r="AD29" i="7" s="1"/>
  <c r="S29" i="7"/>
  <c r="T29" i="7" s="1"/>
  <c r="M29" i="7"/>
  <c r="N29" i="7" s="1"/>
  <c r="F29" i="7"/>
  <c r="AL29" i="7" s="1"/>
  <c r="AC28" i="7"/>
  <c r="AD28" i="7" s="1"/>
  <c r="S28" i="7"/>
  <c r="T28" i="7" s="1"/>
  <c r="M28" i="7"/>
  <c r="N28" i="7" s="1"/>
  <c r="F28" i="7"/>
  <c r="AL28" i="7" s="1"/>
  <c r="U27" i="5"/>
  <c r="U28" i="5"/>
  <c r="U29" i="5"/>
  <c r="U30" i="5"/>
  <c r="U31" i="5"/>
  <c r="U32" i="5"/>
  <c r="U26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K67" i="52" l="1"/>
  <c r="AS67" i="52"/>
  <c r="L67" i="51"/>
  <c r="T67" i="51"/>
  <c r="K68" i="51"/>
  <c r="AI67" i="51"/>
  <c r="K67" i="49"/>
  <c r="K75" i="49"/>
  <c r="K68" i="49"/>
  <c r="AX67" i="49"/>
  <c r="AI67" i="49"/>
  <c r="AD67" i="48"/>
  <c r="K73" i="48"/>
  <c r="K67" i="48"/>
  <c r="T67" i="48"/>
  <c r="AN67" i="48"/>
  <c r="Y67" i="48"/>
  <c r="K72" i="48"/>
  <c r="L67" i="47"/>
  <c r="T67" i="47"/>
  <c r="K69" i="47"/>
  <c r="K68" i="47"/>
  <c r="AI67" i="47"/>
  <c r="L67" i="46"/>
  <c r="T67" i="46"/>
  <c r="AD67" i="46"/>
  <c r="AI67" i="46"/>
  <c r="Y67" i="45"/>
  <c r="K68" i="45"/>
  <c r="K143" i="44"/>
  <c r="K153" i="44"/>
  <c r="K155" i="44"/>
  <c r="AX123" i="44"/>
  <c r="AD123" i="44"/>
  <c r="K123" i="44"/>
  <c r="K133" i="44"/>
  <c r="K145" i="44"/>
  <c r="AS123" i="44"/>
  <c r="H123" i="44"/>
  <c r="T123" i="44"/>
  <c r="Y123" i="44"/>
  <c r="K147" i="44"/>
  <c r="K124" i="44"/>
  <c r="K144" i="44"/>
  <c r="K154" i="44"/>
  <c r="K142" i="44"/>
  <c r="K152" i="44"/>
  <c r="K139" i="44"/>
  <c r="K137" i="44"/>
  <c r="K136" i="44"/>
  <c r="AN123" i="44"/>
  <c r="T28" i="6"/>
  <c r="AD28" i="6"/>
  <c r="N31" i="6"/>
  <c r="T31" i="6"/>
  <c r="AD32" i="6"/>
  <c r="N34" i="6"/>
  <c r="AD34" i="6"/>
  <c r="T29" i="6"/>
  <c r="T30" i="6"/>
  <c r="AD31" i="6"/>
  <c r="AL32" i="6"/>
  <c r="AF32" i="6"/>
  <c r="Z32" i="6"/>
  <c r="AJ32" i="6"/>
  <c r="AB32" i="6"/>
  <c r="X32" i="6"/>
  <c r="AH32" i="6"/>
  <c r="V32" i="6"/>
  <c r="R32" i="6"/>
  <c r="P32" i="6"/>
  <c r="L32" i="6"/>
  <c r="J32" i="6"/>
  <c r="AL33" i="6"/>
  <c r="AB33" i="6"/>
  <c r="Z33" i="6"/>
  <c r="X33" i="6"/>
  <c r="V33" i="6"/>
  <c r="AJ33" i="6"/>
  <c r="AF33" i="6"/>
  <c r="AH33" i="6"/>
  <c r="AD33" i="6"/>
  <c r="R33" i="6"/>
  <c r="P33" i="6"/>
  <c r="L33" i="6"/>
  <c r="J33" i="6"/>
  <c r="N28" i="6"/>
  <c r="T34" i="6"/>
  <c r="T32" i="6"/>
  <c r="F28" i="6"/>
  <c r="F31" i="6"/>
  <c r="F34" i="6"/>
  <c r="T33" i="6"/>
  <c r="F29" i="6"/>
  <c r="F30" i="6"/>
  <c r="N30" i="6" s="1"/>
  <c r="J33" i="7"/>
  <c r="L29" i="7"/>
  <c r="L33" i="7"/>
  <c r="J32" i="7"/>
  <c r="L32" i="7"/>
  <c r="P33" i="7"/>
  <c r="R28" i="7"/>
  <c r="R30" i="7"/>
  <c r="R31" i="7"/>
  <c r="R32" i="7"/>
  <c r="R33" i="7"/>
  <c r="V28" i="7"/>
  <c r="V30" i="7"/>
  <c r="V32" i="7"/>
  <c r="V33" i="7"/>
  <c r="X28" i="7"/>
  <c r="X30" i="7"/>
  <c r="X31" i="7"/>
  <c r="X32" i="7"/>
  <c r="X34" i="7"/>
  <c r="Z28" i="7"/>
  <c r="Z30" i="7"/>
  <c r="Z32" i="7"/>
  <c r="Z33" i="7"/>
  <c r="AB28" i="7"/>
  <c r="AB33" i="7"/>
  <c r="AF28" i="7"/>
  <c r="AF29" i="7"/>
  <c r="AF30" i="7"/>
  <c r="AF31" i="7"/>
  <c r="AF32" i="7"/>
  <c r="AF33" i="7"/>
  <c r="AH28" i="7"/>
  <c r="AH30" i="7"/>
  <c r="AH31" i="7"/>
  <c r="AH32" i="7"/>
  <c r="AH33" i="7"/>
  <c r="AJ28" i="7"/>
  <c r="AJ29" i="7"/>
  <c r="AJ30" i="7"/>
  <c r="AJ31" i="7"/>
  <c r="AJ32" i="7"/>
  <c r="AJ33" i="7"/>
  <c r="AJ34" i="7"/>
  <c r="G28" i="7"/>
  <c r="J28" i="7"/>
  <c r="J29" i="7"/>
  <c r="J30" i="7"/>
  <c r="J31" i="7"/>
  <c r="J34" i="7"/>
  <c r="L28" i="7"/>
  <c r="L30" i="7"/>
  <c r="L31" i="7"/>
  <c r="L34" i="7"/>
  <c r="P28" i="7"/>
  <c r="P29" i="7"/>
  <c r="P30" i="7"/>
  <c r="P31" i="7"/>
  <c r="P32" i="7"/>
  <c r="P34" i="7"/>
  <c r="R29" i="7"/>
  <c r="R34" i="7"/>
  <c r="V29" i="7"/>
  <c r="V31" i="7"/>
  <c r="V34" i="7"/>
  <c r="X29" i="7"/>
  <c r="X33" i="7"/>
  <c r="Z29" i="7"/>
  <c r="Z31" i="7"/>
  <c r="Z34" i="7"/>
  <c r="AB29" i="7"/>
  <c r="AB30" i="7"/>
  <c r="AB31" i="7"/>
  <c r="AB32" i="7"/>
  <c r="AB34" i="7"/>
  <c r="AF34" i="7"/>
  <c r="AH29" i="7"/>
  <c r="AH34" i="7"/>
  <c r="L67" i="52" l="1"/>
  <c r="L67" i="48"/>
  <c r="L67" i="45"/>
  <c r="L123" i="44"/>
  <c r="AL29" i="6"/>
  <c r="Z29" i="6"/>
  <c r="AJ29" i="6"/>
  <c r="AF29" i="6"/>
  <c r="AB29" i="6"/>
  <c r="X29" i="6"/>
  <c r="V29" i="6"/>
  <c r="AH29" i="6"/>
  <c r="R29" i="6"/>
  <c r="P29" i="6"/>
  <c r="L29" i="6"/>
  <c r="J29" i="6"/>
  <c r="AL28" i="6"/>
  <c r="AF28" i="6"/>
  <c r="AB28" i="6"/>
  <c r="Z28" i="6"/>
  <c r="X28" i="6"/>
  <c r="AJ28" i="6"/>
  <c r="V28" i="6"/>
  <c r="AH28" i="6"/>
  <c r="R28" i="6"/>
  <c r="P28" i="6"/>
  <c r="L28" i="6"/>
  <c r="J28" i="6"/>
  <c r="G28" i="6"/>
  <c r="AD29" i="6"/>
  <c r="AL30" i="6"/>
  <c r="AF30" i="6"/>
  <c r="Z30" i="6"/>
  <c r="AJ30" i="6"/>
  <c r="AB30" i="6"/>
  <c r="X30" i="6"/>
  <c r="V30" i="6"/>
  <c r="AH30" i="6"/>
  <c r="R30" i="6"/>
  <c r="P30" i="6"/>
  <c r="L30" i="6"/>
  <c r="J30" i="6"/>
  <c r="AL34" i="6"/>
  <c r="AF34" i="6"/>
  <c r="AJ34" i="6"/>
  <c r="AB34" i="6"/>
  <c r="Z34" i="6"/>
  <c r="X34" i="6"/>
  <c r="V34" i="6"/>
  <c r="AH34" i="6"/>
  <c r="R34" i="6"/>
  <c r="L34" i="6"/>
  <c r="J34" i="6"/>
  <c r="P34" i="6"/>
  <c r="AD30" i="6"/>
  <c r="AL31" i="6"/>
  <c r="AF31" i="6"/>
  <c r="Z31" i="6"/>
  <c r="AJ31" i="6"/>
  <c r="AB31" i="6"/>
  <c r="X31" i="6"/>
  <c r="V31" i="6"/>
  <c r="AH31" i="6"/>
  <c r="R31" i="6"/>
  <c r="P31" i="6"/>
  <c r="L31" i="6"/>
  <c r="J31" i="6"/>
  <c r="N29" i="6"/>
  <c r="M113" i="62" l="1"/>
  <c r="M114" i="62" s="1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98" i="62" s="1"/>
  <c r="M143" i="20"/>
  <c r="M142" i="20"/>
  <c r="M141" i="20"/>
  <c r="M146" i="20" s="1"/>
  <c r="M133" i="20"/>
  <c r="M138" i="20" s="1"/>
  <c r="M129" i="20"/>
  <c r="M128" i="20"/>
  <c r="M127" i="20"/>
  <c r="M126" i="20"/>
  <c r="M125" i="20"/>
  <c r="M130" i="20" s="1"/>
  <c r="M121" i="20"/>
  <c r="M120" i="20"/>
  <c r="M119" i="20"/>
  <c r="M122" i="20" s="1"/>
  <c r="M118" i="20"/>
  <c r="M117" i="20"/>
  <c r="M113" i="19"/>
  <c r="M112" i="19"/>
  <c r="M111" i="19"/>
  <c r="M110" i="19"/>
  <c r="M109" i="19"/>
  <c r="M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98" i="19" l="1"/>
  <c r="B86" i="25"/>
  <c r="A86" i="25"/>
  <c r="C31" i="41" l="1"/>
  <c r="B31" i="41"/>
  <c r="J60" i="25"/>
  <c r="J79" i="23"/>
  <c r="J78" i="23"/>
  <c r="J77" i="23"/>
  <c r="J76" i="23"/>
  <c r="J75" i="23"/>
  <c r="J74" i="23"/>
  <c r="J73" i="23"/>
  <c r="J72" i="23"/>
  <c r="J71" i="23"/>
  <c r="J68" i="23"/>
  <c r="J67" i="23"/>
  <c r="J66" i="23"/>
  <c r="J65" i="23"/>
  <c r="J64" i="23"/>
  <c r="J63" i="23"/>
  <c r="J62" i="23"/>
  <c r="J61" i="23"/>
  <c r="J74" i="22"/>
  <c r="J72" i="22"/>
  <c r="J71" i="22"/>
  <c r="J61" i="22"/>
  <c r="J60" i="22"/>
  <c r="J75" i="15"/>
  <c r="J74" i="15"/>
  <c r="J73" i="15"/>
  <c r="J72" i="15"/>
  <c r="J71" i="15"/>
  <c r="J69" i="15"/>
  <c r="J68" i="15"/>
  <c r="J67" i="15"/>
  <c r="J66" i="15"/>
  <c r="J65" i="15"/>
  <c r="J64" i="15"/>
  <c r="J63" i="15"/>
  <c r="J62" i="15"/>
  <c r="J61" i="15"/>
  <c r="J60" i="15"/>
  <c r="B60" i="25"/>
  <c r="A60" i="25"/>
  <c r="AW47" i="52"/>
  <c r="AR47" i="52"/>
  <c r="AM47" i="52"/>
  <c r="AH47" i="52"/>
  <c r="AC47" i="52"/>
  <c r="X47" i="52"/>
  <c r="S47" i="52"/>
  <c r="M47" i="52"/>
  <c r="AV47" i="52"/>
  <c r="AX47" i="52" s="1"/>
  <c r="AQ47" i="52"/>
  <c r="AS47" i="52" s="1"/>
  <c r="AN47" i="52"/>
  <c r="AL47" i="52"/>
  <c r="AG47" i="52"/>
  <c r="AB47" i="52"/>
  <c r="AD47" i="52" s="1"/>
  <c r="W47" i="52"/>
  <c r="Y47" i="52" s="1"/>
  <c r="T47" i="52"/>
  <c r="R47" i="52"/>
  <c r="J47" i="52"/>
  <c r="I47" i="52"/>
  <c r="H47" i="52"/>
  <c r="G47" i="52"/>
  <c r="AW49" i="51"/>
  <c r="AW48" i="51"/>
  <c r="AW47" i="51"/>
  <c r="AR49" i="51"/>
  <c r="AR48" i="51"/>
  <c r="AR47" i="51"/>
  <c r="AM49" i="51"/>
  <c r="AM48" i="51"/>
  <c r="AM47" i="51"/>
  <c r="AH49" i="51"/>
  <c r="AH48" i="51"/>
  <c r="AH47" i="51"/>
  <c r="AC49" i="51"/>
  <c r="AC48" i="51"/>
  <c r="AC47" i="51"/>
  <c r="X49" i="51"/>
  <c r="X48" i="51"/>
  <c r="X47" i="51"/>
  <c r="S48" i="51"/>
  <c r="S49" i="51"/>
  <c r="S47" i="51"/>
  <c r="M48" i="51"/>
  <c r="M49" i="51"/>
  <c r="M47" i="51"/>
  <c r="AV49" i="51"/>
  <c r="AQ49" i="51"/>
  <c r="AL49" i="51"/>
  <c r="AG49" i="51"/>
  <c r="AB49" i="51"/>
  <c r="W49" i="51"/>
  <c r="R49" i="51"/>
  <c r="K49" i="51"/>
  <c r="J49" i="51"/>
  <c r="I49" i="51"/>
  <c r="G49" i="51"/>
  <c r="AV48" i="51"/>
  <c r="AQ48" i="51"/>
  <c r="AL48" i="51"/>
  <c r="AG48" i="51"/>
  <c r="AB48" i="51"/>
  <c r="W48" i="51"/>
  <c r="R48" i="51"/>
  <c r="K48" i="51"/>
  <c r="J48" i="51"/>
  <c r="I48" i="51"/>
  <c r="G48" i="51"/>
  <c r="AX47" i="51"/>
  <c r="AV47" i="51"/>
  <c r="AS47" i="51"/>
  <c r="AQ47" i="51"/>
  <c r="AL47" i="51"/>
  <c r="AN47" i="51" s="1"/>
  <c r="AI47" i="51"/>
  <c r="AG47" i="51"/>
  <c r="AB47" i="51"/>
  <c r="AD47" i="51" s="1"/>
  <c r="W47" i="51"/>
  <c r="Y47" i="51" s="1"/>
  <c r="R47" i="51"/>
  <c r="K47" i="51" s="1"/>
  <c r="J47" i="51"/>
  <c r="I47" i="51"/>
  <c r="G47" i="51"/>
  <c r="H47" i="51" s="1"/>
  <c r="P43" i="50"/>
  <c r="AW55" i="49"/>
  <c r="AW54" i="49"/>
  <c r="AW53" i="49"/>
  <c r="AW52" i="49"/>
  <c r="AW51" i="49"/>
  <c r="AW50" i="49"/>
  <c r="AW49" i="49"/>
  <c r="AW48" i="49"/>
  <c r="AW47" i="49"/>
  <c r="AR55" i="49"/>
  <c r="AR54" i="49"/>
  <c r="AR53" i="49"/>
  <c r="AR52" i="49"/>
  <c r="AR51" i="49"/>
  <c r="AR50" i="49"/>
  <c r="AR49" i="49"/>
  <c r="AR48" i="49"/>
  <c r="AR47" i="49"/>
  <c r="AM55" i="49"/>
  <c r="AM54" i="49"/>
  <c r="AM53" i="49"/>
  <c r="AM52" i="49"/>
  <c r="AM51" i="49"/>
  <c r="AM50" i="49"/>
  <c r="AM49" i="49"/>
  <c r="AM48" i="49"/>
  <c r="AM47" i="49"/>
  <c r="AC55" i="49"/>
  <c r="AC54" i="49"/>
  <c r="AC53" i="49"/>
  <c r="AC52" i="49"/>
  <c r="AC51" i="49"/>
  <c r="AC50" i="49"/>
  <c r="AC49" i="49"/>
  <c r="AC48" i="49"/>
  <c r="AC47" i="49"/>
  <c r="X55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55" i="49"/>
  <c r="S47" i="49"/>
  <c r="M48" i="49"/>
  <c r="M49" i="49"/>
  <c r="M50" i="49"/>
  <c r="M51" i="49"/>
  <c r="M52" i="49"/>
  <c r="M53" i="49"/>
  <c r="M54" i="49"/>
  <c r="M55" i="49"/>
  <c r="M47" i="49"/>
  <c r="AV55" i="49"/>
  <c r="AQ55" i="49"/>
  <c r="AL55" i="49"/>
  <c r="AG55" i="49"/>
  <c r="AH55" i="49" s="1"/>
  <c r="AB55" i="49"/>
  <c r="W55" i="49"/>
  <c r="R55" i="49"/>
  <c r="K55" i="49"/>
  <c r="J55" i="49"/>
  <c r="I55" i="49"/>
  <c r="G55" i="49"/>
  <c r="AV54" i="49"/>
  <c r="AQ54" i="49"/>
  <c r="AL54" i="49"/>
  <c r="AG54" i="49"/>
  <c r="AH54" i="49" s="1"/>
  <c r="AB54" i="49"/>
  <c r="W54" i="49"/>
  <c r="R54" i="49"/>
  <c r="K54" i="49"/>
  <c r="J54" i="49"/>
  <c r="I54" i="49"/>
  <c r="G54" i="49"/>
  <c r="AV53" i="49"/>
  <c r="K53" i="49" s="1"/>
  <c r="AQ53" i="49"/>
  <c r="AL53" i="49"/>
  <c r="AG53" i="49"/>
  <c r="AH53" i="49" s="1"/>
  <c r="AB53" i="49"/>
  <c r="W53" i="49"/>
  <c r="R53" i="49"/>
  <c r="J53" i="49"/>
  <c r="I53" i="49"/>
  <c r="G53" i="49"/>
  <c r="AV52" i="49"/>
  <c r="AQ52" i="49"/>
  <c r="AL52" i="49"/>
  <c r="AG52" i="49"/>
  <c r="AH52" i="49" s="1"/>
  <c r="AB52" i="49"/>
  <c r="W52" i="49"/>
  <c r="R52" i="49"/>
  <c r="J52" i="49"/>
  <c r="I52" i="49"/>
  <c r="G52" i="49"/>
  <c r="AV51" i="49"/>
  <c r="AQ51" i="49"/>
  <c r="K51" i="49" s="1"/>
  <c r="AL51" i="49"/>
  <c r="AG51" i="49"/>
  <c r="AH51" i="49" s="1"/>
  <c r="AB51" i="49"/>
  <c r="W51" i="49"/>
  <c r="R51" i="49"/>
  <c r="J51" i="49"/>
  <c r="I51" i="49"/>
  <c r="G51" i="49"/>
  <c r="AV50" i="49"/>
  <c r="AQ50" i="49"/>
  <c r="K50" i="49" s="1"/>
  <c r="AL50" i="49"/>
  <c r="AG50" i="49"/>
  <c r="AH50" i="49" s="1"/>
  <c r="AB50" i="49"/>
  <c r="W50" i="49"/>
  <c r="R50" i="49"/>
  <c r="J50" i="49"/>
  <c r="I50" i="49"/>
  <c r="G50" i="49"/>
  <c r="AV49" i="49"/>
  <c r="AQ49" i="49"/>
  <c r="AL49" i="49"/>
  <c r="K49" i="49" s="1"/>
  <c r="AG49" i="49"/>
  <c r="AH49" i="49" s="1"/>
  <c r="AB49" i="49"/>
  <c r="W49" i="49"/>
  <c r="R49" i="49"/>
  <c r="J49" i="49"/>
  <c r="I49" i="49"/>
  <c r="G49" i="49"/>
  <c r="AV48" i="49"/>
  <c r="AQ48" i="49"/>
  <c r="AL48" i="49"/>
  <c r="AH48" i="49"/>
  <c r="AG48" i="49"/>
  <c r="AB48" i="49"/>
  <c r="W48" i="49"/>
  <c r="R48" i="49"/>
  <c r="J48" i="49"/>
  <c r="I48" i="49"/>
  <c r="G48" i="49"/>
  <c r="AV47" i="49"/>
  <c r="AQ47" i="49"/>
  <c r="AS47" i="49" s="1"/>
  <c r="AL47" i="49"/>
  <c r="AG47" i="49"/>
  <c r="AH47" i="49" s="1"/>
  <c r="AB47" i="49"/>
  <c r="AD47" i="49" s="1"/>
  <c r="W47" i="49"/>
  <c r="Y47" i="49" s="1"/>
  <c r="R47" i="49"/>
  <c r="T47" i="49" s="1"/>
  <c r="J47" i="49"/>
  <c r="I47" i="49"/>
  <c r="G47" i="49"/>
  <c r="H47" i="49" s="1"/>
  <c r="AW55" i="48"/>
  <c r="AW54" i="48"/>
  <c r="AW53" i="48"/>
  <c r="AW52" i="48"/>
  <c r="AW51" i="48"/>
  <c r="AW50" i="48"/>
  <c r="AW49" i="48"/>
  <c r="AW48" i="48"/>
  <c r="AW47" i="48"/>
  <c r="AR54" i="48"/>
  <c r="AR53" i="48"/>
  <c r="AR52" i="48"/>
  <c r="AR51" i="48"/>
  <c r="AR50" i="48"/>
  <c r="AR49" i="48"/>
  <c r="AR48" i="48"/>
  <c r="AR47" i="48"/>
  <c r="AM54" i="48"/>
  <c r="AM53" i="48"/>
  <c r="AM52" i="48"/>
  <c r="AM51" i="48"/>
  <c r="AM50" i="48"/>
  <c r="AM49" i="48"/>
  <c r="AM48" i="48"/>
  <c r="AM47" i="48"/>
  <c r="X54" i="48"/>
  <c r="X53" i="48"/>
  <c r="X52" i="48"/>
  <c r="X51" i="48"/>
  <c r="X50" i="48"/>
  <c r="X49" i="48"/>
  <c r="X48" i="48"/>
  <c r="X47" i="48"/>
  <c r="S48" i="48"/>
  <c r="S49" i="48"/>
  <c r="S50" i="48"/>
  <c r="S51" i="48"/>
  <c r="S52" i="48"/>
  <c r="S53" i="48"/>
  <c r="S54" i="48"/>
  <c r="S47" i="48"/>
  <c r="M48" i="48"/>
  <c r="M49" i="48"/>
  <c r="M50" i="48"/>
  <c r="M51" i="48"/>
  <c r="M52" i="48"/>
  <c r="M53" i="48"/>
  <c r="M54" i="48"/>
  <c r="M55" i="48"/>
  <c r="M47" i="48"/>
  <c r="AV55" i="48"/>
  <c r="K55" i="48"/>
  <c r="J55" i="48"/>
  <c r="I55" i="48"/>
  <c r="G55" i="48"/>
  <c r="AV54" i="48"/>
  <c r="AQ54" i="48"/>
  <c r="AL54" i="48"/>
  <c r="AG54" i="48"/>
  <c r="AH54" i="48" s="1"/>
  <c r="AB54" i="48"/>
  <c r="AC54" i="48" s="1"/>
  <c r="W54" i="48"/>
  <c r="R54" i="48"/>
  <c r="K54" i="48"/>
  <c r="J54" i="48"/>
  <c r="I54" i="48"/>
  <c r="G54" i="48"/>
  <c r="AV53" i="48"/>
  <c r="AQ53" i="48"/>
  <c r="AL53" i="48"/>
  <c r="AG53" i="48"/>
  <c r="AH53" i="48" s="1"/>
  <c r="AB53" i="48"/>
  <c r="AC53" i="48" s="1"/>
  <c r="W53" i="48"/>
  <c r="R53" i="48"/>
  <c r="K53" i="48" s="1"/>
  <c r="J53" i="48"/>
  <c r="I53" i="48"/>
  <c r="G53" i="48"/>
  <c r="AV52" i="48"/>
  <c r="AQ52" i="48"/>
  <c r="AL52" i="48"/>
  <c r="AG52" i="48"/>
  <c r="AH52" i="48" s="1"/>
  <c r="AB52" i="48"/>
  <c r="AC52" i="48" s="1"/>
  <c r="W52" i="48"/>
  <c r="R52" i="48"/>
  <c r="K52" i="48" s="1"/>
  <c r="J52" i="48"/>
  <c r="I52" i="48"/>
  <c r="G52" i="48"/>
  <c r="AV51" i="48"/>
  <c r="AQ51" i="48"/>
  <c r="AL51" i="48"/>
  <c r="AG51" i="48"/>
  <c r="AH51" i="48" s="1"/>
  <c r="AB51" i="48"/>
  <c r="AC51" i="48" s="1"/>
  <c r="W51" i="48"/>
  <c r="R51" i="48"/>
  <c r="K51" i="48"/>
  <c r="J51" i="48"/>
  <c r="I51" i="48"/>
  <c r="G51" i="48"/>
  <c r="AV50" i="48"/>
  <c r="K50" i="48" s="1"/>
  <c r="AQ50" i="48"/>
  <c r="AL50" i="48"/>
  <c r="AG50" i="48"/>
  <c r="AH50" i="48" s="1"/>
  <c r="AB50" i="48"/>
  <c r="AC50" i="48" s="1"/>
  <c r="W50" i="48"/>
  <c r="R50" i="48"/>
  <c r="J50" i="48"/>
  <c r="I50" i="48"/>
  <c r="G50" i="48"/>
  <c r="AV49" i="48"/>
  <c r="K49" i="48" s="1"/>
  <c r="AQ49" i="48"/>
  <c r="AL49" i="48"/>
  <c r="AG49" i="48"/>
  <c r="AH49" i="48" s="1"/>
  <c r="AB49" i="48"/>
  <c r="AC49" i="48" s="1"/>
  <c r="W49" i="48"/>
  <c r="R49" i="48"/>
  <c r="J49" i="48"/>
  <c r="I49" i="48"/>
  <c r="G49" i="48"/>
  <c r="AV48" i="48"/>
  <c r="AQ48" i="48"/>
  <c r="K48" i="48" s="1"/>
  <c r="AL48" i="48"/>
  <c r="AG48" i="48"/>
  <c r="AH48" i="48" s="1"/>
  <c r="AB48" i="48"/>
  <c r="AC48" i="48" s="1"/>
  <c r="W48" i="48"/>
  <c r="R48" i="48"/>
  <c r="J48" i="48"/>
  <c r="I48" i="48"/>
  <c r="G48" i="48"/>
  <c r="AV47" i="48"/>
  <c r="AX47" i="48" s="1"/>
  <c r="AQ47" i="48"/>
  <c r="AL47" i="48"/>
  <c r="AG47" i="48"/>
  <c r="AI47" i="48" s="1"/>
  <c r="AB47" i="48"/>
  <c r="AD47" i="48" s="1"/>
  <c r="W47" i="48"/>
  <c r="Y47" i="48" s="1"/>
  <c r="R47" i="48"/>
  <c r="K47" i="48"/>
  <c r="J47" i="48"/>
  <c r="I47" i="48"/>
  <c r="G47" i="48"/>
  <c r="H47" i="48" s="1"/>
  <c r="AW50" i="47"/>
  <c r="AW49" i="47"/>
  <c r="AW47" i="47"/>
  <c r="AR50" i="47"/>
  <c r="AR49" i="47"/>
  <c r="AR48" i="47"/>
  <c r="AR47" i="47"/>
  <c r="AM50" i="47"/>
  <c r="AM49" i="47"/>
  <c r="AM48" i="47"/>
  <c r="AM47" i="47"/>
  <c r="AH50" i="47"/>
  <c r="AH49" i="47"/>
  <c r="AH48" i="47"/>
  <c r="AH47" i="47"/>
  <c r="AC50" i="47"/>
  <c r="AC49" i="47"/>
  <c r="AC48" i="47"/>
  <c r="AC47" i="47"/>
  <c r="X50" i="47"/>
  <c r="X49" i="47"/>
  <c r="X48" i="47"/>
  <c r="X47" i="47"/>
  <c r="S48" i="47"/>
  <c r="S49" i="47"/>
  <c r="S50" i="47"/>
  <c r="S47" i="47"/>
  <c r="M48" i="47"/>
  <c r="M49" i="47"/>
  <c r="M50" i="47"/>
  <c r="M47" i="47"/>
  <c r="AV50" i="47"/>
  <c r="AQ50" i="47"/>
  <c r="AL50" i="47"/>
  <c r="AG50" i="47"/>
  <c r="AB50" i="47"/>
  <c r="W50" i="47"/>
  <c r="R50" i="47"/>
  <c r="J50" i="47"/>
  <c r="I50" i="47"/>
  <c r="G50" i="47"/>
  <c r="AV49" i="47"/>
  <c r="AQ49" i="47"/>
  <c r="AL49" i="47"/>
  <c r="AG49" i="47"/>
  <c r="AB49" i="47"/>
  <c r="AD47" i="47" s="1"/>
  <c r="W49" i="47"/>
  <c r="R49" i="47"/>
  <c r="J49" i="47"/>
  <c r="I49" i="47"/>
  <c r="G49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S47" i="47" s="1"/>
  <c r="AN47" i="47"/>
  <c r="AL47" i="47"/>
  <c r="AG47" i="47"/>
  <c r="AI47" i="47" s="1"/>
  <c r="AB47" i="47"/>
  <c r="W47" i="47"/>
  <c r="Y47" i="47" s="1"/>
  <c r="R47" i="47"/>
  <c r="T47" i="47" s="1"/>
  <c r="J47" i="47"/>
  <c r="I47" i="47"/>
  <c r="H47" i="47"/>
  <c r="G47" i="47"/>
  <c r="AR48" i="46"/>
  <c r="AR47" i="46"/>
  <c r="AM48" i="46"/>
  <c r="AM47" i="46"/>
  <c r="AH48" i="46"/>
  <c r="AH47" i="46"/>
  <c r="AC48" i="46"/>
  <c r="AC47" i="46"/>
  <c r="X48" i="46"/>
  <c r="X47" i="46"/>
  <c r="S48" i="46"/>
  <c r="S47" i="46"/>
  <c r="M48" i="46"/>
  <c r="M47" i="46"/>
  <c r="AV48" i="46"/>
  <c r="AW48" i="46" s="1"/>
  <c r="AQ48" i="46"/>
  <c r="AL48" i="46"/>
  <c r="AG48" i="46"/>
  <c r="AB48" i="46"/>
  <c r="W48" i="46"/>
  <c r="R48" i="46"/>
  <c r="K48" i="46"/>
  <c r="J48" i="46"/>
  <c r="I48" i="46"/>
  <c r="G48" i="46"/>
  <c r="AX47" i="46"/>
  <c r="AV47" i="46"/>
  <c r="AW47" i="46" s="1"/>
  <c r="AQ47" i="46"/>
  <c r="AS47" i="46" s="1"/>
  <c r="AL47" i="46"/>
  <c r="AN47" i="46" s="1"/>
  <c r="AG47" i="46"/>
  <c r="AI47" i="46" s="1"/>
  <c r="AB47" i="46"/>
  <c r="AD47" i="46" s="1"/>
  <c r="W47" i="46"/>
  <c r="R47" i="46"/>
  <c r="T47" i="46" s="1"/>
  <c r="J47" i="46"/>
  <c r="I47" i="46"/>
  <c r="G47" i="46"/>
  <c r="H47" i="46" s="1"/>
  <c r="S51" i="45"/>
  <c r="S50" i="45"/>
  <c r="S49" i="45"/>
  <c r="S48" i="45"/>
  <c r="S47" i="45"/>
  <c r="X51" i="45"/>
  <c r="X50" i="45"/>
  <c r="X49" i="45"/>
  <c r="X48" i="45"/>
  <c r="X47" i="45"/>
  <c r="AC51" i="45"/>
  <c r="AC50" i="45"/>
  <c r="AC49" i="45"/>
  <c r="AC48" i="45"/>
  <c r="AC47" i="45"/>
  <c r="AD47" i="45"/>
  <c r="AH51" i="45"/>
  <c r="AH50" i="45"/>
  <c r="AH49" i="45"/>
  <c r="AH48" i="45"/>
  <c r="AH47" i="45"/>
  <c r="AW51" i="45"/>
  <c r="AW50" i="45"/>
  <c r="AW49" i="45"/>
  <c r="AW48" i="45"/>
  <c r="AW47" i="45"/>
  <c r="AR51" i="45"/>
  <c r="AR50" i="45"/>
  <c r="AR49" i="45"/>
  <c r="AR48" i="45"/>
  <c r="AR47" i="45"/>
  <c r="AM48" i="45"/>
  <c r="AM49" i="45"/>
  <c r="AM50" i="45"/>
  <c r="AM51" i="45"/>
  <c r="AM47" i="45"/>
  <c r="M48" i="45"/>
  <c r="M49" i="45"/>
  <c r="M50" i="45"/>
  <c r="M51" i="45"/>
  <c r="M47" i="45"/>
  <c r="AV51" i="45"/>
  <c r="AQ51" i="45"/>
  <c r="AL51" i="45"/>
  <c r="AG51" i="45"/>
  <c r="AB51" i="45"/>
  <c r="W51" i="45"/>
  <c r="R51" i="45"/>
  <c r="K51" i="45"/>
  <c r="J51" i="45"/>
  <c r="I51" i="45"/>
  <c r="G51" i="45"/>
  <c r="AV50" i="45"/>
  <c r="AQ50" i="45"/>
  <c r="AL50" i="45"/>
  <c r="AG50" i="45"/>
  <c r="AB50" i="45"/>
  <c r="W50" i="45"/>
  <c r="R50" i="45"/>
  <c r="K50" i="45"/>
  <c r="J50" i="45"/>
  <c r="I50" i="45"/>
  <c r="G50" i="45"/>
  <c r="AV49" i="45"/>
  <c r="K49" i="45" s="1"/>
  <c r="AQ49" i="45"/>
  <c r="AL49" i="45"/>
  <c r="AG49" i="45"/>
  <c r="AB49" i="45"/>
  <c r="W49" i="45"/>
  <c r="R49" i="45"/>
  <c r="J49" i="45"/>
  <c r="I49" i="45"/>
  <c r="G49" i="45"/>
  <c r="AV48" i="45"/>
  <c r="K48" i="45" s="1"/>
  <c r="AQ48" i="45"/>
  <c r="AL48" i="45"/>
  <c r="AG48" i="45"/>
  <c r="AB48" i="45"/>
  <c r="W48" i="45"/>
  <c r="R48" i="45"/>
  <c r="J48" i="45"/>
  <c r="I48" i="45"/>
  <c r="G48" i="45"/>
  <c r="AV47" i="45"/>
  <c r="AX47" i="45" s="1"/>
  <c r="AS47" i="45"/>
  <c r="AQ47" i="45"/>
  <c r="AL47" i="45"/>
  <c r="AN47" i="45" s="1"/>
  <c r="AG47" i="45"/>
  <c r="AI47" i="45" s="1"/>
  <c r="AB47" i="45"/>
  <c r="W47" i="45"/>
  <c r="Y47" i="45" s="1"/>
  <c r="R47" i="45"/>
  <c r="T47" i="45" s="1"/>
  <c r="K47" i="45"/>
  <c r="J47" i="45"/>
  <c r="I47" i="45"/>
  <c r="G47" i="45"/>
  <c r="H47" i="45" s="1"/>
  <c r="AW116" i="44"/>
  <c r="AW115" i="44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W86" i="44"/>
  <c r="AW85" i="44"/>
  <c r="AW84" i="44"/>
  <c r="AW83" i="44"/>
  <c r="AR116" i="44"/>
  <c r="AR115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R86" i="44"/>
  <c r="AR85" i="44"/>
  <c r="AR84" i="44"/>
  <c r="AR83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M86" i="44"/>
  <c r="AM85" i="44"/>
  <c r="AM84" i="44"/>
  <c r="AM83" i="44"/>
  <c r="AH116" i="44"/>
  <c r="AH115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H86" i="44"/>
  <c r="AH85" i="44"/>
  <c r="AH84" i="44"/>
  <c r="AH83" i="44"/>
  <c r="AC116" i="44"/>
  <c r="AC115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AC86" i="44"/>
  <c r="AC85" i="44"/>
  <c r="AC84" i="44"/>
  <c r="AC83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X83" i="44"/>
  <c r="S84" i="44"/>
  <c r="S85" i="44"/>
  <c r="S86" i="44"/>
  <c r="S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83" i="44"/>
  <c r="AV116" i="44"/>
  <c r="AQ116" i="44"/>
  <c r="AL116" i="44"/>
  <c r="AG116" i="44"/>
  <c r="AB116" i="44"/>
  <c r="W116" i="44"/>
  <c r="R116" i="44"/>
  <c r="K116" i="44"/>
  <c r="J116" i="44"/>
  <c r="I116" i="44"/>
  <c r="G116" i="44"/>
  <c r="AV115" i="44"/>
  <c r="AQ115" i="44"/>
  <c r="AL115" i="44"/>
  <c r="AG115" i="44"/>
  <c r="AB115" i="44"/>
  <c r="W115" i="44"/>
  <c r="R115" i="44"/>
  <c r="K115" i="44"/>
  <c r="J115" i="44"/>
  <c r="I115" i="44"/>
  <c r="G115" i="44"/>
  <c r="AV114" i="44"/>
  <c r="AQ114" i="44"/>
  <c r="AL114" i="44"/>
  <c r="AG114" i="44"/>
  <c r="AB114" i="44"/>
  <c r="K114" i="44" s="1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K113" i="44" s="1"/>
  <c r="J113" i="44"/>
  <c r="I113" i="44"/>
  <c r="G113" i="44"/>
  <c r="AV112" i="44"/>
  <c r="AQ112" i="44"/>
  <c r="AL112" i="44"/>
  <c r="AG112" i="44"/>
  <c r="AB112" i="44"/>
  <c r="W112" i="44"/>
  <c r="R112" i="44"/>
  <c r="K112" i="44"/>
  <c r="J112" i="44"/>
  <c r="I112" i="44"/>
  <c r="G112" i="44"/>
  <c r="AV111" i="44"/>
  <c r="AQ111" i="44"/>
  <c r="AL111" i="44"/>
  <c r="AG111" i="44"/>
  <c r="AB111" i="44"/>
  <c r="W111" i="44"/>
  <c r="R111" i="44"/>
  <c r="K111" i="44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J109" i="44"/>
  <c r="I109" i="44"/>
  <c r="G109" i="44"/>
  <c r="AV108" i="44"/>
  <c r="AQ108" i="44"/>
  <c r="AL108" i="44"/>
  <c r="AG108" i="44"/>
  <c r="AB108" i="44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K107" i="44"/>
  <c r="J107" i="44"/>
  <c r="I107" i="44"/>
  <c r="G107" i="44"/>
  <c r="AV106" i="44"/>
  <c r="AQ106" i="44"/>
  <c r="AL106" i="44"/>
  <c r="AG106" i="44"/>
  <c r="AB106" i="44"/>
  <c r="W106" i="44"/>
  <c r="R106" i="44"/>
  <c r="K106" i="44"/>
  <c r="J106" i="44"/>
  <c r="I106" i="44"/>
  <c r="G106" i="44"/>
  <c r="AV105" i="44"/>
  <c r="AQ105" i="44"/>
  <c r="AL105" i="44"/>
  <c r="AG105" i="44"/>
  <c r="AB105" i="44"/>
  <c r="W105" i="44"/>
  <c r="R105" i="44"/>
  <c r="J105" i="44"/>
  <c r="I105" i="44"/>
  <c r="G105" i="44"/>
  <c r="AV104" i="44"/>
  <c r="AQ104" i="44"/>
  <c r="AL104" i="44"/>
  <c r="AG104" i="44"/>
  <c r="AB104" i="44"/>
  <c r="W104" i="44"/>
  <c r="R104" i="44"/>
  <c r="J104" i="44"/>
  <c r="I104" i="44"/>
  <c r="G104" i="44"/>
  <c r="AV103" i="44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K101" i="44" s="1"/>
  <c r="J101" i="44"/>
  <c r="I101" i="44"/>
  <c r="G101" i="44"/>
  <c r="AV100" i="44"/>
  <c r="AQ100" i="44"/>
  <c r="AL100" i="44"/>
  <c r="AG100" i="44"/>
  <c r="AB100" i="44"/>
  <c r="W100" i="44"/>
  <c r="R100" i="44"/>
  <c r="K100" i="44"/>
  <c r="J100" i="44"/>
  <c r="I100" i="44"/>
  <c r="G100" i="44"/>
  <c r="AV99" i="44"/>
  <c r="AQ99" i="44"/>
  <c r="AL99" i="44"/>
  <c r="AG99" i="44"/>
  <c r="AB99" i="44"/>
  <c r="W99" i="44"/>
  <c r="R99" i="44"/>
  <c r="K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K96" i="44" s="1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K95" i="44" s="1"/>
  <c r="J95" i="44"/>
  <c r="I95" i="44"/>
  <c r="G95" i="44"/>
  <c r="AV94" i="44"/>
  <c r="AQ94" i="44"/>
  <c r="AL94" i="44"/>
  <c r="AG94" i="44"/>
  <c r="AB94" i="44"/>
  <c r="W94" i="44"/>
  <c r="R94" i="44"/>
  <c r="K94" i="44"/>
  <c r="J94" i="44"/>
  <c r="I94" i="44"/>
  <c r="G94" i="44"/>
  <c r="AV93" i="44"/>
  <c r="AQ93" i="44"/>
  <c r="AL93" i="44"/>
  <c r="AG93" i="44"/>
  <c r="AB93" i="44"/>
  <c r="W93" i="44"/>
  <c r="R93" i="44"/>
  <c r="K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K89" i="44" s="1"/>
  <c r="J89" i="44"/>
  <c r="I89" i="44"/>
  <c r="G89" i="44"/>
  <c r="AV88" i="44"/>
  <c r="AQ88" i="44"/>
  <c r="AL88" i="44"/>
  <c r="AG88" i="44"/>
  <c r="AB88" i="44"/>
  <c r="W88" i="44"/>
  <c r="R88" i="44"/>
  <c r="K88" i="44"/>
  <c r="J88" i="44"/>
  <c r="I88" i="44"/>
  <c r="G88" i="44"/>
  <c r="AV87" i="44"/>
  <c r="AQ87" i="44"/>
  <c r="AL87" i="44"/>
  <c r="AG87" i="44"/>
  <c r="AB87" i="44"/>
  <c r="W87" i="44"/>
  <c r="R87" i="44"/>
  <c r="K87" i="44"/>
  <c r="J87" i="44"/>
  <c r="I87" i="44"/>
  <c r="G87" i="44"/>
  <c r="AV86" i="44"/>
  <c r="K86" i="44" s="1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X83" i="44" s="1"/>
  <c r="AQ84" i="44"/>
  <c r="AL84" i="44"/>
  <c r="AG84" i="44"/>
  <c r="AB84" i="44"/>
  <c r="AD83" i="44" s="1"/>
  <c r="W84" i="44"/>
  <c r="R84" i="44"/>
  <c r="J84" i="44"/>
  <c r="I84" i="44"/>
  <c r="G84" i="44"/>
  <c r="AV83" i="44"/>
  <c r="AQ83" i="44"/>
  <c r="AS83" i="44" s="1"/>
  <c r="AL83" i="44"/>
  <c r="AN83" i="44" s="1"/>
  <c r="AG83" i="44"/>
  <c r="AB83" i="44"/>
  <c r="W83" i="44"/>
  <c r="Y83" i="44" s="1"/>
  <c r="R83" i="44"/>
  <c r="T83" i="44" s="1"/>
  <c r="J83" i="44"/>
  <c r="I83" i="44"/>
  <c r="G83" i="44"/>
  <c r="H83" i="44" s="1"/>
  <c r="B21" i="6"/>
  <c r="AC27" i="6"/>
  <c r="S27" i="6"/>
  <c r="M27" i="6"/>
  <c r="F27" i="6"/>
  <c r="AC26" i="6"/>
  <c r="S26" i="6"/>
  <c r="M26" i="6"/>
  <c r="N26" i="6" s="1"/>
  <c r="F26" i="6"/>
  <c r="AC25" i="6"/>
  <c r="S25" i="6"/>
  <c r="M25" i="6"/>
  <c r="F25" i="6" s="1"/>
  <c r="AC24" i="6"/>
  <c r="S24" i="6"/>
  <c r="M24" i="6"/>
  <c r="N24" i="6" s="1"/>
  <c r="F24" i="6"/>
  <c r="AC23" i="6"/>
  <c r="S23" i="6"/>
  <c r="M23" i="6"/>
  <c r="N23" i="6" s="1"/>
  <c r="F23" i="6"/>
  <c r="AC22" i="6"/>
  <c r="AD22" i="6" s="1"/>
  <c r="S22" i="6"/>
  <c r="M22" i="6"/>
  <c r="N22" i="6" s="1"/>
  <c r="F22" i="6"/>
  <c r="AC21" i="6"/>
  <c r="S21" i="6"/>
  <c r="M21" i="6"/>
  <c r="N21" i="6" s="1"/>
  <c r="F21" i="6"/>
  <c r="B21" i="7"/>
  <c r="AJ27" i="7"/>
  <c r="AH27" i="7"/>
  <c r="AC27" i="7"/>
  <c r="AD27" i="7" s="1"/>
  <c r="S27" i="7"/>
  <c r="T27" i="7" s="1"/>
  <c r="M27" i="7"/>
  <c r="N27" i="7" s="1"/>
  <c r="F27" i="7"/>
  <c r="AL27" i="7" s="1"/>
  <c r="AL26" i="7"/>
  <c r="AJ26" i="7"/>
  <c r="AH26" i="7"/>
  <c r="AC26" i="7"/>
  <c r="AD26" i="7" s="1"/>
  <c r="S26" i="7"/>
  <c r="T26" i="7" s="1"/>
  <c r="M26" i="7"/>
  <c r="N26" i="7" s="1"/>
  <c r="F26" i="7"/>
  <c r="AF26" i="7" s="1"/>
  <c r="AL25" i="7"/>
  <c r="AJ25" i="7"/>
  <c r="AH25" i="7"/>
  <c r="AC25" i="7"/>
  <c r="AD25" i="7" s="1"/>
  <c r="S25" i="7"/>
  <c r="T25" i="7" s="1"/>
  <c r="M25" i="7"/>
  <c r="N25" i="7" s="1"/>
  <c r="F25" i="7"/>
  <c r="AF25" i="7" s="1"/>
  <c r="AL24" i="7"/>
  <c r="AJ24" i="7"/>
  <c r="AH24" i="7"/>
  <c r="AC24" i="7"/>
  <c r="AD24" i="7" s="1"/>
  <c r="S24" i="7"/>
  <c r="T24" i="7" s="1"/>
  <c r="M24" i="7"/>
  <c r="N24" i="7" s="1"/>
  <c r="F24" i="7"/>
  <c r="AF24" i="7" s="1"/>
  <c r="AL23" i="7"/>
  <c r="AJ23" i="7"/>
  <c r="AH23" i="7"/>
  <c r="AC23" i="7"/>
  <c r="AD23" i="7" s="1"/>
  <c r="S23" i="7"/>
  <c r="T23" i="7" s="1"/>
  <c r="M23" i="7"/>
  <c r="N23" i="7" s="1"/>
  <c r="F23" i="7"/>
  <c r="AF23" i="7" s="1"/>
  <c r="AL22" i="7"/>
  <c r="AJ22" i="7"/>
  <c r="AH22" i="7"/>
  <c r="AC22" i="7"/>
  <c r="AD22" i="7" s="1"/>
  <c r="S22" i="7"/>
  <c r="T22" i="7" s="1"/>
  <c r="M22" i="7"/>
  <c r="N22" i="7" s="1"/>
  <c r="F22" i="7"/>
  <c r="AF22" i="7" s="1"/>
  <c r="AL21" i="7"/>
  <c r="AJ21" i="7"/>
  <c r="AH21" i="7"/>
  <c r="AC21" i="7"/>
  <c r="AD21" i="7" s="1"/>
  <c r="S21" i="7"/>
  <c r="T21" i="7" s="1"/>
  <c r="M21" i="7"/>
  <c r="N21" i="7" s="1"/>
  <c r="G21" i="7"/>
  <c r="F21" i="7"/>
  <c r="AF21" i="7" s="1"/>
  <c r="U20" i="5"/>
  <c r="U21" i="5"/>
  <c r="U22" i="5"/>
  <c r="U23" i="5"/>
  <c r="U24" i="5"/>
  <c r="U25" i="5"/>
  <c r="U19" i="5"/>
  <c r="AI47" i="52" l="1"/>
  <c r="K47" i="52"/>
  <c r="L47" i="51"/>
  <c r="T47" i="51"/>
  <c r="U42" i="50"/>
  <c r="K47" i="49"/>
  <c r="AX47" i="49"/>
  <c r="K52" i="49"/>
  <c r="K48" i="49"/>
  <c r="AI47" i="49"/>
  <c r="AN47" i="49"/>
  <c r="AS47" i="48"/>
  <c r="T47" i="48"/>
  <c r="AH47" i="48"/>
  <c r="AN47" i="48"/>
  <c r="L47" i="48"/>
  <c r="AC47" i="48"/>
  <c r="K47" i="47"/>
  <c r="K50" i="47"/>
  <c r="K49" i="47"/>
  <c r="K48" i="47"/>
  <c r="Y47" i="46"/>
  <c r="K47" i="46"/>
  <c r="L47" i="45"/>
  <c r="K98" i="44"/>
  <c r="K92" i="44"/>
  <c r="K97" i="44"/>
  <c r="K110" i="44"/>
  <c r="K91" i="44"/>
  <c r="K105" i="44"/>
  <c r="AI83" i="44"/>
  <c r="K83" i="44"/>
  <c r="K109" i="44"/>
  <c r="K104" i="44"/>
  <c r="K90" i="44"/>
  <c r="K85" i="44"/>
  <c r="K103" i="44"/>
  <c r="K108" i="44"/>
  <c r="K84" i="44"/>
  <c r="K102" i="44"/>
  <c r="AL25" i="6"/>
  <c r="AJ25" i="6"/>
  <c r="AH25" i="6"/>
  <c r="AF25" i="6"/>
  <c r="AB25" i="6"/>
  <c r="Z25" i="6"/>
  <c r="X25" i="6"/>
  <c r="V25" i="6"/>
  <c r="R25" i="6"/>
  <c r="P25" i="6"/>
  <c r="J25" i="6"/>
  <c r="L25" i="6"/>
  <c r="AL23" i="6"/>
  <c r="AJ23" i="6"/>
  <c r="AH23" i="6"/>
  <c r="AF23" i="6"/>
  <c r="AB23" i="6"/>
  <c r="Z23" i="6"/>
  <c r="X23" i="6"/>
  <c r="V23" i="6"/>
  <c r="R23" i="6"/>
  <c r="P23" i="6"/>
  <c r="N25" i="6"/>
  <c r="J23" i="6"/>
  <c r="T25" i="6"/>
  <c r="L23" i="6"/>
  <c r="AD25" i="6"/>
  <c r="AL21" i="6"/>
  <c r="AJ21" i="6"/>
  <c r="AH21" i="6"/>
  <c r="AF21" i="6"/>
  <c r="AB21" i="6"/>
  <c r="Z21" i="6"/>
  <c r="X21" i="6"/>
  <c r="V21" i="6"/>
  <c r="R21" i="6"/>
  <c r="P21" i="6"/>
  <c r="G21" i="6"/>
  <c r="AL26" i="6"/>
  <c r="AJ26" i="6"/>
  <c r="AH26" i="6"/>
  <c r="AF26" i="6"/>
  <c r="AB26" i="6"/>
  <c r="Z26" i="6"/>
  <c r="X26" i="6"/>
  <c r="V26" i="6"/>
  <c r="R26" i="6"/>
  <c r="P26" i="6"/>
  <c r="J21" i="6"/>
  <c r="T23" i="6"/>
  <c r="J26" i="6"/>
  <c r="L21" i="6"/>
  <c r="AD23" i="6"/>
  <c r="L26" i="6"/>
  <c r="AL24" i="6"/>
  <c r="AJ24" i="6"/>
  <c r="AH24" i="6"/>
  <c r="AF24" i="6"/>
  <c r="AB24" i="6"/>
  <c r="Z24" i="6"/>
  <c r="X24" i="6"/>
  <c r="V24" i="6"/>
  <c r="R24" i="6"/>
  <c r="P24" i="6"/>
  <c r="T21" i="6"/>
  <c r="J24" i="6"/>
  <c r="T26" i="6"/>
  <c r="AD21" i="6"/>
  <c r="L24" i="6"/>
  <c r="AD26" i="6"/>
  <c r="AL22" i="6"/>
  <c r="AJ22" i="6"/>
  <c r="AH22" i="6"/>
  <c r="AF22" i="6"/>
  <c r="AB22" i="6"/>
  <c r="Z22" i="6"/>
  <c r="X22" i="6"/>
  <c r="V22" i="6"/>
  <c r="R22" i="6"/>
  <c r="P22" i="6"/>
  <c r="AL27" i="6"/>
  <c r="AJ27" i="6"/>
  <c r="AH27" i="6"/>
  <c r="AF27" i="6"/>
  <c r="AB27" i="6"/>
  <c r="Z27" i="6"/>
  <c r="X27" i="6"/>
  <c r="V27" i="6"/>
  <c r="R27" i="6"/>
  <c r="P27" i="6"/>
  <c r="J22" i="6"/>
  <c r="T24" i="6"/>
  <c r="J27" i="6"/>
  <c r="L22" i="6"/>
  <c r="AD24" i="6"/>
  <c r="L27" i="6"/>
  <c r="N27" i="6"/>
  <c r="T27" i="6"/>
  <c r="T22" i="6"/>
  <c r="AD27" i="6"/>
  <c r="V27" i="7"/>
  <c r="J21" i="7"/>
  <c r="J22" i="7"/>
  <c r="J23" i="7"/>
  <c r="J24" i="7"/>
  <c r="J25" i="7"/>
  <c r="J26" i="7"/>
  <c r="J27" i="7"/>
  <c r="L21" i="7"/>
  <c r="L22" i="7"/>
  <c r="L23" i="7"/>
  <c r="L24" i="7"/>
  <c r="L25" i="7"/>
  <c r="L26" i="7"/>
  <c r="L27" i="7"/>
  <c r="P21" i="7"/>
  <c r="P22" i="7"/>
  <c r="P23" i="7"/>
  <c r="P24" i="7"/>
  <c r="P25" i="7"/>
  <c r="P26" i="7"/>
  <c r="P27" i="7"/>
  <c r="R21" i="7"/>
  <c r="R22" i="7"/>
  <c r="R23" i="7"/>
  <c r="R24" i="7"/>
  <c r="R25" i="7"/>
  <c r="R26" i="7"/>
  <c r="R27" i="7"/>
  <c r="V21" i="7"/>
  <c r="V22" i="7"/>
  <c r="V23" i="7"/>
  <c r="V24" i="7"/>
  <c r="V25" i="7"/>
  <c r="V26" i="7"/>
  <c r="X21" i="7"/>
  <c r="X22" i="7"/>
  <c r="X23" i="7"/>
  <c r="X24" i="7"/>
  <c r="X25" i="7"/>
  <c r="X26" i="7"/>
  <c r="X27" i="7"/>
  <c r="Z21" i="7"/>
  <c r="Z22" i="7"/>
  <c r="Z23" i="7"/>
  <c r="Z24" i="7"/>
  <c r="Z25" i="7"/>
  <c r="Z26" i="7"/>
  <c r="Z27" i="7"/>
  <c r="AB21" i="7"/>
  <c r="AB22" i="7"/>
  <c r="AB23" i="7"/>
  <c r="AB24" i="7"/>
  <c r="AB25" i="7"/>
  <c r="AB26" i="7"/>
  <c r="AB27" i="7"/>
  <c r="AF27" i="7"/>
  <c r="I19" i="5"/>
  <c r="I20" i="5"/>
  <c r="I21" i="5"/>
  <c r="I22" i="5"/>
  <c r="I23" i="5"/>
  <c r="I24" i="5"/>
  <c r="I25" i="5"/>
  <c r="L47" i="52" l="1"/>
  <c r="U43" i="50"/>
  <c r="Z42" i="50"/>
  <c r="L47" i="49"/>
  <c r="L47" i="47"/>
  <c r="L47" i="46"/>
  <c r="L83" i="44"/>
  <c r="Z43" i="50" l="1"/>
  <c r="AE42" i="50"/>
  <c r="AE43" i="50" l="1"/>
  <c r="AJ42" i="50"/>
  <c r="AJ43" i="50" l="1"/>
  <c r="AO42" i="50"/>
  <c r="AO43" i="50" l="1"/>
  <c r="AT42" i="50"/>
  <c r="AT43" i="50" s="1"/>
  <c r="L18" i="56" l="1"/>
  <c r="L19" i="56"/>
  <c r="L20" i="56"/>
  <c r="L21" i="56"/>
  <c r="L22" i="56"/>
  <c r="L23" i="56"/>
  <c r="J18" i="56"/>
  <c r="J19" i="56"/>
  <c r="J20" i="56"/>
  <c r="J21" i="56"/>
  <c r="J22" i="56"/>
  <c r="J23" i="56"/>
  <c r="H18" i="56"/>
  <c r="H19" i="56"/>
  <c r="H20" i="56"/>
  <c r="H21" i="56"/>
  <c r="H22" i="56"/>
  <c r="H23" i="56"/>
  <c r="F18" i="56"/>
  <c r="F19" i="56"/>
  <c r="F20" i="56"/>
  <c r="F21" i="56"/>
  <c r="F22" i="56"/>
  <c r="F23" i="56"/>
  <c r="D18" i="56"/>
  <c r="D19" i="56"/>
  <c r="D20" i="56"/>
  <c r="D21" i="56"/>
  <c r="D22" i="56"/>
  <c r="D23" i="56"/>
  <c r="D24" i="56"/>
  <c r="M85" i="62" l="1"/>
  <c r="M84" i="62"/>
  <c r="M83" i="62"/>
  <c r="M82" i="62"/>
  <c r="M81" i="62"/>
  <c r="M86" i="62" s="1"/>
  <c r="M77" i="62"/>
  <c r="M76" i="62"/>
  <c r="M75" i="62"/>
  <c r="M74" i="62"/>
  <c r="M73" i="62"/>
  <c r="M78" i="62" s="1"/>
  <c r="M69" i="62"/>
  <c r="M68" i="62"/>
  <c r="M67" i="62"/>
  <c r="M66" i="62"/>
  <c r="M70" i="62" s="1"/>
  <c r="M65" i="62"/>
  <c r="M57" i="62"/>
  <c r="M56" i="62"/>
  <c r="M55" i="62"/>
  <c r="M54" i="62"/>
  <c r="M53" i="62"/>
  <c r="M49" i="62"/>
  <c r="M48" i="62"/>
  <c r="M47" i="62"/>
  <c r="M46" i="62"/>
  <c r="M45" i="62"/>
  <c r="M50" i="62" s="1"/>
  <c r="K50" i="62" s="1"/>
  <c r="M41" i="62"/>
  <c r="M40" i="62"/>
  <c r="M39" i="62"/>
  <c r="M38" i="62"/>
  <c r="M37" i="62"/>
  <c r="K30" i="61"/>
  <c r="K22" i="61"/>
  <c r="K14" i="61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K74" i="20"/>
  <c r="K58" i="20"/>
  <c r="K50" i="20"/>
  <c r="M71" i="20"/>
  <c r="M70" i="20"/>
  <c r="M69" i="20"/>
  <c r="M74" i="20" s="1"/>
  <c r="M61" i="20"/>
  <c r="M66" i="20" s="1"/>
  <c r="K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85" i="19"/>
  <c r="M84" i="19"/>
  <c r="M83" i="19"/>
  <c r="M82" i="19"/>
  <c r="M81" i="19"/>
  <c r="M77" i="19"/>
  <c r="M76" i="19"/>
  <c r="M75" i="19"/>
  <c r="M74" i="19"/>
  <c r="M73" i="19"/>
  <c r="M78" i="19" s="1"/>
  <c r="M69" i="19"/>
  <c r="M68" i="19"/>
  <c r="M67" i="19"/>
  <c r="M66" i="19"/>
  <c r="M70" i="19" s="1"/>
  <c r="M65" i="19"/>
  <c r="K50" i="19"/>
  <c r="M57" i="19"/>
  <c r="M56" i="19"/>
  <c r="M55" i="19"/>
  <c r="M54" i="19"/>
  <c r="M53" i="19"/>
  <c r="M58" i="19" s="1"/>
  <c r="K58" i="19" s="1"/>
  <c r="M50" i="19"/>
  <c r="M49" i="19"/>
  <c r="M48" i="19"/>
  <c r="M47" i="19"/>
  <c r="M46" i="19"/>
  <c r="M45" i="19"/>
  <c r="M41" i="19"/>
  <c r="M40" i="19"/>
  <c r="M39" i="19"/>
  <c r="M38" i="19"/>
  <c r="M37" i="19"/>
  <c r="M86" i="19" l="1"/>
  <c r="M42" i="19"/>
  <c r="K42" i="19" s="1"/>
  <c r="M58" i="62"/>
  <c r="K58" i="62" s="1"/>
  <c r="M42" i="62"/>
  <c r="K42" i="62" s="1"/>
  <c r="M50" i="63"/>
  <c r="K50" i="63"/>
  <c r="I50" i="63"/>
  <c r="M49" i="63"/>
  <c r="K49" i="63"/>
  <c r="I49" i="63"/>
  <c r="M48" i="63"/>
  <c r="K48" i="63"/>
  <c r="I48" i="63"/>
  <c r="M47" i="63"/>
  <c r="K47" i="63"/>
  <c r="I47" i="63"/>
  <c r="M46" i="63"/>
  <c r="K46" i="63"/>
  <c r="I46" i="63"/>
  <c r="M45" i="63"/>
  <c r="K45" i="63"/>
  <c r="I45" i="63"/>
  <c r="M44" i="63"/>
  <c r="K44" i="63"/>
  <c r="I44" i="63"/>
  <c r="M43" i="63"/>
  <c r="K43" i="63"/>
  <c r="I43" i="63"/>
  <c r="M42" i="63"/>
  <c r="K42" i="63"/>
  <c r="I42" i="63"/>
  <c r="M41" i="63"/>
  <c r="K41" i="63"/>
  <c r="I41" i="63"/>
  <c r="M40" i="63"/>
  <c r="K40" i="63"/>
  <c r="I40" i="63"/>
  <c r="M39" i="63"/>
  <c r="K39" i="63"/>
  <c r="I39" i="63"/>
  <c r="M38" i="63"/>
  <c r="K38" i="63"/>
  <c r="I38" i="63"/>
  <c r="M37" i="63"/>
  <c r="K37" i="63"/>
  <c r="I37" i="63"/>
  <c r="M36" i="63"/>
  <c r="K36" i="63"/>
  <c r="I36" i="63"/>
  <c r="M35" i="63"/>
  <c r="K35" i="63"/>
  <c r="I35" i="63"/>
  <c r="M34" i="63"/>
  <c r="K34" i="63"/>
  <c r="I34" i="63"/>
  <c r="M33" i="63"/>
  <c r="K33" i="63"/>
  <c r="I33" i="63"/>
  <c r="M32" i="63"/>
  <c r="K32" i="63"/>
  <c r="I32" i="63"/>
  <c r="M31" i="63"/>
  <c r="K31" i="63"/>
  <c r="I31" i="63"/>
  <c r="K30" i="62"/>
  <c r="K22" i="62"/>
  <c r="K14" i="62"/>
  <c r="K38" i="20"/>
  <c r="K30" i="20"/>
  <c r="K22" i="20"/>
  <c r="K14" i="20"/>
  <c r="K30" i="19"/>
  <c r="K22" i="19"/>
  <c r="K14" i="19"/>
  <c r="L11" i="56"/>
  <c r="L12" i="56"/>
  <c r="L13" i="56"/>
  <c r="L14" i="56"/>
  <c r="L15" i="56"/>
  <c r="L16" i="56"/>
  <c r="L17" i="56"/>
  <c r="J11" i="56"/>
  <c r="J12" i="56"/>
  <c r="J13" i="56"/>
  <c r="J14" i="56"/>
  <c r="J15" i="56"/>
  <c r="J16" i="56"/>
  <c r="J17" i="56"/>
  <c r="H11" i="56"/>
  <c r="H12" i="56"/>
  <c r="H13" i="56"/>
  <c r="H14" i="56"/>
  <c r="H15" i="56"/>
  <c r="H16" i="56"/>
  <c r="H17" i="56"/>
  <c r="F11" i="56"/>
  <c r="F12" i="56"/>
  <c r="F13" i="56"/>
  <c r="F14" i="56"/>
  <c r="F15" i="56"/>
  <c r="F16" i="56"/>
  <c r="F17" i="56"/>
  <c r="D11" i="56"/>
  <c r="D12" i="56"/>
  <c r="D13" i="56"/>
  <c r="D14" i="56"/>
  <c r="D15" i="56"/>
  <c r="D16" i="56"/>
  <c r="D17" i="56"/>
  <c r="B10" i="41"/>
  <c r="C10" i="41" s="1"/>
  <c r="B9" i="41"/>
  <c r="C9" i="41" s="1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L4" i="56"/>
  <c r="J4" i="56"/>
  <c r="H4" i="56"/>
  <c r="F4" i="56"/>
  <c r="D4" i="56"/>
  <c r="R146" i="64"/>
  <c r="S146" i="64" s="1"/>
  <c r="Q146" i="64"/>
  <c r="P146" i="64"/>
  <c r="M146" i="64"/>
  <c r="K146" i="64"/>
  <c r="I146" i="64"/>
  <c r="R145" i="64"/>
  <c r="S145" i="64" s="1"/>
  <c r="Q145" i="64"/>
  <c r="P145" i="64"/>
  <c r="M145" i="64"/>
  <c r="K145" i="64"/>
  <c r="I145" i="64"/>
  <c r="R144" i="64"/>
  <c r="S144" i="64" s="1"/>
  <c r="Q144" i="64"/>
  <c r="P144" i="64"/>
  <c r="M144" i="64"/>
  <c r="K144" i="64"/>
  <c r="I144" i="64"/>
  <c r="R143" i="64"/>
  <c r="S143" i="64" s="1"/>
  <c r="Q143" i="64"/>
  <c r="P143" i="64"/>
  <c r="M143" i="64"/>
  <c r="K143" i="64"/>
  <c r="I143" i="64"/>
  <c r="R142" i="64"/>
  <c r="S142" i="64" s="1"/>
  <c r="Q142" i="64"/>
  <c r="P142" i="64"/>
  <c r="M142" i="64"/>
  <c r="K142" i="64"/>
  <c r="I142" i="64"/>
  <c r="R141" i="64"/>
  <c r="S141" i="64" s="1"/>
  <c r="Q141" i="64"/>
  <c r="P141" i="64"/>
  <c r="M141" i="64"/>
  <c r="K141" i="64"/>
  <c r="I141" i="64"/>
  <c r="R140" i="64"/>
  <c r="S140" i="64" s="1"/>
  <c r="Q140" i="64"/>
  <c r="P140" i="64"/>
  <c r="M140" i="64"/>
  <c r="K140" i="64"/>
  <c r="I140" i="64"/>
  <c r="S139" i="64"/>
  <c r="R139" i="64"/>
  <c r="Q139" i="64"/>
  <c r="P139" i="64"/>
  <c r="M139" i="64"/>
  <c r="K139" i="64"/>
  <c r="I139" i="64"/>
  <c r="R138" i="64"/>
  <c r="S138" i="64" s="1"/>
  <c r="Q138" i="64"/>
  <c r="P138" i="64"/>
  <c r="M138" i="64"/>
  <c r="K138" i="64"/>
  <c r="I138" i="64"/>
  <c r="R137" i="64"/>
  <c r="S137" i="64" s="1"/>
  <c r="Q137" i="64"/>
  <c r="P137" i="64"/>
  <c r="M137" i="64"/>
  <c r="K137" i="64"/>
  <c r="I137" i="64"/>
  <c r="S136" i="64"/>
  <c r="R136" i="64"/>
  <c r="Q136" i="64"/>
  <c r="P136" i="64"/>
  <c r="M136" i="64"/>
  <c r="K136" i="64"/>
  <c r="I136" i="64"/>
  <c r="R135" i="64"/>
  <c r="S135" i="64" s="1"/>
  <c r="Q135" i="64"/>
  <c r="P135" i="64"/>
  <c r="M135" i="64"/>
  <c r="K135" i="64"/>
  <c r="I135" i="64"/>
  <c r="R134" i="64"/>
  <c r="S134" i="64" s="1"/>
  <c r="Q134" i="64"/>
  <c r="P134" i="64"/>
  <c r="M134" i="64"/>
  <c r="K134" i="64"/>
  <c r="I134" i="64"/>
  <c r="R133" i="64"/>
  <c r="S133" i="64" s="1"/>
  <c r="Q133" i="64"/>
  <c r="P133" i="64"/>
  <c r="M133" i="64"/>
  <c r="K133" i="64"/>
  <c r="I133" i="64"/>
  <c r="R132" i="64"/>
  <c r="S132" i="64" s="1"/>
  <c r="Q132" i="64"/>
  <c r="P132" i="64"/>
  <c r="M132" i="64"/>
  <c r="K132" i="64"/>
  <c r="I132" i="64"/>
  <c r="R131" i="64"/>
  <c r="S131" i="64" s="1"/>
  <c r="Q131" i="64"/>
  <c r="P131" i="64"/>
  <c r="M131" i="64"/>
  <c r="K131" i="64"/>
  <c r="I131" i="64"/>
  <c r="R130" i="64"/>
  <c r="S130" i="64" s="1"/>
  <c r="Q130" i="64"/>
  <c r="P130" i="64"/>
  <c r="M130" i="64"/>
  <c r="K130" i="64"/>
  <c r="I130" i="64"/>
  <c r="S129" i="64"/>
  <c r="R129" i="64"/>
  <c r="Q129" i="64"/>
  <c r="P129" i="64"/>
  <c r="M129" i="64"/>
  <c r="K129" i="64"/>
  <c r="I129" i="64"/>
  <c r="R128" i="64"/>
  <c r="S128" i="64" s="1"/>
  <c r="Q128" i="64"/>
  <c r="P128" i="64"/>
  <c r="M128" i="64"/>
  <c r="K128" i="64"/>
  <c r="I128" i="64"/>
  <c r="R127" i="64"/>
  <c r="S127" i="64" s="1"/>
  <c r="Q127" i="64"/>
  <c r="P127" i="64"/>
  <c r="M127" i="64"/>
  <c r="K127" i="64"/>
  <c r="I127" i="64"/>
  <c r="R122" i="64"/>
  <c r="S122" i="64" s="1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R105" i="64"/>
  <c r="S105" i="64" s="1"/>
  <c r="Q105" i="64"/>
  <c r="P105" i="64"/>
  <c r="M105" i="64"/>
  <c r="K105" i="64"/>
  <c r="I105" i="64"/>
  <c r="R104" i="64"/>
  <c r="S104" i="64" s="1"/>
  <c r="Q104" i="64"/>
  <c r="P104" i="64"/>
  <c r="M104" i="64"/>
  <c r="K104" i="64"/>
  <c r="I104" i="64"/>
  <c r="R103" i="64"/>
  <c r="S103" i="64" s="1"/>
  <c r="Q103" i="64"/>
  <c r="P103" i="64"/>
  <c r="M103" i="64"/>
  <c r="K103" i="64"/>
  <c r="I103" i="64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S80" i="64"/>
  <c r="R80" i="64"/>
  <c r="Q80" i="64"/>
  <c r="P80" i="64"/>
  <c r="M80" i="64"/>
  <c r="K80" i="64"/>
  <c r="I80" i="64"/>
  <c r="R79" i="64"/>
  <c r="S79" i="64" s="1"/>
  <c r="Q79" i="64"/>
  <c r="P79" i="64"/>
  <c r="M79" i="64"/>
  <c r="K79" i="64"/>
  <c r="I79" i="64"/>
  <c r="P55" i="64"/>
  <c r="P56" i="64"/>
  <c r="P57" i="64"/>
  <c r="P58" i="64"/>
  <c r="P59" i="64"/>
  <c r="P60" i="64"/>
  <c r="P61" i="64"/>
  <c r="P62" i="64"/>
  <c r="P63" i="64"/>
  <c r="P64" i="64"/>
  <c r="P65" i="64"/>
  <c r="P66" i="64"/>
  <c r="P67" i="64"/>
  <c r="P68" i="64"/>
  <c r="P69" i="64"/>
  <c r="P70" i="64"/>
  <c r="P71" i="64"/>
  <c r="P72" i="64"/>
  <c r="P73" i="64"/>
  <c r="P74" i="64"/>
  <c r="S26" i="64"/>
  <c r="R26" i="64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S20" i="64"/>
  <c r="R20" i="64"/>
  <c r="Q20" i="64"/>
  <c r="P20" i="64"/>
  <c r="M20" i="64"/>
  <c r="K20" i="64"/>
  <c r="I20" i="64"/>
  <c r="S19" i="64"/>
  <c r="R19" i="64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S16" i="64"/>
  <c r="R16" i="64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S9" i="64"/>
  <c r="R9" i="64"/>
  <c r="Q9" i="64"/>
  <c r="P9" i="64"/>
  <c r="M9" i="64"/>
  <c r="K9" i="64"/>
  <c r="I9" i="64"/>
  <c r="R8" i="64"/>
  <c r="S8" i="64" s="1"/>
  <c r="Q8" i="64"/>
  <c r="P8" i="64"/>
  <c r="M8" i="64"/>
  <c r="K8" i="64"/>
  <c r="I8" i="64"/>
  <c r="R7" i="64"/>
  <c r="S7" i="64" s="1"/>
  <c r="Q7" i="64"/>
  <c r="P7" i="64"/>
  <c r="M7" i="64"/>
  <c r="K7" i="64"/>
  <c r="I7" i="64"/>
  <c r="K146" i="63"/>
  <c r="I146" i="63"/>
  <c r="K145" i="63"/>
  <c r="I145" i="63"/>
  <c r="K144" i="63"/>
  <c r="I144" i="63"/>
  <c r="K143" i="63"/>
  <c r="I143" i="63"/>
  <c r="K142" i="63"/>
  <c r="I142" i="63"/>
  <c r="K141" i="63"/>
  <c r="I141" i="63"/>
  <c r="K140" i="63"/>
  <c r="I140" i="63"/>
  <c r="K139" i="63"/>
  <c r="I139" i="63"/>
  <c r="K138" i="63"/>
  <c r="I138" i="63"/>
  <c r="K137" i="63"/>
  <c r="I137" i="63"/>
  <c r="K136" i="63"/>
  <c r="I136" i="63"/>
  <c r="K135" i="63"/>
  <c r="I135" i="63"/>
  <c r="K134" i="63"/>
  <c r="I134" i="63"/>
  <c r="K133" i="63"/>
  <c r="I133" i="63"/>
  <c r="K132" i="63"/>
  <c r="I132" i="63"/>
  <c r="K131" i="63"/>
  <c r="I131" i="63"/>
  <c r="K130" i="63"/>
  <c r="I130" i="63"/>
  <c r="K129" i="63"/>
  <c r="I129" i="63"/>
  <c r="K128" i="63"/>
  <c r="I128" i="63"/>
  <c r="K127" i="63"/>
  <c r="I127" i="63"/>
  <c r="K122" i="63"/>
  <c r="I122" i="63"/>
  <c r="K121" i="63"/>
  <c r="I121" i="63"/>
  <c r="K120" i="63"/>
  <c r="I120" i="63"/>
  <c r="K119" i="63"/>
  <c r="I119" i="63"/>
  <c r="K118" i="63"/>
  <c r="I118" i="63"/>
  <c r="K117" i="63"/>
  <c r="I117" i="63"/>
  <c r="K116" i="63"/>
  <c r="I116" i="63"/>
  <c r="K115" i="63"/>
  <c r="I115" i="63"/>
  <c r="K114" i="63"/>
  <c r="I114" i="63"/>
  <c r="K113" i="63"/>
  <c r="I113" i="63"/>
  <c r="K112" i="63"/>
  <c r="I112" i="63"/>
  <c r="K111" i="63"/>
  <c r="I111" i="63"/>
  <c r="K110" i="63"/>
  <c r="I110" i="63"/>
  <c r="K109" i="63"/>
  <c r="I109" i="63"/>
  <c r="K108" i="63"/>
  <c r="I108" i="63"/>
  <c r="K107" i="63"/>
  <c r="I107" i="63"/>
  <c r="K106" i="63"/>
  <c r="I106" i="63"/>
  <c r="K105" i="63"/>
  <c r="I105" i="63"/>
  <c r="K104" i="63"/>
  <c r="I104" i="63"/>
  <c r="K103" i="63"/>
  <c r="I103" i="63"/>
  <c r="K98" i="63"/>
  <c r="I98" i="63"/>
  <c r="K97" i="63"/>
  <c r="I97" i="63"/>
  <c r="K96" i="63"/>
  <c r="I96" i="63"/>
  <c r="K95" i="63"/>
  <c r="I95" i="63"/>
  <c r="K94" i="63"/>
  <c r="I94" i="63"/>
  <c r="K93" i="63"/>
  <c r="I93" i="63"/>
  <c r="K92" i="63"/>
  <c r="I92" i="63"/>
  <c r="K91" i="63"/>
  <c r="I91" i="63"/>
  <c r="K90" i="63"/>
  <c r="I90" i="63"/>
  <c r="K89" i="63"/>
  <c r="I89" i="63"/>
  <c r="K88" i="63"/>
  <c r="I88" i="63"/>
  <c r="K87" i="63"/>
  <c r="I87" i="63"/>
  <c r="K86" i="63"/>
  <c r="I86" i="63"/>
  <c r="K85" i="63"/>
  <c r="I85" i="63"/>
  <c r="K84" i="63"/>
  <c r="I84" i="63"/>
  <c r="K83" i="63"/>
  <c r="I83" i="63"/>
  <c r="K82" i="63"/>
  <c r="I82" i="63"/>
  <c r="K81" i="63"/>
  <c r="I81" i="63"/>
  <c r="K80" i="63"/>
  <c r="I80" i="63"/>
  <c r="K79" i="63"/>
  <c r="I79" i="63"/>
  <c r="I56" i="63"/>
  <c r="K56" i="63"/>
  <c r="I57" i="63"/>
  <c r="K57" i="63"/>
  <c r="I58" i="63"/>
  <c r="K58" i="63"/>
  <c r="I59" i="63"/>
  <c r="K59" i="63"/>
  <c r="I60" i="63"/>
  <c r="K60" i="63"/>
  <c r="I61" i="63"/>
  <c r="K61" i="63"/>
  <c r="I62" i="63"/>
  <c r="K62" i="63"/>
  <c r="I63" i="63"/>
  <c r="K63" i="63"/>
  <c r="I64" i="63"/>
  <c r="K64" i="63"/>
  <c r="I65" i="63"/>
  <c r="K65" i="63"/>
  <c r="I66" i="63"/>
  <c r="K66" i="63"/>
  <c r="I67" i="63"/>
  <c r="K67" i="63"/>
  <c r="I68" i="63"/>
  <c r="K68" i="63"/>
  <c r="I69" i="63"/>
  <c r="K69" i="63"/>
  <c r="I70" i="63"/>
  <c r="K70" i="63"/>
  <c r="I71" i="63"/>
  <c r="K71" i="63"/>
  <c r="I72" i="63"/>
  <c r="K72" i="63"/>
  <c r="I73" i="63"/>
  <c r="K73" i="63"/>
  <c r="I74" i="63"/>
  <c r="K74" i="63"/>
  <c r="Q146" i="63"/>
  <c r="S146" i="63" s="1"/>
  <c r="P146" i="63"/>
  <c r="M146" i="63"/>
  <c r="Q145" i="63"/>
  <c r="R145" i="63" s="1"/>
  <c r="P145" i="63"/>
  <c r="M145" i="63"/>
  <c r="Q144" i="63"/>
  <c r="S144" i="63" s="1"/>
  <c r="P144" i="63"/>
  <c r="M144" i="63"/>
  <c r="Q143" i="63"/>
  <c r="S143" i="63" s="1"/>
  <c r="P143" i="63"/>
  <c r="M143" i="63"/>
  <c r="Q142" i="63"/>
  <c r="S142" i="63" s="1"/>
  <c r="P142" i="63"/>
  <c r="M142" i="63"/>
  <c r="Q141" i="63"/>
  <c r="S141" i="63" s="1"/>
  <c r="P141" i="63"/>
  <c r="M141" i="63"/>
  <c r="Q140" i="63"/>
  <c r="R140" i="63" s="1"/>
  <c r="P140" i="63"/>
  <c r="M140" i="63"/>
  <c r="Q139" i="63"/>
  <c r="S139" i="63" s="1"/>
  <c r="P139" i="63"/>
  <c r="M139" i="63"/>
  <c r="R138" i="63"/>
  <c r="Q138" i="63"/>
  <c r="S138" i="63" s="1"/>
  <c r="P138" i="63"/>
  <c r="M138" i="63"/>
  <c r="Q137" i="63"/>
  <c r="S137" i="63" s="1"/>
  <c r="P137" i="63"/>
  <c r="M137" i="63"/>
  <c r="Q136" i="63"/>
  <c r="R136" i="63" s="1"/>
  <c r="P136" i="63"/>
  <c r="M136" i="63"/>
  <c r="Q135" i="63"/>
  <c r="S135" i="63" s="1"/>
  <c r="P135" i="63"/>
  <c r="M135" i="63"/>
  <c r="Q134" i="63"/>
  <c r="R134" i="63" s="1"/>
  <c r="P134" i="63"/>
  <c r="M134" i="63"/>
  <c r="Q133" i="63"/>
  <c r="S133" i="63" s="1"/>
  <c r="P133" i="63"/>
  <c r="M133" i="63"/>
  <c r="Q132" i="63"/>
  <c r="S132" i="63" s="1"/>
  <c r="P132" i="63"/>
  <c r="M132" i="63"/>
  <c r="Q131" i="63"/>
  <c r="S131" i="63" s="1"/>
  <c r="P131" i="63"/>
  <c r="M131" i="63"/>
  <c r="S130" i="63"/>
  <c r="R130" i="63"/>
  <c r="Q130" i="63"/>
  <c r="P130" i="63"/>
  <c r="M130" i="63"/>
  <c r="Q129" i="63"/>
  <c r="S129" i="63" s="1"/>
  <c r="P129" i="63"/>
  <c r="M129" i="63"/>
  <c r="Q128" i="63"/>
  <c r="R128" i="63" s="1"/>
  <c r="P128" i="63"/>
  <c r="M128" i="63"/>
  <c r="S127" i="63"/>
  <c r="R127" i="63"/>
  <c r="Q127" i="63"/>
  <c r="P127" i="63"/>
  <c r="M127" i="63"/>
  <c r="Q122" i="63"/>
  <c r="S122" i="63" s="1"/>
  <c r="P122" i="63"/>
  <c r="M122" i="63"/>
  <c r="Q121" i="63"/>
  <c r="R121" i="63" s="1"/>
  <c r="P121" i="63"/>
  <c r="M121" i="63"/>
  <c r="Q120" i="63"/>
  <c r="R120" i="63" s="1"/>
  <c r="P120" i="63"/>
  <c r="M120" i="63"/>
  <c r="Q119" i="63"/>
  <c r="S119" i="63" s="1"/>
  <c r="P119" i="63"/>
  <c r="M119" i="63"/>
  <c r="Q118" i="63"/>
  <c r="S118" i="63" s="1"/>
  <c r="P118" i="63"/>
  <c r="M118" i="63"/>
  <c r="Q117" i="63"/>
  <c r="R117" i="63" s="1"/>
  <c r="P117" i="63"/>
  <c r="M117" i="63"/>
  <c r="Q116" i="63"/>
  <c r="S116" i="63" s="1"/>
  <c r="P116" i="63"/>
  <c r="M116" i="63"/>
  <c r="Q115" i="63"/>
  <c r="R115" i="63" s="1"/>
  <c r="P115" i="63"/>
  <c r="M115" i="63"/>
  <c r="Q114" i="63"/>
  <c r="S114" i="63" s="1"/>
  <c r="P114" i="63"/>
  <c r="M114" i="63"/>
  <c r="Q113" i="63"/>
  <c r="S113" i="63" s="1"/>
  <c r="P113" i="63"/>
  <c r="M113" i="63"/>
  <c r="Q112" i="63"/>
  <c r="S112" i="63" s="1"/>
  <c r="P112" i="63"/>
  <c r="M112" i="63"/>
  <c r="Q111" i="63"/>
  <c r="R111" i="63" s="1"/>
  <c r="P111" i="63"/>
  <c r="M111" i="63"/>
  <c r="Q110" i="63"/>
  <c r="R110" i="63" s="1"/>
  <c r="P110" i="63"/>
  <c r="M110" i="63"/>
  <c r="Q109" i="63"/>
  <c r="R109" i="63" s="1"/>
  <c r="P109" i="63"/>
  <c r="M109" i="63"/>
  <c r="Q108" i="63"/>
  <c r="S108" i="63" s="1"/>
  <c r="P108" i="63"/>
  <c r="M108" i="63"/>
  <c r="Q107" i="63"/>
  <c r="R107" i="63" s="1"/>
  <c r="P107" i="63"/>
  <c r="M107" i="63"/>
  <c r="Q106" i="63"/>
  <c r="S106" i="63" s="1"/>
  <c r="P106" i="63"/>
  <c r="M106" i="63"/>
  <c r="Q105" i="63"/>
  <c r="S105" i="63" s="1"/>
  <c r="P105" i="63"/>
  <c r="M105" i="63"/>
  <c r="Q104" i="63"/>
  <c r="R104" i="63" s="1"/>
  <c r="P104" i="63"/>
  <c r="M104" i="63"/>
  <c r="Q103" i="63"/>
  <c r="R103" i="63" s="1"/>
  <c r="P103" i="63"/>
  <c r="M103" i="63"/>
  <c r="Q98" i="63"/>
  <c r="R98" i="63" s="1"/>
  <c r="P98" i="63"/>
  <c r="M98" i="63"/>
  <c r="Q97" i="63"/>
  <c r="S97" i="63" s="1"/>
  <c r="P97" i="63"/>
  <c r="M97" i="63"/>
  <c r="Q96" i="63"/>
  <c r="R96" i="63" s="1"/>
  <c r="P96" i="63"/>
  <c r="M96" i="63"/>
  <c r="Q95" i="63"/>
  <c r="S95" i="63" s="1"/>
  <c r="P95" i="63"/>
  <c r="M95" i="63"/>
  <c r="Q94" i="63"/>
  <c r="R94" i="63" s="1"/>
  <c r="P94" i="63"/>
  <c r="M94" i="63"/>
  <c r="Q93" i="63"/>
  <c r="S93" i="63" s="1"/>
  <c r="P93" i="63"/>
  <c r="M93" i="63"/>
  <c r="Q92" i="63"/>
  <c r="S92" i="63" s="1"/>
  <c r="P92" i="63"/>
  <c r="M92" i="63"/>
  <c r="Q91" i="63"/>
  <c r="S91" i="63" s="1"/>
  <c r="P91" i="63"/>
  <c r="M91" i="63"/>
  <c r="Q90" i="63"/>
  <c r="R90" i="63" s="1"/>
  <c r="P90" i="63"/>
  <c r="M90" i="63"/>
  <c r="Q89" i="63"/>
  <c r="R89" i="63" s="1"/>
  <c r="P89" i="63"/>
  <c r="M89" i="63"/>
  <c r="Q88" i="63"/>
  <c r="R88" i="63" s="1"/>
  <c r="P88" i="63"/>
  <c r="M88" i="63"/>
  <c r="Q87" i="63"/>
  <c r="S87" i="63" s="1"/>
  <c r="P87" i="63"/>
  <c r="M87" i="63"/>
  <c r="Q86" i="63"/>
  <c r="S86" i="63" s="1"/>
  <c r="P86" i="63"/>
  <c r="M86" i="63"/>
  <c r="Q85" i="63"/>
  <c r="S85" i="63" s="1"/>
  <c r="P85" i="63"/>
  <c r="M85" i="63"/>
  <c r="Q84" i="63"/>
  <c r="R84" i="63" s="1"/>
  <c r="P84" i="63"/>
  <c r="M84" i="63"/>
  <c r="Q83" i="63"/>
  <c r="S83" i="63" s="1"/>
  <c r="P83" i="63"/>
  <c r="M83" i="63"/>
  <c r="Q82" i="63"/>
  <c r="S82" i="63" s="1"/>
  <c r="P82" i="63"/>
  <c r="M82" i="63"/>
  <c r="Q81" i="63"/>
  <c r="R81" i="63" s="1"/>
  <c r="P81" i="63"/>
  <c r="M81" i="63"/>
  <c r="Q80" i="63"/>
  <c r="R80" i="63" s="1"/>
  <c r="P80" i="63"/>
  <c r="M80" i="63"/>
  <c r="Q79" i="63"/>
  <c r="S79" i="63" s="1"/>
  <c r="P79" i="63"/>
  <c r="M79" i="63"/>
  <c r="Q74" i="63"/>
  <c r="R74" i="63" s="1"/>
  <c r="P74" i="63"/>
  <c r="M74" i="63"/>
  <c r="Q73" i="63"/>
  <c r="R73" i="63" s="1"/>
  <c r="P73" i="63"/>
  <c r="M73" i="63"/>
  <c r="Q72" i="63"/>
  <c r="S72" i="63" s="1"/>
  <c r="P72" i="63"/>
  <c r="M72" i="63"/>
  <c r="Q71" i="63"/>
  <c r="S71" i="63" s="1"/>
  <c r="P71" i="63"/>
  <c r="M71" i="63"/>
  <c r="Q70" i="63"/>
  <c r="S70" i="63" s="1"/>
  <c r="P70" i="63"/>
  <c r="M70" i="63"/>
  <c r="Q69" i="63"/>
  <c r="S69" i="63" s="1"/>
  <c r="P69" i="63"/>
  <c r="M69" i="63"/>
  <c r="Q68" i="63"/>
  <c r="S68" i="63" s="1"/>
  <c r="P68" i="63"/>
  <c r="M68" i="63"/>
  <c r="Q67" i="63"/>
  <c r="S67" i="63" s="1"/>
  <c r="P67" i="63"/>
  <c r="M67" i="63"/>
  <c r="Q66" i="63"/>
  <c r="S66" i="63" s="1"/>
  <c r="P66" i="63"/>
  <c r="M66" i="63"/>
  <c r="Q65" i="63"/>
  <c r="S65" i="63" s="1"/>
  <c r="P65" i="63"/>
  <c r="M65" i="63"/>
  <c r="Q64" i="63"/>
  <c r="S64" i="63" s="1"/>
  <c r="P64" i="63"/>
  <c r="M64" i="63"/>
  <c r="Q63" i="63"/>
  <c r="S63" i="63" s="1"/>
  <c r="P63" i="63"/>
  <c r="M63" i="63"/>
  <c r="Q62" i="63"/>
  <c r="R62" i="63" s="1"/>
  <c r="P62" i="63"/>
  <c r="M62" i="63"/>
  <c r="Q61" i="63"/>
  <c r="S61" i="63" s="1"/>
  <c r="P61" i="63"/>
  <c r="M61" i="63"/>
  <c r="Q60" i="63"/>
  <c r="S60" i="63" s="1"/>
  <c r="P60" i="63"/>
  <c r="M60" i="63"/>
  <c r="Q59" i="63"/>
  <c r="S59" i="63" s="1"/>
  <c r="P59" i="63"/>
  <c r="M59" i="63"/>
  <c r="Q58" i="63"/>
  <c r="R58" i="63" s="1"/>
  <c r="P58" i="63"/>
  <c r="M58" i="63"/>
  <c r="Q57" i="63"/>
  <c r="R57" i="63" s="1"/>
  <c r="P57" i="63"/>
  <c r="M57" i="63"/>
  <c r="Q56" i="63"/>
  <c r="S56" i="63" s="1"/>
  <c r="P56" i="63"/>
  <c r="M56" i="63"/>
  <c r="Q55" i="63"/>
  <c r="S55" i="63" s="1"/>
  <c r="P55" i="63"/>
  <c r="M55" i="63"/>
  <c r="K55" i="63"/>
  <c r="I55" i="63"/>
  <c r="Q26" i="63"/>
  <c r="S26" i="63" s="1"/>
  <c r="P26" i="63"/>
  <c r="M26" i="63"/>
  <c r="K26" i="63"/>
  <c r="I26" i="63"/>
  <c r="Q25" i="63"/>
  <c r="S25" i="63" s="1"/>
  <c r="P25" i="63"/>
  <c r="M25" i="63"/>
  <c r="K25" i="63"/>
  <c r="I25" i="63"/>
  <c r="Q24" i="63"/>
  <c r="R24" i="63" s="1"/>
  <c r="P24" i="63"/>
  <c r="M24" i="63"/>
  <c r="K24" i="63"/>
  <c r="I24" i="63"/>
  <c r="Q23" i="63"/>
  <c r="S23" i="63" s="1"/>
  <c r="P23" i="63"/>
  <c r="M23" i="63"/>
  <c r="K23" i="63"/>
  <c r="I23" i="63"/>
  <c r="Q22" i="63"/>
  <c r="S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S19" i="63" s="1"/>
  <c r="P19" i="63"/>
  <c r="M19" i="63"/>
  <c r="K19" i="63"/>
  <c r="I19" i="63"/>
  <c r="Q18" i="63"/>
  <c r="S18" i="63" s="1"/>
  <c r="P18" i="63"/>
  <c r="M18" i="63"/>
  <c r="K18" i="63"/>
  <c r="I18" i="63"/>
  <c r="S17" i="63"/>
  <c r="R17" i="63"/>
  <c r="Q17" i="63"/>
  <c r="P17" i="63"/>
  <c r="M17" i="63"/>
  <c r="K17" i="63"/>
  <c r="I17" i="63"/>
  <c r="Q16" i="63"/>
  <c r="S16" i="63" s="1"/>
  <c r="P16" i="63"/>
  <c r="M16" i="63"/>
  <c r="K16" i="63"/>
  <c r="I16" i="63"/>
  <c r="Q15" i="63"/>
  <c r="R15" i="63" s="1"/>
  <c r="P15" i="63"/>
  <c r="M15" i="63"/>
  <c r="K15" i="63"/>
  <c r="I15" i="63"/>
  <c r="S14" i="63"/>
  <c r="Q14" i="63"/>
  <c r="R14" i="63" s="1"/>
  <c r="P14" i="63"/>
  <c r="M14" i="63"/>
  <c r="K14" i="63"/>
  <c r="I14" i="63"/>
  <c r="Q13" i="63"/>
  <c r="R13" i="63" s="1"/>
  <c r="P13" i="63"/>
  <c r="M13" i="63"/>
  <c r="K13" i="63"/>
  <c r="I13" i="63"/>
  <c r="S12" i="63"/>
  <c r="R12" i="63"/>
  <c r="Q12" i="63"/>
  <c r="P12" i="63"/>
  <c r="M12" i="63"/>
  <c r="K12" i="63"/>
  <c r="I12" i="63"/>
  <c r="S11" i="63"/>
  <c r="R11" i="63"/>
  <c r="Q11" i="63"/>
  <c r="P11" i="63"/>
  <c r="M11" i="63"/>
  <c r="K11" i="63"/>
  <c r="I11" i="63"/>
  <c r="Q10" i="63"/>
  <c r="S10" i="63" s="1"/>
  <c r="P10" i="63"/>
  <c r="M10" i="63"/>
  <c r="K10" i="63"/>
  <c r="I10" i="63"/>
  <c r="S9" i="63"/>
  <c r="Q9" i="63"/>
  <c r="R9" i="63" s="1"/>
  <c r="P9" i="63"/>
  <c r="M9" i="63"/>
  <c r="K9" i="63"/>
  <c r="I9" i="63"/>
  <c r="S8" i="63"/>
  <c r="Q8" i="63"/>
  <c r="R8" i="63" s="1"/>
  <c r="P8" i="63"/>
  <c r="M8" i="63"/>
  <c r="K8" i="63"/>
  <c r="I8" i="63"/>
  <c r="Q7" i="63"/>
  <c r="S7" i="63" s="1"/>
  <c r="P7" i="63"/>
  <c r="M7" i="63"/>
  <c r="K7" i="63"/>
  <c r="I7" i="63"/>
  <c r="J53" i="23"/>
  <c r="J52" i="23"/>
  <c r="J51" i="23"/>
  <c r="J50" i="23"/>
  <c r="J49" i="23"/>
  <c r="J48" i="23"/>
  <c r="J47" i="23"/>
  <c r="J46" i="23"/>
  <c r="J45" i="23"/>
  <c r="J41" i="23"/>
  <c r="J40" i="23"/>
  <c r="J39" i="23"/>
  <c r="J38" i="23"/>
  <c r="J37" i="23"/>
  <c r="J36" i="23"/>
  <c r="J35" i="23"/>
  <c r="J34" i="23"/>
  <c r="J46" i="22"/>
  <c r="J45" i="22"/>
  <c r="J35" i="22"/>
  <c r="J34" i="22"/>
  <c r="J52" i="15"/>
  <c r="J49" i="15"/>
  <c r="J48" i="15"/>
  <c r="J47" i="15"/>
  <c r="J46" i="15"/>
  <c r="J45" i="15"/>
  <c r="J43" i="15"/>
  <c r="J42" i="15"/>
  <c r="J41" i="15"/>
  <c r="J40" i="15"/>
  <c r="J39" i="15"/>
  <c r="J38" i="15"/>
  <c r="J36" i="15"/>
  <c r="J37" i="15"/>
  <c r="J35" i="15"/>
  <c r="J34" i="15"/>
  <c r="J34" i="25"/>
  <c r="B34" i="25"/>
  <c r="A34" i="25"/>
  <c r="AW27" i="52"/>
  <c r="AR27" i="52"/>
  <c r="AM27" i="52"/>
  <c r="AH27" i="52"/>
  <c r="AC27" i="52"/>
  <c r="X27" i="52"/>
  <c r="S27" i="52"/>
  <c r="M27" i="52"/>
  <c r="AX27" i="52"/>
  <c r="AV27" i="52"/>
  <c r="AQ27" i="52"/>
  <c r="AS27" i="52" s="1"/>
  <c r="AL27" i="52"/>
  <c r="AN27" i="52" s="1"/>
  <c r="AG27" i="52"/>
  <c r="AI27" i="52" s="1"/>
  <c r="AD27" i="52"/>
  <c r="AB27" i="52"/>
  <c r="W27" i="52"/>
  <c r="Y27" i="52" s="1"/>
  <c r="R27" i="52"/>
  <c r="K27" i="52" s="1"/>
  <c r="J27" i="52"/>
  <c r="I27" i="52"/>
  <c r="G27" i="52"/>
  <c r="H27" i="52" s="1"/>
  <c r="P23" i="51"/>
  <c r="P23" i="50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K33" i="49" s="1"/>
  <c r="AQ33" i="49"/>
  <c r="AL33" i="49"/>
  <c r="AG33" i="49"/>
  <c r="AB33" i="49"/>
  <c r="W33" i="49"/>
  <c r="R33" i="49"/>
  <c r="J33" i="49"/>
  <c r="I33" i="49"/>
  <c r="G33" i="49"/>
  <c r="AV32" i="49"/>
  <c r="K32" i="49" s="1"/>
  <c r="AQ32" i="49"/>
  <c r="AL32" i="49"/>
  <c r="AG32" i="49"/>
  <c r="AI27" i="49" s="1"/>
  <c r="AB32" i="49"/>
  <c r="W32" i="49"/>
  <c r="R32" i="49"/>
  <c r="J32" i="49"/>
  <c r="I32" i="49"/>
  <c r="G32" i="49"/>
  <c r="AV31" i="49"/>
  <c r="AQ31" i="49"/>
  <c r="K31" i="49" s="1"/>
  <c r="AL31" i="49"/>
  <c r="AG31" i="49"/>
  <c r="AB31" i="49"/>
  <c r="W31" i="49"/>
  <c r="R31" i="49"/>
  <c r="J31" i="49"/>
  <c r="I31" i="49"/>
  <c r="G31" i="49"/>
  <c r="AV30" i="49"/>
  <c r="AQ30" i="49"/>
  <c r="K30" i="49" s="1"/>
  <c r="AL30" i="49"/>
  <c r="AG30" i="49"/>
  <c r="AB30" i="49"/>
  <c r="W30" i="49"/>
  <c r="R30" i="49"/>
  <c r="J30" i="49"/>
  <c r="I30" i="49"/>
  <c r="G30" i="49"/>
  <c r="AV29" i="49"/>
  <c r="AQ29" i="49"/>
  <c r="AL29" i="49"/>
  <c r="K29" i="49" s="1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X27" i="49" s="1"/>
  <c r="AQ27" i="49"/>
  <c r="AS27" i="49" s="1"/>
  <c r="AL27" i="49"/>
  <c r="AG27" i="49"/>
  <c r="AB27" i="49"/>
  <c r="W27" i="49"/>
  <c r="Y27" i="49" s="1"/>
  <c r="R27" i="49"/>
  <c r="T27" i="49" s="1"/>
  <c r="J27" i="49"/>
  <c r="I27" i="49"/>
  <c r="G27" i="49"/>
  <c r="H27" i="49" s="1"/>
  <c r="AW34" i="48"/>
  <c r="AW33" i="48"/>
  <c r="AW32" i="48"/>
  <c r="AW31" i="48"/>
  <c r="AW30" i="48"/>
  <c r="AW29" i="48"/>
  <c r="AW28" i="48"/>
  <c r="AW27" i="48"/>
  <c r="AR34" i="48"/>
  <c r="AR33" i="48"/>
  <c r="AR32" i="48"/>
  <c r="AR31" i="48"/>
  <c r="AR30" i="48"/>
  <c r="AR29" i="48"/>
  <c r="AR28" i="48"/>
  <c r="AR27" i="48"/>
  <c r="AM34" i="48"/>
  <c r="AM33" i="48"/>
  <c r="AM32" i="48"/>
  <c r="AM31" i="48"/>
  <c r="AM30" i="48"/>
  <c r="AM29" i="48"/>
  <c r="AM28" i="48"/>
  <c r="AM27" i="48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27" i="48"/>
  <c r="M28" i="48"/>
  <c r="M29" i="48"/>
  <c r="M30" i="48"/>
  <c r="M31" i="48"/>
  <c r="M32" i="48"/>
  <c r="M33" i="48"/>
  <c r="M34" i="48"/>
  <c r="M27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K31" i="48" s="1"/>
  <c r="AQ31" i="48"/>
  <c r="AL31" i="48"/>
  <c r="AG31" i="48"/>
  <c r="AB31" i="48"/>
  <c r="W31" i="48"/>
  <c r="R31" i="48"/>
  <c r="J31" i="48"/>
  <c r="I31" i="48"/>
  <c r="G31" i="48"/>
  <c r="AV30" i="48"/>
  <c r="AQ30" i="48"/>
  <c r="K30" i="48" s="1"/>
  <c r="AL30" i="48"/>
  <c r="AG30" i="48"/>
  <c r="AB30" i="48"/>
  <c r="W30" i="48"/>
  <c r="R30" i="48"/>
  <c r="J30" i="48"/>
  <c r="I30" i="48"/>
  <c r="G30" i="48"/>
  <c r="AV29" i="48"/>
  <c r="AQ29" i="48"/>
  <c r="K29" i="48" s="1"/>
  <c r="AL29" i="48"/>
  <c r="AG29" i="48"/>
  <c r="AB29" i="48"/>
  <c r="W29" i="48"/>
  <c r="R29" i="48"/>
  <c r="J29" i="48"/>
  <c r="I29" i="48"/>
  <c r="G29" i="48"/>
  <c r="AV28" i="48"/>
  <c r="AQ28" i="48"/>
  <c r="AL28" i="48"/>
  <c r="K28" i="48" s="1"/>
  <c r="AG28" i="48"/>
  <c r="AB28" i="48"/>
  <c r="W28" i="48"/>
  <c r="R28" i="48"/>
  <c r="J28" i="48"/>
  <c r="I28" i="48"/>
  <c r="G28" i="48"/>
  <c r="AV27" i="48"/>
  <c r="AX27" i="48" s="1"/>
  <c r="AQ27" i="48"/>
  <c r="K27" i="48" s="1"/>
  <c r="AL27" i="48"/>
  <c r="AG27" i="48"/>
  <c r="AI27" i="48" s="1"/>
  <c r="AB27" i="48"/>
  <c r="AD27" i="48" s="1"/>
  <c r="W27" i="48"/>
  <c r="R27" i="48"/>
  <c r="J27" i="48"/>
  <c r="I27" i="48"/>
  <c r="H27" i="48"/>
  <c r="G27" i="48"/>
  <c r="AW29" i="47"/>
  <c r="AW28" i="47"/>
  <c r="AW27" i="47"/>
  <c r="AR29" i="47"/>
  <c r="AR28" i="47"/>
  <c r="AR27" i="47"/>
  <c r="AM29" i="47"/>
  <c r="AM28" i="47"/>
  <c r="AM27" i="47"/>
  <c r="AH29" i="47"/>
  <c r="AH28" i="47"/>
  <c r="AH27" i="47"/>
  <c r="AC29" i="47"/>
  <c r="AC28" i="47"/>
  <c r="AC27" i="47"/>
  <c r="X29" i="47"/>
  <c r="X28" i="47"/>
  <c r="X27" i="47"/>
  <c r="S28" i="47"/>
  <c r="S29" i="47"/>
  <c r="S27" i="47"/>
  <c r="M28" i="47"/>
  <c r="M29" i="47"/>
  <c r="M27" i="47"/>
  <c r="AV29" i="47"/>
  <c r="AQ29" i="47"/>
  <c r="AL29" i="47"/>
  <c r="AG29" i="47"/>
  <c r="AB29" i="47"/>
  <c r="W29" i="47"/>
  <c r="R29" i="47"/>
  <c r="J29" i="47"/>
  <c r="I29" i="47"/>
  <c r="G29" i="47"/>
  <c r="AV28" i="47"/>
  <c r="AQ28" i="47"/>
  <c r="AL28" i="47"/>
  <c r="AG28" i="47"/>
  <c r="AB28" i="47"/>
  <c r="K28" i="47" s="1"/>
  <c r="W28" i="47"/>
  <c r="R28" i="47"/>
  <c r="J28" i="47"/>
  <c r="I28" i="47"/>
  <c r="G28" i="47"/>
  <c r="AV27" i="47"/>
  <c r="AQ27" i="47"/>
  <c r="AS27" i="47" s="1"/>
  <c r="AL27" i="47"/>
  <c r="AN27" i="47" s="1"/>
  <c r="AG27" i="47"/>
  <c r="AB27" i="47"/>
  <c r="AD27" i="47" s="1"/>
  <c r="W27" i="47"/>
  <c r="Y27" i="47" s="1"/>
  <c r="R27" i="47"/>
  <c r="K27" i="47" s="1"/>
  <c r="J27" i="47"/>
  <c r="I27" i="47"/>
  <c r="G27" i="47"/>
  <c r="H27" i="47" s="1"/>
  <c r="AW28" i="46"/>
  <c r="AW27" i="46"/>
  <c r="AR28" i="46"/>
  <c r="AR27" i="46"/>
  <c r="AM28" i="46"/>
  <c r="AM27" i="46"/>
  <c r="AH28" i="46"/>
  <c r="AH27" i="46"/>
  <c r="AC28" i="46"/>
  <c r="AC27" i="46"/>
  <c r="X28" i="46"/>
  <c r="X27" i="46"/>
  <c r="S28" i="46"/>
  <c r="S27" i="46"/>
  <c r="M28" i="46"/>
  <c r="M27" i="46"/>
  <c r="AV28" i="46"/>
  <c r="AQ28" i="46"/>
  <c r="AL28" i="46"/>
  <c r="AG28" i="46"/>
  <c r="AB28" i="46"/>
  <c r="W28" i="46"/>
  <c r="R28" i="46"/>
  <c r="K28" i="46"/>
  <c r="J28" i="46"/>
  <c r="I28" i="46"/>
  <c r="G28" i="46"/>
  <c r="AX27" i="46"/>
  <c r="AV27" i="46"/>
  <c r="AQ27" i="46"/>
  <c r="AL27" i="46"/>
  <c r="AN27" i="46" s="1"/>
  <c r="AG27" i="46"/>
  <c r="AI27" i="46" s="1"/>
  <c r="AB27" i="46"/>
  <c r="AD27" i="46" s="1"/>
  <c r="W27" i="46"/>
  <c r="R27" i="46"/>
  <c r="K27" i="46" s="1"/>
  <c r="J27" i="46"/>
  <c r="I27" i="46"/>
  <c r="G27" i="46"/>
  <c r="H27" i="46" s="1"/>
  <c r="AW33" i="45"/>
  <c r="AW32" i="45"/>
  <c r="AW31" i="45"/>
  <c r="AW30" i="45"/>
  <c r="AW29" i="45"/>
  <c r="AW28" i="45"/>
  <c r="AW27" i="45"/>
  <c r="AR34" i="45"/>
  <c r="AR33" i="45"/>
  <c r="AR32" i="45"/>
  <c r="AR31" i="45"/>
  <c r="AR30" i="45"/>
  <c r="AR29" i="45"/>
  <c r="AR28" i="45"/>
  <c r="AR27" i="45"/>
  <c r="AM34" i="45"/>
  <c r="AM33" i="45"/>
  <c r="AM32" i="45"/>
  <c r="AM31" i="45"/>
  <c r="AM30" i="45"/>
  <c r="AM29" i="45"/>
  <c r="AM28" i="45"/>
  <c r="AM27" i="45"/>
  <c r="AH34" i="45"/>
  <c r="AH33" i="45"/>
  <c r="AH32" i="45"/>
  <c r="AH31" i="45"/>
  <c r="AH30" i="45"/>
  <c r="AH29" i="45"/>
  <c r="AH28" i="45"/>
  <c r="AH27" i="45"/>
  <c r="AC34" i="45"/>
  <c r="AC33" i="45"/>
  <c r="AC32" i="45"/>
  <c r="AC31" i="45"/>
  <c r="AC30" i="45"/>
  <c r="AC29" i="45"/>
  <c r="AC28" i="45"/>
  <c r="AC27" i="45"/>
  <c r="X34" i="45"/>
  <c r="X33" i="45"/>
  <c r="X32" i="45"/>
  <c r="X31" i="45"/>
  <c r="X30" i="45"/>
  <c r="X29" i="45"/>
  <c r="X28" i="45"/>
  <c r="X27" i="45"/>
  <c r="S28" i="45"/>
  <c r="S29" i="45"/>
  <c r="S30" i="45"/>
  <c r="S31" i="45"/>
  <c r="S32" i="45"/>
  <c r="S33" i="45"/>
  <c r="S34" i="45"/>
  <c r="S27" i="45"/>
  <c r="M28" i="45"/>
  <c r="M29" i="45"/>
  <c r="M30" i="45"/>
  <c r="M31" i="45"/>
  <c r="M32" i="45"/>
  <c r="M33" i="45"/>
  <c r="M34" i="45"/>
  <c r="M27" i="45"/>
  <c r="AQ34" i="45"/>
  <c r="AL34" i="45"/>
  <c r="AG34" i="45"/>
  <c r="AB34" i="45"/>
  <c r="W34" i="45"/>
  <c r="R34" i="45"/>
  <c r="K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K31" i="45" s="1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K28" i="45" s="1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AW75" i="44"/>
  <c r="AW76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45" i="44"/>
  <c r="AV76" i="44"/>
  <c r="AV75" i="44"/>
  <c r="AV74" i="44"/>
  <c r="AQ74" i="44"/>
  <c r="AL74" i="44"/>
  <c r="AG74" i="44"/>
  <c r="AB74" i="44"/>
  <c r="W74" i="44"/>
  <c r="R74" i="44"/>
  <c r="AV73" i="44"/>
  <c r="AQ73" i="44"/>
  <c r="AL73" i="44"/>
  <c r="AG73" i="44"/>
  <c r="AB73" i="44"/>
  <c r="W73" i="44"/>
  <c r="R73" i="44"/>
  <c r="AV72" i="44"/>
  <c r="AQ72" i="44"/>
  <c r="AL72" i="44"/>
  <c r="AG72" i="44"/>
  <c r="AB72" i="44"/>
  <c r="W72" i="44"/>
  <c r="R72" i="44"/>
  <c r="AV71" i="44"/>
  <c r="AQ71" i="44"/>
  <c r="AL71" i="44"/>
  <c r="AG71" i="44"/>
  <c r="AB71" i="44"/>
  <c r="W71" i="44"/>
  <c r="R71" i="44"/>
  <c r="AV70" i="44"/>
  <c r="AQ70" i="44"/>
  <c r="AL70" i="44"/>
  <c r="AG70" i="44"/>
  <c r="AB70" i="44"/>
  <c r="W70" i="44"/>
  <c r="R70" i="44"/>
  <c r="AV69" i="44"/>
  <c r="AQ69" i="44"/>
  <c r="AL69" i="44"/>
  <c r="AG69" i="44"/>
  <c r="AB69" i="44"/>
  <c r="W69" i="44"/>
  <c r="R69" i="44"/>
  <c r="AV68" i="44"/>
  <c r="AQ68" i="44"/>
  <c r="AL68" i="44"/>
  <c r="AG68" i="44"/>
  <c r="AB68" i="44"/>
  <c r="W68" i="44"/>
  <c r="R68" i="44"/>
  <c r="AV67" i="44"/>
  <c r="AQ67" i="44"/>
  <c r="AL67" i="44"/>
  <c r="AG67" i="44"/>
  <c r="AB67" i="44"/>
  <c r="W67" i="44"/>
  <c r="R67" i="44"/>
  <c r="AV66" i="44"/>
  <c r="AQ66" i="44"/>
  <c r="AL66" i="44"/>
  <c r="AG66" i="44"/>
  <c r="AB66" i="44"/>
  <c r="W66" i="44"/>
  <c r="R66" i="44"/>
  <c r="AV65" i="44"/>
  <c r="AQ65" i="44"/>
  <c r="AL65" i="44"/>
  <c r="AG65" i="44"/>
  <c r="AB65" i="44"/>
  <c r="W65" i="44"/>
  <c r="R65" i="44"/>
  <c r="AV64" i="44"/>
  <c r="AQ64" i="44"/>
  <c r="AL64" i="44"/>
  <c r="AG64" i="44"/>
  <c r="AB64" i="44"/>
  <c r="W64" i="44"/>
  <c r="R64" i="44"/>
  <c r="AV63" i="44"/>
  <c r="AQ63" i="44"/>
  <c r="AL63" i="44"/>
  <c r="AG63" i="44"/>
  <c r="AB63" i="44"/>
  <c r="W63" i="44"/>
  <c r="R63" i="44"/>
  <c r="AV62" i="44"/>
  <c r="AQ62" i="44"/>
  <c r="AL62" i="44"/>
  <c r="AG62" i="44"/>
  <c r="AB62" i="44"/>
  <c r="W62" i="44"/>
  <c r="R62" i="44"/>
  <c r="AV61" i="44"/>
  <c r="AQ61" i="44"/>
  <c r="AL61" i="44"/>
  <c r="AG61" i="44"/>
  <c r="AB61" i="44"/>
  <c r="W61" i="44"/>
  <c r="R61" i="44"/>
  <c r="AV60" i="44"/>
  <c r="AQ60" i="44"/>
  <c r="AL60" i="44"/>
  <c r="AG60" i="44"/>
  <c r="AB60" i="44"/>
  <c r="W60" i="44"/>
  <c r="R60" i="44"/>
  <c r="AV59" i="44"/>
  <c r="AQ59" i="44"/>
  <c r="AL59" i="44"/>
  <c r="K59" i="44" s="1"/>
  <c r="AG59" i="44"/>
  <c r="AB59" i="44"/>
  <c r="W59" i="44"/>
  <c r="R59" i="44"/>
  <c r="AV58" i="44"/>
  <c r="AQ58" i="44"/>
  <c r="AL58" i="44"/>
  <c r="AG58" i="44"/>
  <c r="AB58" i="44"/>
  <c r="W58" i="44"/>
  <c r="R58" i="44"/>
  <c r="AV57" i="44"/>
  <c r="AQ57" i="44"/>
  <c r="AL57" i="44"/>
  <c r="AG57" i="44"/>
  <c r="AB57" i="44"/>
  <c r="W57" i="44"/>
  <c r="R57" i="44"/>
  <c r="AV56" i="44"/>
  <c r="AQ56" i="44"/>
  <c r="AL56" i="44"/>
  <c r="AG56" i="44"/>
  <c r="AB56" i="44"/>
  <c r="W56" i="44"/>
  <c r="R56" i="44"/>
  <c r="AV55" i="44"/>
  <c r="AQ55" i="44"/>
  <c r="AL55" i="44"/>
  <c r="AG55" i="44"/>
  <c r="AB55" i="44"/>
  <c r="K55" i="44" s="1"/>
  <c r="W55" i="44"/>
  <c r="R55" i="44"/>
  <c r="AV54" i="44"/>
  <c r="AQ54" i="44"/>
  <c r="AL54" i="44"/>
  <c r="AG54" i="44"/>
  <c r="AB54" i="44"/>
  <c r="W54" i="44"/>
  <c r="R54" i="44"/>
  <c r="AV53" i="44"/>
  <c r="AQ53" i="44"/>
  <c r="AL53" i="44"/>
  <c r="AG53" i="44"/>
  <c r="AB53" i="44"/>
  <c r="W53" i="44"/>
  <c r="R53" i="44"/>
  <c r="AV52" i="44"/>
  <c r="AQ52" i="44"/>
  <c r="AL52" i="44"/>
  <c r="AG52" i="44"/>
  <c r="AB52" i="44"/>
  <c r="W52" i="44"/>
  <c r="R52" i="44"/>
  <c r="AV51" i="44"/>
  <c r="AQ51" i="44"/>
  <c r="AL51" i="44"/>
  <c r="AG51" i="44"/>
  <c r="AB51" i="44"/>
  <c r="W51" i="44"/>
  <c r="R51" i="44"/>
  <c r="AV50" i="44"/>
  <c r="AQ50" i="44"/>
  <c r="AL50" i="44"/>
  <c r="AG50" i="44"/>
  <c r="AB50" i="44"/>
  <c r="W50" i="44"/>
  <c r="R50" i="44"/>
  <c r="AV49" i="44"/>
  <c r="AQ49" i="44"/>
  <c r="AL49" i="44"/>
  <c r="AG49" i="44"/>
  <c r="AB49" i="44"/>
  <c r="W49" i="44"/>
  <c r="R49" i="44"/>
  <c r="AV48" i="44"/>
  <c r="AQ48" i="44"/>
  <c r="AL48" i="44"/>
  <c r="AG48" i="44"/>
  <c r="AB48" i="44"/>
  <c r="W48" i="44"/>
  <c r="R48" i="44"/>
  <c r="AV47" i="44"/>
  <c r="AQ47" i="44"/>
  <c r="AL47" i="44"/>
  <c r="AG47" i="44"/>
  <c r="AB47" i="44"/>
  <c r="W47" i="44"/>
  <c r="R47" i="44"/>
  <c r="K47" i="44" s="1"/>
  <c r="AV46" i="44"/>
  <c r="AQ46" i="44"/>
  <c r="AL46" i="44"/>
  <c r="AG46" i="44"/>
  <c r="AB46" i="44"/>
  <c r="W46" i="44"/>
  <c r="R46" i="44"/>
  <c r="AV45" i="44"/>
  <c r="AX45" i="44" s="1"/>
  <c r="AQ45" i="44"/>
  <c r="AL45" i="44"/>
  <c r="AN45" i="44" s="1"/>
  <c r="AI45" i="44"/>
  <c r="AG45" i="44"/>
  <c r="AB45" i="44"/>
  <c r="AD45" i="44" s="1"/>
  <c r="W45" i="44"/>
  <c r="Y45" i="44" s="1"/>
  <c r="R45" i="44"/>
  <c r="T45" i="44" s="1"/>
  <c r="J76" i="44"/>
  <c r="I76" i="44"/>
  <c r="G76" i="44"/>
  <c r="K75" i="44"/>
  <c r="J75" i="44"/>
  <c r="I75" i="44"/>
  <c r="G75" i="44"/>
  <c r="J74" i="44"/>
  <c r="I74" i="44"/>
  <c r="G74" i="44"/>
  <c r="J73" i="44"/>
  <c r="I73" i="44"/>
  <c r="G73" i="44"/>
  <c r="J72" i="44"/>
  <c r="I72" i="44"/>
  <c r="G72" i="44"/>
  <c r="J71" i="44"/>
  <c r="I71" i="44"/>
  <c r="G71" i="44"/>
  <c r="J70" i="44"/>
  <c r="I70" i="44"/>
  <c r="G70" i="44"/>
  <c r="J69" i="44"/>
  <c r="I69" i="44"/>
  <c r="G69" i="44"/>
  <c r="J68" i="44"/>
  <c r="I68" i="44"/>
  <c r="G68" i="44"/>
  <c r="J67" i="44"/>
  <c r="I67" i="44"/>
  <c r="G67" i="44"/>
  <c r="J66" i="44"/>
  <c r="I66" i="44"/>
  <c r="G66" i="44"/>
  <c r="J65" i="44"/>
  <c r="I65" i="44"/>
  <c r="G65" i="44"/>
  <c r="J64" i="44"/>
  <c r="I64" i="44"/>
  <c r="G64" i="44"/>
  <c r="J63" i="44"/>
  <c r="I63" i="44"/>
  <c r="G63" i="44"/>
  <c r="J62" i="44"/>
  <c r="I62" i="44"/>
  <c r="G62" i="44"/>
  <c r="J61" i="44"/>
  <c r="I61" i="44"/>
  <c r="G61" i="44"/>
  <c r="J60" i="44"/>
  <c r="I60" i="44"/>
  <c r="G60" i="44"/>
  <c r="J59" i="44"/>
  <c r="I59" i="44"/>
  <c r="G59" i="44"/>
  <c r="J58" i="44"/>
  <c r="I58" i="44"/>
  <c r="G58" i="44"/>
  <c r="J57" i="44"/>
  <c r="I57" i="44"/>
  <c r="G57" i="44"/>
  <c r="J56" i="44"/>
  <c r="I56" i="44"/>
  <c r="G56" i="44"/>
  <c r="J55" i="44"/>
  <c r="I55" i="44"/>
  <c r="G55" i="44"/>
  <c r="J54" i="44"/>
  <c r="I54" i="44"/>
  <c r="G54" i="44"/>
  <c r="J53" i="44"/>
  <c r="I53" i="44"/>
  <c r="G53" i="44"/>
  <c r="J52" i="44"/>
  <c r="I52" i="44"/>
  <c r="G52" i="44"/>
  <c r="J51" i="44"/>
  <c r="I51" i="44"/>
  <c r="G51" i="44"/>
  <c r="J50" i="44"/>
  <c r="I50" i="44"/>
  <c r="G50" i="44"/>
  <c r="J49" i="44"/>
  <c r="I49" i="44"/>
  <c r="G49" i="44"/>
  <c r="J48" i="44"/>
  <c r="I48" i="44"/>
  <c r="G48" i="44"/>
  <c r="J47" i="44"/>
  <c r="I47" i="44"/>
  <c r="G47" i="44"/>
  <c r="J46" i="44"/>
  <c r="I46" i="44"/>
  <c r="G46" i="44"/>
  <c r="J45" i="44"/>
  <c r="G45" i="44"/>
  <c r="H45" i="44" s="1"/>
  <c r="B14" i="6"/>
  <c r="AC20" i="6"/>
  <c r="S20" i="6"/>
  <c r="M20" i="6"/>
  <c r="AC19" i="6"/>
  <c r="S19" i="6"/>
  <c r="M19" i="6"/>
  <c r="F19" i="6"/>
  <c r="AL19" i="6" s="1"/>
  <c r="AC18" i="6"/>
  <c r="S18" i="6"/>
  <c r="M18" i="6"/>
  <c r="F18" i="6"/>
  <c r="AL18" i="6" s="1"/>
  <c r="AC17" i="6"/>
  <c r="S17" i="6"/>
  <c r="M17" i="6"/>
  <c r="F17" i="6"/>
  <c r="AL17" i="6" s="1"/>
  <c r="AC16" i="6"/>
  <c r="S16" i="6"/>
  <c r="M16" i="6"/>
  <c r="F16" i="6"/>
  <c r="AL16" i="6" s="1"/>
  <c r="AC15" i="6"/>
  <c r="S15" i="6"/>
  <c r="M15" i="6"/>
  <c r="AC14" i="6"/>
  <c r="S14" i="6"/>
  <c r="M14" i="6"/>
  <c r="F14" i="6"/>
  <c r="AL14" i="6" s="1"/>
  <c r="B14" i="7"/>
  <c r="AC20" i="7"/>
  <c r="S20" i="7"/>
  <c r="M20" i="7"/>
  <c r="F20" i="7"/>
  <c r="AC19" i="7"/>
  <c r="S19" i="7"/>
  <c r="M19" i="7"/>
  <c r="F19" i="7"/>
  <c r="AC18" i="7"/>
  <c r="F18" i="7" s="1"/>
  <c r="S18" i="7"/>
  <c r="M18" i="7"/>
  <c r="AC17" i="7"/>
  <c r="S17" i="7"/>
  <c r="M17" i="7"/>
  <c r="F17" i="7"/>
  <c r="AC16" i="7"/>
  <c r="S16" i="7"/>
  <c r="M16" i="7"/>
  <c r="F16" i="7" s="1"/>
  <c r="G14" i="7" s="1"/>
  <c r="AC15" i="7"/>
  <c r="S15" i="7"/>
  <c r="M15" i="7"/>
  <c r="F15" i="7"/>
  <c r="AC14" i="7"/>
  <c r="S14" i="7"/>
  <c r="M14" i="7"/>
  <c r="F14" i="7"/>
  <c r="U18" i="5"/>
  <c r="U17" i="5"/>
  <c r="U16" i="5"/>
  <c r="U15" i="5"/>
  <c r="U14" i="5"/>
  <c r="U13" i="5"/>
  <c r="U12" i="5"/>
  <c r="T6" i="5"/>
  <c r="K10" i="39" s="1"/>
  <c r="Q6" i="5"/>
  <c r="N6" i="5"/>
  <c r="H6" i="5"/>
  <c r="R106" i="63" l="1"/>
  <c r="K9" i="39"/>
  <c r="I9" i="13"/>
  <c r="K8" i="39"/>
  <c r="I8" i="13"/>
  <c r="K6" i="39"/>
  <c r="I6" i="13"/>
  <c r="S98" i="63"/>
  <c r="R79" i="63"/>
  <c r="S81" i="63"/>
  <c r="S84" i="63"/>
  <c r="R65" i="63"/>
  <c r="R55" i="63"/>
  <c r="R135" i="63"/>
  <c r="S136" i="63"/>
  <c r="R142" i="63"/>
  <c r="R118" i="63"/>
  <c r="R114" i="63"/>
  <c r="S103" i="63"/>
  <c r="S121" i="63"/>
  <c r="S111" i="63"/>
  <c r="S117" i="63"/>
  <c r="R82" i="63"/>
  <c r="S89" i="63"/>
  <c r="S88" i="63"/>
  <c r="S62" i="63"/>
  <c r="S74" i="63"/>
  <c r="S58" i="63"/>
  <c r="R133" i="63"/>
  <c r="R139" i="63"/>
  <c r="R143" i="63"/>
  <c r="S134" i="63"/>
  <c r="R129" i="63"/>
  <c r="R132" i="63"/>
  <c r="R137" i="63"/>
  <c r="R144" i="63"/>
  <c r="S128" i="63"/>
  <c r="S140" i="63"/>
  <c r="R141" i="63"/>
  <c r="R131" i="63"/>
  <c r="S145" i="63"/>
  <c r="R146" i="63"/>
  <c r="S107" i="63"/>
  <c r="S109" i="63"/>
  <c r="S110" i="63"/>
  <c r="R113" i="63"/>
  <c r="R119" i="63"/>
  <c r="R112" i="63"/>
  <c r="S115" i="63"/>
  <c r="R116" i="63"/>
  <c r="S120" i="63"/>
  <c r="R105" i="63"/>
  <c r="R108" i="63"/>
  <c r="S104" i="63"/>
  <c r="R122" i="63"/>
  <c r="R85" i="63"/>
  <c r="R91" i="63"/>
  <c r="R95" i="63"/>
  <c r="R92" i="63"/>
  <c r="S80" i="63"/>
  <c r="R83" i="63"/>
  <c r="S96" i="63"/>
  <c r="R86" i="63"/>
  <c r="R93" i="63"/>
  <c r="R97" i="63"/>
  <c r="S90" i="63"/>
  <c r="S94" i="63"/>
  <c r="R87" i="63"/>
  <c r="R61" i="63"/>
  <c r="R67" i="63"/>
  <c r="R71" i="63"/>
  <c r="R64" i="63"/>
  <c r="R56" i="63"/>
  <c r="R68" i="63"/>
  <c r="R72" i="63"/>
  <c r="R59" i="63"/>
  <c r="R69" i="63"/>
  <c r="S73" i="63"/>
  <c r="R63" i="63"/>
  <c r="R66" i="63"/>
  <c r="R70" i="63"/>
  <c r="R60" i="63"/>
  <c r="S57" i="63"/>
  <c r="S15" i="63"/>
  <c r="R18" i="63"/>
  <c r="R21" i="63"/>
  <c r="R7" i="63"/>
  <c r="S24" i="63"/>
  <c r="S13" i="63"/>
  <c r="R16" i="63"/>
  <c r="R19" i="63"/>
  <c r="R22" i="63"/>
  <c r="R25" i="63"/>
  <c r="R10" i="63"/>
  <c r="R20" i="63"/>
  <c r="R23" i="63"/>
  <c r="R26" i="63"/>
  <c r="L27" i="52"/>
  <c r="T27" i="52"/>
  <c r="U22" i="51"/>
  <c r="U22" i="50"/>
  <c r="AN27" i="49"/>
  <c r="AD27" i="49"/>
  <c r="K27" i="49"/>
  <c r="K32" i="48"/>
  <c r="AN27" i="48"/>
  <c r="AS27" i="48"/>
  <c r="T27" i="48"/>
  <c r="Y27" i="48"/>
  <c r="AX27" i="47"/>
  <c r="T27" i="47"/>
  <c r="K29" i="47"/>
  <c r="AI27" i="47"/>
  <c r="L27" i="46"/>
  <c r="Y27" i="46"/>
  <c r="AS27" i="46"/>
  <c r="T27" i="46"/>
  <c r="H27" i="45"/>
  <c r="Y27" i="45"/>
  <c r="K33" i="45"/>
  <c r="AD27" i="45"/>
  <c r="AI27" i="45"/>
  <c r="K27" i="45"/>
  <c r="K32" i="45"/>
  <c r="AX27" i="45"/>
  <c r="T27" i="45"/>
  <c r="K30" i="45"/>
  <c r="K29" i="45"/>
  <c r="AS27" i="45"/>
  <c r="AN27" i="45"/>
  <c r="K66" i="44"/>
  <c r="AS45" i="44"/>
  <c r="K63" i="44"/>
  <c r="K68" i="44"/>
  <c r="K58" i="44"/>
  <c r="K76" i="44"/>
  <c r="I45" i="44"/>
  <c r="K73" i="44"/>
  <c r="K54" i="44"/>
  <c r="K67" i="44"/>
  <c r="K48" i="44"/>
  <c r="K62" i="44"/>
  <c r="K74" i="44"/>
  <c r="K57" i="44"/>
  <c r="K46" i="44"/>
  <c r="K53" i="44"/>
  <c r="K72" i="44"/>
  <c r="K61" i="44"/>
  <c r="K52" i="44"/>
  <c r="K71" i="44"/>
  <c r="K45" i="44"/>
  <c r="K56" i="44"/>
  <c r="K65" i="44"/>
  <c r="K70" i="44"/>
  <c r="K51" i="44"/>
  <c r="K60" i="44"/>
  <c r="K50" i="44"/>
  <c r="K64" i="44"/>
  <c r="K69" i="44"/>
  <c r="K49" i="44"/>
  <c r="AD16" i="6"/>
  <c r="N17" i="6"/>
  <c r="T18" i="6"/>
  <c r="AD18" i="6"/>
  <c r="T14" i="6"/>
  <c r="T19" i="6"/>
  <c r="T20" i="6"/>
  <c r="T16" i="6"/>
  <c r="T17" i="6"/>
  <c r="N18" i="6"/>
  <c r="N19" i="6"/>
  <c r="AD14" i="6"/>
  <c r="AD19" i="6"/>
  <c r="N15" i="6"/>
  <c r="AD15" i="6"/>
  <c r="N16" i="6"/>
  <c r="AD17" i="6"/>
  <c r="N14" i="6"/>
  <c r="F15" i="6"/>
  <c r="AL15" i="6" s="1"/>
  <c r="F20" i="6"/>
  <c r="AL20" i="6" s="1"/>
  <c r="J15" i="6"/>
  <c r="J17" i="6"/>
  <c r="J20" i="6"/>
  <c r="L14" i="6"/>
  <c r="L17" i="6"/>
  <c r="L20" i="6"/>
  <c r="P15" i="6"/>
  <c r="P17" i="6"/>
  <c r="P19" i="6"/>
  <c r="R15" i="6"/>
  <c r="R20" i="6"/>
  <c r="V15" i="6"/>
  <c r="V17" i="6"/>
  <c r="V19" i="6"/>
  <c r="X19" i="6"/>
  <c r="Z19" i="6"/>
  <c r="J14" i="6"/>
  <c r="J16" i="6"/>
  <c r="J18" i="6"/>
  <c r="J19" i="6"/>
  <c r="L15" i="6"/>
  <c r="L16" i="6"/>
  <c r="L18" i="6"/>
  <c r="L19" i="6"/>
  <c r="P14" i="6"/>
  <c r="P16" i="6"/>
  <c r="P18" i="6"/>
  <c r="P20" i="6"/>
  <c r="R14" i="6"/>
  <c r="R16" i="6"/>
  <c r="R17" i="6"/>
  <c r="R18" i="6"/>
  <c r="R19" i="6"/>
  <c r="V14" i="6"/>
  <c r="V16" i="6"/>
  <c r="V18" i="6"/>
  <c r="V20" i="6"/>
  <c r="X14" i="6"/>
  <c r="X15" i="6"/>
  <c r="X16" i="6"/>
  <c r="X17" i="6"/>
  <c r="X18" i="6"/>
  <c r="X20" i="6"/>
  <c r="Z14" i="6"/>
  <c r="Z15" i="6"/>
  <c r="Z16" i="6"/>
  <c r="Z17" i="6"/>
  <c r="Z18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19" i="6"/>
  <c r="AH20" i="6"/>
  <c r="AJ14" i="6"/>
  <c r="AJ15" i="6"/>
  <c r="AJ16" i="6"/>
  <c r="AJ17" i="6"/>
  <c r="AJ18" i="6"/>
  <c r="AJ19" i="6"/>
  <c r="N17" i="7"/>
  <c r="N14" i="7"/>
  <c r="T14" i="7"/>
  <c r="AD14" i="7"/>
  <c r="AL15" i="7"/>
  <c r="AJ15" i="7"/>
  <c r="AB15" i="7"/>
  <c r="AH15" i="7"/>
  <c r="AF15" i="7"/>
  <c r="Z15" i="7"/>
  <c r="X15" i="7"/>
  <c r="V15" i="7"/>
  <c r="R15" i="7"/>
  <c r="P15" i="7"/>
  <c r="L15" i="7"/>
  <c r="J15" i="7"/>
  <c r="AD15" i="7"/>
  <c r="AL20" i="7"/>
  <c r="AJ20" i="7"/>
  <c r="AB20" i="7"/>
  <c r="AH20" i="7"/>
  <c r="AF20" i="7"/>
  <c r="Z20" i="7"/>
  <c r="X20" i="7"/>
  <c r="V20" i="7"/>
  <c r="R20" i="7"/>
  <c r="P20" i="7"/>
  <c r="L20" i="7"/>
  <c r="J20" i="7"/>
  <c r="AL17" i="7"/>
  <c r="AJ17" i="7"/>
  <c r="AB17" i="7"/>
  <c r="AH17" i="7"/>
  <c r="AF17" i="7"/>
  <c r="Z17" i="7"/>
  <c r="X17" i="7"/>
  <c r="V17" i="7"/>
  <c r="R17" i="7"/>
  <c r="P17" i="7"/>
  <c r="L17" i="7"/>
  <c r="J17" i="7"/>
  <c r="T17" i="7"/>
  <c r="AD17" i="7"/>
  <c r="AL14" i="7"/>
  <c r="AJ14" i="7"/>
  <c r="AH14" i="7"/>
  <c r="AF14" i="7"/>
  <c r="AB14" i="7"/>
  <c r="Z14" i="7"/>
  <c r="X14" i="7"/>
  <c r="V14" i="7"/>
  <c r="R14" i="7"/>
  <c r="P14" i="7"/>
  <c r="L14" i="7"/>
  <c r="J14" i="7"/>
  <c r="AL18" i="7"/>
  <c r="AJ18" i="7"/>
  <c r="AB18" i="7"/>
  <c r="AH18" i="7"/>
  <c r="AF18" i="7"/>
  <c r="Z18" i="7"/>
  <c r="X18" i="7"/>
  <c r="V18" i="7"/>
  <c r="R18" i="7"/>
  <c r="P18" i="7"/>
  <c r="L18" i="7"/>
  <c r="J18" i="7"/>
  <c r="N18" i="7"/>
  <c r="T18" i="7"/>
  <c r="AD18" i="7"/>
  <c r="AL19" i="7"/>
  <c r="AJ19" i="7"/>
  <c r="AH19" i="7"/>
  <c r="AF19" i="7"/>
  <c r="AB19" i="7"/>
  <c r="X19" i="7"/>
  <c r="V19" i="7"/>
  <c r="R19" i="7"/>
  <c r="P19" i="7"/>
  <c r="L19" i="7"/>
  <c r="J19" i="7"/>
  <c r="N15" i="7"/>
  <c r="N19" i="7"/>
  <c r="T15" i="7"/>
  <c r="T19" i="7"/>
  <c r="Z19" i="7"/>
  <c r="AD19" i="7"/>
  <c r="AL16" i="7"/>
  <c r="AJ16" i="7"/>
  <c r="AH16" i="7"/>
  <c r="AF16" i="7"/>
  <c r="AB16" i="7"/>
  <c r="Z16" i="7"/>
  <c r="X16" i="7"/>
  <c r="V16" i="7"/>
  <c r="R16" i="7"/>
  <c r="P16" i="7"/>
  <c r="L16" i="7"/>
  <c r="J16" i="7"/>
  <c r="N16" i="7"/>
  <c r="T16" i="7"/>
  <c r="N20" i="7"/>
  <c r="AD16" i="7"/>
  <c r="T20" i="7"/>
  <c r="AD20" i="7"/>
  <c r="W6" i="5"/>
  <c r="K11" i="39" s="1"/>
  <c r="U23" i="51" l="1"/>
  <c r="Z22" i="51"/>
  <c r="U23" i="50"/>
  <c r="Z22" i="50"/>
  <c r="L27" i="49"/>
  <c r="L27" i="48"/>
  <c r="L27" i="47"/>
  <c r="L27" i="45"/>
  <c r="M65" i="44"/>
  <c r="M56" i="44"/>
  <c r="M68" i="44"/>
  <c r="M62" i="44"/>
  <c r="M46" i="44"/>
  <c r="M66" i="44"/>
  <c r="M52" i="44"/>
  <c r="M48" i="44"/>
  <c r="M69" i="44"/>
  <c r="M53" i="44"/>
  <c r="M50" i="44"/>
  <c r="M60" i="44"/>
  <c r="M63" i="44"/>
  <c r="M45" i="44"/>
  <c r="M58" i="44"/>
  <c r="M74" i="44"/>
  <c r="M49" i="44"/>
  <c r="M61" i="44"/>
  <c r="M54" i="44"/>
  <c r="M57" i="44"/>
  <c r="M70" i="44"/>
  <c r="M75" i="44"/>
  <c r="M71" i="44"/>
  <c r="M67" i="44"/>
  <c r="M72" i="44"/>
  <c r="M64" i="44"/>
  <c r="M73" i="44"/>
  <c r="M76" i="44"/>
  <c r="M55" i="44"/>
  <c r="M59" i="44"/>
  <c r="M51" i="44"/>
  <c r="M47" i="44"/>
  <c r="L45" i="44"/>
  <c r="G14" i="6"/>
  <c r="AD20" i="6"/>
  <c r="AJ20" i="6"/>
  <c r="T15" i="6"/>
  <c r="N20" i="6"/>
  <c r="Z23" i="51" l="1"/>
  <c r="AE22" i="51"/>
  <c r="Z23" i="50"/>
  <c r="AE22" i="50"/>
  <c r="AE23" i="51" l="1"/>
  <c r="AJ22" i="51"/>
  <c r="AE23" i="50"/>
  <c r="AJ22" i="50"/>
  <c r="AJ23" i="51" l="1"/>
  <c r="AO22" i="51"/>
  <c r="AJ23" i="50"/>
  <c r="AO22" i="50"/>
  <c r="AO23" i="51" l="1"/>
  <c r="AT22" i="51"/>
  <c r="AT23" i="51" s="1"/>
  <c r="AO23" i="50"/>
  <c r="AT22" i="50"/>
  <c r="AT23" i="50" s="1"/>
  <c r="V33" i="5" l="1"/>
  <c r="S33" i="5"/>
  <c r="I10" i="39" s="1"/>
  <c r="P33" i="5"/>
  <c r="I9" i="39" s="1"/>
  <c r="M33" i="5"/>
  <c r="I8" i="39" s="1"/>
  <c r="J33" i="5"/>
  <c r="I7" i="39" s="1"/>
  <c r="G33" i="5"/>
  <c r="I6" i="39" s="1"/>
  <c r="V26" i="5"/>
  <c r="S26" i="5"/>
  <c r="P26" i="5"/>
  <c r="M26" i="5"/>
  <c r="J26" i="5"/>
  <c r="G26" i="5"/>
  <c r="H6" i="3" l="1"/>
  <c r="T6" i="3"/>
  <c r="E10" i="39" s="1"/>
  <c r="N6" i="3"/>
  <c r="E8" i="39" s="1"/>
  <c r="K6" i="3"/>
  <c r="U39" i="3"/>
  <c r="O39" i="3"/>
  <c r="U38" i="3"/>
  <c r="O38" i="3"/>
  <c r="U37" i="3"/>
  <c r="O37" i="3"/>
  <c r="U36" i="3"/>
  <c r="O36" i="3"/>
  <c r="U35" i="3"/>
  <c r="O35" i="3"/>
  <c r="U34" i="3"/>
  <c r="O34" i="3"/>
  <c r="U33" i="3"/>
  <c r="S33" i="3"/>
  <c r="B10" i="39" s="1"/>
  <c r="O33" i="3"/>
  <c r="M33" i="3"/>
  <c r="B8" i="39" s="1"/>
  <c r="J33" i="3"/>
  <c r="B7" i="39" s="1"/>
  <c r="G33" i="3"/>
  <c r="B6" i="39" s="1"/>
  <c r="B49" i="41" s="1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S26" i="3"/>
  <c r="O26" i="3"/>
  <c r="M26" i="3"/>
  <c r="J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S19" i="3"/>
  <c r="O19" i="3"/>
  <c r="M19" i="3"/>
  <c r="J19" i="3"/>
  <c r="G19" i="3"/>
  <c r="V19" i="5"/>
  <c r="S19" i="5"/>
  <c r="P19" i="5"/>
  <c r="M19" i="5"/>
  <c r="J19" i="5"/>
  <c r="G19" i="5"/>
  <c r="V12" i="5"/>
  <c r="M12" i="5"/>
  <c r="G5" i="5"/>
  <c r="I12" i="5"/>
  <c r="I13" i="5"/>
  <c r="I14" i="5"/>
  <c r="I15" i="5"/>
  <c r="I16" i="5"/>
  <c r="I17" i="5"/>
  <c r="I18" i="5"/>
  <c r="B12" i="5"/>
  <c r="B19" i="5" s="1"/>
  <c r="B26" i="5" s="1"/>
  <c r="B33" i="5" s="1"/>
  <c r="S12" i="5"/>
  <c r="P12" i="5"/>
  <c r="G12" i="5"/>
  <c r="E7" i="39" l="1"/>
  <c r="B7" i="13"/>
  <c r="E6" i="39"/>
  <c r="B6" i="13"/>
  <c r="J12" i="5"/>
  <c r="V33" i="3"/>
  <c r="B11" i="39" s="1"/>
  <c r="Q6" i="3"/>
  <c r="E9" i="39" s="1"/>
  <c r="W6" i="3"/>
  <c r="E11" i="39" s="1"/>
  <c r="V26" i="3"/>
  <c r="P19" i="3"/>
  <c r="P26" i="3"/>
  <c r="V19" i="3"/>
  <c r="P33" i="3"/>
  <c r="B9" i="39" s="1"/>
  <c r="U18" i="3" l="1"/>
  <c r="O18" i="3"/>
  <c r="U17" i="3"/>
  <c r="O17" i="3"/>
  <c r="U16" i="3"/>
  <c r="O16" i="3"/>
  <c r="U15" i="3"/>
  <c r="O15" i="3"/>
  <c r="U14" i="3"/>
  <c r="O14" i="3"/>
  <c r="U13" i="3"/>
  <c r="O13" i="3"/>
  <c r="U12" i="3"/>
  <c r="S12" i="3"/>
  <c r="O12" i="3"/>
  <c r="M12" i="3"/>
  <c r="J12" i="3"/>
  <c r="G12" i="3"/>
  <c r="M29" i="62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38" i="20" s="1"/>
  <c r="M25" i="20"/>
  <c r="M30" i="20" s="1"/>
  <c r="M21" i="20"/>
  <c r="M20" i="20"/>
  <c r="M19" i="20"/>
  <c r="M18" i="20"/>
  <c r="M17" i="20"/>
  <c r="M13" i="20"/>
  <c r="M12" i="20"/>
  <c r="M11" i="20"/>
  <c r="M10" i="20"/>
  <c r="M9" i="20"/>
  <c r="M14" i="20" s="1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M14" i="62" l="1"/>
  <c r="M22" i="62"/>
  <c r="M22" i="20"/>
  <c r="M14" i="19"/>
  <c r="P12" i="3"/>
  <c r="V12" i="3"/>
  <c r="M30" i="62"/>
  <c r="J24" i="13" l="1"/>
  <c r="K11" i="13"/>
  <c r="E10" i="13"/>
  <c r="D10" i="13"/>
  <c r="D8" i="13"/>
  <c r="D11" i="13"/>
  <c r="D9" i="13"/>
  <c r="P45" i="65"/>
  <c r="E36" i="13" s="1"/>
  <c r="P44" i="65"/>
  <c r="E35" i="13" s="1"/>
  <c r="P43" i="65"/>
  <c r="E34" i="13" s="1"/>
  <c r="P42" i="65"/>
  <c r="E33" i="13" s="1"/>
  <c r="P41" i="65"/>
  <c r="E32" i="13" s="1"/>
  <c r="P40" i="65"/>
  <c r="E31" i="13" s="1"/>
  <c r="P39" i="65"/>
  <c r="E30" i="13" s="1"/>
  <c r="P38" i="65"/>
  <c r="E29" i="13" s="1"/>
  <c r="P37" i="65"/>
  <c r="E28" i="13" s="1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K10" i="13" s="1"/>
  <c r="P13" i="65"/>
  <c r="K9" i="13" s="1"/>
  <c r="P12" i="65"/>
  <c r="K8" i="13" s="1"/>
  <c r="O11" i="65"/>
  <c r="N11" i="65"/>
  <c r="M11" i="65"/>
  <c r="L11" i="65"/>
  <c r="K11" i="65"/>
  <c r="J11" i="65"/>
  <c r="I11" i="65"/>
  <c r="H11" i="65"/>
  <c r="P11" i="65"/>
  <c r="K7" i="13" s="1"/>
  <c r="F11" i="65"/>
  <c r="E11" i="65"/>
  <c r="D11" i="65"/>
  <c r="P10" i="65"/>
  <c r="K6" i="13" s="1"/>
  <c r="P9" i="65"/>
  <c r="O7" i="65"/>
  <c r="N7" i="65"/>
  <c r="M7" i="65"/>
  <c r="L7" i="65"/>
  <c r="K7" i="65"/>
  <c r="J7" i="65"/>
  <c r="I7" i="65"/>
  <c r="H7" i="65"/>
  <c r="P7" i="65"/>
  <c r="E11" i="13" s="1"/>
  <c r="P6" i="65"/>
  <c r="O5" i="65"/>
  <c r="N5" i="65"/>
  <c r="M5" i="65"/>
  <c r="P5" i="65" s="1"/>
  <c r="E9" i="13" s="1"/>
  <c r="L5" i="65"/>
  <c r="K5" i="65"/>
  <c r="J5" i="65"/>
  <c r="I5" i="65"/>
  <c r="H5" i="65"/>
  <c r="P4" i="65"/>
  <c r="E8" i="13" s="1"/>
  <c r="P3" i="65"/>
  <c r="E7" i="13" s="1"/>
  <c r="P2" i="65"/>
  <c r="E6" i="13" s="1"/>
  <c r="D7" i="13" l="1"/>
  <c r="I22" i="13"/>
  <c r="K22" i="13" s="1"/>
  <c r="I17" i="13"/>
  <c r="K17" i="13" s="1"/>
  <c r="I20" i="13"/>
  <c r="K20" i="13" s="1"/>
  <c r="I21" i="13"/>
  <c r="K21" i="13" s="1"/>
  <c r="D24" i="13"/>
  <c r="D6" i="13"/>
  <c r="I18" i="13"/>
  <c r="K18" i="13" s="1"/>
  <c r="I23" i="13"/>
  <c r="K23" i="13" s="1"/>
  <c r="C20" i="13"/>
  <c r="E20" i="13" s="1"/>
  <c r="C18" i="13"/>
  <c r="E18" i="13" s="1"/>
  <c r="C23" i="13"/>
  <c r="E23" i="13" s="1"/>
  <c r="C21" i="13"/>
  <c r="E21" i="13" s="1"/>
  <c r="C17" i="13"/>
  <c r="E17" i="13" s="1"/>
  <c r="C22" i="13"/>
  <c r="E22" i="13" s="1"/>
  <c r="B8" i="25" l="1"/>
  <c r="A8" i="25"/>
  <c r="AH7" i="52"/>
  <c r="AC7" i="52"/>
  <c r="X7" i="52"/>
  <c r="S7" i="52"/>
  <c r="AV7" i="52"/>
  <c r="AX7" i="52" s="1"/>
  <c r="AQ7" i="52"/>
  <c r="AS7" i="52" s="1"/>
  <c r="AL7" i="52"/>
  <c r="AN7" i="52" s="1"/>
  <c r="AG7" i="52"/>
  <c r="AI7" i="52" s="1"/>
  <c r="AB7" i="52"/>
  <c r="AD7" i="52" s="1"/>
  <c r="W7" i="52"/>
  <c r="Y7" i="52" s="1"/>
  <c r="R7" i="52"/>
  <c r="T7" i="52" s="1"/>
  <c r="J7" i="52"/>
  <c r="I7" i="52"/>
  <c r="G7" i="52"/>
  <c r="H7" i="52" s="1"/>
  <c r="AW10" i="49"/>
  <c r="AW9" i="49"/>
  <c r="AW8" i="49"/>
  <c r="AW7" i="49"/>
  <c r="AR15" i="49"/>
  <c r="AR14" i="49"/>
  <c r="AM7" i="49"/>
  <c r="AH15" i="49"/>
  <c r="AH14" i="49"/>
  <c r="AH13" i="49"/>
  <c r="AH12" i="49"/>
  <c r="X10" i="49"/>
  <c r="AV15" i="49"/>
  <c r="AQ15" i="49"/>
  <c r="AL15" i="49"/>
  <c r="AG15" i="49"/>
  <c r="AB15" i="49"/>
  <c r="AC15" i="49" s="1"/>
  <c r="W15" i="49"/>
  <c r="R15" i="49"/>
  <c r="K15" i="49"/>
  <c r="J15" i="49"/>
  <c r="I15" i="49"/>
  <c r="G15" i="49"/>
  <c r="AV14" i="49"/>
  <c r="AW14" i="49" s="1"/>
  <c r="AQ14" i="49"/>
  <c r="AL14" i="49"/>
  <c r="AM14" i="49" s="1"/>
  <c r="AG14" i="49"/>
  <c r="AB14" i="49"/>
  <c r="AC14" i="49" s="1"/>
  <c r="W14" i="49"/>
  <c r="X14" i="49" s="1"/>
  <c r="R14" i="49"/>
  <c r="S14" i="49" s="1"/>
  <c r="K14" i="49"/>
  <c r="J14" i="49"/>
  <c r="I14" i="49"/>
  <c r="G14" i="49"/>
  <c r="AV13" i="49"/>
  <c r="AQ13" i="49"/>
  <c r="AR13" i="49" s="1"/>
  <c r="AL13" i="49"/>
  <c r="AG13" i="49"/>
  <c r="AB13" i="49"/>
  <c r="AC13" i="49" s="1"/>
  <c r="W13" i="49"/>
  <c r="R13" i="49"/>
  <c r="S13" i="49" s="1"/>
  <c r="J13" i="49"/>
  <c r="I13" i="49"/>
  <c r="G13" i="49"/>
  <c r="AV12" i="49"/>
  <c r="AQ12" i="49"/>
  <c r="AR12" i="49" s="1"/>
  <c r="AL12" i="49"/>
  <c r="AM12" i="49" s="1"/>
  <c r="AG12" i="49"/>
  <c r="AB12" i="49"/>
  <c r="AC12" i="49" s="1"/>
  <c r="W12" i="49"/>
  <c r="X12" i="49" s="1"/>
  <c r="R12" i="49"/>
  <c r="S12" i="49" s="1"/>
  <c r="J12" i="49"/>
  <c r="I12" i="49"/>
  <c r="G12" i="49"/>
  <c r="AV11" i="49"/>
  <c r="AQ11" i="49"/>
  <c r="AR11" i="49" s="1"/>
  <c r="AL11" i="49"/>
  <c r="AG11" i="49"/>
  <c r="AH11" i="49" s="1"/>
  <c r="AB11" i="49"/>
  <c r="W11" i="49"/>
  <c r="R11" i="49"/>
  <c r="S11" i="49" s="1"/>
  <c r="J11" i="49"/>
  <c r="I11" i="49"/>
  <c r="G11" i="49"/>
  <c r="AV10" i="49"/>
  <c r="AW11" i="49" s="1"/>
  <c r="AQ10" i="49"/>
  <c r="AR10" i="49" s="1"/>
  <c r="AL10" i="49"/>
  <c r="AM10" i="49" s="1"/>
  <c r="AG10" i="49"/>
  <c r="AH10" i="49" s="1"/>
  <c r="AB10" i="49"/>
  <c r="AC10" i="49" s="1"/>
  <c r="W10" i="49"/>
  <c r="R10" i="49"/>
  <c r="S10" i="49" s="1"/>
  <c r="J10" i="49"/>
  <c r="I10" i="49"/>
  <c r="G10" i="49"/>
  <c r="AV9" i="49"/>
  <c r="AQ9" i="49"/>
  <c r="AR9" i="49" s="1"/>
  <c r="AL9" i="49"/>
  <c r="AG9" i="49"/>
  <c r="AH9" i="49" s="1"/>
  <c r="AB9" i="49"/>
  <c r="W9" i="49"/>
  <c r="X9" i="49" s="1"/>
  <c r="R9" i="49"/>
  <c r="S9" i="49" s="1"/>
  <c r="J9" i="49"/>
  <c r="I9" i="49"/>
  <c r="G9" i="49"/>
  <c r="AV8" i="49"/>
  <c r="AW15" i="49" s="1"/>
  <c r="AQ8" i="49"/>
  <c r="AR8" i="49" s="1"/>
  <c r="AL8" i="49"/>
  <c r="AM8" i="49" s="1"/>
  <c r="AG8" i="49"/>
  <c r="AH8" i="49" s="1"/>
  <c r="AB8" i="49"/>
  <c r="AC11" i="49" s="1"/>
  <c r="W8" i="49"/>
  <c r="X8" i="49" s="1"/>
  <c r="R8" i="49"/>
  <c r="S8" i="49" s="1"/>
  <c r="J8" i="49"/>
  <c r="I8" i="49"/>
  <c r="G8" i="49"/>
  <c r="AV7" i="49"/>
  <c r="AQ7" i="49"/>
  <c r="AR7" i="49" s="1"/>
  <c r="AL7" i="49"/>
  <c r="AG7" i="49"/>
  <c r="AB7" i="49"/>
  <c r="W7" i="49"/>
  <c r="R7" i="49"/>
  <c r="S15" i="49" s="1"/>
  <c r="J7" i="49"/>
  <c r="I7" i="49"/>
  <c r="G7" i="49"/>
  <c r="AH13" i="48"/>
  <c r="AH12" i="48"/>
  <c r="X12" i="48"/>
  <c r="X11" i="48"/>
  <c r="X9" i="48"/>
  <c r="X8" i="48"/>
  <c r="AV14" i="48"/>
  <c r="AQ14" i="48"/>
  <c r="AR14" i="48" s="1"/>
  <c r="AL14" i="48"/>
  <c r="AM7" i="48" s="1"/>
  <c r="AG14" i="48"/>
  <c r="AB14" i="48"/>
  <c r="W14" i="48"/>
  <c r="R14" i="48"/>
  <c r="J14" i="48"/>
  <c r="I14" i="48"/>
  <c r="G14" i="48"/>
  <c r="AV13" i="48"/>
  <c r="AQ13" i="48"/>
  <c r="AR13" i="48" s="1"/>
  <c r="AL13" i="48"/>
  <c r="AM13" i="48" s="1"/>
  <c r="AG13" i="48"/>
  <c r="AB13" i="48"/>
  <c r="AC13" i="48" s="1"/>
  <c r="W13" i="48"/>
  <c r="R13" i="48"/>
  <c r="S13" i="48" s="1"/>
  <c r="K13" i="48"/>
  <c r="J13" i="48"/>
  <c r="I13" i="48"/>
  <c r="G13" i="48"/>
  <c r="AV12" i="48"/>
  <c r="K12" i="48" s="1"/>
  <c r="AQ12" i="48"/>
  <c r="AR12" i="48" s="1"/>
  <c r="AL12" i="48"/>
  <c r="AG12" i="48"/>
  <c r="AB12" i="48"/>
  <c r="W12" i="48"/>
  <c r="R12" i="48"/>
  <c r="S12" i="48" s="1"/>
  <c r="J12" i="48"/>
  <c r="I12" i="48"/>
  <c r="G12" i="48"/>
  <c r="AV11" i="48"/>
  <c r="AQ11" i="48"/>
  <c r="AR11" i="48" s="1"/>
  <c r="AL11" i="48"/>
  <c r="AG11" i="48"/>
  <c r="AH11" i="48" s="1"/>
  <c r="AB11" i="48"/>
  <c r="AC11" i="48" s="1"/>
  <c r="W11" i="48"/>
  <c r="R11" i="48"/>
  <c r="S11" i="48" s="1"/>
  <c r="J11" i="48"/>
  <c r="I11" i="48"/>
  <c r="G11" i="48"/>
  <c r="AV10" i="48"/>
  <c r="AW10" i="48" s="1"/>
  <c r="AQ10" i="48"/>
  <c r="AL10" i="48"/>
  <c r="AG10" i="48"/>
  <c r="AH10" i="48" s="1"/>
  <c r="AB10" i="48"/>
  <c r="W10" i="48"/>
  <c r="R10" i="48"/>
  <c r="S10" i="48" s="1"/>
  <c r="J10" i="48"/>
  <c r="I10" i="48"/>
  <c r="G10" i="48"/>
  <c r="AV9" i="48"/>
  <c r="AQ9" i="48"/>
  <c r="AL9" i="48"/>
  <c r="AG9" i="48"/>
  <c r="AH9" i="48" s="1"/>
  <c r="AB9" i="48"/>
  <c r="AC9" i="48" s="1"/>
  <c r="W9" i="48"/>
  <c r="R9" i="48"/>
  <c r="S9" i="48" s="1"/>
  <c r="J9" i="48"/>
  <c r="I9" i="48"/>
  <c r="G9" i="48"/>
  <c r="AV8" i="48"/>
  <c r="AW14" i="48" s="1"/>
  <c r="AQ8" i="48"/>
  <c r="AL8" i="48"/>
  <c r="AG8" i="48"/>
  <c r="AH8" i="48" s="1"/>
  <c r="AB8" i="48"/>
  <c r="W8" i="48"/>
  <c r="R8" i="48"/>
  <c r="S8" i="48" s="1"/>
  <c r="J8" i="48"/>
  <c r="I8" i="48"/>
  <c r="G8" i="48"/>
  <c r="AV7" i="48"/>
  <c r="AW7" i="48" s="1"/>
  <c r="AQ7" i="48"/>
  <c r="AR10" i="48" s="1"/>
  <c r="AL7" i="48"/>
  <c r="AM12" i="48" s="1"/>
  <c r="AG7" i="48"/>
  <c r="AI7" i="48" s="1"/>
  <c r="AB7" i="48"/>
  <c r="AC10" i="48" s="1"/>
  <c r="W7" i="48"/>
  <c r="Y7" i="48" s="1"/>
  <c r="R7" i="48"/>
  <c r="T7" i="48" s="1"/>
  <c r="J7" i="48"/>
  <c r="I7" i="48"/>
  <c r="G7" i="48"/>
  <c r="H7" i="48" s="1"/>
  <c r="AV8" i="47"/>
  <c r="AQ8" i="47"/>
  <c r="AL8" i="47"/>
  <c r="AG8" i="47"/>
  <c r="AB8" i="47"/>
  <c r="W8" i="47"/>
  <c r="R8" i="47"/>
  <c r="S8" i="47" s="1"/>
  <c r="J8" i="47"/>
  <c r="I8" i="47"/>
  <c r="G8" i="47"/>
  <c r="AV7" i="47"/>
  <c r="AW7" i="47" s="1"/>
  <c r="AQ7" i="47"/>
  <c r="AR7" i="47" s="1"/>
  <c r="AL7" i="47"/>
  <c r="AN7" i="47" s="1"/>
  <c r="AG7" i="47"/>
  <c r="AI7" i="47" s="1"/>
  <c r="AB7" i="47"/>
  <c r="AC7" i="47" s="1"/>
  <c r="W7" i="47"/>
  <c r="Y7" i="47" s="1"/>
  <c r="R7" i="47"/>
  <c r="J7" i="47"/>
  <c r="I7" i="47"/>
  <c r="G7" i="47"/>
  <c r="S8" i="46"/>
  <c r="AV8" i="46"/>
  <c r="AW8" i="46" s="1"/>
  <c r="AQ8" i="46"/>
  <c r="AR8" i="46" s="1"/>
  <c r="AL8" i="46"/>
  <c r="AG8" i="46"/>
  <c r="AB8" i="46"/>
  <c r="W8" i="46"/>
  <c r="R8" i="46"/>
  <c r="J8" i="46"/>
  <c r="I8" i="46"/>
  <c r="G8" i="46"/>
  <c r="AV7" i="46"/>
  <c r="AX7" i="46" s="1"/>
  <c r="AQ7" i="46"/>
  <c r="AR7" i="46" s="1"/>
  <c r="AL7" i="46"/>
  <c r="AN7" i="46" s="1"/>
  <c r="AG7" i="46"/>
  <c r="AH8" i="46" s="1"/>
  <c r="AB7" i="46"/>
  <c r="AD7" i="46" s="1"/>
  <c r="W7" i="46"/>
  <c r="Y7" i="46" s="1"/>
  <c r="T7" i="46"/>
  <c r="R7" i="46"/>
  <c r="J7" i="46"/>
  <c r="I7" i="46"/>
  <c r="G7" i="46"/>
  <c r="AR16" i="45"/>
  <c r="AR14" i="45"/>
  <c r="AR13" i="45"/>
  <c r="AR12" i="45"/>
  <c r="AR11" i="45"/>
  <c r="AR10" i="45"/>
  <c r="AR9" i="45"/>
  <c r="AR8" i="45"/>
  <c r="AR7" i="45"/>
  <c r="AH12" i="45"/>
  <c r="AH11" i="45"/>
  <c r="AH10" i="45"/>
  <c r="AH9" i="45"/>
  <c r="AH8" i="45"/>
  <c r="AH7" i="45"/>
  <c r="X9" i="45"/>
  <c r="X8" i="45"/>
  <c r="X7" i="45"/>
  <c r="AV16" i="45"/>
  <c r="AW16" i="45" s="1"/>
  <c r="AQ16" i="45"/>
  <c r="AL16" i="45"/>
  <c r="AM16" i="45" s="1"/>
  <c r="AG16" i="45"/>
  <c r="AB16" i="45"/>
  <c r="AC16" i="45" s="1"/>
  <c r="W16" i="45"/>
  <c r="R16" i="45"/>
  <c r="K16" i="45" s="1"/>
  <c r="J16" i="45"/>
  <c r="I16" i="45"/>
  <c r="G16" i="45"/>
  <c r="AQ15" i="45"/>
  <c r="AR15" i="45" s="1"/>
  <c r="AL15" i="45"/>
  <c r="AM15" i="45" s="1"/>
  <c r="AG15" i="45"/>
  <c r="AH15" i="45" s="1"/>
  <c r="AB15" i="45"/>
  <c r="AC15" i="45" s="1"/>
  <c r="W15" i="45"/>
  <c r="X15" i="45" s="1"/>
  <c r="R15" i="45"/>
  <c r="S15" i="45" s="1"/>
  <c r="K15" i="45"/>
  <c r="J15" i="45"/>
  <c r="I15" i="45"/>
  <c r="G15" i="45"/>
  <c r="AQ14" i="45"/>
  <c r="AL14" i="45"/>
  <c r="AG14" i="45"/>
  <c r="AB14" i="45"/>
  <c r="AC14" i="45" s="1"/>
  <c r="W14" i="45"/>
  <c r="R14" i="45"/>
  <c r="S14" i="45" s="1"/>
  <c r="J14" i="45"/>
  <c r="I14" i="45"/>
  <c r="G14" i="45"/>
  <c r="AV13" i="45"/>
  <c r="AW13" i="45" s="1"/>
  <c r="AQ13" i="45"/>
  <c r="AL13" i="45"/>
  <c r="AM13" i="45" s="1"/>
  <c r="AG13" i="45"/>
  <c r="AH13" i="45" s="1"/>
  <c r="AB13" i="45"/>
  <c r="AC13" i="45" s="1"/>
  <c r="W13" i="45"/>
  <c r="X13" i="45" s="1"/>
  <c r="R13" i="45"/>
  <c r="S13" i="45" s="1"/>
  <c r="J13" i="45"/>
  <c r="I13" i="45"/>
  <c r="G13" i="45"/>
  <c r="AV12" i="45"/>
  <c r="AW12" i="45" s="1"/>
  <c r="AQ12" i="45"/>
  <c r="AL12" i="45"/>
  <c r="AM12" i="45" s="1"/>
  <c r="AG12" i="45"/>
  <c r="AB12" i="45"/>
  <c r="AC12" i="45" s="1"/>
  <c r="W12" i="45"/>
  <c r="R12" i="45"/>
  <c r="S12" i="45" s="1"/>
  <c r="J12" i="45"/>
  <c r="I12" i="45"/>
  <c r="G12" i="45"/>
  <c r="AV11" i="45"/>
  <c r="AW11" i="45" s="1"/>
  <c r="AQ11" i="45"/>
  <c r="AL11" i="45"/>
  <c r="AM11" i="45" s="1"/>
  <c r="AG11" i="45"/>
  <c r="AB11" i="45"/>
  <c r="AC11" i="45" s="1"/>
  <c r="W11" i="45"/>
  <c r="X11" i="45" s="1"/>
  <c r="R11" i="45"/>
  <c r="S11" i="45" s="1"/>
  <c r="J11" i="45"/>
  <c r="I11" i="45"/>
  <c r="G11" i="45"/>
  <c r="AV10" i="45"/>
  <c r="AQ10" i="45"/>
  <c r="AL10" i="45"/>
  <c r="AG10" i="45"/>
  <c r="AB10" i="45"/>
  <c r="W10" i="45"/>
  <c r="R10" i="45"/>
  <c r="S10" i="45" s="1"/>
  <c r="J10" i="45"/>
  <c r="I10" i="45"/>
  <c r="G10" i="45"/>
  <c r="AV9" i="45"/>
  <c r="AW9" i="45" s="1"/>
  <c r="AQ9" i="45"/>
  <c r="AL9" i="45"/>
  <c r="AM9" i="45" s="1"/>
  <c r="AG9" i="45"/>
  <c r="AB9" i="45"/>
  <c r="AC9" i="45" s="1"/>
  <c r="W9" i="45"/>
  <c r="R9" i="45"/>
  <c r="S9" i="45" s="1"/>
  <c r="J9" i="45"/>
  <c r="I9" i="45"/>
  <c r="G9" i="45"/>
  <c r="AV8" i="45"/>
  <c r="AQ8" i="45"/>
  <c r="AL8" i="45"/>
  <c r="AG8" i="45"/>
  <c r="AB8" i="45"/>
  <c r="W8" i="45"/>
  <c r="R8" i="45"/>
  <c r="S8" i="45" s="1"/>
  <c r="J8" i="45"/>
  <c r="I8" i="45"/>
  <c r="G8" i="45"/>
  <c r="AV7" i="45"/>
  <c r="AX7" i="45" s="1"/>
  <c r="AQ7" i="45"/>
  <c r="AS7" i="45" s="1"/>
  <c r="AL7" i="45"/>
  <c r="AG7" i="45"/>
  <c r="AI7" i="45" s="1"/>
  <c r="AB7" i="45"/>
  <c r="AC10" i="45" s="1"/>
  <c r="W7" i="45"/>
  <c r="X10" i="45" s="1"/>
  <c r="R7" i="45"/>
  <c r="T7" i="45" s="1"/>
  <c r="J7" i="45"/>
  <c r="I7" i="45"/>
  <c r="G7" i="45"/>
  <c r="AW20" i="44"/>
  <c r="AR9" i="44"/>
  <c r="X29" i="44"/>
  <c r="X9" i="44"/>
  <c r="AV37" i="44"/>
  <c r="AW37" i="44" s="1"/>
  <c r="K37" i="44"/>
  <c r="J37" i="44"/>
  <c r="I37" i="44"/>
  <c r="G37" i="44"/>
  <c r="AV36" i="44"/>
  <c r="AW36" i="44" s="1"/>
  <c r="AQ36" i="44"/>
  <c r="AR36" i="44" s="1"/>
  <c r="AL36" i="44"/>
  <c r="AM36" i="44" s="1"/>
  <c r="AG36" i="44"/>
  <c r="AB36" i="44"/>
  <c r="AC36" i="44" s="1"/>
  <c r="W36" i="44"/>
  <c r="X36" i="44" s="1"/>
  <c r="R36" i="44"/>
  <c r="J36" i="44"/>
  <c r="I36" i="44"/>
  <c r="G36" i="44"/>
  <c r="AV35" i="44"/>
  <c r="AW35" i="44" s="1"/>
  <c r="AQ35" i="44"/>
  <c r="AR35" i="44" s="1"/>
  <c r="AL35" i="44"/>
  <c r="AM35" i="44" s="1"/>
  <c r="AG35" i="44"/>
  <c r="AB35" i="44"/>
  <c r="AC35" i="44" s="1"/>
  <c r="W35" i="44"/>
  <c r="R35" i="44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AC34" i="44" s="1"/>
  <c r="W34" i="44"/>
  <c r="R34" i="44"/>
  <c r="S34" i="44" s="1"/>
  <c r="K34" i="44"/>
  <c r="J34" i="44"/>
  <c r="I34" i="44"/>
  <c r="G34" i="44"/>
  <c r="AV33" i="44"/>
  <c r="AW33" i="44" s="1"/>
  <c r="AQ33" i="44"/>
  <c r="AL33" i="44"/>
  <c r="AM33" i="44" s="1"/>
  <c r="AG33" i="44"/>
  <c r="AB33" i="44"/>
  <c r="AC33" i="44" s="1"/>
  <c r="W33" i="44"/>
  <c r="R33" i="44"/>
  <c r="J33" i="44"/>
  <c r="I33" i="44"/>
  <c r="G33" i="44"/>
  <c r="AV32" i="44"/>
  <c r="AW32" i="44" s="1"/>
  <c r="AQ32" i="44"/>
  <c r="AL32" i="44"/>
  <c r="AM32" i="44" s="1"/>
  <c r="AG32" i="44"/>
  <c r="AB32" i="44"/>
  <c r="W32" i="44"/>
  <c r="R32" i="44"/>
  <c r="S32" i="44" s="1"/>
  <c r="J32" i="44"/>
  <c r="I32" i="44"/>
  <c r="G32" i="44"/>
  <c r="AV31" i="44"/>
  <c r="AW19" i="44" s="1"/>
  <c r="AQ31" i="44"/>
  <c r="AL31" i="44"/>
  <c r="AG31" i="44"/>
  <c r="AB31" i="44"/>
  <c r="W31" i="44"/>
  <c r="R31" i="44"/>
  <c r="J31" i="44"/>
  <c r="I31" i="44"/>
  <c r="G31" i="44"/>
  <c r="AV30" i="44"/>
  <c r="AW30" i="44" s="1"/>
  <c r="AQ30" i="44"/>
  <c r="AL30" i="44"/>
  <c r="AG30" i="44"/>
  <c r="AB30" i="44"/>
  <c r="W30" i="44"/>
  <c r="R30" i="44"/>
  <c r="S30" i="44" s="1"/>
  <c r="K30" i="44"/>
  <c r="J30" i="44"/>
  <c r="I30" i="44"/>
  <c r="G30" i="44"/>
  <c r="AV29" i="44"/>
  <c r="AW29" i="44" s="1"/>
  <c r="AQ29" i="44"/>
  <c r="AL29" i="44"/>
  <c r="AG29" i="44"/>
  <c r="AB29" i="44"/>
  <c r="W29" i="44"/>
  <c r="R29" i="44"/>
  <c r="S29" i="44" s="1"/>
  <c r="K29" i="44"/>
  <c r="J29" i="44"/>
  <c r="I29" i="44"/>
  <c r="G29" i="44"/>
  <c r="AQ28" i="44"/>
  <c r="AR28" i="44" s="1"/>
  <c r="AL28" i="44"/>
  <c r="AM28" i="44" s="1"/>
  <c r="AG28" i="44"/>
  <c r="AH28" i="44" s="1"/>
  <c r="AB28" i="44"/>
  <c r="AC28" i="44" s="1"/>
  <c r="W28" i="44"/>
  <c r="X28" i="44" s="1"/>
  <c r="R28" i="44"/>
  <c r="S28" i="44" s="1"/>
  <c r="J28" i="44"/>
  <c r="I28" i="44"/>
  <c r="G28" i="44"/>
  <c r="AV27" i="44"/>
  <c r="AW27" i="44" s="1"/>
  <c r="AQ27" i="44"/>
  <c r="AR27" i="44" s="1"/>
  <c r="AL27" i="44"/>
  <c r="AM27" i="44" s="1"/>
  <c r="AG27" i="44"/>
  <c r="AH27" i="44" s="1"/>
  <c r="AB27" i="44"/>
  <c r="AC27" i="44" s="1"/>
  <c r="W27" i="44"/>
  <c r="X27" i="44" s="1"/>
  <c r="R27" i="44"/>
  <c r="S27" i="44" s="1"/>
  <c r="J27" i="44"/>
  <c r="I27" i="44"/>
  <c r="G27" i="44"/>
  <c r="AV26" i="44"/>
  <c r="AW26" i="44" s="1"/>
  <c r="AQ26" i="44"/>
  <c r="AR26" i="44" s="1"/>
  <c r="AL26" i="44"/>
  <c r="AM26" i="44" s="1"/>
  <c r="AG26" i="44"/>
  <c r="AH26" i="44" s="1"/>
  <c r="AB26" i="44"/>
  <c r="AC26" i="44" s="1"/>
  <c r="W26" i="44"/>
  <c r="X26" i="44" s="1"/>
  <c r="R26" i="44"/>
  <c r="S26" i="44" s="1"/>
  <c r="K26" i="44"/>
  <c r="J26" i="44"/>
  <c r="I26" i="44"/>
  <c r="G26" i="44"/>
  <c r="AV25" i="44"/>
  <c r="AQ25" i="44"/>
  <c r="AR25" i="44" s="1"/>
  <c r="AL25" i="44"/>
  <c r="AG25" i="44"/>
  <c r="AH25" i="44" s="1"/>
  <c r="AB25" i="44"/>
  <c r="W25" i="44"/>
  <c r="X25" i="44" s="1"/>
  <c r="R25" i="44"/>
  <c r="K25" i="44"/>
  <c r="J25" i="44"/>
  <c r="I25" i="44"/>
  <c r="G25" i="44"/>
  <c r="AV24" i="44"/>
  <c r="AQ24" i="44"/>
  <c r="AR24" i="44" s="1"/>
  <c r="AL24" i="44"/>
  <c r="AM24" i="44" s="1"/>
  <c r="AG24" i="44"/>
  <c r="AH24" i="44" s="1"/>
  <c r="AB24" i="44"/>
  <c r="AC24" i="44" s="1"/>
  <c r="W24" i="44"/>
  <c r="X24" i="44" s="1"/>
  <c r="R24" i="44"/>
  <c r="S24" i="44" s="1"/>
  <c r="J24" i="44"/>
  <c r="I24" i="44"/>
  <c r="G24" i="44"/>
  <c r="AV23" i="44"/>
  <c r="AQ23" i="44"/>
  <c r="AR23" i="44" s="1"/>
  <c r="AL23" i="44"/>
  <c r="AG23" i="44"/>
  <c r="AH23" i="44" s="1"/>
  <c r="AB23" i="44"/>
  <c r="W23" i="44"/>
  <c r="X23" i="44" s="1"/>
  <c r="R23" i="44"/>
  <c r="J23" i="44"/>
  <c r="I23" i="44"/>
  <c r="G23" i="44"/>
  <c r="AV22" i="44"/>
  <c r="AQ22" i="44"/>
  <c r="AR22" i="44" s="1"/>
  <c r="AL22" i="44"/>
  <c r="AG22" i="44"/>
  <c r="AH22" i="44" s="1"/>
  <c r="AB22" i="44"/>
  <c r="W22" i="44"/>
  <c r="X22" i="44" s="1"/>
  <c r="R22" i="44"/>
  <c r="S22" i="44" s="1"/>
  <c r="J22" i="44"/>
  <c r="I22" i="44"/>
  <c r="G22" i="44"/>
  <c r="AV21" i="44"/>
  <c r="AQ21" i="44"/>
  <c r="AL21" i="44"/>
  <c r="AG21" i="44"/>
  <c r="AB21" i="44"/>
  <c r="W21" i="44"/>
  <c r="X21" i="44" s="1"/>
  <c r="R21" i="44"/>
  <c r="J21" i="44"/>
  <c r="I21" i="44"/>
  <c r="G21" i="44"/>
  <c r="AV20" i="44"/>
  <c r="AQ20" i="44"/>
  <c r="AL20" i="44"/>
  <c r="AG20" i="44"/>
  <c r="AH20" i="44" s="1"/>
  <c r="AB20" i="44"/>
  <c r="W20" i="44"/>
  <c r="R20" i="44"/>
  <c r="S20" i="44" s="1"/>
  <c r="J20" i="44"/>
  <c r="I20" i="44"/>
  <c r="G20" i="44"/>
  <c r="AV19" i="44"/>
  <c r="AQ19" i="44"/>
  <c r="AL19" i="44"/>
  <c r="AG19" i="44"/>
  <c r="AB19" i="44"/>
  <c r="W19" i="44"/>
  <c r="R19" i="44"/>
  <c r="S19" i="44" s="1"/>
  <c r="J19" i="44"/>
  <c r="I19" i="44"/>
  <c r="G19" i="44"/>
  <c r="AV18" i="44"/>
  <c r="AW18" i="44" s="1"/>
  <c r="AQ18" i="44"/>
  <c r="AR18" i="44" s="1"/>
  <c r="AL18" i="44"/>
  <c r="AM18" i="44" s="1"/>
  <c r="AG18" i="44"/>
  <c r="AH18" i="44" s="1"/>
  <c r="AB18" i="44"/>
  <c r="AC18" i="44" s="1"/>
  <c r="W18" i="44"/>
  <c r="X18" i="44" s="1"/>
  <c r="R18" i="44"/>
  <c r="S18" i="44" s="1"/>
  <c r="J18" i="44"/>
  <c r="I18" i="44"/>
  <c r="G18" i="44"/>
  <c r="AV17" i="44"/>
  <c r="AW17" i="44" s="1"/>
  <c r="AQ17" i="44"/>
  <c r="AR17" i="44" s="1"/>
  <c r="AL17" i="44"/>
  <c r="AM17" i="44" s="1"/>
  <c r="AG17" i="44"/>
  <c r="AH17" i="44" s="1"/>
  <c r="AB17" i="44"/>
  <c r="AC17" i="44" s="1"/>
  <c r="W17" i="44"/>
  <c r="X17" i="44" s="1"/>
  <c r="R17" i="44"/>
  <c r="S17" i="44" s="1"/>
  <c r="J17" i="44"/>
  <c r="I17" i="44"/>
  <c r="G17" i="44"/>
  <c r="AV16" i="44"/>
  <c r="AW16" i="44" s="1"/>
  <c r="AQ16" i="44"/>
  <c r="AR16" i="44" s="1"/>
  <c r="AL16" i="44"/>
  <c r="AM16" i="44" s="1"/>
  <c r="AG16" i="44"/>
  <c r="AH16" i="44" s="1"/>
  <c r="AB16" i="44"/>
  <c r="AC16" i="44" s="1"/>
  <c r="W16" i="44"/>
  <c r="X16" i="44" s="1"/>
  <c r="R16" i="44"/>
  <c r="S16" i="44" s="1"/>
  <c r="J16" i="44"/>
  <c r="I16" i="44"/>
  <c r="G16" i="44"/>
  <c r="AV15" i="44"/>
  <c r="AW15" i="44" s="1"/>
  <c r="AQ15" i="44"/>
  <c r="AL15" i="44"/>
  <c r="AM15" i="44" s="1"/>
  <c r="AG15" i="44"/>
  <c r="AB15" i="44"/>
  <c r="AC15" i="44" s="1"/>
  <c r="W15" i="44"/>
  <c r="X15" i="44" s="1"/>
  <c r="R15" i="44"/>
  <c r="K15" i="44"/>
  <c r="J15" i="44"/>
  <c r="I15" i="44"/>
  <c r="G15" i="44"/>
  <c r="AV14" i="44"/>
  <c r="AW14" i="44" s="1"/>
  <c r="AQ14" i="44"/>
  <c r="AR14" i="44" s="1"/>
  <c r="AL14" i="44"/>
  <c r="AM14" i="44" s="1"/>
  <c r="AG14" i="44"/>
  <c r="AH14" i="44" s="1"/>
  <c r="AB14" i="44"/>
  <c r="AC14" i="44" s="1"/>
  <c r="W14" i="44"/>
  <c r="X13" i="44" s="1"/>
  <c r="R14" i="44"/>
  <c r="K14" i="44" s="1"/>
  <c r="J14" i="44"/>
  <c r="I14" i="44"/>
  <c r="G14" i="44"/>
  <c r="AV13" i="44"/>
  <c r="AW13" i="44" s="1"/>
  <c r="AQ13" i="44"/>
  <c r="AL13" i="44"/>
  <c r="AM13" i="44" s="1"/>
  <c r="AG13" i="44"/>
  <c r="AB13" i="44"/>
  <c r="AC13" i="44" s="1"/>
  <c r="W13" i="44"/>
  <c r="X19" i="44" s="1"/>
  <c r="R13" i="44"/>
  <c r="K13" i="44" s="1"/>
  <c r="J13" i="44"/>
  <c r="I13" i="44"/>
  <c r="G13" i="44"/>
  <c r="AV12" i="44"/>
  <c r="AW12" i="44" s="1"/>
  <c r="AQ12" i="44"/>
  <c r="AR12" i="44" s="1"/>
  <c r="AL12" i="44"/>
  <c r="AM12" i="44" s="1"/>
  <c r="AG12" i="44"/>
  <c r="AH12" i="44" s="1"/>
  <c r="AB12" i="44"/>
  <c r="AC10" i="44" s="1"/>
  <c r="W12" i="44"/>
  <c r="K12" i="44" s="1"/>
  <c r="R12" i="44"/>
  <c r="S12" i="44" s="1"/>
  <c r="J12" i="44"/>
  <c r="I12" i="44"/>
  <c r="G12" i="44"/>
  <c r="AV11" i="44"/>
  <c r="AQ11" i="44"/>
  <c r="AL11" i="44"/>
  <c r="AM11" i="44" s="1"/>
  <c r="AG11" i="44"/>
  <c r="AB11" i="44"/>
  <c r="W11" i="44"/>
  <c r="R11" i="44"/>
  <c r="S11" i="44" s="1"/>
  <c r="J11" i="44"/>
  <c r="I11" i="44"/>
  <c r="G11" i="44"/>
  <c r="AV10" i="44"/>
  <c r="AW10" i="44" s="1"/>
  <c r="AQ10" i="44"/>
  <c r="AL10" i="44"/>
  <c r="AM10" i="44" s="1"/>
  <c r="AG10" i="44"/>
  <c r="AH32" i="44" s="1"/>
  <c r="AB10" i="44"/>
  <c r="W10" i="44"/>
  <c r="R10" i="44"/>
  <c r="S10" i="44" s="1"/>
  <c r="J10" i="44"/>
  <c r="I10" i="44"/>
  <c r="G10" i="44"/>
  <c r="AV9" i="44"/>
  <c r="AQ9" i="44"/>
  <c r="AL9" i="44"/>
  <c r="AG9" i="44"/>
  <c r="AH21" i="44" s="1"/>
  <c r="AB9" i="44"/>
  <c r="W9" i="44"/>
  <c r="R9" i="44"/>
  <c r="S9" i="44" s="1"/>
  <c r="J9" i="44"/>
  <c r="I9" i="44"/>
  <c r="G9" i="44"/>
  <c r="AV8" i="44"/>
  <c r="AW9" i="44" s="1"/>
  <c r="AQ8" i="44"/>
  <c r="AR8" i="44" s="1"/>
  <c r="AL8" i="44"/>
  <c r="K8" i="44" s="1"/>
  <c r="AG8" i="44"/>
  <c r="AH8" i="44" s="1"/>
  <c r="AB8" i="44"/>
  <c r="AC8" i="44" s="1"/>
  <c r="W8" i="44"/>
  <c r="X8" i="44" s="1"/>
  <c r="R8" i="44"/>
  <c r="S8" i="44" s="1"/>
  <c r="J8" i="44"/>
  <c r="I8" i="44"/>
  <c r="G8" i="44"/>
  <c r="AV7" i="44"/>
  <c r="AW7" i="44" s="1"/>
  <c r="AQ7" i="44"/>
  <c r="AR7" i="44" s="1"/>
  <c r="AL7" i="44"/>
  <c r="AM7" i="44" s="1"/>
  <c r="AG7" i="44"/>
  <c r="AH7" i="44" s="1"/>
  <c r="AB7" i="44"/>
  <c r="AC7" i="44" s="1"/>
  <c r="W7" i="44"/>
  <c r="X7" i="44" s="1"/>
  <c r="R7" i="44"/>
  <c r="S7" i="44" s="1"/>
  <c r="J7" i="44"/>
  <c r="I7" i="44"/>
  <c r="G7" i="44"/>
  <c r="B28" i="13"/>
  <c r="D28" i="13" s="1"/>
  <c r="AC13" i="7"/>
  <c r="S13" i="7"/>
  <c r="M13" i="7"/>
  <c r="AC12" i="7"/>
  <c r="S12" i="7"/>
  <c r="M12" i="7"/>
  <c r="F12" i="7" s="1"/>
  <c r="AL12" i="7" s="1"/>
  <c r="AC11" i="7"/>
  <c r="S11" i="7"/>
  <c r="M11" i="7"/>
  <c r="F11" i="7"/>
  <c r="AL11" i="7" s="1"/>
  <c r="AC10" i="7"/>
  <c r="S10" i="7"/>
  <c r="M10" i="7"/>
  <c r="F10" i="7"/>
  <c r="AL10" i="7" s="1"/>
  <c r="AC9" i="7"/>
  <c r="S9" i="7"/>
  <c r="M9" i="7"/>
  <c r="F9" i="7" s="1"/>
  <c r="AL9" i="7" s="1"/>
  <c r="AC8" i="7"/>
  <c r="S8" i="7"/>
  <c r="M8" i="7"/>
  <c r="F8" i="7" s="1"/>
  <c r="AL8" i="7" s="1"/>
  <c r="AC7" i="7"/>
  <c r="S7" i="7"/>
  <c r="M7" i="7"/>
  <c r="F7" i="7"/>
  <c r="AL7" i="7" s="1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F7" i="6"/>
  <c r="AJ7" i="6" s="1"/>
  <c r="U6" i="5"/>
  <c r="U7" i="5"/>
  <c r="U8" i="5"/>
  <c r="U9" i="5"/>
  <c r="U10" i="5"/>
  <c r="U11" i="5"/>
  <c r="U5" i="5"/>
  <c r="U6" i="3"/>
  <c r="U7" i="3"/>
  <c r="U8" i="3"/>
  <c r="U9" i="3"/>
  <c r="U10" i="3"/>
  <c r="U11" i="3"/>
  <c r="K12" i="49" l="1"/>
  <c r="H7" i="49"/>
  <c r="AC8" i="49"/>
  <c r="AW12" i="49"/>
  <c r="S7" i="49"/>
  <c r="AC9" i="49"/>
  <c r="AM11" i="49"/>
  <c r="AW13" i="49"/>
  <c r="AD7" i="49"/>
  <c r="AM15" i="49"/>
  <c r="AM13" i="49"/>
  <c r="AI7" i="49"/>
  <c r="X13" i="49"/>
  <c r="AM9" i="49"/>
  <c r="K7" i="49"/>
  <c r="AH7" i="49"/>
  <c r="T7" i="49"/>
  <c r="Y7" i="49"/>
  <c r="X11" i="49"/>
  <c r="AC7" i="49"/>
  <c r="X7" i="49"/>
  <c r="X15" i="49"/>
  <c r="AW9" i="48"/>
  <c r="X10" i="48"/>
  <c r="AH14" i="48"/>
  <c r="AM8" i="48"/>
  <c r="X14" i="48"/>
  <c r="AC7" i="48"/>
  <c r="AM11" i="48"/>
  <c r="AC8" i="48"/>
  <c r="S7" i="48"/>
  <c r="AR7" i="48"/>
  <c r="S14" i="48"/>
  <c r="AC12" i="48"/>
  <c r="AR8" i="48"/>
  <c r="K9" i="48"/>
  <c r="M9" i="48" s="1"/>
  <c r="AR9" i="48"/>
  <c r="AC14" i="48"/>
  <c r="AW8" i="48"/>
  <c r="AW13" i="48"/>
  <c r="K7" i="48"/>
  <c r="K14" i="48"/>
  <c r="AH7" i="48"/>
  <c r="AM10" i="48"/>
  <c r="AM14" i="48"/>
  <c r="AW11" i="48"/>
  <c r="AM9" i="48"/>
  <c r="X13" i="48"/>
  <c r="AN7" i="48"/>
  <c r="AW12" i="48"/>
  <c r="K10" i="48"/>
  <c r="X7" i="48"/>
  <c r="T7" i="47"/>
  <c r="AX7" i="47"/>
  <c r="K8" i="47"/>
  <c r="X8" i="47"/>
  <c r="AC8" i="47"/>
  <c r="AH8" i="47"/>
  <c r="AM8" i="47"/>
  <c r="H7" i="47"/>
  <c r="AR8" i="47"/>
  <c r="AW8" i="47"/>
  <c r="AC7" i="46"/>
  <c r="K7" i="46"/>
  <c r="S7" i="46"/>
  <c r="X7" i="46"/>
  <c r="K8" i="46"/>
  <c r="M8" i="46" s="1"/>
  <c r="X8" i="46"/>
  <c r="AH7" i="46"/>
  <c r="AM7" i="46"/>
  <c r="AW7" i="46"/>
  <c r="AC8" i="46"/>
  <c r="AM8" i="46"/>
  <c r="H7" i="46"/>
  <c r="AD7" i="45"/>
  <c r="AN7" i="45"/>
  <c r="X14" i="45"/>
  <c r="AH14" i="45"/>
  <c r="S7" i="45"/>
  <c r="AC7" i="45"/>
  <c r="AM7" i="45"/>
  <c r="AW7" i="45"/>
  <c r="S16" i="45"/>
  <c r="AC8" i="45"/>
  <c r="AM8" i="45"/>
  <c r="AW8" i="45"/>
  <c r="AM10" i="45"/>
  <c r="AW10" i="45"/>
  <c r="K8" i="45"/>
  <c r="K9" i="45"/>
  <c r="K10" i="45"/>
  <c r="M10" i="45" s="1"/>
  <c r="X12" i="45"/>
  <c r="X16" i="45"/>
  <c r="K12" i="45"/>
  <c r="AH16" i="45"/>
  <c r="K14" i="45"/>
  <c r="AM14" i="45"/>
  <c r="H7" i="45"/>
  <c r="K20" i="44"/>
  <c r="S23" i="44"/>
  <c r="X11" i="44"/>
  <c r="X31" i="44"/>
  <c r="AC21" i="44"/>
  <c r="AH11" i="44"/>
  <c r="AH31" i="44"/>
  <c r="AM21" i="44"/>
  <c r="AR11" i="44"/>
  <c r="AR31" i="44"/>
  <c r="AW21" i="44"/>
  <c r="AW25" i="44"/>
  <c r="AR29" i="44"/>
  <c r="AR30" i="44"/>
  <c r="AM22" i="44"/>
  <c r="AH36" i="44"/>
  <c r="AH13" i="44"/>
  <c r="AH33" i="44"/>
  <c r="AM23" i="44"/>
  <c r="AR33" i="44"/>
  <c r="AW23" i="44"/>
  <c r="K36" i="44"/>
  <c r="X14" i="44"/>
  <c r="X34" i="44"/>
  <c r="AH34" i="44"/>
  <c r="AW24" i="44"/>
  <c r="K9" i="44"/>
  <c r="K32" i="44"/>
  <c r="M32" i="44" s="1"/>
  <c r="AC25" i="44"/>
  <c r="AH15" i="44"/>
  <c r="AH35" i="44"/>
  <c r="AM25" i="44"/>
  <c r="AH10" i="44"/>
  <c r="K22" i="44"/>
  <c r="AW22" i="44"/>
  <c r="X33" i="44"/>
  <c r="AR13" i="44"/>
  <c r="AD7" i="44"/>
  <c r="X35" i="44"/>
  <c r="AR15" i="44"/>
  <c r="S36" i="44"/>
  <c r="AM8" i="44"/>
  <c r="AW8" i="44"/>
  <c r="AH29" i="44"/>
  <c r="AR10" i="44"/>
  <c r="AH19" i="44"/>
  <c r="AC11" i="44"/>
  <c r="K21" i="44"/>
  <c r="AC12" i="44"/>
  <c r="AC32" i="44"/>
  <c r="AC19" i="44"/>
  <c r="AH30" i="44"/>
  <c r="X32" i="44"/>
  <c r="AC29" i="44"/>
  <c r="AC30" i="44"/>
  <c r="AM31" i="44"/>
  <c r="K31" i="44"/>
  <c r="S31" i="44"/>
  <c r="AC20" i="44"/>
  <c r="AR19" i="44"/>
  <c r="K35" i="44"/>
  <c r="AM19" i="44"/>
  <c r="X30" i="44"/>
  <c r="AR32" i="44"/>
  <c r="T7" i="44"/>
  <c r="AC23" i="44"/>
  <c r="S35" i="44"/>
  <c r="S15" i="44"/>
  <c r="AC9" i="44"/>
  <c r="AM9" i="44"/>
  <c r="K7" i="44"/>
  <c r="X20" i="44"/>
  <c r="AM30" i="44"/>
  <c r="AW31" i="44"/>
  <c r="S33" i="44"/>
  <c r="AC31" i="44"/>
  <c r="K10" i="44"/>
  <c r="AH9" i="44"/>
  <c r="X10" i="44"/>
  <c r="X12" i="44"/>
  <c r="AC22" i="44"/>
  <c r="AM29" i="44"/>
  <c r="S13" i="44"/>
  <c r="AR21" i="44"/>
  <c r="S25" i="44"/>
  <c r="AM20" i="44"/>
  <c r="S21" i="44"/>
  <c r="AS7" i="44"/>
  <c r="S14" i="44"/>
  <c r="AR20" i="44"/>
  <c r="AW11" i="44"/>
  <c r="T7" i="6"/>
  <c r="I16" i="13"/>
  <c r="K16" i="13" s="1"/>
  <c r="AL7" i="6"/>
  <c r="AD7" i="6"/>
  <c r="I19" i="13"/>
  <c r="K19" i="13" s="1"/>
  <c r="N7" i="6"/>
  <c r="I15" i="13"/>
  <c r="AD8" i="7"/>
  <c r="N9" i="7"/>
  <c r="N10" i="7"/>
  <c r="T10" i="7"/>
  <c r="AD10" i="7"/>
  <c r="N7" i="7"/>
  <c r="C15" i="13"/>
  <c r="AD11" i="7"/>
  <c r="T7" i="7"/>
  <c r="C16" i="13"/>
  <c r="E16" i="13" s="1"/>
  <c r="N12" i="7"/>
  <c r="J10" i="7"/>
  <c r="AD7" i="7"/>
  <c r="C19" i="13"/>
  <c r="E19" i="13" s="1"/>
  <c r="T12" i="7"/>
  <c r="T9" i="7"/>
  <c r="AD9" i="7"/>
  <c r="AD12" i="7"/>
  <c r="N11" i="7"/>
  <c r="T11" i="7"/>
  <c r="N8" i="7"/>
  <c r="F13" i="7"/>
  <c r="AL13" i="7" s="1"/>
  <c r="T8" i="7"/>
  <c r="N13" i="7"/>
  <c r="K7" i="52"/>
  <c r="M7" i="52" s="1"/>
  <c r="AS7" i="49"/>
  <c r="AX7" i="49"/>
  <c r="K11" i="49"/>
  <c r="K10" i="49"/>
  <c r="K9" i="49"/>
  <c r="K8" i="49"/>
  <c r="K13" i="49"/>
  <c r="AN7" i="49"/>
  <c r="AS7" i="48"/>
  <c r="AX7" i="48"/>
  <c r="AD7" i="48"/>
  <c r="K11" i="48"/>
  <c r="K8" i="48"/>
  <c r="AD7" i="47"/>
  <c r="AM7" i="47"/>
  <c r="K7" i="47"/>
  <c r="M8" i="47" s="1"/>
  <c r="AS7" i="47"/>
  <c r="AH7" i="47"/>
  <c r="S7" i="47"/>
  <c r="X7" i="47"/>
  <c r="AI7" i="46"/>
  <c r="AS7" i="46"/>
  <c r="K7" i="45"/>
  <c r="K13" i="45"/>
  <c r="K11" i="45"/>
  <c r="Y7" i="45"/>
  <c r="K24" i="44"/>
  <c r="K33" i="44"/>
  <c r="AX7" i="44"/>
  <c r="K19" i="44"/>
  <c r="Y7" i="44"/>
  <c r="K28" i="44"/>
  <c r="K11" i="44"/>
  <c r="AI7" i="44"/>
  <c r="K17" i="44"/>
  <c r="H7" i="44"/>
  <c r="K18" i="44"/>
  <c r="K23" i="44"/>
  <c r="AN7" i="44"/>
  <c r="K16" i="44"/>
  <c r="K27" i="44"/>
  <c r="J11" i="7"/>
  <c r="J13" i="7"/>
  <c r="L7" i="7"/>
  <c r="L9" i="7"/>
  <c r="L11" i="7"/>
  <c r="L13" i="7"/>
  <c r="P7" i="7"/>
  <c r="P9" i="7"/>
  <c r="P11" i="7"/>
  <c r="R8" i="7"/>
  <c r="R10" i="7"/>
  <c r="R12" i="7"/>
  <c r="V7" i="7"/>
  <c r="V8" i="7"/>
  <c r="V9" i="7"/>
  <c r="V10" i="7"/>
  <c r="V11" i="7"/>
  <c r="V12" i="7"/>
  <c r="V13" i="7"/>
  <c r="X7" i="7"/>
  <c r="X8" i="7"/>
  <c r="X9" i="7"/>
  <c r="X10" i="7"/>
  <c r="X11" i="7"/>
  <c r="X12" i="7"/>
  <c r="X13" i="7"/>
  <c r="Z7" i="7"/>
  <c r="Z8" i="7"/>
  <c r="Z9" i="7"/>
  <c r="Z10" i="7"/>
  <c r="Z11" i="7"/>
  <c r="Z12" i="7"/>
  <c r="J8" i="7"/>
  <c r="J12" i="7"/>
  <c r="L8" i="7"/>
  <c r="L10" i="7"/>
  <c r="L12" i="7"/>
  <c r="P8" i="7"/>
  <c r="P10" i="7"/>
  <c r="P12" i="7"/>
  <c r="R7" i="7"/>
  <c r="R9" i="7"/>
  <c r="R11" i="7"/>
  <c r="R13" i="7"/>
  <c r="AB7" i="7"/>
  <c r="AB8" i="7"/>
  <c r="AB9" i="7"/>
  <c r="AB10" i="7"/>
  <c r="AB11" i="7"/>
  <c r="AB12" i="7"/>
  <c r="G7" i="7"/>
  <c r="J7" i="7"/>
  <c r="AF7" i="7"/>
  <c r="AH11" i="7"/>
  <c r="AH12" i="7"/>
  <c r="AJ7" i="7"/>
  <c r="AJ8" i="7"/>
  <c r="AJ9" i="7"/>
  <c r="AJ10" i="7"/>
  <c r="AJ11" i="7"/>
  <c r="AJ12" i="7"/>
  <c r="AJ13" i="7"/>
  <c r="J9" i="7"/>
  <c r="AF8" i="7"/>
  <c r="AF9" i="7"/>
  <c r="AF10" i="7"/>
  <c r="AF11" i="7"/>
  <c r="AF12" i="7"/>
  <c r="AH7" i="7"/>
  <c r="AH8" i="7"/>
  <c r="AH9" i="7"/>
  <c r="AH10" i="7"/>
  <c r="AH13" i="7"/>
  <c r="N9" i="6"/>
  <c r="T9" i="6"/>
  <c r="AD9" i="6"/>
  <c r="N10" i="6"/>
  <c r="T10" i="6"/>
  <c r="AD10" i="6"/>
  <c r="N11" i="6"/>
  <c r="T11" i="6"/>
  <c r="N12" i="6"/>
  <c r="AD12" i="6"/>
  <c r="N13" i="6"/>
  <c r="F8" i="6"/>
  <c r="F9" i="6"/>
  <c r="F10" i="6"/>
  <c r="F11" i="6"/>
  <c r="F12" i="6"/>
  <c r="F13" i="6"/>
  <c r="T13" i="6" s="1"/>
  <c r="J7" i="6"/>
  <c r="L7" i="6"/>
  <c r="P7" i="6"/>
  <c r="R7" i="6"/>
  <c r="V7" i="6"/>
  <c r="X7" i="6"/>
  <c r="Z7" i="6"/>
  <c r="AB7" i="6"/>
  <c r="AF7" i="6"/>
  <c r="AH7" i="6"/>
  <c r="M7" i="49" l="1"/>
  <c r="M15" i="49"/>
  <c r="M13" i="49"/>
  <c r="M8" i="49"/>
  <c r="M9" i="49"/>
  <c r="M11" i="49"/>
  <c r="M12" i="49"/>
  <c r="M10" i="49"/>
  <c r="M14" i="49"/>
  <c r="M11" i="48"/>
  <c r="M8" i="48"/>
  <c r="M10" i="48"/>
  <c r="M14" i="48"/>
  <c r="M12" i="48"/>
  <c r="M7" i="48"/>
  <c r="M13" i="48"/>
  <c r="M7" i="46"/>
  <c r="L7" i="46"/>
  <c r="M13" i="45"/>
  <c r="M7" i="45"/>
  <c r="M9" i="45"/>
  <c r="M8" i="45"/>
  <c r="M12" i="45"/>
  <c r="M16" i="45"/>
  <c r="M11" i="45"/>
  <c r="M14" i="45"/>
  <c r="M15" i="45"/>
  <c r="M7" i="44"/>
  <c r="M25" i="44"/>
  <c r="M34" i="44"/>
  <c r="M15" i="44"/>
  <c r="M20" i="44"/>
  <c r="M9" i="44"/>
  <c r="M12" i="44"/>
  <c r="M21" i="44"/>
  <c r="M14" i="44"/>
  <c r="M23" i="44"/>
  <c r="M13" i="44"/>
  <c r="M11" i="44"/>
  <c r="M31" i="44"/>
  <c r="M30" i="44"/>
  <c r="M27" i="44"/>
  <c r="M16" i="44"/>
  <c r="M18" i="44"/>
  <c r="M35" i="44"/>
  <c r="M29" i="44"/>
  <c r="M28" i="44"/>
  <c r="M19" i="44"/>
  <c r="M26" i="44"/>
  <c r="M24" i="44"/>
  <c r="M17" i="44"/>
  <c r="M22" i="44"/>
  <c r="M37" i="44"/>
  <c r="M36" i="44"/>
  <c r="M10" i="44"/>
  <c r="M33" i="44"/>
  <c r="M8" i="44"/>
  <c r="K15" i="13"/>
  <c r="I24" i="13"/>
  <c r="E15" i="13"/>
  <c r="C24" i="13"/>
  <c r="Z13" i="7"/>
  <c r="AD13" i="7"/>
  <c r="AB13" i="7"/>
  <c r="T13" i="7"/>
  <c r="AF13" i="7"/>
  <c r="P13" i="7"/>
  <c r="L7" i="52"/>
  <c r="L7" i="49"/>
  <c r="L7" i="48"/>
  <c r="M7" i="47"/>
  <c r="L7" i="47"/>
  <c r="L7" i="45"/>
  <c r="L7" i="44"/>
  <c r="AJ8" i="6"/>
  <c r="AH8" i="6"/>
  <c r="AF8" i="6"/>
  <c r="AB8" i="6"/>
  <c r="Z8" i="6"/>
  <c r="AL8" i="6"/>
  <c r="X8" i="6"/>
  <c r="V8" i="6"/>
  <c r="R8" i="6"/>
  <c r="P8" i="6"/>
  <c r="L8" i="6"/>
  <c r="J8" i="6"/>
  <c r="G7" i="6"/>
  <c r="AD8" i="6"/>
  <c r="AJ13" i="6"/>
  <c r="AH13" i="6"/>
  <c r="AF13" i="6"/>
  <c r="AB13" i="6"/>
  <c r="Z13" i="6"/>
  <c r="AL13" i="6"/>
  <c r="X13" i="6"/>
  <c r="V13" i="6"/>
  <c r="R13" i="6"/>
  <c r="P13" i="6"/>
  <c r="L13" i="6"/>
  <c r="J13" i="6"/>
  <c r="T8" i="6"/>
  <c r="AJ12" i="6"/>
  <c r="AH12" i="6"/>
  <c r="AF12" i="6"/>
  <c r="AB12" i="6"/>
  <c r="Z12" i="6"/>
  <c r="AL12" i="6"/>
  <c r="X12" i="6"/>
  <c r="V12" i="6"/>
  <c r="R12" i="6"/>
  <c r="P12" i="6"/>
  <c r="L12" i="6"/>
  <c r="J12" i="6"/>
  <c r="N8" i="6"/>
  <c r="AJ11" i="6"/>
  <c r="AH11" i="6"/>
  <c r="AF11" i="6"/>
  <c r="AB11" i="6"/>
  <c r="Z11" i="6"/>
  <c r="AL11" i="6"/>
  <c r="X11" i="6"/>
  <c r="V11" i="6"/>
  <c r="R11" i="6"/>
  <c r="P11" i="6"/>
  <c r="L11" i="6"/>
  <c r="J11" i="6"/>
  <c r="AD13" i="6"/>
  <c r="AJ10" i="6"/>
  <c r="AH10" i="6"/>
  <c r="AF10" i="6"/>
  <c r="AB10" i="6"/>
  <c r="Z10" i="6"/>
  <c r="AL10" i="6"/>
  <c r="X10" i="6"/>
  <c r="V10" i="6"/>
  <c r="R10" i="6"/>
  <c r="P10" i="6"/>
  <c r="L10" i="6"/>
  <c r="J10" i="6"/>
  <c r="T12" i="6"/>
  <c r="AJ9" i="6"/>
  <c r="AH9" i="6"/>
  <c r="AF9" i="6"/>
  <c r="AB9" i="6"/>
  <c r="Z9" i="6"/>
  <c r="AL9" i="6"/>
  <c r="X9" i="6"/>
  <c r="V9" i="6"/>
  <c r="R9" i="6"/>
  <c r="P9" i="6"/>
  <c r="L9" i="6"/>
  <c r="J9" i="6"/>
  <c r="AD11" i="6"/>
  <c r="S5" i="3" l="1"/>
  <c r="AC128" i="64" l="1"/>
  <c r="H65" i="41" s="1"/>
  <c r="AD128" i="64"/>
  <c r="J65" i="41" s="1"/>
  <c r="AE128" i="64"/>
  <c r="L65" i="41" s="1"/>
  <c r="AF128" i="64"/>
  <c r="F70" i="41" s="1"/>
  <c r="AG128" i="64"/>
  <c r="H70" i="41" s="1"/>
  <c r="AH128" i="64"/>
  <c r="J70" i="41" s="1"/>
  <c r="AB128" i="64"/>
  <c r="F65" i="41" s="1"/>
  <c r="AC127" i="64"/>
  <c r="AD127" i="64"/>
  <c r="AE127" i="64"/>
  <c r="AF127" i="64"/>
  <c r="AG127" i="64"/>
  <c r="AH127" i="64"/>
  <c r="AB127" i="64"/>
  <c r="AC128" i="63"/>
  <c r="H64" i="41" s="1"/>
  <c r="AD128" i="63"/>
  <c r="J64" i="41" s="1"/>
  <c r="AE128" i="63"/>
  <c r="L64" i="41" s="1"/>
  <c r="AF128" i="63"/>
  <c r="F69" i="41" s="1"/>
  <c r="AG128" i="63"/>
  <c r="H69" i="41" s="1"/>
  <c r="AH128" i="63"/>
  <c r="J69" i="41" s="1"/>
  <c r="AB128" i="63"/>
  <c r="F64" i="41" s="1"/>
  <c r="AC127" i="63"/>
  <c r="AD127" i="63"/>
  <c r="AE127" i="63"/>
  <c r="AF127" i="63"/>
  <c r="AG127" i="63"/>
  <c r="AH127" i="63"/>
  <c r="AB127" i="63"/>
  <c r="P2" i="46" l="1"/>
  <c r="P3" i="46" s="1"/>
  <c r="U2" i="46"/>
  <c r="Z2" i="46" s="1"/>
  <c r="U3" i="46" l="1"/>
  <c r="AE2" i="46"/>
  <c r="Z3" i="46"/>
  <c r="AJ2" i="46" l="1"/>
  <c r="AE3" i="46"/>
  <c r="AJ3" i="46" l="1"/>
  <c r="AO2" i="46"/>
  <c r="AT2" i="46" l="1"/>
  <c r="AT3" i="46" s="1"/>
  <c r="AO3" i="46"/>
  <c r="D28" i="39" l="1"/>
  <c r="M39" i="56" l="1"/>
  <c r="B64" i="41" s="1"/>
  <c r="N39" i="56"/>
  <c r="B65" i="41" s="1"/>
  <c r="B32" i="13" l="1"/>
  <c r="D32" i="13" s="1"/>
  <c r="B29" i="13"/>
  <c r="D29" i="13" s="1"/>
  <c r="E34" i="39" l="1"/>
  <c r="B34" i="13"/>
  <c r="D34" i="13" s="1"/>
  <c r="B35" i="13"/>
  <c r="D35" i="13" s="1"/>
  <c r="B36" i="13" l="1"/>
  <c r="D36" i="13" s="1"/>
  <c r="B33" i="13"/>
  <c r="D33" i="13" s="1"/>
  <c r="P3" i="52" l="1"/>
  <c r="U2" i="52"/>
  <c r="U2" i="49"/>
  <c r="P3" i="49"/>
  <c r="U3" i="52" l="1"/>
  <c r="Z2" i="52"/>
  <c r="P3" i="51"/>
  <c r="U2" i="51"/>
  <c r="U2" i="50"/>
  <c r="P3" i="50"/>
  <c r="U3" i="49"/>
  <c r="Z2" i="49"/>
  <c r="P3" i="48"/>
  <c r="U2" i="48"/>
  <c r="U2" i="47"/>
  <c r="P3" i="47"/>
  <c r="Z3" i="52" l="1"/>
  <c r="AE2" i="52"/>
  <c r="Z2" i="51"/>
  <c r="U3" i="51"/>
  <c r="U3" i="50"/>
  <c r="Z2" i="50"/>
  <c r="Z3" i="49"/>
  <c r="AE2" i="49"/>
  <c r="Z2" i="48"/>
  <c r="U3" i="48"/>
  <c r="U3" i="47"/>
  <c r="Z2" i="47"/>
  <c r="AE3" i="52" l="1"/>
  <c r="AJ2" i="52"/>
  <c r="Z3" i="51"/>
  <c r="AE2" i="51"/>
  <c r="Z3" i="50"/>
  <c r="AE2" i="50"/>
  <c r="AE3" i="49"/>
  <c r="AJ2" i="49"/>
  <c r="Z3" i="48"/>
  <c r="AE2" i="48"/>
  <c r="Z3" i="47"/>
  <c r="AE2" i="47"/>
  <c r="AJ3" i="52" l="1"/>
  <c r="AO2" i="52"/>
  <c r="AE3" i="51"/>
  <c r="AJ2" i="51"/>
  <c r="AE3" i="50"/>
  <c r="AJ2" i="50"/>
  <c r="AJ3" i="49"/>
  <c r="AO2" i="49"/>
  <c r="AE3" i="48"/>
  <c r="AJ2" i="48"/>
  <c r="AE3" i="47"/>
  <c r="AJ2" i="47"/>
  <c r="AO3" i="52" l="1"/>
  <c r="AT2" i="52"/>
  <c r="AT3" i="52" s="1"/>
  <c r="AJ3" i="51"/>
  <c r="AO2" i="51"/>
  <c r="AO2" i="50"/>
  <c r="AJ3" i="50"/>
  <c r="AO3" i="49"/>
  <c r="AT2" i="49"/>
  <c r="AT3" i="49" s="1"/>
  <c r="AJ3" i="48"/>
  <c r="AO2" i="48"/>
  <c r="AJ3" i="47"/>
  <c r="AO2" i="47"/>
  <c r="AO3" i="51" l="1"/>
  <c r="AT2" i="51"/>
  <c r="AT3" i="51" s="1"/>
  <c r="AO3" i="50"/>
  <c r="AT2" i="50"/>
  <c r="AT3" i="50" s="1"/>
  <c r="AO3" i="48"/>
  <c r="AT2" i="48"/>
  <c r="AT3" i="48" s="1"/>
  <c r="AO3" i="47"/>
  <c r="AT2" i="47"/>
  <c r="AT3" i="47" s="1"/>
  <c r="AB103" i="64" l="1"/>
  <c r="R74" i="64"/>
  <c r="S74" i="64" s="1"/>
  <c r="Q74" i="64"/>
  <c r="M74" i="64"/>
  <c r="K74" i="64"/>
  <c r="I74" i="64"/>
  <c r="R73" i="64"/>
  <c r="S73" i="64" s="1"/>
  <c r="Q73" i="64"/>
  <c r="M73" i="64"/>
  <c r="K73" i="64"/>
  <c r="I73" i="64"/>
  <c r="R72" i="64"/>
  <c r="S72" i="64" s="1"/>
  <c r="Q72" i="64"/>
  <c r="M72" i="64"/>
  <c r="K72" i="64"/>
  <c r="I72" i="64"/>
  <c r="R71" i="64"/>
  <c r="S71" i="64" s="1"/>
  <c r="Q71" i="64"/>
  <c r="M71" i="64"/>
  <c r="K71" i="64"/>
  <c r="I71" i="64"/>
  <c r="R70" i="64"/>
  <c r="S70" i="64" s="1"/>
  <c r="Q70" i="64"/>
  <c r="M70" i="64"/>
  <c r="K70" i="64"/>
  <c r="I70" i="64"/>
  <c r="R69" i="64"/>
  <c r="S69" i="64" s="1"/>
  <c r="Q69" i="64"/>
  <c r="M69" i="64"/>
  <c r="K69" i="64"/>
  <c r="I69" i="64"/>
  <c r="R68" i="64"/>
  <c r="S68" i="64" s="1"/>
  <c r="Q68" i="64"/>
  <c r="M68" i="64"/>
  <c r="K68" i="64"/>
  <c r="I68" i="64"/>
  <c r="R67" i="64"/>
  <c r="S67" i="64" s="1"/>
  <c r="Q67" i="64"/>
  <c r="M67" i="64"/>
  <c r="K67" i="64"/>
  <c r="I67" i="64"/>
  <c r="R66" i="64"/>
  <c r="S66" i="64" s="1"/>
  <c r="Q66" i="64"/>
  <c r="M66" i="64"/>
  <c r="K66" i="64"/>
  <c r="I66" i="64"/>
  <c r="R65" i="64"/>
  <c r="S65" i="64" s="1"/>
  <c r="Q65" i="64"/>
  <c r="M65" i="64"/>
  <c r="K65" i="64"/>
  <c r="I65" i="64"/>
  <c r="R64" i="64"/>
  <c r="S64" i="64" s="1"/>
  <c r="Q64" i="64"/>
  <c r="M64" i="64"/>
  <c r="K64" i="64"/>
  <c r="I64" i="64"/>
  <c r="R63" i="64"/>
  <c r="S63" i="64" s="1"/>
  <c r="Q63" i="64"/>
  <c r="M63" i="64"/>
  <c r="K63" i="64"/>
  <c r="I63" i="64"/>
  <c r="R62" i="64"/>
  <c r="S62" i="64" s="1"/>
  <c r="Q62" i="64"/>
  <c r="M62" i="64"/>
  <c r="K62" i="64"/>
  <c r="I62" i="64"/>
  <c r="R61" i="64"/>
  <c r="S61" i="64" s="1"/>
  <c r="Q61" i="64"/>
  <c r="M61" i="64"/>
  <c r="K61" i="64"/>
  <c r="I61" i="64"/>
  <c r="R60" i="64"/>
  <c r="S60" i="64" s="1"/>
  <c r="Q60" i="64"/>
  <c r="M60" i="64"/>
  <c r="K60" i="64"/>
  <c r="I60" i="64"/>
  <c r="R59" i="64"/>
  <c r="S59" i="64" s="1"/>
  <c r="Q59" i="64"/>
  <c r="M59" i="64"/>
  <c r="K59" i="64"/>
  <c r="I59" i="64"/>
  <c r="R58" i="64"/>
  <c r="S58" i="64" s="1"/>
  <c r="Q58" i="64"/>
  <c r="M58" i="64"/>
  <c r="K58" i="64"/>
  <c r="I58" i="64"/>
  <c r="R57" i="64"/>
  <c r="S57" i="64" s="1"/>
  <c r="Q57" i="64"/>
  <c r="M57" i="64"/>
  <c r="K57" i="64"/>
  <c r="I57" i="64"/>
  <c r="R56" i="64"/>
  <c r="S56" i="64" s="1"/>
  <c r="Q56" i="64"/>
  <c r="M56" i="64"/>
  <c r="K56" i="64"/>
  <c r="I56" i="64"/>
  <c r="R55" i="64"/>
  <c r="S55" i="64" s="1"/>
  <c r="Q55" i="64"/>
  <c r="M55" i="64"/>
  <c r="K55" i="64"/>
  <c r="I55" i="64"/>
  <c r="AF3" i="56"/>
  <c r="AC3" i="56"/>
  <c r="A5" i="56"/>
  <c r="A6" i="56" s="1"/>
  <c r="A7" i="56" s="1"/>
  <c r="A8" i="56" s="1"/>
  <c r="A9" i="56" s="1"/>
  <c r="A10" i="56" s="1"/>
  <c r="N4" i="56"/>
  <c r="M4" i="56"/>
  <c r="AC129" i="64" l="1"/>
  <c r="I65" i="41" s="1"/>
  <c r="AB129" i="64"/>
  <c r="G65" i="41" s="1"/>
  <c r="AE129" i="64"/>
  <c r="M65" i="41" s="1"/>
  <c r="AF129" i="64"/>
  <c r="G70" i="41" s="1"/>
  <c r="AH129" i="64"/>
  <c r="K70" i="41" s="1"/>
  <c r="AG129" i="64"/>
  <c r="I70" i="41" s="1"/>
  <c r="AD129" i="64"/>
  <c r="K65" i="41" s="1"/>
  <c r="AA127" i="63" l="1"/>
  <c r="AB129" i="63" s="1"/>
  <c r="G64" i="41" s="1"/>
  <c r="AH104" i="63"/>
  <c r="AG104" i="63"/>
  <c r="AF104" i="63"/>
  <c r="AE104" i="63"/>
  <c r="AD104" i="63"/>
  <c r="AC104" i="63"/>
  <c r="AB104" i="63"/>
  <c r="AH103" i="63"/>
  <c r="AG103" i="63"/>
  <c r="AG105" i="63" s="1"/>
  <c r="AF103" i="63"/>
  <c r="AE103" i="63"/>
  <c r="AD103" i="63"/>
  <c r="AD105" i="63" s="1"/>
  <c r="AC103" i="63"/>
  <c r="AC105" i="63" s="1"/>
  <c r="AB103" i="63"/>
  <c r="AB105" i="63" s="1"/>
  <c r="AA103" i="63"/>
  <c r="AH80" i="63"/>
  <c r="AG80" i="63"/>
  <c r="AF80" i="63"/>
  <c r="AE80" i="63"/>
  <c r="AD80" i="63"/>
  <c r="AC80" i="63"/>
  <c r="AB80" i="63"/>
  <c r="AH79" i="63"/>
  <c r="AH81" i="63" s="1"/>
  <c r="AG79" i="63"/>
  <c r="AG81" i="63" s="1"/>
  <c r="AF79" i="63"/>
  <c r="AF81" i="63" s="1"/>
  <c r="AE79" i="63"/>
  <c r="AE81" i="63" s="1"/>
  <c r="AD79" i="63"/>
  <c r="AD81" i="63" s="1"/>
  <c r="AC79" i="63"/>
  <c r="AC81" i="63" s="1"/>
  <c r="AB79" i="63"/>
  <c r="AB81" i="63" s="1"/>
  <c r="AA79" i="63"/>
  <c r="AH56" i="63"/>
  <c r="AG56" i="63"/>
  <c r="AF56" i="63"/>
  <c r="AE56" i="63"/>
  <c r="AD56" i="63"/>
  <c r="AC56" i="63"/>
  <c r="AB56" i="63"/>
  <c r="AH55" i="63"/>
  <c r="AG55" i="63"/>
  <c r="AF55" i="63"/>
  <c r="AE55" i="63"/>
  <c r="AD55" i="63"/>
  <c r="AC55" i="63"/>
  <c r="AB55" i="63"/>
  <c r="AA55" i="63"/>
  <c r="Q50" i="63"/>
  <c r="S50" i="63" s="1"/>
  <c r="P50" i="63"/>
  <c r="Q49" i="63"/>
  <c r="S49" i="63" s="1"/>
  <c r="P49" i="63"/>
  <c r="Q48" i="63"/>
  <c r="R48" i="63" s="1"/>
  <c r="P48" i="63"/>
  <c r="Q47" i="63"/>
  <c r="S47" i="63" s="1"/>
  <c r="P47" i="63"/>
  <c r="Q46" i="63"/>
  <c r="S46" i="63" s="1"/>
  <c r="P46" i="63"/>
  <c r="Q45" i="63"/>
  <c r="S45" i="63" s="1"/>
  <c r="P45" i="63"/>
  <c r="Q44" i="63"/>
  <c r="S44" i="63" s="1"/>
  <c r="P44" i="63"/>
  <c r="Q43" i="63"/>
  <c r="R43" i="63" s="1"/>
  <c r="P43" i="63"/>
  <c r="Q42" i="63"/>
  <c r="S42" i="63" s="1"/>
  <c r="P42" i="63"/>
  <c r="Q41" i="63"/>
  <c r="R41" i="63" s="1"/>
  <c r="P41" i="63"/>
  <c r="Q40" i="63"/>
  <c r="S40" i="63" s="1"/>
  <c r="P40" i="63"/>
  <c r="Q39" i="63"/>
  <c r="S39" i="63" s="1"/>
  <c r="P39" i="63"/>
  <c r="Q38" i="63"/>
  <c r="S38" i="63" s="1"/>
  <c r="P38" i="63"/>
  <c r="Q37" i="63"/>
  <c r="S37" i="63" s="1"/>
  <c r="P37" i="63"/>
  <c r="Q36" i="63"/>
  <c r="S36" i="63" s="1"/>
  <c r="P36" i="63"/>
  <c r="Q35" i="63"/>
  <c r="S35" i="63" s="1"/>
  <c r="P35" i="63"/>
  <c r="Q34" i="63"/>
  <c r="S34" i="63" s="1"/>
  <c r="P34" i="63"/>
  <c r="Q33" i="63"/>
  <c r="R33" i="63" s="1"/>
  <c r="P33" i="63"/>
  <c r="AH32" i="63"/>
  <c r="AG32" i="63"/>
  <c r="AF32" i="63"/>
  <c r="AE32" i="63"/>
  <c r="AD32" i="63"/>
  <c r="AC32" i="63"/>
  <c r="AB32" i="63"/>
  <c r="Q32" i="63"/>
  <c r="R32" i="63" s="1"/>
  <c r="P32" i="63"/>
  <c r="AH31" i="63"/>
  <c r="AG31" i="63"/>
  <c r="AF31" i="63"/>
  <c r="AE31" i="63"/>
  <c r="AD31" i="63"/>
  <c r="AD33" i="63" s="1"/>
  <c r="AC31" i="63"/>
  <c r="AB31" i="63"/>
  <c r="AA31" i="63"/>
  <c r="Q31" i="63"/>
  <c r="S31" i="63" s="1"/>
  <c r="P31" i="63"/>
  <c r="AH8" i="63"/>
  <c r="AG8" i="63"/>
  <c r="AF8" i="63"/>
  <c r="AE8" i="63"/>
  <c r="AD8" i="63"/>
  <c r="AC8" i="63"/>
  <c r="AB8" i="63"/>
  <c r="AH7" i="63"/>
  <c r="AH9" i="63" s="1"/>
  <c r="AG7" i="63"/>
  <c r="AG9" i="63" s="1"/>
  <c r="AF7" i="63"/>
  <c r="AF9" i="63" s="1"/>
  <c r="AE7" i="63"/>
  <c r="AE9" i="63" s="1"/>
  <c r="AD7" i="63"/>
  <c r="AD9" i="63" s="1"/>
  <c r="AC7" i="63"/>
  <c r="AC9" i="63" s="1"/>
  <c r="AB7" i="63"/>
  <c r="AB9" i="63" s="1"/>
  <c r="AA7" i="63"/>
  <c r="AF105" i="63" l="1"/>
  <c r="AH105" i="63"/>
  <c r="AE105" i="63"/>
  <c r="H14" i="40"/>
  <c r="F14" i="40"/>
  <c r="AH57" i="63"/>
  <c r="AH144" i="63"/>
  <c r="K14" i="40" s="1"/>
  <c r="AG57" i="63"/>
  <c r="AG144" i="63"/>
  <c r="I14" i="40" s="1"/>
  <c r="F9" i="40"/>
  <c r="H9" i="40"/>
  <c r="J9" i="40"/>
  <c r="L9" i="40"/>
  <c r="AB57" i="63"/>
  <c r="AB144" i="63"/>
  <c r="G9" i="40" s="1"/>
  <c r="AC57" i="63"/>
  <c r="AC144" i="63"/>
  <c r="I9" i="40" s="1"/>
  <c r="J14" i="40"/>
  <c r="AE57" i="63"/>
  <c r="AE144" i="63"/>
  <c r="M9" i="40" s="1"/>
  <c r="AF57" i="63"/>
  <c r="AF144" i="63"/>
  <c r="G14" i="40" s="1"/>
  <c r="AC129" i="63"/>
  <c r="I64" i="41" s="1"/>
  <c r="AH129" i="63"/>
  <c r="K69" i="41" s="1"/>
  <c r="AE129" i="63"/>
  <c r="M64" i="41" s="1"/>
  <c r="AF129" i="63"/>
  <c r="G69" i="41" s="1"/>
  <c r="AD129" i="63"/>
  <c r="K64" i="41" s="1"/>
  <c r="AG129" i="63"/>
  <c r="I69" i="41" s="1"/>
  <c r="AB33" i="63"/>
  <c r="AE33" i="63"/>
  <c r="AD144" i="63"/>
  <c r="K9" i="40" s="1"/>
  <c r="S41" i="63"/>
  <c r="S48" i="63"/>
  <c r="R44" i="63"/>
  <c r="R45" i="63"/>
  <c r="R46" i="63"/>
  <c r="R31" i="63"/>
  <c r="S43" i="63"/>
  <c r="S33" i="63"/>
  <c r="R35" i="63"/>
  <c r="R38" i="63"/>
  <c r="AC33" i="63"/>
  <c r="R50" i="63"/>
  <c r="AD57" i="63"/>
  <c r="AH33" i="63"/>
  <c r="R36" i="63"/>
  <c r="R39" i="63"/>
  <c r="R42" i="63"/>
  <c r="R49" i="63"/>
  <c r="R47" i="63"/>
  <c r="AF33" i="63"/>
  <c r="S32" i="63"/>
  <c r="AG33" i="63"/>
  <c r="R34" i="63"/>
  <c r="R37" i="63"/>
  <c r="R40" i="63"/>
  <c r="I5" i="5" l="1"/>
  <c r="M5" i="5"/>
  <c r="P5" i="5"/>
  <c r="S5" i="5"/>
  <c r="V5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I6" i="5"/>
  <c r="K6" i="5" s="1"/>
  <c r="K7" i="39" s="1"/>
  <c r="I7" i="5"/>
  <c r="I8" i="5"/>
  <c r="I9" i="5"/>
  <c r="I10" i="5"/>
  <c r="I11" i="5"/>
  <c r="J5" i="5" l="1"/>
  <c r="O6" i="3"/>
  <c r="O7" i="3"/>
  <c r="O8" i="3"/>
  <c r="O9" i="3"/>
  <c r="O10" i="3"/>
  <c r="O11" i="3"/>
  <c r="M5" i="3"/>
  <c r="J5" i="3"/>
  <c r="G5" i="3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B12" i="3"/>
  <c r="B19" i="3" s="1"/>
  <c r="B26" i="3" s="1"/>
  <c r="B33" i="3" s="1"/>
  <c r="O5" i="3"/>
  <c r="U5" i="3"/>
  <c r="V5" i="3" l="1"/>
  <c r="P5" i="3"/>
  <c r="B5" i="40"/>
  <c r="C10" i="40" l="1"/>
  <c r="C9" i="40"/>
  <c r="C65" i="41"/>
  <c r="C64" i="41"/>
  <c r="B53" i="41" l="1"/>
  <c r="C53" i="41" l="1"/>
  <c r="K142" i="19"/>
  <c r="K134" i="19"/>
  <c r="K182" i="20"/>
  <c r="K174" i="20"/>
  <c r="K166" i="20"/>
  <c r="K158" i="20"/>
  <c r="K126" i="19"/>
  <c r="D30" i="39" l="1"/>
  <c r="N11" i="56" l="1"/>
  <c r="M11" i="56"/>
  <c r="AC7" i="64" l="1"/>
  <c r="AD7" i="64"/>
  <c r="AE7" i="64"/>
  <c r="AF7" i="64"/>
  <c r="AG7" i="64"/>
  <c r="AH7" i="64"/>
  <c r="AC8" i="64"/>
  <c r="H10" i="41" s="1"/>
  <c r="AD8" i="64"/>
  <c r="AE8" i="64"/>
  <c r="AF8" i="64"/>
  <c r="F15" i="41" s="1"/>
  <c r="AG8" i="64"/>
  <c r="H15" i="41" s="1"/>
  <c r="AH8" i="64"/>
  <c r="J15" i="41" s="1"/>
  <c r="AB8" i="64"/>
  <c r="F10" i="41" s="1"/>
  <c r="AB7" i="64"/>
  <c r="AA7" i="64"/>
  <c r="H9" i="41"/>
  <c r="J9" i="41"/>
  <c r="L9" i="41"/>
  <c r="F14" i="41"/>
  <c r="H14" i="41"/>
  <c r="J14" i="41"/>
  <c r="F9" i="41"/>
  <c r="K14" i="41"/>
  <c r="B31" i="13"/>
  <c r="D31" i="13" s="1"/>
  <c r="B30" i="13"/>
  <c r="D30" i="13" s="1"/>
  <c r="E28" i="39"/>
  <c r="G14" i="41" l="1"/>
  <c r="AB9" i="64"/>
  <c r="G10" i="41" s="1"/>
  <c r="AC9" i="64"/>
  <c r="I10" i="41" s="1"/>
  <c r="AE9" i="64"/>
  <c r="M10" i="41" s="1"/>
  <c r="AF9" i="64"/>
  <c r="G15" i="41" s="1"/>
  <c r="AG9" i="64"/>
  <c r="I15" i="41" s="1"/>
  <c r="AH9" i="64"/>
  <c r="K15" i="41" s="1"/>
  <c r="AD9" i="64"/>
  <c r="K10" i="41" s="1"/>
  <c r="J10" i="41"/>
  <c r="L10" i="41"/>
  <c r="I14" i="41"/>
  <c r="G9" i="41"/>
  <c r="I9" i="41"/>
  <c r="M9" i="41"/>
  <c r="K9" i="41"/>
  <c r="C21" i="39" l="1"/>
  <c r="C22" i="39"/>
  <c r="C17" i="39"/>
  <c r="C20" i="39"/>
  <c r="C15" i="39"/>
  <c r="C23" i="39"/>
  <c r="C19" i="39"/>
  <c r="C18" i="39"/>
  <c r="C16" i="39"/>
  <c r="B54" i="41" l="1"/>
  <c r="K142" i="62" l="1"/>
  <c r="K126" i="62"/>
  <c r="K134" i="62"/>
  <c r="AC103" i="64"/>
  <c r="AD103" i="64"/>
  <c r="AE103" i="64"/>
  <c r="AF103" i="64"/>
  <c r="AG103" i="64"/>
  <c r="AH103" i="64"/>
  <c r="AC104" i="64"/>
  <c r="AD104" i="64"/>
  <c r="AE104" i="64"/>
  <c r="AF104" i="64"/>
  <c r="AG104" i="64"/>
  <c r="AH104" i="64"/>
  <c r="AB104" i="64"/>
  <c r="AA103" i="64"/>
  <c r="AB105" i="64" l="1"/>
  <c r="G54" i="41" s="1"/>
  <c r="H59" i="41"/>
  <c r="H54" i="41"/>
  <c r="J59" i="41"/>
  <c r="F54" i="41"/>
  <c r="L54" i="41"/>
  <c r="J54" i="41"/>
  <c r="F59" i="41"/>
  <c r="G58" i="41"/>
  <c r="I58" i="41"/>
  <c r="L53" i="41"/>
  <c r="F53" i="41"/>
  <c r="J58" i="41"/>
  <c r="H58" i="41"/>
  <c r="F58" i="41"/>
  <c r="J53" i="41"/>
  <c r="H53" i="41"/>
  <c r="G53" i="41"/>
  <c r="AH105" i="64"/>
  <c r="K59" i="41" s="1"/>
  <c r="M53" i="41"/>
  <c r="K53" i="41"/>
  <c r="I53" i="41"/>
  <c r="K58" i="41"/>
  <c r="AG105" i="64"/>
  <c r="I59" i="41" s="1"/>
  <c r="AE105" i="64"/>
  <c r="M54" i="41" s="1"/>
  <c r="AD105" i="64"/>
  <c r="K54" i="41" s="1"/>
  <c r="AF105" i="64"/>
  <c r="G59" i="41" s="1"/>
  <c r="AC105" i="64"/>
  <c r="I54" i="41" s="1"/>
  <c r="AG56" i="64" l="1"/>
  <c r="H37" i="41" s="1"/>
  <c r="AB32" i="64"/>
  <c r="AC80" i="64"/>
  <c r="AD80" i="64"/>
  <c r="AE80" i="64"/>
  <c r="AF80" i="64"/>
  <c r="AG80" i="64"/>
  <c r="AH80" i="64"/>
  <c r="AB80" i="64"/>
  <c r="AB55" i="64"/>
  <c r="AC56" i="64"/>
  <c r="AD56" i="64"/>
  <c r="AE56" i="64"/>
  <c r="AF56" i="64"/>
  <c r="AB56" i="64"/>
  <c r="F10" i="40" l="1"/>
  <c r="F48" i="41"/>
  <c r="J48" i="41"/>
  <c r="H48" i="41"/>
  <c r="AC79" i="64" l="1"/>
  <c r="AD79" i="64"/>
  <c r="AE79" i="64"/>
  <c r="AF79" i="64"/>
  <c r="AG79" i="64"/>
  <c r="AH79" i="64"/>
  <c r="H43" i="41"/>
  <c r="J43" i="41"/>
  <c r="L43" i="41"/>
  <c r="F43" i="41"/>
  <c r="AB79" i="64"/>
  <c r="F42" i="41"/>
  <c r="AA79" i="64"/>
  <c r="I42" i="41"/>
  <c r="K42" i="41"/>
  <c r="M42" i="41"/>
  <c r="H42" i="41"/>
  <c r="J42" i="41"/>
  <c r="L42" i="41"/>
  <c r="F47" i="41"/>
  <c r="H47" i="41"/>
  <c r="J47" i="41"/>
  <c r="G42" i="41"/>
  <c r="AC81" i="64" l="1"/>
  <c r="I43" i="41" s="1"/>
  <c r="AB81" i="64"/>
  <c r="G43" i="41" s="1"/>
  <c r="I47" i="41"/>
  <c r="G47" i="41"/>
  <c r="AH81" i="64"/>
  <c r="K48" i="41" s="1"/>
  <c r="AF81" i="64"/>
  <c r="G48" i="41" s="1"/>
  <c r="AE81" i="64"/>
  <c r="M43" i="41" s="1"/>
  <c r="AD81" i="64"/>
  <c r="K43" i="41" s="1"/>
  <c r="AG81" i="64"/>
  <c r="I48" i="41" s="1"/>
  <c r="K47" i="41"/>
  <c r="AC55" i="64" l="1"/>
  <c r="AD55" i="64"/>
  <c r="AE55" i="64"/>
  <c r="AF55" i="64"/>
  <c r="AG55" i="64"/>
  <c r="AH55" i="64"/>
  <c r="H32" i="41"/>
  <c r="J32" i="41"/>
  <c r="L32" i="41"/>
  <c r="F37" i="41"/>
  <c r="AH56" i="64"/>
  <c r="F32" i="41"/>
  <c r="AA55" i="64"/>
  <c r="I31" i="41"/>
  <c r="K31" i="41"/>
  <c r="M31" i="41"/>
  <c r="G36" i="41"/>
  <c r="I36" i="41"/>
  <c r="H31" i="41"/>
  <c r="J31" i="41"/>
  <c r="L31" i="41"/>
  <c r="F36" i="41"/>
  <c r="H36" i="41"/>
  <c r="J36" i="41"/>
  <c r="F31" i="41"/>
  <c r="G31" i="41"/>
  <c r="AB57" i="64" l="1"/>
  <c r="G32" i="41" s="1"/>
  <c r="AF57" i="64"/>
  <c r="G37" i="41" s="1"/>
  <c r="K36" i="41"/>
  <c r="AE57" i="64"/>
  <c r="M32" i="41" s="1"/>
  <c r="J37" i="41"/>
  <c r="AH57" i="64"/>
  <c r="K37" i="41" s="1"/>
  <c r="AG57" i="64"/>
  <c r="I37" i="41" s="1"/>
  <c r="AD57" i="64"/>
  <c r="K32" i="41" s="1"/>
  <c r="AC57" i="64"/>
  <c r="I32" i="41" s="1"/>
  <c r="AB31" i="64" l="1"/>
  <c r="AC31" i="64"/>
  <c r="AD31" i="64"/>
  <c r="AE31" i="64"/>
  <c r="AF31" i="64"/>
  <c r="AG31" i="64"/>
  <c r="AH31" i="64"/>
  <c r="AC32" i="64"/>
  <c r="H10" i="40" s="1"/>
  <c r="AD32" i="64"/>
  <c r="J10" i="40" s="1"/>
  <c r="AE32" i="64"/>
  <c r="L10" i="40" s="1"/>
  <c r="AF32" i="64"/>
  <c r="F15" i="40" s="1"/>
  <c r="AG32" i="64"/>
  <c r="H15" i="40" s="1"/>
  <c r="AH32" i="64"/>
  <c r="J15" i="40" s="1"/>
  <c r="F21" i="41"/>
  <c r="AA31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B20" i="41"/>
  <c r="B21" i="41"/>
  <c r="M18" i="56"/>
  <c r="N18" i="56"/>
  <c r="B32" i="41" s="1"/>
  <c r="B42" i="41"/>
  <c r="N25" i="56"/>
  <c r="B43" i="41" s="1"/>
  <c r="A11" i="56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K114" i="19" l="1"/>
  <c r="K106" i="19"/>
  <c r="K146" i="20"/>
  <c r="K138" i="20"/>
  <c r="K98" i="19"/>
  <c r="K122" i="20"/>
  <c r="K130" i="20"/>
  <c r="K114" i="62"/>
  <c r="K106" i="62"/>
  <c r="K98" i="62"/>
  <c r="C32" i="41"/>
  <c r="K78" i="62"/>
  <c r="K70" i="62"/>
  <c r="K86" i="62"/>
  <c r="K78" i="19"/>
  <c r="K70" i="19"/>
  <c r="K110" i="20"/>
  <c r="K102" i="20"/>
  <c r="K94" i="20"/>
  <c r="K86" i="20"/>
  <c r="K86" i="19"/>
  <c r="AH144" i="64"/>
  <c r="K15" i="40" s="1"/>
  <c r="AF144" i="64"/>
  <c r="G15" i="40" s="1"/>
  <c r="C21" i="41"/>
  <c r="C20" i="41"/>
  <c r="AG144" i="64"/>
  <c r="I15" i="40" s="1"/>
  <c r="AB144" i="64"/>
  <c r="G10" i="40" s="1"/>
  <c r="AE144" i="64"/>
  <c r="M10" i="40" s="1"/>
  <c r="AC144" i="64"/>
  <c r="I10" i="40" s="1"/>
  <c r="AD144" i="64"/>
  <c r="K10" i="40" s="1"/>
  <c r="F26" i="41"/>
  <c r="C43" i="41"/>
  <c r="J25" i="41"/>
  <c r="I25" i="41"/>
  <c r="H25" i="41"/>
  <c r="F25" i="41"/>
  <c r="G25" i="41"/>
  <c r="L20" i="41"/>
  <c r="I20" i="41"/>
  <c r="F20" i="41"/>
  <c r="J20" i="41"/>
  <c r="M20" i="41"/>
  <c r="H20" i="41"/>
  <c r="K20" i="41"/>
  <c r="G20" i="41"/>
  <c r="K25" i="41"/>
  <c r="H26" i="41"/>
  <c r="J21" i="41"/>
  <c r="J26" i="41"/>
  <c r="L21" i="41"/>
  <c r="H21" i="41"/>
  <c r="K22" i="57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E29" i="39" l="1"/>
  <c r="C54" i="41" l="1"/>
  <c r="D8" i="39"/>
  <c r="M10" i="58" l="1"/>
  <c r="M11" i="58"/>
  <c r="M12" i="58"/>
  <c r="M13" i="58"/>
  <c r="M9" i="58"/>
  <c r="D47" i="56" l="1"/>
  <c r="M29" i="60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7" i="56" l="1"/>
  <c r="J47" i="56"/>
  <c r="L47" i="56"/>
  <c r="F47" i="56" l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D9" i="39" l="1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U2" i="45" l="1"/>
  <c r="P3" i="45"/>
  <c r="U3" i="45" l="1"/>
  <c r="Z2" i="45"/>
  <c r="AE2" i="45" l="1"/>
  <c r="Z3" i="45"/>
  <c r="AJ2" i="45" l="1"/>
  <c r="AE3" i="45"/>
  <c r="AJ3" i="45" l="1"/>
  <c r="AO2" i="45"/>
  <c r="AO3" i="45" l="1"/>
  <c r="AT2" i="45"/>
  <c r="AT3" i="4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陳佳萱</author>
  </authors>
  <commentList>
    <comment ref="C9" authorId="0" shapeId="0" xr:uid="{674BF47A-C556-4E19-8FC4-A3C774E2A1FC}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<sst xmlns="http://schemas.openxmlformats.org/spreadsheetml/2006/main" count="9015" uniqueCount="814">
  <si>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</si>
  <si>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</si>
  <si>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</si>
  <si>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</si>
  <si>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</si>
  <si>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</si>
  <si>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</si>
  <si>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</si>
  <si>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</si>
  <si>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</si>
  <si>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</si>
  <si>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</si>
  <si>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</si>
  <si>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</si>
  <si>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</si>
  <si>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</si>
  <si>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</si>
  <si>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</si>
  <si>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</si>
  <si>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</si>
  <si>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2"/>
  </si>
  <si>
    <t>（１）收支狀況</t>
    <phoneticPr fontId="12"/>
  </si>
  <si>
    <t>當月</t>
    <phoneticPr fontId="12"/>
  </si>
  <si>
    <t>※單位：千元</t>
    <phoneticPr fontId="12"/>
  </si>
  <si>
    <t>業績金額</t>
    <phoneticPr fontId="12"/>
  </si>
  <si>
    <t>訂單數量</t>
    <phoneticPr fontId="12"/>
  </si>
  <si>
    <t>半成品報廢</t>
    <phoneticPr fontId="12"/>
  </si>
  <si>
    <t>半成品超用</t>
    <phoneticPr fontId="12"/>
  </si>
  <si>
    <t>固定產線</t>
    <phoneticPr fontId="12"/>
  </si>
  <si>
    <t>教育訓練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</si>
  <si>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</si>
  <si>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2"/>
  </si>
  <si>
    <t>（３）業績構成比</t>
    <phoneticPr fontId="12"/>
  </si>
  <si>
    <t>（４）訂單數量構成比</t>
    <phoneticPr fontId="12"/>
  </si>
  <si>
    <t>飯糰</t>
    <phoneticPr fontId="12"/>
  </si>
  <si>
    <t>大口飯糰</t>
    <phoneticPr fontId="12"/>
  </si>
  <si>
    <t>便當</t>
    <phoneticPr fontId="12"/>
  </si>
  <si>
    <t>調理麵包</t>
    <phoneticPr fontId="12"/>
  </si>
  <si>
    <t>袋裝調理麵包</t>
    <phoneticPr fontId="12"/>
  </si>
  <si>
    <t>義大利麵</t>
    <phoneticPr fontId="12"/>
  </si>
  <si>
    <t>調理包</t>
    <phoneticPr fontId="12"/>
  </si>
  <si>
    <t>比例</t>
    <phoneticPr fontId="12"/>
  </si>
  <si>
    <t>作業原因</t>
    <phoneticPr fontId="12"/>
  </si>
  <si>
    <t>規格原因</t>
    <phoneticPr fontId="12"/>
  </si>
  <si>
    <t>調理麵</t>
    <phoneticPr fontId="12"/>
  </si>
  <si>
    <t>（６）人時生產性前幾名品項</t>
    <phoneticPr fontId="12"/>
  </si>
  <si>
    <t>人數</t>
    <phoneticPr fontId="12"/>
  </si>
  <si>
    <t>排名</t>
    <phoneticPr fontId="12"/>
  </si>
  <si>
    <t>產能</t>
    <phoneticPr fontId="12"/>
  </si>
  <si>
    <t>人時生產性</t>
    <phoneticPr fontId="12"/>
  </si>
  <si>
    <t>主要原因&amp;對策</t>
  </si>
  <si>
    <t>主要原因&amp;對策</t>
    <phoneticPr fontId="12"/>
  </si>
  <si>
    <t>（８）報廢原因別前幾名品項</t>
    <phoneticPr fontId="12"/>
  </si>
  <si>
    <t>半成品名</t>
    <phoneticPr fontId="12"/>
  </si>
  <si>
    <t>單價</t>
    <phoneticPr fontId="12"/>
  </si>
  <si>
    <t>報廢率</t>
    <phoneticPr fontId="12"/>
  </si>
  <si>
    <t>數量</t>
    <phoneticPr fontId="12"/>
  </si>
  <si>
    <t>實績</t>
    <phoneticPr fontId="12"/>
  </si>
  <si>
    <t>前幾名合計比例</t>
    <phoneticPr fontId="12"/>
  </si>
  <si>
    <t>前幾名合計金額</t>
    <phoneticPr fontId="12"/>
  </si>
  <si>
    <t>※補充</t>
    <phoneticPr fontId="12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</si>
  <si>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2"/>
  </si>
  <si>
    <t>實施率</t>
    <phoneticPr fontId="12"/>
  </si>
  <si>
    <t>（５）品群別人時生產性</t>
    <phoneticPr fontId="12"/>
  </si>
  <si>
    <t>勞務成本</t>
    <phoneticPr fontId="12"/>
  </si>
  <si>
    <t>勞務費率</t>
    <phoneticPr fontId="12"/>
  </si>
  <si>
    <t>比例</t>
    <phoneticPr fontId="12"/>
  </si>
  <si>
    <t>前月</t>
    <phoneticPr fontId="12"/>
  </si>
  <si>
    <t>差異</t>
    <phoneticPr fontId="12"/>
  </si>
  <si>
    <t>KPI</t>
    <phoneticPr fontId="12"/>
  </si>
  <si>
    <t>當月</t>
    <phoneticPr fontId="12"/>
  </si>
  <si>
    <t>（２）ＫＰＩ達成進度</t>
    <phoneticPr fontId="12"/>
  </si>
  <si>
    <t>（７）原因別分析</t>
    <phoneticPr fontId="12"/>
  </si>
  <si>
    <t>月別</t>
    <phoneticPr fontId="12"/>
  </si>
  <si>
    <t>工廠名</t>
    <phoneticPr fontId="12"/>
  </si>
  <si>
    <t>手巻卵黄雞絞肉</t>
    <phoneticPr fontId="12"/>
  </si>
  <si>
    <t>減少暫時停止生產,人時UP</t>
    <phoneticPr fontId="12"/>
  </si>
  <si>
    <t>因組裝2食材,人員增加,產速減少</t>
    <phoneticPr fontId="12"/>
  </si>
  <si>
    <t>透由調整速度提升。</t>
    <phoneticPr fontId="12"/>
  </si>
  <si>
    <t>直巻明太子美奶茲</t>
    <phoneticPr fontId="12"/>
  </si>
  <si>
    <t>大口飯糰燒肉美奶滋</t>
    <phoneticPr fontId="12"/>
  </si>
  <si>
    <t>因摺疊增員。實施教育訓練。</t>
    <phoneticPr fontId="12"/>
  </si>
  <si>
    <t>明太子海苔便當</t>
    <phoneticPr fontId="12"/>
  </si>
  <si>
    <t>指導鋪開炒柴魚片</t>
    <phoneticPr fontId="12"/>
  </si>
  <si>
    <t>肉狀態不良，已連動開發</t>
    <phoneticPr fontId="12"/>
  </si>
  <si>
    <t>油炸白身魚</t>
    <phoneticPr fontId="12"/>
  </si>
  <si>
    <t>油調過多報廢。變更條件。</t>
    <phoneticPr fontId="12"/>
  </si>
  <si>
    <t>川燙蝦子拌醬</t>
    <phoneticPr fontId="12"/>
  </si>
  <si>
    <t>蝦子入數不足</t>
    <phoneticPr fontId="12"/>
  </si>
  <si>
    <t>特製醬汁炙燒牛五花便當</t>
    <phoneticPr fontId="12"/>
  </si>
  <si>
    <t>牛五花醬汁</t>
    <phoneticPr fontId="12"/>
  </si>
  <si>
    <t>難度有差異。調理指導。</t>
    <phoneticPr fontId="12"/>
  </si>
  <si>
    <t>因原料變更。</t>
    <phoneticPr fontId="12"/>
  </si>
  <si>
    <t>牛五花燒成</t>
    <phoneticPr fontId="12"/>
  </si>
  <si>
    <t>大口飯糰三種起司午餐肉</t>
    <phoneticPr fontId="12"/>
  </si>
  <si>
    <t>３種起司燒成</t>
    <phoneticPr fontId="12"/>
  </si>
  <si>
    <t>與燒成範本不同。</t>
    <phoneticPr fontId="12"/>
  </si>
  <si>
    <t>燒成過多，調整調理條件。</t>
    <phoneticPr fontId="12"/>
  </si>
  <si>
    <t>超用率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</si>
  <si>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</si>
  <si>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</si>
  <si>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</si>
  <si>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</si>
  <si>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2"/>
  </si>
  <si>
    <t>超用率</t>
    <phoneticPr fontId="12"/>
  </si>
  <si>
    <t>日期</t>
    <phoneticPr fontId="15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</si>
  <si>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</si>
  <si>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</si>
  <si>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</si>
  <si>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5" type="noConversion"/>
  </si>
  <si>
    <t>業績(元)</t>
    <phoneticPr fontId="15" type="noConversion"/>
  </si>
  <si>
    <t>比例(%)</t>
    <phoneticPr fontId="15" type="noConversion"/>
  </si>
  <si>
    <t>三</t>
    <phoneticPr fontId="15" type="noConversion"/>
  </si>
  <si>
    <t>四</t>
    <phoneticPr fontId="15" type="noConversion"/>
  </si>
  <si>
    <t>五</t>
    <phoneticPr fontId="15" type="noConversion"/>
  </si>
  <si>
    <t>六</t>
    <phoneticPr fontId="15" type="noConversion"/>
  </si>
  <si>
    <t>日</t>
    <phoneticPr fontId="15" type="noConversion"/>
  </si>
  <si>
    <t>一</t>
    <phoneticPr fontId="15" type="noConversion"/>
  </si>
  <si>
    <t>二</t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</si>
  <si>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</si>
  <si>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週累積</t>
    <phoneticPr fontId="15" type="noConversion"/>
  </si>
  <si>
    <t>月累積</t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</si>
  <si>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</si>
  <si>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營業額(元)</t>
    <phoneticPr fontId="15" type="noConversion"/>
  </si>
  <si>
    <t>訂單數量(個)</t>
    <phoneticPr fontId="15" type="noConversion"/>
  </si>
  <si>
    <t>材料費(元)</t>
    <phoneticPr fontId="15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</si>
  <si>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5" type="noConversion"/>
  </si>
  <si>
    <t>材料費率（材料費／營業額）</t>
    <phoneticPr fontId="15" type="noConversion"/>
  </si>
  <si>
    <t>勞務成本（全廠人事成本）</t>
    <phoneticPr fontId="15" type="noConversion"/>
  </si>
  <si>
    <t>勞務費率（勞務成本／營業額）</t>
    <phoneticPr fontId="15" type="noConversion"/>
  </si>
  <si>
    <t>（２）ＫＰＩ達成進度</t>
    <phoneticPr fontId="15" type="noConversion"/>
  </si>
  <si>
    <t>週平均</t>
    <phoneticPr fontId="15" type="noConversion"/>
  </si>
  <si>
    <t>月平均</t>
    <phoneticPr fontId="15" type="noConversion"/>
  </si>
  <si>
    <t>一配</t>
    <phoneticPr fontId="15" type="noConversion"/>
  </si>
  <si>
    <t>二配</t>
    <phoneticPr fontId="15" type="noConversion"/>
  </si>
  <si>
    <t>營業額</t>
    <phoneticPr fontId="15" type="noConversion"/>
  </si>
  <si>
    <t>便當</t>
  </si>
  <si>
    <t>便當</t>
    <phoneticPr fontId="15" type="noConversion"/>
  </si>
  <si>
    <t>主食</t>
  </si>
  <si>
    <t>主食</t>
    <phoneticPr fontId="15" type="noConversion"/>
  </si>
  <si>
    <t>熱食義麵</t>
  </si>
  <si>
    <t>季節調理麵</t>
  </si>
  <si>
    <t>微波小吃</t>
  </si>
  <si>
    <t>微波小吃</t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</si>
  <si>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</si>
  <si>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</si>
  <si>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</si>
  <si>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</si>
  <si>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</si>
  <si>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</si>
  <si>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</si>
  <si>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</si>
  <si>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合計</t>
    <phoneticPr fontId="15" type="noConversion"/>
  </si>
  <si>
    <t>訂單量</t>
    <phoneticPr fontId="15" type="noConversion"/>
  </si>
  <si>
    <t>訂單數</t>
    <phoneticPr fontId="15" type="noConversion"/>
  </si>
  <si>
    <t>18℃-壽司手卷</t>
  </si>
  <si>
    <t>4℃-壽司手卷</t>
  </si>
  <si>
    <t>商品名稱</t>
    <phoneticPr fontId="15" type="noConversion"/>
  </si>
  <si>
    <t>計畫</t>
    <phoneticPr fontId="15" type="noConversion"/>
  </si>
  <si>
    <t>人數</t>
    <phoneticPr fontId="15" type="noConversion"/>
  </si>
  <si>
    <t>實際</t>
    <phoneticPr fontId="15" type="noConversion"/>
  </si>
  <si>
    <t>人時性</t>
    <phoneticPr fontId="15" type="noConversion"/>
  </si>
  <si>
    <t>品群</t>
    <phoneticPr fontId="15" type="noConversion"/>
  </si>
  <si>
    <t>平均人時性</t>
    <phoneticPr fontId="15" type="noConversion"/>
  </si>
  <si>
    <t>日報</t>
    <phoneticPr fontId="15" type="noConversion"/>
  </si>
  <si>
    <t>排名</t>
    <phoneticPr fontId="15" type="noConversion"/>
  </si>
  <si>
    <t>製程不穩</t>
    <phoneticPr fontId="12"/>
  </si>
  <si>
    <t>研發設定</t>
    <phoneticPr fontId="12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</si>
  <si>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</si>
  <si>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</si>
  <si>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</si>
  <si>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</si>
  <si>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</si>
  <si>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</si>
  <si>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</si>
  <si>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</si>
  <si>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</si>
  <si>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</si>
  <si>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</si>
  <si>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</si>
  <si>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</si>
  <si>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</si>
  <si>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</si>
  <si>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</si>
  <si>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</si>
  <si>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</si>
  <si>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</si>
  <si>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</si>
  <si>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2"/>
  </si>
  <si>
    <t>原物料規格</t>
    <phoneticPr fontId="12"/>
  </si>
  <si>
    <t>其他原因</t>
    <phoneticPr fontId="12"/>
  </si>
  <si>
    <t>類型</t>
    <phoneticPr fontId="15" type="noConversion"/>
  </si>
  <si>
    <t>作業原因</t>
    <phoneticPr fontId="12"/>
  </si>
  <si>
    <t>類型</t>
    <phoneticPr fontId="15" type="noConversion"/>
  </si>
  <si>
    <t>原料原因</t>
    <phoneticPr fontId="12"/>
  </si>
  <si>
    <t>個／MH</t>
    <phoneticPr fontId="12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</si>
  <si>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</si>
  <si>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項目</t>
    <phoneticPr fontId="15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</si>
  <si>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</si>
  <si>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</si>
  <si>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t>半成品-報廢(%)</t>
    <phoneticPr fontId="12"/>
  </si>
  <si>
    <t>半成品-超用(%)</t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</si>
  <si>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2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</si>
  <si>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2"/>
  </si>
  <si>
    <t>▼1</t>
    <phoneticPr fontId="12"/>
  </si>
  <si>
    <t>▼3</t>
    <phoneticPr fontId="12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</si>
  <si>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</si>
  <si>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</si>
  <si>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</si>
  <si>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2"/>
  </si>
  <si>
    <t>▼4</t>
    <phoneticPr fontId="12"/>
  </si>
  <si>
    <t>▼5</t>
    <phoneticPr fontId="12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</si>
  <si>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</si>
  <si>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</si>
  <si>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</si>
  <si>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</si>
  <si>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</si>
  <si>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</si>
  <si>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</si>
  <si>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5" type="noConversion"/>
  </si>
  <si>
    <t>4℃-壽司手卷(077)</t>
  </si>
  <si>
    <t>4℃-壽司手卷(077)</t>
    <phoneticPr fontId="15" type="noConversion"/>
  </si>
  <si>
    <t>18℃-壽司手卷(071,072,075,076)</t>
  </si>
  <si>
    <t>18℃-壽司手卷(071,072,075,076)</t>
    <phoneticPr fontId="15" type="noConversion"/>
  </si>
  <si>
    <t>主食(091,092,093,094,095)</t>
  </si>
  <si>
    <t>主食(091,092,093,094,095)</t>
    <phoneticPr fontId="15" type="noConversion"/>
  </si>
  <si>
    <t>便當(083)</t>
  </si>
  <si>
    <t>便當(083)</t>
    <phoneticPr fontId="15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</si>
  <si>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</si>
  <si>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</si>
  <si>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</si>
  <si>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</si>
  <si>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t>微波小吃(153,154,155)</t>
  </si>
  <si>
    <t>微波小吃(153,154,155)</t>
    <phoneticPr fontId="15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</si>
  <si>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</si>
  <si>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</si>
  <si>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</si>
  <si>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</si>
  <si>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</si>
  <si>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項目</t>
    <phoneticPr fontId="15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</si>
  <si>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</si>
  <si>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比例</t>
    <phoneticPr fontId="12"/>
  </si>
  <si>
    <t>報廢</t>
    <phoneticPr fontId="12"/>
  </si>
  <si>
    <t>超用</t>
    <phoneticPr fontId="12"/>
  </si>
  <si>
    <t>總件數</t>
    <phoneticPr fontId="15" type="noConversion"/>
  </si>
  <si>
    <t>分析原因</t>
    <phoneticPr fontId="15" type="noConversion"/>
  </si>
  <si>
    <t>次數</t>
    <phoneticPr fontId="15" type="noConversion"/>
  </si>
  <si>
    <t>分析原因（件）</t>
    <phoneticPr fontId="15" type="noConversion"/>
  </si>
  <si>
    <t>報廢金額</t>
    <phoneticPr fontId="15" type="noConversion"/>
  </si>
  <si>
    <t>其他原因</t>
    <phoneticPr fontId="15" type="noConversion"/>
  </si>
  <si>
    <t>補單占比</t>
    <phoneticPr fontId="15" type="noConversion"/>
  </si>
  <si>
    <t>展開量高於１０5％</t>
    <phoneticPr fontId="12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</si>
  <si>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</si>
  <si>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</si>
  <si>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t>18℃-壽司手卷(071,072,075,076)</t>
    <phoneticPr fontId="15" type="noConversion"/>
  </si>
  <si>
    <t>鮮食品群番</t>
    <phoneticPr fontId="15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</si>
  <si>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</si>
  <si>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</si>
  <si>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</si>
  <si>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</si>
  <si>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</si>
  <si>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</si>
  <si>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</si>
  <si>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</si>
  <si>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</si>
  <si>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</si>
  <si>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</si>
  <si>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</si>
  <si>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</si>
  <si>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</si>
  <si>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</si>
  <si>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</si>
  <si>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</si>
  <si>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</si>
  <si>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</si>
  <si>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</si>
  <si>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</si>
  <si>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</si>
  <si>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</si>
  <si>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</si>
  <si>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</si>
  <si>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</si>
  <si>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</si>
  <si>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</si>
  <si>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</si>
  <si>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</si>
  <si>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</si>
  <si>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</si>
  <si>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</si>
  <si>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</si>
  <si>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</si>
  <si>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</si>
  <si>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</si>
  <si>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</si>
  <si>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</si>
  <si>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</si>
  <si>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</si>
  <si>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</si>
  <si>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</si>
  <si>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</si>
  <si>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</si>
  <si>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</si>
  <si>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</si>
  <si>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</si>
  <si>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</si>
  <si>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</si>
  <si>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</si>
  <si>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</si>
  <si>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</si>
  <si>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</si>
  <si>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</si>
  <si>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</si>
  <si>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</si>
  <si>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</si>
  <si>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</si>
  <si>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</si>
  <si>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</si>
  <si>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</si>
  <si>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</si>
  <si>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</si>
  <si>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</si>
  <si>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5" type="noConversion"/>
  </si>
  <si>
    <t>（3）業績構成比</t>
    <phoneticPr fontId="15" type="noConversion"/>
  </si>
  <si>
    <t>（4）訂單數量構成比</t>
    <phoneticPr fontId="15" type="noConversion"/>
  </si>
  <si>
    <t xml:space="preserve">半成品報廢(%) </t>
    <phoneticPr fontId="15" type="noConversion"/>
  </si>
  <si>
    <t>月別</t>
    <phoneticPr fontId="12"/>
  </si>
  <si>
    <t>週別</t>
    <phoneticPr fontId="15" type="noConversion"/>
  </si>
  <si>
    <t>當週</t>
  </si>
  <si>
    <t>當週</t>
    <phoneticPr fontId="12"/>
  </si>
  <si>
    <t>前週</t>
  </si>
  <si>
    <t>前週</t>
    <phoneticPr fontId="15" type="noConversion"/>
  </si>
  <si>
    <t>前週</t>
    <phoneticPr fontId="12"/>
  </si>
  <si>
    <t>前週比</t>
    <phoneticPr fontId="15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</si>
  <si>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</si>
  <si>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</si>
  <si>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</si>
  <si>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</si>
  <si>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</si>
  <si>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</si>
  <si>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</si>
  <si>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2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</si>
  <si>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</si>
  <si>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</si>
  <si>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</si>
  <si>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</si>
  <si>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</si>
  <si>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</si>
  <si>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</si>
  <si>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</si>
  <si>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</si>
  <si>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</si>
  <si>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</si>
  <si>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</si>
  <si>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</si>
  <si>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</si>
  <si>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5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</si>
  <si>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</si>
  <si>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</si>
  <si>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</si>
  <si>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</si>
  <si>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</si>
  <si>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</si>
  <si>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</si>
  <si>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5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</si>
  <si>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5" type="noConversion"/>
  </si>
  <si>
    <t>薑炒筍尾</t>
  </si>
  <si>
    <t>川味秋木耳</t>
  </si>
  <si>
    <t>炒油蔥醬</t>
  </si>
  <si>
    <t>蒸-全熟雞肉絲CL(113年)</t>
  </si>
  <si>
    <t>雞肉飯飯糰</t>
  </si>
  <si>
    <t>大溪廠</t>
    <phoneticPr fontId="15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</si>
  <si>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</si>
  <si>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生產管理報表</t>
    <phoneticPr fontId="15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</si>
  <si>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</si>
  <si>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5" type="noConversion"/>
  </si>
  <si>
    <t>實績 (週平均)</t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</si>
  <si>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5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</si>
  <si>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</si>
  <si>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5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</si>
  <si>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</si>
  <si>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t>18℃-壽司手卷</t>
    <phoneticPr fontId="15" type="noConversion"/>
  </si>
  <si>
    <t>4℃-壽司手卷</t>
    <phoneticPr fontId="15" type="noConversion"/>
  </si>
  <si>
    <t>季節調理麵</t>
    <phoneticPr fontId="15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</si>
  <si>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</si>
  <si>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</si>
  <si>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2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</si>
  <si>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2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</si>
  <si>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</si>
  <si>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</si>
  <si>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</si>
  <si>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</si>
  <si>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5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</si>
  <si>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5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</si>
  <si>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5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</si>
  <si>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</si>
  <si>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</si>
  <si>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</si>
  <si>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</si>
  <si>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</si>
  <si>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</si>
  <si>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</si>
  <si>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</si>
  <si>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</si>
  <si>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</si>
  <si>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</si>
  <si>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</si>
  <si>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</si>
  <si>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</si>
  <si>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</si>
  <si>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</si>
  <si>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</si>
  <si>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</si>
  <si>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</si>
  <si>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</si>
  <si>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</si>
  <si>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材料費</t>
    <phoneticPr fontId="15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</si>
  <si>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2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</si>
  <si>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</si>
  <si>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</si>
  <si>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r>
      <t>教育訓練-</t>
    </r>
    <r>
      <rPr>
        <sz val="10"/>
        <color theme="1"/>
        <rFont val="Meiryo UI"/>
        <family val="2"/>
      </rPr>
      <t>實施率(%)</t>
    </r>
    <phoneticPr fontId="12"/>
  </si>
  <si>
    <t>※單位：千元</t>
    <phoneticPr fontId="12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</si>
  <si>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</si>
  <si>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</si>
  <si>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</si>
  <si>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</si>
  <si>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</si>
  <si>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</si>
  <si>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</si>
  <si>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</si>
  <si>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t>調理端</t>
  </si>
  <si>
    <t>報廢</t>
    <phoneticPr fontId="15" type="noConversion"/>
  </si>
  <si>
    <t>超用</t>
    <phoneticPr fontId="15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</si>
  <si>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</si>
  <si>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川燙毛豆玉米</t>
  </si>
  <si>
    <t>超用額</t>
    <phoneticPr fontId="83" type="noConversion"/>
  </si>
  <si>
    <t>超用率</t>
    <phoneticPr fontId="15" type="noConversion"/>
  </si>
  <si>
    <t>廢棄週合計</t>
    <phoneticPr fontId="15" type="noConversion"/>
  </si>
  <si>
    <t>超用週合計</t>
    <phoneticPr fontId="15" type="noConversion"/>
  </si>
  <si>
    <t>大溪廠半成品管理日別總表</t>
    <phoneticPr fontId="15" type="noConversion"/>
  </si>
  <si>
    <t>日期</t>
    <phoneticPr fontId="83" type="noConversion"/>
  </si>
  <si>
    <t>報廢額</t>
    <phoneticPr fontId="8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</si>
  <si>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5" type="noConversion"/>
  </si>
  <si>
    <t>廢棄前10名</t>
    <phoneticPr fontId="15" type="noConversion"/>
  </si>
  <si>
    <t>超用前10名</t>
    <phoneticPr fontId="15" type="noConversion"/>
  </si>
  <si>
    <t>金額總計</t>
    <phoneticPr fontId="15" type="noConversion"/>
  </si>
  <si>
    <t>構成比</t>
    <phoneticPr fontId="15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</si>
  <si>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5" type="noConversion"/>
  </si>
  <si>
    <t>製程不穩</t>
    <phoneticPr fontId="83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</si>
  <si>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2"/>
  </si>
  <si>
    <t>教育訓練-實施率(進度/計畫)</t>
    <phoneticPr fontId="15" type="noConversion"/>
  </si>
  <si>
    <t>4℃-飯糰</t>
    <phoneticPr fontId="15" type="noConversion"/>
  </si>
  <si>
    <t>熱食義麵</t>
    <phoneticPr fontId="15" type="noConversion"/>
  </si>
  <si>
    <t>共用類廢棄</t>
    <phoneticPr fontId="15" type="noConversion"/>
  </si>
  <si>
    <t>金額總計</t>
    <phoneticPr fontId="8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</si>
  <si>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3" type="noConversion"/>
  </si>
  <si>
    <t>蘑菇白醬</t>
  </si>
  <si>
    <t>人數配置相同與人時生產性維持穩定</t>
  </si>
  <si>
    <t>取樣不穩</t>
  </si>
  <si>
    <t>取樣不穩</t>
    <phoneticPr fontId="12"/>
  </si>
  <si>
    <t>（８）報廢原因別前幾名品項</t>
    <phoneticPr fontId="15" type="noConversion"/>
  </si>
  <si>
    <t>（８）超用原因別前幾名品項</t>
    <phoneticPr fontId="15" type="noConversion"/>
  </si>
  <si>
    <t>烤照燒雞腿丁</t>
  </si>
  <si>
    <t>海陸雙拼肉肉餐盒</t>
  </si>
  <si>
    <t>二配三杯醬爆菇菇飯糰</t>
  </si>
  <si>
    <t>一配經典鮪魚沙拉細卷</t>
  </si>
  <si>
    <t>蔬活腿排補力餐盒</t>
  </si>
  <si>
    <t>合計</t>
    <phoneticPr fontId="83" type="noConversion"/>
  </si>
  <si>
    <t>一配雙鬆細卷</t>
  </si>
  <si>
    <t>二配兩粒飯糰(鮪魚.焦糖鮭魚)</t>
  </si>
  <si>
    <t>香腸腿排雙拼便當</t>
  </si>
  <si>
    <t>炒蔥花碎蛋</t>
  </si>
  <si>
    <t>一配兩粒飯糰(鮪魚.焦糖鮭魚)</t>
  </si>
  <si>
    <t>二配大飯糰韓式蒜烤豬五花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</si>
  <si>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</si>
  <si>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</si>
  <si>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</si>
  <si>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5" type="noConversion"/>
  </si>
  <si>
    <t>後續對策</t>
    <phoneticPr fontId="15" type="noConversion"/>
  </si>
  <si>
    <t>展開量高於需求量</t>
  </si>
  <si>
    <t>週前二十</t>
    <phoneticPr fontId="15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</si>
  <si>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</si>
  <si>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</si>
  <si>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</si>
  <si>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原因說明</t>
    <phoneticPr fontId="15" type="noConversion"/>
  </si>
  <si>
    <t>超用金額</t>
    <phoneticPr fontId="15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</si>
  <si>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</si>
  <si>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</si>
  <si>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</si>
  <si>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展開量高於需求量</t>
    <phoneticPr fontId="15" type="noConversion"/>
  </si>
  <si>
    <t>操作方式冰杓定量,生產餘料報廢</t>
  </si>
  <si>
    <t>調理展開量下修，並已採用多次補單方式執行</t>
  </si>
  <si>
    <t>增加線上抽秤頻率，調理展開量下修，並已採用多次補單方式執行</t>
  </si>
  <si>
    <t>二配大飯糰滷肉飯加蛋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</si>
  <si>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5" type="noConversion"/>
  </si>
  <si>
    <t>抓量較不穩定造成調理多產</t>
  </si>
  <si>
    <t>二配蒙古風味烤肉飯</t>
  </si>
  <si>
    <t>6切-烤醃漬咖哩腿排</t>
  </si>
  <si>
    <t>炒蒙古肉片</t>
  </si>
  <si>
    <t>炒蒙古烤肉蔬菜</t>
  </si>
  <si>
    <t>一配鮭魚奶油醬油飯糰</t>
  </si>
  <si>
    <r>
      <t>1</t>
    </r>
    <r>
      <rPr>
        <sz val="12"/>
        <color theme="1"/>
        <rFont val="Microsoft JhengHei"/>
        <family val="2"/>
      </rPr>
      <t>月報廢</t>
    </r>
    <phoneticPr fontId="15" type="noConversion"/>
  </si>
  <si>
    <t>1月超用</t>
    <phoneticPr fontId="15" type="noConversion"/>
  </si>
  <si>
    <t>洋蔥壹號醬</t>
  </si>
  <si>
    <t>壹號醬炙烤牛飯糰</t>
  </si>
  <si>
    <t>切-烤牛五花(112年)</t>
  </si>
  <si>
    <t>因原物料規格差異,超用量偏高，生產餘料報廢
反映研發，後續開發列入考量，建議原物料規格多切製程</t>
    <phoneticPr fontId="15" type="noConversion"/>
  </si>
  <si>
    <t>烤箱製程蛋片規格厚薄差異
準備室分切剔除，確保賣相準定</t>
    <phoneticPr fontId="15" type="noConversion"/>
  </si>
  <si>
    <t>賣相設定要鋪滿，肉片狀態影響鋪滿效果
調整分切方式，穩定分切長度減少規格異常。反映研發設定放料重量範圍</t>
    <phoneticPr fontId="15" type="noConversion"/>
  </si>
  <si>
    <t>明太子泡菜牛飯卷</t>
  </si>
  <si>
    <t>切烤雞胸肉(111年)</t>
  </si>
  <si>
    <t>蒜炒紅K油菜(A7)</t>
  </si>
  <si>
    <t>健身G肉餐盒(113年)</t>
  </si>
  <si>
    <t>研發設定</t>
    <phoneticPr fontId="15" type="noConversion"/>
  </si>
  <si>
    <t>抓量較不穩定造成調理多產
增加線上抽秤頻率，調理展開量下修，並已採用多次補單方式執行，目前已控制在2%內。</t>
    <phoneticPr fontId="15" type="noConversion"/>
  </si>
  <si>
    <t>炙燒韓式牛五花</t>
  </si>
  <si>
    <t>反映研發，後續開發列入考量</t>
  </si>
  <si>
    <t>奶香起司醬</t>
  </si>
  <si>
    <t>北海道秋鮭親子飯糰(114年)</t>
  </si>
  <si>
    <t>焙炒芝麻肉鬆</t>
  </si>
  <si>
    <t>經典肉鬆飯糰(114年)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</si>
  <si>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</si>
  <si>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</si>
  <si>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</si>
  <si>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</si>
  <si>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因原物料規格差異,超用量偏高，生產餘料報廢</t>
  </si>
  <si>
    <t>原物料規格過小，無法使用
反映研發，後續開發列入考量</t>
    <phoneticPr fontId="12"/>
  </si>
  <si>
    <r>
      <t>2</t>
    </r>
    <r>
      <rPr>
        <sz val="12"/>
        <color theme="1"/>
        <rFont val="Microsoft JhengHei"/>
        <family val="2"/>
      </rPr>
      <t>月報廢</t>
    </r>
    <phoneticPr fontId="15" type="noConversion"/>
  </si>
  <si>
    <t>月</t>
    <phoneticPr fontId="15" type="noConversion"/>
  </si>
  <si>
    <t>拌鹽烤豬肉片(114年)</t>
  </si>
  <si>
    <t>鹽蔥燒肉飯糰</t>
  </si>
  <si>
    <t>二配大飯糰鮪魚昆布</t>
  </si>
  <si>
    <t>蟹味可樂餅風炸飯糰</t>
  </si>
  <si>
    <t>香料咖哩烤雞飯卷</t>
  </si>
  <si>
    <t>二配鐵板豆腐燴蛋蓋飯</t>
  </si>
  <si>
    <t>二配濃起司燻腸紅醬焗烤飯</t>
  </si>
  <si>
    <t>0331-0406</t>
    <phoneticPr fontId="15" type="noConversion"/>
  </si>
  <si>
    <t>0331-0406 總合計↑</t>
    <phoneticPr fontId="15" type="noConversion"/>
  </si>
  <si>
    <t>抓量較不穩定造成超用
針對人員抓量手法教育訓練，並增加線上抽秤頻率</t>
    <phoneticPr fontId="15" type="noConversion"/>
  </si>
  <si>
    <t>一配日式鮪魚美乃滋脆卷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</si>
  <si>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週更新(0331-0406)</t>
    </r>
    <phoneticPr fontId="15" type="noConversion"/>
  </si>
  <si>
    <t>辣炒酸菜碎</t>
  </si>
  <si>
    <t>煮紅蘿蔔塊(VN101)</t>
  </si>
  <si>
    <t>焗飯-義式蕃茄紅醬</t>
  </si>
  <si>
    <t>煮鐵板豆腐</t>
  </si>
  <si>
    <t>油蔥肉燥(113年)</t>
  </si>
  <si>
    <t>拌蒜香五花肉</t>
  </si>
  <si>
    <t>生產前確認標準定量的機台設定，生產中抽查確認設定及實際出料重量</t>
  </si>
  <si>
    <t>原物料大小顆差異，影響人員放料</t>
  </si>
  <si>
    <t>針對人員抓量手法教育訓練，並增加線上抽秤頻率</t>
  </si>
  <si>
    <t>操作方式冰杓定量，人員手法差異
針對人員手法教育訓練，並增加線上抽秤頻率</t>
    <phoneticPr fontId="15" type="noConversion"/>
  </si>
  <si>
    <t>烤盤產生炭渣，豆腐沾黏焦化物
定期更換烤盤，制定烤盤更換時程，測試使用薄型烤焙布，降低豆腐沾黏焦化物而造成報廢</t>
    <phoneticPr fontId="15" type="noConversion"/>
  </si>
  <si>
    <t>二配鮮蝦旬彩炊飯飯糰</t>
  </si>
  <si>
    <t>野郎醬(112年)</t>
  </si>
  <si>
    <t>炒培根片(114年)</t>
  </si>
  <si>
    <t>新精選雙色起司絲</t>
  </si>
  <si>
    <t>新品一週,達成率上升.</t>
  </si>
  <si>
    <t>切換膜料,人時性恢復</t>
  </si>
  <si>
    <t>定期更換烤盤，制定烤盤更換時程，測試使用薄型烤焙布，降低豆腐沾黏焦化物而造成報廢</t>
  </si>
  <si>
    <t>原物料大小長短差異，影響人員放料，生產餘料報廢</t>
  </si>
  <si>
    <t>注餡機機台工差設定確認，生產餘料報廢</t>
  </si>
  <si>
    <t>增加線上抽秤頻率，調理展開量下修，並已採用多次補單方式執行。</t>
  </si>
  <si>
    <t>生產餘料報廢</t>
  </si>
  <si>
    <t>青花菜原物料規格偏大造成超用</t>
  </si>
  <si>
    <t>針對人員抓量手法教育訓練，並增加線上抽秤頻率，用量有逐步下降，目前控制在3%內。</t>
  </si>
  <si>
    <t>注餡機機台工差設定確認</t>
  </si>
  <si>
    <t>操作方式冰杓定量，人員手法差異</t>
  </si>
  <si>
    <t>針對人員手法教育訓練，並增加線上抽秤頻率</t>
  </si>
  <si>
    <t>原物料肉片的大小塊差異</t>
  </si>
  <si>
    <t>設定雙圈秤重，因葉梗大小片差異，線上容易取樣不穩導致超用</t>
  </si>
  <si>
    <t>針對人員抓量手法教育訓練，並增加線上抽秤頻率，對比上週下降，建議設定放料量範圍。</t>
  </si>
  <si>
    <t>回饋研發，後續開發列入考量</t>
  </si>
  <si>
    <t>賣相設定要鋪滿，肉片狀態影響鋪滿效果</t>
  </si>
  <si>
    <t>調整分切方式，穩定分切長度減少規格異常。反映研發設定放料重量範圍</t>
  </si>
  <si>
    <t>人員抓量放料手法不穩定</t>
  </si>
  <si>
    <t>針對人員手法教育訓練，並增加線上抽秤頻率，導入定量管理。</t>
  </si>
  <si>
    <t>原物料肉塊的大小塊差異</t>
  </si>
  <si>
    <t>反映研發，後續開發列入考量，設定放料量範圍，針對人員手法教育訓練，並增加線上抽秤頻率。</t>
  </si>
  <si>
    <t>回饋研發，後續開發列入考量，調整分切方式，穩定分切厚薄減少規格異常</t>
  </si>
  <si>
    <t>抓量較不穩定造成超用</t>
  </si>
  <si>
    <t>一配銀鮭美乃滋脆卷</t>
  </si>
  <si>
    <t>烤墨西哥雞丁</t>
  </si>
  <si>
    <t>冷凍調味鱒鮭魚卵GL10-3</t>
  </si>
  <si>
    <t>反映研發，後續開發列入考量，建議原物料規格多切製程</t>
  </si>
  <si>
    <t>注餡機機台工差設定確認
生產前確認標準定量的機台設定，生產中抽查確認設定及實際出料重量，針對注餡機噴口規格進行測試確認</t>
    <phoneticPr fontId="15" type="noConversion"/>
  </si>
  <si>
    <t>二配溏心蛋五目飯糰</t>
  </si>
  <si>
    <t>消毒蔥花</t>
  </si>
  <si>
    <t>清炒高麗菜(115年)</t>
  </si>
  <si>
    <t>調理展開量下修，並已採用多次補單方式執行，目前已控制在2%內。</t>
  </si>
  <si>
    <t>設定放料量範圍，後續開發列入考量調整，針對人員手法教育訓練，並增加線上抽秤頻率</t>
  </si>
  <si>
    <t>生產前確認標準定量的機台設定，生產中抽查確認設定及實際出料重量，針對注餡機噴口規格進行測試確認</t>
  </si>
  <si>
    <t>原物料大小長短差異，影響人員放料，生產餘料報廢
調理展開量下修，並已採用多次補單方式執行，目前已控制在2%內。</t>
    <phoneticPr fontId="15" type="noConversion"/>
  </si>
  <si>
    <t>青花菜原物料規格偏大造成超用
設定放料量範圍，後續開發列入考量調整，針對人員手法教育訓練，並增加線上抽秤頻率</t>
    <phoneticPr fontId="15" type="noConversion"/>
  </si>
  <si>
    <t>3月報廢</t>
    <phoneticPr fontId="15" type="noConversion"/>
  </si>
  <si>
    <t>3月超用</t>
    <phoneticPr fontId="15" type="noConversion"/>
  </si>
  <si>
    <t>2月超用</t>
  </si>
  <si>
    <t>1月</t>
    <phoneticPr fontId="15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</si>
  <si>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</si>
  <si>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</si>
  <si>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</si>
  <si>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</si>
  <si>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</si>
  <si>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</si>
  <si>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</si>
  <si>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</si>
  <si>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</si>
  <si>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</si>
  <si>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</si>
  <si>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</si>
  <si>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5" type="noConversion"/>
  </si>
  <si>
    <t>業績金額(千元)</t>
    <phoneticPr fontId="15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</si>
  <si>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5" type="noConversion"/>
  </si>
  <si>
    <t>材料費(千元)</t>
    <phoneticPr fontId="15" type="noConversion"/>
  </si>
  <si>
    <t>勞務成本(千元)</t>
    <phoneticPr fontId="15" type="noConversion"/>
  </si>
  <si>
    <t xml:space="preserve">人時性(個/月均) </t>
    <phoneticPr fontId="15" type="noConversion"/>
  </si>
  <si>
    <t xml:space="preserve">人時達成率(%/月均) </t>
    <phoneticPr fontId="15" type="noConversion"/>
  </si>
  <si>
    <t>半成品-報廢(%)</t>
    <phoneticPr fontId="15" type="noConversion"/>
  </si>
  <si>
    <t>半成品-超用(%)</t>
    <phoneticPr fontId="15" type="noConversion"/>
  </si>
  <si>
    <t>二配大飯糰乾燒風味鮮蝦</t>
  </si>
  <si>
    <t>香檸奶油魚排蔬滿盒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</si>
  <si>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性前幾名品項(0331-0406)</t>
    </r>
    <phoneticPr fontId="15" type="noConversion"/>
  </si>
  <si>
    <t>炒黑胡椒豆芽(餐盒)</t>
  </si>
  <si>
    <t>餐盒用-三色高麗菜</t>
  </si>
  <si>
    <t>蒜炒洋菇片(115年)</t>
  </si>
  <si>
    <t>烤巴沙魚排</t>
  </si>
  <si>
    <t>燴蛋飯-炒肉燥</t>
  </si>
  <si>
    <t>（１）收支狀況</t>
    <phoneticPr fontId="15" type="noConversion"/>
  </si>
  <si>
    <t>材料費率(%)</t>
    <phoneticPr fontId="15" type="noConversion"/>
  </si>
  <si>
    <t>勞務費率(%)</t>
    <phoneticPr fontId="15" type="noConversion"/>
  </si>
  <si>
    <t>人時性KPI</t>
    <phoneticPr fontId="15" type="noConversion"/>
  </si>
  <si>
    <t>固定產線-導入率(%)</t>
  </si>
  <si>
    <t>教育訓練-實施率(%)</t>
  </si>
  <si>
    <t>（３）業績構成比</t>
    <phoneticPr fontId="15" type="noConversion"/>
  </si>
  <si>
    <t>18℃-飯糰(061,063)</t>
  </si>
  <si>
    <t>（４）訂單數量構成比</t>
    <phoneticPr fontId="15" type="noConversion"/>
  </si>
  <si>
    <t>（５）品群別人時生產性</t>
    <phoneticPr fontId="15" type="noConversion"/>
  </si>
  <si>
    <t>新品,達成率提升中</t>
    <phoneticPr fontId="15" type="noConversion"/>
  </si>
  <si>
    <t>增加線上抽秤頻率，調理展開量下修，並已採用多次補單方式執行，目前已控制在2%內。</t>
    <phoneticPr fontId="15" type="noConversion"/>
  </si>
  <si>
    <t>增加線上抽秤頻率，調理展開量下修，並已採用多次補單方式執行。</t>
    <phoneticPr fontId="15" type="noConversion"/>
  </si>
  <si>
    <t>魚肉烤箱製程，拿取後破損造成報廢</t>
    <phoneticPr fontId="15" type="noConversion"/>
  </si>
  <si>
    <r>
      <rPr>
        <sz val="12"/>
        <color theme="1"/>
        <rFont val="Microsoft JhengHei"/>
        <family val="2"/>
      </rPr>
      <t>人員拿取手法教育訓練，</t>
    </r>
    <r>
      <rPr>
        <sz val="12"/>
        <color theme="1"/>
        <rFont val="Meiryo UI"/>
        <family val="2"/>
      </rPr>
      <t>增加線上抽秤頻率</t>
    </r>
    <phoneticPr fontId="15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</si>
  <si>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確認設定及實際出料重量。</t>
    </r>
    <phoneticPr fontId="15" type="noConversion"/>
  </si>
  <si>
    <t>因葉梗大小片差異，線上容易取樣不穩導致超用</t>
    <phoneticPr fontId="15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</si>
  <si>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5" type="noConversion"/>
  </si>
  <si>
    <r>
      <t>針對人員抓量手法教育訓練，並增加線上抽秤頻率，用量有逐步下降，目前</t>
    </r>
    <r>
      <rPr>
        <sz val="12"/>
        <color theme="1"/>
        <rFont val="Microsoft JhengHei"/>
        <family val="2"/>
        <charset val="136"/>
      </rPr>
      <t>已在</t>
    </r>
    <r>
      <rPr>
        <sz val="12"/>
        <color theme="1"/>
        <rFont val="Meiryo UI"/>
        <family val="2"/>
      </rPr>
      <t>控制</t>
    </r>
    <r>
      <rPr>
        <sz val="12"/>
        <color theme="1"/>
        <rFont val="Microsoft JhengHei"/>
        <family val="2"/>
      </rPr>
      <t>範圍</t>
    </r>
    <r>
      <rPr>
        <sz val="12"/>
        <color theme="1"/>
        <rFont val="Meiryo UI"/>
        <family val="2"/>
      </rPr>
      <t>內。</t>
    </r>
    <phoneticPr fontId="15" type="noConversion"/>
  </si>
  <si>
    <t>（８）報廢原因別前幾名品項(0331-0406)</t>
    <phoneticPr fontId="15" type="noConversion"/>
  </si>
  <si>
    <t>魚肉烤箱製程，拿取後破損造成報廢
人員拿取手法教育訓練，增加線上抽秤頻率</t>
    <phoneticPr fontId="15" type="noConversion"/>
  </si>
  <si>
    <t>抓量較不穩定造成調理多產
增加線上抽秤頻率，調理展開量下修，並已採用多次補單方式執行</t>
    <phoneticPr fontId="15" type="noConversion"/>
  </si>
  <si>
    <t>（８）超用原因別前幾名品項(0331-0406)</t>
    <phoneticPr fontId="15" type="noConversion"/>
  </si>
  <si>
    <t>原物料肉塊的大小塊差異
回饋研發，後續開發列入考量</t>
    <phoneticPr fontId="15" type="noConversion"/>
  </si>
  <si>
    <t>人員抓量放料手法不穩定
針對人員手法教育訓練，並增加線上抽秤頻率，導入定量管理。</t>
    <phoneticPr fontId="15" type="noConversion"/>
  </si>
  <si>
    <t>注餡機機台工差設定確認
生產前確認標準定量的機台設定，生產中抽查確認設定及實際出料重量。</t>
    <phoneticPr fontId="15" type="noConversion"/>
  </si>
  <si>
    <t>二配贅沢鮭魚肚飯糰</t>
  </si>
  <si>
    <t>二配鹽水G絲飯糰</t>
  </si>
  <si>
    <t>4月平均人時性</t>
    <phoneticPr fontId="15" type="noConversion"/>
  </si>
  <si>
    <t>一配經典人氣雙手卷</t>
  </si>
  <si>
    <t>一配鮭鮪海饌雙手卷</t>
  </si>
  <si>
    <r>
      <rPr>
        <sz val="10"/>
        <color rgb="FFFF0000"/>
        <rFont val="新細明體"/>
        <family val="2"/>
        <charset val="136"/>
      </rPr>
      <t>4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</si>
  <si>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t>產線配置圖－每週更新(0407-0413)</t>
  </si>
  <si>
    <t>元氣三重稻荷組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</si>
  <si>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性前幾名品項(0407-0413)</t>
    </r>
    <phoneticPr fontId="15" type="noConversion"/>
  </si>
  <si>
    <t>0407-0413</t>
    <phoneticPr fontId="15" type="noConversion"/>
  </si>
  <si>
    <t>0414-0420</t>
    <phoneticPr fontId="15" type="noConversion"/>
  </si>
  <si>
    <t>0421-0427</t>
    <phoneticPr fontId="15" type="noConversion"/>
  </si>
  <si>
    <t>0428-0504</t>
    <phoneticPr fontId="15" type="noConversion"/>
  </si>
  <si>
    <t>0505-0511</t>
    <phoneticPr fontId="15" type="noConversion"/>
  </si>
  <si>
    <t>0407-0413 總合計↑</t>
    <phoneticPr fontId="15" type="noConversion"/>
  </si>
  <si>
    <t>0414-0420 總合計↑</t>
    <phoneticPr fontId="15" type="noConversion"/>
  </si>
  <si>
    <t>0421-0427 總合計↑</t>
    <phoneticPr fontId="15" type="noConversion"/>
  </si>
  <si>
    <t>0428-0504 總合計↑</t>
    <phoneticPr fontId="15" type="noConversion"/>
  </si>
  <si>
    <t>0505-0511 總合計↑</t>
    <phoneticPr fontId="15" type="noConversion"/>
  </si>
  <si>
    <t>整顆切片水煮蛋</t>
  </si>
  <si>
    <t>拌鮪魚沙拉(平替)</t>
  </si>
  <si>
    <t>川燙紅蘿蔔塊2cm</t>
  </si>
  <si>
    <t>蒸地瓜泥(烤)(稻荷)</t>
  </si>
  <si>
    <t>贅沢鮭魚肚飯糰</t>
  </si>
  <si>
    <t>兩粒飯糰(鮪魚.焦糖鮭魚)</t>
  </si>
  <si>
    <t>熟化帶皮黃肉地瓜滾刀7-13g</t>
  </si>
  <si>
    <t>設定放料量範圍，後續開發列入考量調整，針對人員手法教育訓練，並增加線上抽秤頻率。</t>
  </si>
  <si>
    <t>針對人員手法教育訓練，並增加線上抽秤頻率。</t>
  </si>
  <si>
    <t>確認分切方式，穩定分切長度減少規格異常。</t>
  </si>
  <si>
    <t>針對人員抓量手法教育訓練，並增加線上抽秤頻率。</t>
  </si>
  <si>
    <t>因葉梗大小片差異，線上容易取樣不穩導致超用</t>
  </si>
  <si>
    <t>針對人員抓量手法教育訓練，並增加線上抽秤頻率，用量有逐步下降，目前已在控制範圍內。</t>
  </si>
  <si>
    <t>生產前確認標準定量的機台設定，生產中抽查確認設定及實際出料重量。</t>
  </si>
  <si>
    <t>針對人員手法教育訓練，並增加線上抽秤頻率，待新規格導入確認用量。</t>
  </si>
  <si>
    <t>針對單籃定量控量確實執行進行確認，並針對3/31.4/1抓量人員手法確認，加強教育訓練，本週用量已下降。</t>
  </si>
  <si>
    <t>本月新品稻荷壽司組，原物料大小規格差異導致超用狀況。</t>
  </si>
  <si>
    <t>針對人員手法教育訓練，並增加線上抽秤頻率，並確認前端分切規格製程。</t>
  </si>
  <si>
    <t>魚肉烤箱製程，拿取後破損造成報廢</t>
  </si>
  <si>
    <t>已加強操作教育訓練</t>
  </si>
  <si>
    <t>定期更換烤盤，制定烤盤更換時程，降低豆腐沾黏焦化物而造成報廢</t>
  </si>
  <si>
    <t>增加線上抽秤頻率，調理展開量下修，並已採用多次補單方式執行，目前已控制在2%內。</t>
  </si>
  <si>
    <t>每份用量少以致用量易有不穩定的狀況</t>
  </si>
  <si>
    <t>菜梗、葉差異，影響人員放料手感</t>
  </si>
  <si>
    <t>抓量較不穩定，生產餘料報廢</t>
  </si>
  <si>
    <t>分切製程切歪導致規格不符無法使用</t>
  </si>
  <si>
    <t>針對分切人員進行教育訓練，確保分切規格穩定</t>
  </si>
  <si>
    <t>（８）報廢原因別前幾名品項(0407-0413)</t>
    <phoneticPr fontId="15" type="noConversion"/>
  </si>
  <si>
    <t>（８）報廢原因別前幾名品項(0414-0420)</t>
    <phoneticPr fontId="15" type="noConversion"/>
  </si>
  <si>
    <t>（８）超用原因別前幾名品項(0407-0413)</t>
    <phoneticPr fontId="15" type="noConversion"/>
  </si>
  <si>
    <t>（８）超用原因別前幾名品項(0414-0420)</t>
    <phoneticPr fontId="15" type="noConversion"/>
  </si>
  <si>
    <t>魚肉烤箱製程，拿取後破損造成報廢
已加強操作教育訓練</t>
    <phoneticPr fontId="15" type="noConversion"/>
  </si>
  <si>
    <t>分切製程切歪導致規格不符無法使用
針對分切人員進行教育訓練，確保分切規格穩定</t>
    <phoneticPr fontId="15" type="noConversion"/>
  </si>
  <si>
    <t>烤盤產生炭渣，豆腐沾黏焦化物
定期更換烤盤，制定烤盤更換時程，降低豆腐沾黏焦化物而造成報廢</t>
    <phoneticPr fontId="15" type="noConversion"/>
  </si>
  <si>
    <t>贅沢鮭魚肚飯糰</t>
    <phoneticPr fontId="12"/>
  </si>
  <si>
    <t>操作方式冰杓定量,生產餘料報廢
調理展開量下修，並已採用多次補單方式執行</t>
    <phoneticPr fontId="15" type="noConversion"/>
  </si>
  <si>
    <t>每份用量少以致用量易有不穩定的狀況
增加線上抽秤頻率，調理展開量下修，並已採用多次補單方式執行</t>
    <phoneticPr fontId="15" type="noConversion"/>
  </si>
  <si>
    <t>青花菜原物料規格偏大造成超用
設定放料量範圍，後續開發列入考量調整，針對人員手法教育訓練，並增加線上抽秤頻率。</t>
    <phoneticPr fontId="15" type="noConversion"/>
  </si>
  <si>
    <t>賣相設定要鋪滿，肉片狀態影響鋪滿效果
確認分切方式，穩定分切長度減少規格異常。</t>
    <phoneticPr fontId="15" type="noConversion"/>
  </si>
  <si>
    <t>原物料肉塊的大小塊差異
反映研發，後續開發列入考量，設定放料量範圍，針對人員手法教育訓練，並增加線上抽秤頻率。</t>
    <phoneticPr fontId="15" type="noConversion"/>
  </si>
  <si>
    <t>操作方式冰杓定量，人員手法差異
針對人員手法教育訓練，並增加線上抽秤頻率。</t>
    <phoneticPr fontId="15" type="noConversion"/>
  </si>
  <si>
    <t>抓量較不穩定造成超用
針對人員抓量手法教育訓練，並增加線上抽秤頻率。</t>
    <phoneticPr fontId="15" type="noConversion"/>
  </si>
  <si>
    <t>因葉梗大小片差異，線上容易取樣不穩導致超用
針對人員抓量手法教育訓練，並增加線上抽秤頻率，用量有逐步下降，目前已在控制範圍內。</t>
    <phoneticPr fontId="15" type="noConversion"/>
  </si>
  <si>
    <t>一配鹽蔥生鮭飯糰</t>
  </si>
  <si>
    <t>一配柚檸海灣貝飯糰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</si>
  <si>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週更新(0414-0420)</t>
    </r>
    <phoneticPr fontId="15" type="noConversion"/>
  </si>
  <si>
    <t>山葵生鮪魚泥脆卷</t>
  </si>
  <si>
    <t>二配打拋風味豆腐飯</t>
  </si>
  <si>
    <t>大滿足香辣涼麵</t>
  </si>
  <si>
    <t>大滿足麻醬涼麵</t>
  </si>
  <si>
    <t>和風涓絲冷麵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</si>
  <si>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性前幾名品項(0414-0420)</t>
    </r>
    <phoneticPr fontId="15" type="noConversion"/>
  </si>
  <si>
    <t>炒紅K碎蛋</t>
  </si>
  <si>
    <t>拌鮭魚沙拉(兩粒)</t>
  </si>
  <si>
    <t>(V)煮鹽水G雞肉</t>
  </si>
  <si>
    <t>煮三杯料</t>
  </si>
  <si>
    <t>煮中華冷麵(110年)</t>
  </si>
  <si>
    <t>冷凍紅鮭碎肉20</t>
  </si>
  <si>
    <t>(V)消毒小黃瓜絲</t>
  </si>
  <si>
    <t>冷凍鮭魚骰子丁(蔥鹽風味)</t>
  </si>
  <si>
    <t>112年拌鮪魚沙拉</t>
  </si>
  <si>
    <t>(V)打拋醬</t>
  </si>
  <si>
    <t>拌明太子龍蝦沙拉(114年)</t>
  </si>
  <si>
    <t>煮燴蛋</t>
  </si>
  <si>
    <t>熟成紅鮭飯糰(114年)</t>
  </si>
  <si>
    <t>鮪魚飯糰</t>
  </si>
  <si>
    <t>明太子龍蝦風味沙拉飯糰(114年)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</si>
  <si>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性前幾名品項(0421-0427)</t>
    </r>
    <phoneticPr fontId="15" type="noConversion"/>
  </si>
  <si>
    <r>
      <t>分切製程</t>
    </r>
    <r>
      <rPr>
        <sz val="12"/>
        <color theme="1"/>
        <rFont val="Microsoft JhengHei"/>
        <family val="2"/>
      </rPr>
      <t>破損</t>
    </r>
    <r>
      <rPr>
        <sz val="12"/>
        <color theme="1"/>
        <rFont val="Meiryo UI"/>
        <family val="2"/>
      </rPr>
      <t>導致規格不符無法使用</t>
    </r>
    <phoneticPr fontId="15" type="noConversion"/>
  </si>
  <si>
    <t>針對蒸箱後差壓冷卻製程的溫度銜接，調整後已改善。</t>
    <phoneticPr fontId="15" type="noConversion"/>
  </si>
  <si>
    <t>針對人員手法教育訓練，並增加線上抽秤頻率調理展開量下修，並已採用多次補單方式執行</t>
    <phoneticPr fontId="15" type="noConversion"/>
  </si>
  <si>
    <t>已加強操作教育訓練，對比上週已下降。</t>
    <phoneticPr fontId="15" type="noConversion"/>
  </si>
  <si>
    <t>增加線上抽秤頻率，調理展開量下修，並已採用多次補單方式執行</t>
    <phoneticPr fontId="15" type="noConversion"/>
  </si>
  <si>
    <t>設定雙圈秤重</t>
    <phoneticPr fontId="15" type="noConversion"/>
  </si>
  <si>
    <r>
      <t>針對人員抓量手法教育訓練，並增加線上抽秤頻率</t>
    </r>
    <r>
      <rPr>
        <sz val="12"/>
        <color theme="1"/>
        <rFont val="細明體"/>
        <family val="2"/>
        <charset val="136"/>
      </rPr>
      <t>，目前每份超用3g在控制範圍內。</t>
    </r>
    <phoneticPr fontId="15" type="noConversion"/>
  </si>
  <si>
    <t>（８）報廢原因別前幾名品項(0421-0427)</t>
    <phoneticPr fontId="15" type="noConversion"/>
  </si>
  <si>
    <t>（８）超用原因別前幾名品項(0421-0427)</t>
    <phoneticPr fontId="15" type="noConversion"/>
  </si>
  <si>
    <t>操作方式冰杓定量，人員手法差異
針對人員手法教育訓練，並增加線上抽秤頻率調理展開量下修，並已採用多次補單方式執行</t>
    <phoneticPr fontId="15" type="noConversion"/>
  </si>
  <si>
    <t>分切製程破損導致規格不符無法使用
針對蒸箱後差壓冷卻製程的溫度銜接，調整後已改善。</t>
    <phoneticPr fontId="15" type="noConversion"/>
  </si>
  <si>
    <t>魚肉烤箱製程，拿取後破損造成報廢
已加強操作教育訓練，對比上週已下降。</t>
    <phoneticPr fontId="15" type="noConversion"/>
  </si>
  <si>
    <t>人員抓量放料手法不穩定
針對人員抓量手法教育訓練，並增加線上抽秤頻率。</t>
    <phoneticPr fontId="15" type="noConversion"/>
  </si>
  <si>
    <t>設定雙圈秤重
針對人員抓量手法教育訓練，並增加線上抽秤頻率，目前每份超用3g在控制範圍內。</t>
    <phoneticPr fontId="15" type="noConversion"/>
  </si>
  <si>
    <t>原物料肉片的大小塊差異
回饋研發，後續開發列入考量，調整分切方式，穩定分切厚薄減少規格異常</t>
    <phoneticPr fontId="15" type="noConversion"/>
  </si>
  <si>
    <t>一配山葵章魚飯糰</t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</si>
  <si>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週更新(0421-0427)</t>
    </r>
    <phoneticPr fontId="15" type="noConversion"/>
  </si>
  <si>
    <t>醬油生鮭脆卷</t>
  </si>
  <si>
    <t>台式麻醬涼麵</t>
  </si>
  <si>
    <t>鹽蔥醬(飯糰)</t>
  </si>
  <si>
    <t>辣滷冬粉</t>
  </si>
  <si>
    <t>消毒細切紅蘿蔔絲</t>
  </si>
  <si>
    <t>原物料規格</t>
    <phoneticPr fontId="15" type="noConversion"/>
  </si>
  <si>
    <t>拌芥末章魚</t>
  </si>
  <si>
    <t>拌鮭魚沙拉(114年)</t>
  </si>
  <si>
    <t>反映研發，後續開發列入考量，目前報廢量以穩定控制</t>
  </si>
  <si>
    <t>已加強操作教育訓練，對比上週持續下減少。</t>
  </si>
  <si>
    <t>調理展開量下修，並已採用多次補單方式執行。</t>
  </si>
  <si>
    <t>操作方式冰杓定量，因冰杓規格限制導致超用</t>
  </si>
  <si>
    <t>回饋研發，後續開發列入考量，針對人員手法教育訓練，並增加線上抽秤頻率。</t>
  </si>
  <si>
    <t>設定雙圈秤重，抓量較不穩定造成超用</t>
  </si>
  <si>
    <t>回饋研發，後續開發列入考量，確認人員分切規格。</t>
  </si>
  <si>
    <t>（８）報廢原因別前幾名品項(0428-0504)</t>
    <phoneticPr fontId="15" type="noConversion"/>
  </si>
  <si>
    <t>（８）超用原因別前幾名品項(0428-0504)</t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</si>
  <si>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性前幾名品項(0428-0504)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</si>
  <si>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性前幾名品項(0428-0504)</t>
    </r>
    <phoneticPr fontId="15" type="noConversion"/>
  </si>
  <si>
    <t>原物料大小顆差異，影響人員放料
反映研發，後續開發列入考量</t>
    <phoneticPr fontId="12"/>
  </si>
  <si>
    <t>魚肉烤箱製程，拿取後破損造成報廢
已加強操作教育訓練，對比上週持續下減少。</t>
    <phoneticPr fontId="15" type="noConversion"/>
  </si>
  <si>
    <t>菜梗、葉差異，影響人員放料手感
增加線上抽秤頻率，調理展開量下修，並已採用多次補單方式執行</t>
    <phoneticPr fontId="15" type="noConversion"/>
  </si>
  <si>
    <t>原物料大小長短差異，影響人員放料，生產餘料報廢
調理展開量下修，並已採用多次補單方式執行。</t>
    <phoneticPr fontId="15" type="noConversion"/>
  </si>
  <si>
    <t>操作方式冰杓定量，因冰杓規格限制導致超用
回饋研發，後續開發列入考量，針對人員手法教育訓練，並增加線上抽秤頻率。</t>
    <phoneticPr fontId="15" type="noConversion"/>
  </si>
  <si>
    <t>原物料肉片的大小塊差異
回饋研發，後續開發列入考量，確認人員分切規格。</t>
    <phoneticPr fontId="15" type="noConversion"/>
  </si>
  <si>
    <t>設定雙圈秤重，抓量較不穩定造成超用
針對人員抓量手法教育訓練，並增加線上抽秤頻率。</t>
    <phoneticPr fontId="15" type="noConversion"/>
  </si>
  <si>
    <t>4月報廢</t>
    <phoneticPr fontId="15" type="noConversion"/>
  </si>
  <si>
    <t>4月超用</t>
    <phoneticPr fontId="15" type="noConversion"/>
  </si>
  <si>
    <t>W1</t>
    <phoneticPr fontId="15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</si>
  <si>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週更新(0428-0504)</t>
    </r>
    <phoneticPr fontId="15" type="noConversion"/>
  </si>
  <si>
    <t>鰹魚烏龍冷麵</t>
  </si>
  <si>
    <t>原因:生產餘料產生報廢。對策:增加線上抽秤頻率，調理展開量下修，並已採用多次補單方式執行，報廢量逐步下修，目前控制再2%以下。</t>
    <phoneticPr fontId="15" type="noConversion"/>
  </si>
  <si>
    <t>原因:原物料規格長短差異影響用量，生產餘料報廢。對策:生產改採「多次補單」方式備料，依實際產出需求分批補料，避免一次性備料過多造成餘料報廢。</t>
  </si>
  <si>
    <t>原因:單份用量少抓量不穩定，生產餘料產生報廢。對策:加強線上人員抓量教育訓練，提升小份量操作穩定度，下修調理展開量並改採多次補單備料。</t>
  </si>
  <si>
    <t>生產餘料產生報廢,目前報廢量控制再2%以下與超用量比例少,持續下修產出量。</t>
    <phoneticPr fontId="15" type="noConversion"/>
  </si>
  <si>
    <t>原因:生產餘料產生報廢。對策:增加線上抽秤頻率，提升用量穩定，調理展開量下修，並已採用多次補單方式執行，報廢量逐步下修。</t>
    <phoneticPr fontId="15" type="noConversion"/>
  </si>
  <si>
    <t>主要原因:烤盤產生炭渣，豆腐沾黏焦化物。對策:定期更換烤盤，制定烤盤更換時程</t>
    <phoneticPr fontId="15" type="noConversion"/>
  </si>
  <si>
    <t>因烤箱製程蛋片厚薄規格存在差異，準備室於分切時進行篩選剔除，確保產品外觀及賣相穩定，造成剃除報廢。</t>
    <phoneticPr fontId="15" type="noConversion"/>
  </si>
  <si>
    <t>因4/10、4/11特定器具（大刮板）進貨交期銜接未完全到位，後段作業改以小刮板替代使用，導致破損量增加。對策:後續補足器具恢復標準器具配置，並納入安全庫存與領用管控機制以降低作業報廢影響。</t>
    <phoneticPr fontId="15" type="noConversion"/>
  </si>
  <si>
    <t>主因:因分切時造成破損。對策:確認蒸箱後，差壓冷卻製程的溫度銜接，破損數量已下修。</t>
    <phoneticPr fontId="15" type="noConversion"/>
  </si>
  <si>
    <t>主因:因葉梗差異容易取樣不穩導致超用。對策:調理展開量下修，並已採用多次補單方式執行，報廢率持續下修控制在2%內。</t>
    <phoneticPr fontId="15" type="noConversion"/>
  </si>
  <si>
    <t>原因:原物料規格長短差異影響用量，生產餘料報廢。對策:生產改採「多次補單」方式備料，依實際產出需求分批補料，避免一次性備料過多造成餘料報廢。</t>
    <phoneticPr fontId="15" type="noConversion"/>
  </si>
  <si>
    <t>原因:單份用量少抓量不穩定，生產餘料產生報廢。對策:加強線上人員抓量教育訓練，提升小份量操作穩定度，下修調理展開量並改採多次補單備料。</t>
    <phoneticPr fontId="15" type="noConversion"/>
  </si>
  <si>
    <t>主要原因:規格大小不穩定導致斷裂破損產生報廢，偏小比例增加導致報廢增加。對策:持續組裝前準備室先進行整理入籃，減少沾黏狀況，因調理斷裂組合可拼合使用，使用率提高。</t>
    <phoneticPr fontId="15" type="noConversion"/>
  </si>
  <si>
    <t>高風險半成品拆袋即用,拆包後無法延用給下配次產生報廢。</t>
    <phoneticPr fontId="15" type="noConversion"/>
  </si>
  <si>
    <t>主因:冰杓定量，受人員操作影響較大，導致用量控制不穩。對策:針對人員加強冰杓手法定量教育訓練提升用量穩定性。</t>
    <phoneticPr fontId="15" type="noConversion"/>
  </si>
  <si>
    <t>主因:雞肉絲糾結成塊長短不一，人員抓量不穩定導致重量差異影響超用。對策:使用前先行撥散，已導入定量管理，目前用量逐步穩定，本月超用量1.7%，控制在2%內。</t>
    <phoneticPr fontId="15" type="noConversion"/>
  </si>
  <si>
    <t>主因:抓量較不穩定造成超用。對策:調整人員分切方式，穩定產品長短一致性降低抓量誤差並減少超用。</t>
    <phoneticPr fontId="15" type="noConversion"/>
  </si>
  <si>
    <t>主因:抓量較不穩定造成超用。對策:已導入定量管理，並加強人員抓量教育訓練。</t>
    <phoneticPr fontId="15" type="noConversion"/>
  </si>
  <si>
    <t>主因:原料單價高單份用量少，人員抓量穩定度不足，造成超用金額放大。對策：
加強人員抓量教育訓練，提升用量控制精準度。</t>
    <phoneticPr fontId="15" type="noConversion"/>
  </si>
  <si>
    <t>主因:青花菜原物料規格偏大造成超用。對策:量測設定放料量範圍，後續開發列入考量調整，並持續針對人員抓量秤重進行教育訓練。</t>
    <phoneticPr fontId="15" type="noConversion"/>
  </si>
  <si>
    <t>主因:賣相設定要鋪滿，肉片狀態影響鋪滿效果。對策:調整分切方式，穩定分切長度減少規格異常。反映研發設定放料重量範圍，目前控制在1%內。</t>
    <phoneticPr fontId="15" type="noConversion"/>
  </si>
  <si>
    <t>主因:採雙圈秤重設定，因整體使用總量較高，微幅抓量偏差即放大為超用金額。對策：持續強化人員抓量與秤重操作教育訓練，提升作業穩定度。</t>
    <phoneticPr fontId="15" type="noConversion"/>
  </si>
  <si>
    <t>主因:原物料肉塊的大小塊差異，導致超用問題。對策:針對人員分切規格進行教育訓練，規格厚薄盡量一致，降低重量落差導致超用。</t>
    <phoneticPr fontId="15" type="noConversion"/>
  </si>
  <si>
    <t>主因:原物料肉片的大小塊差異。對策:進行人員分切手法教育訓練，提升作業一致性，降低因規格差異造成之影響。</t>
    <phoneticPr fontId="15" type="noConversion"/>
  </si>
  <si>
    <t>熟化去皮馬鈴薯滾刀17-23g</t>
  </si>
  <si>
    <t>拌細卷鮪魚沙拉(114.10)</t>
  </si>
  <si>
    <t>煮烏龍冷麵(113年)</t>
  </si>
  <si>
    <t>歐姆蛋-黑咖哩醬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</si>
</sst>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  <numFmt numFmtId="199" formatCode="#,##0.00_ "/>
  </numFmts>
  <fonts count="12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2"/>
      <color rgb="FF000000"/>
      <name val="Microsoft JhengHei"/>
      <family val="2"/>
    </font>
    <font>
      <sz val="11"/>
      <color theme="1"/>
      <name val="細明體"/>
      <family val="2"/>
      <charset val="136"/>
    </font>
    <font>
      <sz val="12"/>
      <color theme="1"/>
      <name val="Microsoft JhengHei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rgb="FF000000"/>
      <name val="Microsoft JhengHei"/>
      <family val="2"/>
      <charset val="136"/>
    </font>
    <font>
      <sz val="10"/>
      <color rgb="FFFF0000"/>
      <name val="新細明體"/>
      <family val="2"/>
      <charset val="136"/>
    </font>
    <font>
      <sz val="10"/>
      <color rgb="FFFF0000"/>
      <name val="Meiryo UI"/>
      <family val="2"/>
      <charset val="136"/>
    </font>
    <font>
      <sz val="11"/>
      <name val="微軟正黑體"/>
      <family val="2"/>
      <charset val="136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b/>
      <sz val="12"/>
      <color rgb="FF000000"/>
      <name val="微軟正黑體"/>
      <family val="2"/>
      <charset val="136"/>
    </font>
    <font>
      <sz val="10"/>
      <color rgb="FF000000"/>
      <name val="Microsoft JhengHei U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</borders>
  <cellStyleXfs count="36">
    <xf numFmtId="0" fontId="0" fillId="0" borderId="0"/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6" fillId="0" borderId="0"/>
    <xf numFmtId="0" fontId="7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45">
    <xf numFmtId="0" fontId="0" fillId="0" borderId="0" xfId="0"/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" xfId="0" applyFont="1" applyBorder="1" applyAlignment="1">
      <alignment horizontal="right" shrinkToFit="1"/>
    </xf>
    <xf numFmtId="0" fontId="9" fillId="0" borderId="1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3" fontId="9" fillId="0" borderId="1" xfId="0" applyNumberFormat="1" applyFont="1" applyBorder="1" applyAlignment="1">
      <alignment shrinkToFit="1"/>
    </xf>
    <xf numFmtId="3" fontId="9" fillId="3" borderId="1" xfId="0" applyNumberFormat="1" applyFont="1" applyFill="1" applyBorder="1" applyAlignment="1">
      <alignment shrinkToFit="1"/>
    </xf>
    <xf numFmtId="4" fontId="9" fillId="0" borderId="1" xfId="0" applyNumberFormat="1" applyFont="1" applyBorder="1" applyAlignment="1">
      <alignment horizontal="right" shrinkToFit="1"/>
    </xf>
    <xf numFmtId="10" fontId="9" fillId="2" borderId="1" xfId="0" applyNumberFormat="1" applyFont="1" applyFill="1" applyBorder="1" applyAlignment="1">
      <alignment horizontal="right" shrinkToFit="1"/>
    </xf>
    <xf numFmtId="10" fontId="9" fillId="3" borderId="1" xfId="0" applyNumberFormat="1" applyFont="1" applyFill="1" applyBorder="1" applyAlignment="1">
      <alignment shrinkToFit="1"/>
    </xf>
    <xf numFmtId="10" fontId="9" fillId="0" borderId="1" xfId="0" applyNumberFormat="1" applyFont="1" applyBorder="1" applyAlignment="1">
      <alignment shrinkToFit="1"/>
    </xf>
    <xf numFmtId="10" fontId="10" fillId="0" borderId="0" xfId="0" applyNumberFormat="1" applyFont="1" applyAlignment="1">
      <alignment shrinkToFit="1"/>
    </xf>
    <xf numFmtId="0" fontId="9" fillId="3" borderId="1" xfId="0" applyFont="1" applyFill="1" applyBorder="1" applyAlignment="1">
      <alignment shrinkToFit="1"/>
    </xf>
    <xf numFmtId="4" fontId="9" fillId="0" borderId="1" xfId="0" applyNumberFormat="1" applyFont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5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10" fontId="9" fillId="0" borderId="5" xfId="0" applyNumberFormat="1" applyFont="1" applyBorder="1" applyAlignment="1">
      <alignment shrinkToFit="1"/>
    </xf>
    <xf numFmtId="0" fontId="9" fillId="3" borderId="5" xfId="0" applyFont="1" applyFill="1" applyBorder="1" applyAlignment="1">
      <alignment shrinkToFit="1"/>
    </xf>
    <xf numFmtId="0" fontId="9" fillId="2" borderId="15" xfId="0" applyFont="1" applyFill="1" applyBorder="1" applyAlignment="1">
      <alignment shrinkToFit="1"/>
    </xf>
    <xf numFmtId="10" fontId="9" fillId="3" borderId="17" xfId="0" applyNumberFormat="1" applyFont="1" applyFill="1" applyBorder="1" applyAlignment="1">
      <alignment shrinkToFit="1"/>
    </xf>
    <xf numFmtId="0" fontId="9" fillId="3" borderId="18" xfId="0" applyFont="1" applyFill="1" applyBorder="1" applyAlignment="1">
      <alignment shrinkToFit="1"/>
    </xf>
    <xf numFmtId="0" fontId="9" fillId="0" borderId="6" xfId="0" applyFont="1" applyBorder="1" applyAlignment="1">
      <alignment shrinkToFit="1"/>
    </xf>
    <xf numFmtId="10" fontId="9" fillId="0" borderId="6" xfId="0" applyNumberFormat="1" applyFont="1" applyBorder="1" applyAlignment="1">
      <alignment shrinkToFit="1"/>
    </xf>
    <xf numFmtId="0" fontId="9" fillId="3" borderId="6" xfId="0" applyFont="1" applyFill="1" applyBorder="1" applyAlignment="1">
      <alignment shrinkToFit="1"/>
    </xf>
    <xf numFmtId="10" fontId="9" fillId="0" borderId="0" xfId="0" applyNumberFormat="1" applyFont="1" applyAlignment="1">
      <alignment shrinkToFit="1"/>
    </xf>
    <xf numFmtId="10" fontId="9" fillId="2" borderId="1" xfId="0" applyNumberFormat="1" applyFont="1" applyFill="1" applyBorder="1" applyAlignment="1">
      <alignment shrinkToFit="1"/>
    </xf>
    <xf numFmtId="0" fontId="9" fillId="3" borderId="7" xfId="0" applyFont="1" applyFill="1" applyBorder="1" applyAlignment="1">
      <alignment shrinkToFit="1"/>
    </xf>
    <xf numFmtId="10" fontId="9" fillId="3" borderId="5" xfId="0" applyNumberFormat="1" applyFont="1" applyFill="1" applyBorder="1" applyAlignment="1">
      <alignment shrinkToFit="1"/>
    </xf>
    <xf numFmtId="0" fontId="9" fillId="0" borderId="11" xfId="0" applyFont="1" applyBorder="1" applyAlignment="1">
      <alignment shrinkToFit="1"/>
    </xf>
    <xf numFmtId="10" fontId="9" fillId="0" borderId="14" xfId="0" applyNumberFormat="1" applyFont="1" applyBorder="1" applyAlignment="1">
      <alignment shrinkToFit="1"/>
    </xf>
    <xf numFmtId="10" fontId="9" fillId="3" borderId="14" xfId="0" applyNumberFormat="1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3" fillId="0" borderId="1" xfId="0" applyFont="1" applyBorder="1" applyAlignment="1">
      <alignment shrinkToFit="1"/>
    </xf>
    <xf numFmtId="0" fontId="13" fillId="2" borderId="1" xfId="0" applyFont="1" applyFill="1" applyBorder="1" applyAlignment="1">
      <alignment horizontal="left" shrinkToFit="1"/>
    </xf>
    <xf numFmtId="0" fontId="14" fillId="2" borderId="1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23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16" xfId="0" applyFont="1" applyFill="1" applyBorder="1" applyAlignment="1">
      <alignment shrinkToFit="1"/>
    </xf>
    <xf numFmtId="0" fontId="13" fillId="4" borderId="0" xfId="0" applyFont="1" applyFill="1"/>
    <xf numFmtId="0" fontId="14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9" fillId="4" borderId="0" xfId="0" applyFont="1" applyFill="1"/>
    <xf numFmtId="10" fontId="9" fillId="4" borderId="0" xfId="0" applyNumberFormat="1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9" fillId="2" borderId="24" xfId="0" applyFont="1" applyFill="1" applyBorder="1" applyAlignment="1">
      <alignment shrinkToFit="1"/>
    </xf>
    <xf numFmtId="0" fontId="14" fillId="0" borderId="11" xfId="0" applyFont="1" applyBorder="1" applyAlignment="1">
      <alignment horizontal="right" shrinkToFit="1"/>
    </xf>
    <xf numFmtId="0" fontId="14" fillId="0" borderId="3" xfId="0" applyFont="1" applyBorder="1" applyAlignment="1">
      <alignment horizontal="right" shrinkToFit="1"/>
    </xf>
    <xf numFmtId="0" fontId="16" fillId="0" borderId="0" xfId="0" applyFont="1" applyAlignment="1">
      <alignment horizontal="center"/>
    </xf>
    <xf numFmtId="10" fontId="16" fillId="0" borderId="0" xfId="0" applyNumberFormat="1" applyFont="1"/>
    <xf numFmtId="0" fontId="16" fillId="0" borderId="0" xfId="0" applyFont="1"/>
    <xf numFmtId="0" fontId="20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0" fontId="28" fillId="0" borderId="0" xfId="0" applyNumberFormat="1" applyFont="1"/>
    <xf numFmtId="180" fontId="16" fillId="0" borderId="0" xfId="0" applyNumberFormat="1" applyFont="1"/>
    <xf numFmtId="176" fontId="19" fillId="0" borderId="0" xfId="0" applyNumberFormat="1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82" fontId="28" fillId="0" borderId="0" xfId="0" applyNumberFormat="1" applyFont="1" applyAlignment="1">
      <alignment horizontal="center"/>
    </xf>
    <xf numFmtId="0" fontId="33" fillId="0" borderId="0" xfId="0" applyFont="1"/>
    <xf numFmtId="177" fontId="28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45" fillId="0" borderId="0" xfId="0" applyFont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45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5" fillId="0" borderId="0" xfId="0" applyNumberFormat="1" applyFont="1" applyAlignment="1">
      <alignment shrinkToFit="1"/>
    </xf>
    <xf numFmtId="0" fontId="46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45" fillId="0" borderId="22" xfId="0" applyFont="1" applyBorder="1" applyAlignment="1">
      <alignment horizontal="center" shrinkToFit="1"/>
    </xf>
    <xf numFmtId="3" fontId="30" fillId="0" borderId="22" xfId="0" applyNumberFormat="1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0" fontId="45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9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9" fillId="0" borderId="0" xfId="0" applyFont="1" applyAlignment="1">
      <alignment horizontal="right" shrinkToFit="1"/>
    </xf>
    <xf numFmtId="0" fontId="13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28" fillId="4" borderId="0" xfId="0" applyFont="1" applyFill="1" applyAlignment="1">
      <alignment horizontal="center" vertical="center" shrinkToFit="1"/>
    </xf>
    <xf numFmtId="0" fontId="28" fillId="4" borderId="0" xfId="0" applyFont="1" applyFill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28" fillId="0" borderId="0" xfId="11" applyFont="1" applyAlignment="1">
      <alignment shrinkToFit="1"/>
    </xf>
    <xf numFmtId="0" fontId="28" fillId="4" borderId="0" xfId="11" applyFont="1" applyFill="1" applyAlignment="1">
      <alignment shrinkToFit="1"/>
    </xf>
    <xf numFmtId="184" fontId="60" fillId="0" borderId="0" xfId="11" applyNumberFormat="1" applyFont="1" applyAlignment="1">
      <alignment shrinkToFit="1"/>
    </xf>
    <xf numFmtId="0" fontId="45" fillId="0" borderId="6" xfId="11" applyFont="1" applyBorder="1" applyAlignment="1">
      <alignment horizontal="center" shrinkToFit="1"/>
    </xf>
    <xf numFmtId="3" fontId="38" fillId="0" borderId="6" xfId="11" applyNumberFormat="1" applyFont="1" applyBorder="1" applyAlignment="1">
      <alignment shrinkToFit="1"/>
    </xf>
    <xf numFmtId="10" fontId="38" fillId="0" borderId="6" xfId="11" applyNumberFormat="1" applyFont="1" applyBorder="1" applyAlignment="1">
      <alignment shrinkToFit="1"/>
    </xf>
    <xf numFmtId="3" fontId="30" fillId="0" borderId="22" xfId="11" applyNumberFormat="1" applyFont="1" applyBorder="1" applyAlignment="1">
      <alignment shrinkToFit="1"/>
    </xf>
    <xf numFmtId="10" fontId="30" fillId="0" borderId="22" xfId="11" applyNumberFormat="1" applyFont="1" applyBorder="1" applyAlignment="1">
      <alignment shrinkToFit="1"/>
    </xf>
    <xf numFmtId="0" fontId="45" fillId="0" borderId="1" xfId="11" applyFont="1" applyBorder="1" applyAlignment="1">
      <alignment horizontal="center" shrinkToFit="1"/>
    </xf>
    <xf numFmtId="3" fontId="38" fillId="0" borderId="1" xfId="11" applyNumberFormat="1" applyFont="1" applyBorder="1" applyAlignment="1">
      <alignment shrinkToFit="1"/>
    </xf>
    <xf numFmtId="0" fontId="33" fillId="0" borderId="0" xfId="11" applyFont="1"/>
    <xf numFmtId="0" fontId="33" fillId="0" borderId="0" xfId="11" applyFont="1" applyAlignment="1">
      <alignment vertical="center"/>
    </xf>
    <xf numFmtId="0" fontId="33" fillId="0" borderId="0" xfId="11" applyFont="1" applyAlignment="1">
      <alignment horizontal="center" vertical="center"/>
    </xf>
    <xf numFmtId="0" fontId="9" fillId="0" borderId="0" xfId="5"/>
    <xf numFmtId="0" fontId="66" fillId="9" borderId="30" xfId="5" applyFont="1" applyFill="1" applyBorder="1"/>
    <xf numFmtId="0" fontId="66" fillId="0" borderId="0" xfId="5" applyFont="1"/>
    <xf numFmtId="0" fontId="66" fillId="0" borderId="22" xfId="5" applyFont="1" applyBorder="1"/>
    <xf numFmtId="0" fontId="66" fillId="9" borderId="22" xfId="5" applyFont="1" applyFill="1" applyBorder="1"/>
    <xf numFmtId="185" fontId="28" fillId="0" borderId="0" xfId="0" applyNumberFormat="1" applyFont="1"/>
    <xf numFmtId="0" fontId="30" fillId="0" borderId="22" xfId="11" applyFont="1" applyBorder="1" applyAlignment="1">
      <alignment horizontal="center" vertical="center" shrinkToFit="1"/>
    </xf>
    <xf numFmtId="0" fontId="38" fillId="5" borderId="23" xfId="5" applyFont="1" applyFill="1" applyBorder="1" applyAlignment="1">
      <alignment horizontal="center" vertical="center"/>
    </xf>
    <xf numFmtId="0" fontId="67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59" fillId="2" borderId="22" xfId="0" applyFont="1" applyFill="1" applyBorder="1" applyAlignment="1">
      <alignment horizontal="center" vertical="center" shrinkToFit="1"/>
    </xf>
    <xf numFmtId="0" fontId="33" fillId="5" borderId="23" xfId="11" applyFont="1" applyFill="1" applyBorder="1" applyAlignment="1">
      <alignment horizontal="center" vertical="center"/>
    </xf>
    <xf numFmtId="186" fontId="28" fillId="0" borderId="0" xfId="0" applyNumberFormat="1" applyFont="1"/>
    <xf numFmtId="0" fontId="16" fillId="9" borderId="0" xfId="11" applyFont="1" applyFill="1" applyAlignment="1">
      <alignment vertical="center"/>
    </xf>
    <xf numFmtId="188" fontId="28" fillId="0" borderId="0" xfId="0" applyNumberFormat="1" applyFont="1"/>
    <xf numFmtId="189" fontId="28" fillId="0" borderId="0" xfId="0" applyNumberFormat="1" applyFont="1"/>
    <xf numFmtId="0" fontId="28" fillId="9" borderId="0" xfId="0" applyFont="1" applyFill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186" fontId="16" fillId="0" borderId="0" xfId="0" applyNumberFormat="1" applyFont="1"/>
    <xf numFmtId="186" fontId="29" fillId="0" borderId="0" xfId="0" applyNumberFormat="1" applyFont="1" applyAlignment="1">
      <alignment horizontal="center" vertical="center"/>
    </xf>
    <xf numFmtId="0" fontId="59" fillId="0" borderId="22" xfId="0" applyFont="1" applyBorder="1" applyAlignment="1">
      <alignment horizontal="center" vertical="center" shrinkToFit="1"/>
    </xf>
    <xf numFmtId="179" fontId="16" fillId="0" borderId="22" xfId="0" applyNumberFormat="1" applyFont="1" applyBorder="1" applyAlignment="1">
      <alignment horizontal="center"/>
    </xf>
    <xf numFmtId="189" fontId="16" fillId="9" borderId="22" xfId="0" applyNumberFormat="1" applyFont="1" applyFill="1" applyBorder="1" applyAlignment="1">
      <alignment vertical="center" shrinkToFit="1"/>
    </xf>
    <xf numFmtId="10" fontId="16" fillId="0" borderId="22" xfId="0" applyNumberFormat="1" applyFont="1" applyBorder="1" applyAlignment="1">
      <alignment vertical="center"/>
    </xf>
    <xf numFmtId="10" fontId="29" fillId="0" borderId="23" xfId="0" applyNumberFormat="1" applyFont="1" applyBorder="1" applyAlignment="1">
      <alignment horizontal="center" vertical="center"/>
    </xf>
    <xf numFmtId="183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 shrinkToFit="1"/>
    </xf>
    <xf numFmtId="0" fontId="16" fillId="0" borderId="22" xfId="0" applyFont="1" applyBorder="1" applyAlignment="1">
      <alignment horizontal="center" vertical="center"/>
    </xf>
    <xf numFmtId="0" fontId="16" fillId="9" borderId="22" xfId="0" applyFont="1" applyFill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left" vertical="center" shrinkToFit="1"/>
    </xf>
    <xf numFmtId="1" fontId="16" fillId="0" borderId="22" xfId="0" applyNumberFormat="1" applyFont="1" applyBorder="1" applyAlignment="1">
      <alignment horizontal="center" vertical="center"/>
    </xf>
    <xf numFmtId="183" fontId="16" fillId="0" borderId="22" xfId="0" applyNumberFormat="1" applyFont="1" applyBorder="1" applyAlignment="1">
      <alignment horizontal="center" vertical="center"/>
    </xf>
    <xf numFmtId="1" fontId="16" fillId="9" borderId="22" xfId="0" applyNumberFormat="1" applyFont="1" applyFill="1" applyBorder="1" applyAlignment="1">
      <alignment horizontal="center" vertical="center" shrinkToFit="1"/>
    </xf>
    <xf numFmtId="183" fontId="16" fillId="9" borderId="22" xfId="0" applyNumberFormat="1" applyFont="1" applyFill="1" applyBorder="1" applyAlignment="1">
      <alignment horizontal="center" vertical="center" shrinkToFit="1"/>
    </xf>
    <xf numFmtId="1" fontId="16" fillId="0" borderId="22" xfId="0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4" borderId="0" xfId="0" applyFont="1" applyFill="1" applyAlignment="1">
      <alignment shrinkToFit="1"/>
    </xf>
    <xf numFmtId="0" fontId="59" fillId="5" borderId="22" xfId="0" applyFont="1" applyFill="1" applyBorder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59" fillId="5" borderId="22" xfId="0" applyFont="1" applyFill="1" applyBorder="1" applyAlignment="1">
      <alignment horizontal="center" shrinkToFit="1"/>
    </xf>
    <xf numFmtId="0" fontId="59" fillId="0" borderId="22" xfId="0" applyFont="1" applyBorder="1" applyAlignment="1">
      <alignment horizontal="center" shrinkToFit="1"/>
    </xf>
    <xf numFmtId="0" fontId="17" fillId="4" borderId="22" xfId="0" applyFont="1" applyFill="1" applyBorder="1" applyAlignment="1">
      <alignment horizontal="center" shrinkToFit="1"/>
    </xf>
    <xf numFmtId="0" fontId="59" fillId="4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6" fillId="0" borderId="0" xfId="0" applyFont="1" applyAlignment="1">
      <alignment horizontal="center" shrinkToFit="1"/>
    </xf>
    <xf numFmtId="0" fontId="59" fillId="0" borderId="22" xfId="0" applyFont="1" applyBorder="1" applyAlignment="1">
      <alignment shrinkToFit="1"/>
    </xf>
    <xf numFmtId="0" fontId="74" fillId="0" borderId="22" xfId="0" applyFont="1" applyBorder="1" applyAlignment="1">
      <alignment shrinkToFit="1"/>
    </xf>
    <xf numFmtId="1" fontId="59" fillId="0" borderId="22" xfId="0" applyNumberFormat="1" applyFont="1" applyBorder="1" applyAlignment="1">
      <alignment shrinkToFit="1"/>
    </xf>
    <xf numFmtId="183" fontId="59" fillId="0" borderId="22" xfId="0" applyNumberFormat="1" applyFont="1" applyBorder="1" applyAlignment="1">
      <alignment shrinkToFit="1"/>
    </xf>
    <xf numFmtId="0" fontId="59" fillId="0" borderId="22" xfId="0" applyFont="1" applyBorder="1" applyAlignment="1">
      <alignment horizontal="right" shrinkToFit="1"/>
    </xf>
    <xf numFmtId="1" fontId="74" fillId="0" borderId="22" xfId="0" applyNumberFormat="1" applyFont="1" applyBorder="1" applyAlignment="1">
      <alignment shrinkToFit="1"/>
    </xf>
    <xf numFmtId="183" fontId="74" fillId="0" borderId="22" xfId="0" applyNumberFormat="1" applyFont="1" applyBorder="1" applyAlignment="1">
      <alignment shrinkToFit="1"/>
    </xf>
    <xf numFmtId="0" fontId="59" fillId="2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17" fillId="5" borderId="22" xfId="0" applyFont="1" applyFill="1" applyBorder="1" applyAlignment="1">
      <alignment horizontal="center" shrinkToFit="1"/>
    </xf>
    <xf numFmtId="183" fontId="30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0" fillId="0" borderId="67" xfId="0" applyFont="1" applyBorder="1" applyAlignment="1">
      <alignment horizontal="left" vertical="center"/>
    </xf>
    <xf numFmtId="10" fontId="30" fillId="3" borderId="50" xfId="0" applyNumberFormat="1" applyFont="1" applyFill="1" applyBorder="1" applyAlignment="1">
      <alignment horizontal="center" vertical="center" shrinkToFit="1"/>
    </xf>
    <xf numFmtId="190" fontId="28" fillId="0" borderId="0" xfId="0" applyNumberFormat="1" applyFont="1"/>
    <xf numFmtId="177" fontId="29" fillId="0" borderId="23" xfId="0" applyNumberFormat="1" applyFont="1" applyBorder="1" applyAlignment="1">
      <alignment horizontal="center" vertical="center"/>
    </xf>
    <xf numFmtId="184" fontId="30" fillId="0" borderId="22" xfId="0" applyNumberFormat="1" applyFont="1" applyBorder="1" applyAlignment="1">
      <alignment shrinkToFit="1"/>
    </xf>
    <xf numFmtId="0" fontId="76" fillId="0" borderId="22" xfId="0" applyFont="1" applyBorder="1" applyAlignment="1">
      <alignment shrinkToFit="1"/>
    </xf>
    <xf numFmtId="191" fontId="30" fillId="0" borderId="22" xfId="0" applyNumberFormat="1" applyFont="1" applyBorder="1" applyAlignment="1">
      <alignment horizontal="right" shrinkToFit="1"/>
    </xf>
    <xf numFmtId="185" fontId="30" fillId="0" borderId="22" xfId="0" applyNumberFormat="1" applyFont="1" applyBorder="1" applyAlignment="1">
      <alignment shrinkToFit="1"/>
    </xf>
    <xf numFmtId="186" fontId="30" fillId="0" borderId="22" xfId="0" applyNumberFormat="1" applyFont="1" applyBorder="1" applyAlignment="1">
      <alignment shrinkToFit="1"/>
    </xf>
    <xf numFmtId="192" fontId="30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191" fontId="29" fillId="0" borderId="22" xfId="0" applyNumberFormat="1" applyFont="1" applyBorder="1" applyAlignment="1">
      <alignment shrinkToFit="1"/>
    </xf>
    <xf numFmtId="0" fontId="69" fillId="0" borderId="0" xfId="11" applyFont="1" applyAlignment="1">
      <alignment shrinkToFit="1"/>
    </xf>
    <xf numFmtId="0" fontId="16" fillId="0" borderId="0" xfId="11" applyFont="1" applyAlignment="1">
      <alignment shrinkToFit="1"/>
    </xf>
    <xf numFmtId="0" fontId="30" fillId="0" borderId="0" xfId="11" applyFont="1" applyAlignment="1">
      <alignment shrinkToFit="1"/>
    </xf>
    <xf numFmtId="184" fontId="45" fillId="0" borderId="0" xfId="11" applyNumberFormat="1" applyFont="1" applyAlignment="1">
      <alignment shrinkToFit="1"/>
    </xf>
    <xf numFmtId="0" fontId="60" fillId="0" borderId="6" xfId="11" applyFont="1" applyBorder="1" applyAlignment="1">
      <alignment horizontal="center" shrinkToFit="1"/>
    </xf>
    <xf numFmtId="0" fontId="60" fillId="0" borderId="1" xfId="11" applyFont="1" applyBorder="1" applyAlignment="1">
      <alignment horizontal="center" shrinkToFit="1"/>
    </xf>
    <xf numFmtId="10" fontId="84" fillId="0" borderId="22" xfId="3" applyNumberFormat="1" applyFont="1" applyBorder="1" applyAlignment="1">
      <alignment horizontal="center" vertical="center"/>
    </xf>
    <xf numFmtId="0" fontId="6" fillId="0" borderId="0" xfId="15">
      <alignment vertical="center"/>
    </xf>
    <xf numFmtId="0" fontId="82" fillId="10" borderId="22" xfId="15" applyFont="1" applyFill="1" applyBorder="1" applyAlignment="1">
      <alignment horizontal="center" vertical="center" wrapText="1"/>
    </xf>
    <xf numFmtId="193" fontId="84" fillId="0" borderId="22" xfId="3" applyNumberFormat="1" applyFont="1" applyBorder="1" applyAlignment="1">
      <alignment horizontal="center" vertical="center"/>
    </xf>
    <xf numFmtId="194" fontId="87" fillId="0" borderId="22" xfId="5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86" fontId="38" fillId="0" borderId="6" xfId="11" applyNumberFormat="1" applyFont="1" applyBorder="1" applyAlignment="1">
      <alignment shrinkToFit="1"/>
    </xf>
    <xf numFmtId="10" fontId="16" fillId="0" borderId="22" xfId="0" applyNumberFormat="1" applyFont="1" applyBorder="1"/>
    <xf numFmtId="0" fontId="26" fillId="0" borderId="0" xfId="11"/>
    <xf numFmtId="0" fontId="28" fillId="0" borderId="0" xfId="11" applyFont="1" applyAlignment="1">
      <alignment wrapText="1" shrinkToFit="1"/>
    </xf>
    <xf numFmtId="0" fontId="28" fillId="0" borderId="0" xfId="11" applyFont="1" applyAlignment="1">
      <alignment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30" fillId="0" borderId="22" xfId="11" applyFont="1" applyBorder="1" applyAlignment="1">
      <alignment vertical="center" shrinkToFit="1"/>
    </xf>
    <xf numFmtId="0" fontId="30" fillId="0" borderId="4" xfId="11" applyFont="1" applyBorder="1" applyAlignment="1">
      <alignment vertical="center"/>
    </xf>
    <xf numFmtId="0" fontId="30" fillId="0" borderId="2" xfId="11" applyFont="1" applyBorder="1" applyAlignment="1">
      <alignment vertical="center"/>
    </xf>
    <xf numFmtId="0" fontId="30" fillId="0" borderId="3" xfId="11" applyFont="1" applyBorder="1" applyAlignment="1">
      <alignment vertical="center"/>
    </xf>
    <xf numFmtId="0" fontId="30" fillId="0" borderId="25" xfId="11" applyFont="1" applyBorder="1" applyAlignment="1">
      <alignment horizontal="left" vertical="center"/>
    </xf>
    <xf numFmtId="0" fontId="30" fillId="0" borderId="28" xfId="11" applyFont="1" applyBorder="1" applyAlignment="1">
      <alignment horizontal="left" vertical="center"/>
    </xf>
    <xf numFmtId="10" fontId="30" fillId="0" borderId="22" xfId="11" applyNumberFormat="1" applyFont="1" applyBorder="1" applyAlignment="1">
      <alignment vertical="center" shrinkToFit="1"/>
    </xf>
    <xf numFmtId="0" fontId="66" fillId="0" borderId="22" xfId="11" applyFont="1" applyBorder="1" applyAlignment="1">
      <alignment horizontal="left" vertical="center" shrinkToFit="1"/>
    </xf>
    <xf numFmtId="0" fontId="30" fillId="0" borderId="54" xfId="11" applyFont="1" applyBorder="1" applyAlignment="1">
      <alignment vertical="center"/>
    </xf>
    <xf numFmtId="0" fontId="30" fillId="0" borderId="47" xfId="11" applyFont="1" applyBorder="1" applyAlignment="1">
      <alignment vertical="center"/>
    </xf>
    <xf numFmtId="0" fontId="30" fillId="0" borderId="48" xfId="11" applyFont="1" applyBorder="1" applyAlignment="1">
      <alignment vertical="center"/>
    </xf>
    <xf numFmtId="0" fontId="30" fillId="0" borderId="64" xfId="11" applyFont="1" applyBorder="1" applyAlignment="1">
      <alignment vertical="center" shrinkToFit="1"/>
    </xf>
    <xf numFmtId="10" fontId="30" fillId="0" borderId="64" xfId="11" applyNumberFormat="1" applyFont="1" applyBorder="1" applyAlignment="1">
      <alignment vertical="center" shrinkToFit="1"/>
    </xf>
    <xf numFmtId="0" fontId="30" fillId="2" borderId="49" xfId="11" applyFont="1" applyFill="1" applyBorder="1" applyAlignment="1">
      <alignment horizontal="center" vertical="center" shrinkToFit="1"/>
    </xf>
    <xf numFmtId="0" fontId="30" fillId="3" borderId="51" xfId="11" applyFont="1" applyFill="1" applyBorder="1" applyAlignment="1">
      <alignment vertical="center" shrinkToFit="1"/>
    </xf>
    <xf numFmtId="0" fontId="78" fillId="0" borderId="0" xfId="11" applyFont="1" applyAlignment="1">
      <alignment horizontal="left" vertical="center" shrinkToFit="1"/>
    </xf>
    <xf numFmtId="0" fontId="30" fillId="2" borderId="56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30" fillId="2" borderId="60" xfId="11" applyFont="1" applyFill="1" applyBorder="1" applyAlignment="1">
      <alignment horizontal="center" vertical="center" shrinkToFit="1"/>
    </xf>
    <xf numFmtId="0" fontId="66" fillId="2" borderId="60" xfId="11" applyFont="1" applyFill="1" applyBorder="1" applyAlignment="1">
      <alignment horizontal="left" vertical="center" shrinkToFit="1"/>
    </xf>
    <xf numFmtId="0" fontId="30" fillId="0" borderId="42" xfId="11" applyFont="1" applyBorder="1" applyAlignment="1">
      <alignment vertical="center" shrinkToFit="1"/>
    </xf>
    <xf numFmtId="0" fontId="30" fillId="0" borderId="1" xfId="11" applyFont="1" applyBorder="1" applyAlignment="1">
      <alignment vertical="center" shrinkToFit="1"/>
    </xf>
    <xf numFmtId="10" fontId="30" fillId="0" borderId="1" xfId="11" applyNumberFormat="1" applyFont="1" applyBorder="1" applyAlignment="1">
      <alignment vertical="center" shrinkToFit="1"/>
    </xf>
    <xf numFmtId="0" fontId="30" fillId="3" borderId="1" xfId="11" applyFont="1" applyFill="1" applyBorder="1" applyAlignment="1">
      <alignment vertical="center" shrinkToFit="1"/>
    </xf>
    <xf numFmtId="0" fontId="66" fillId="0" borderId="1" xfId="11" applyFont="1" applyBorder="1" applyAlignment="1">
      <alignment horizontal="left" vertical="center" shrinkToFit="1"/>
    </xf>
    <xf numFmtId="0" fontId="70" fillId="0" borderId="0" xfId="0" applyFont="1" applyAlignment="1">
      <alignment horizontal="left" vertical="center" indent="1"/>
    </xf>
    <xf numFmtId="0" fontId="30" fillId="0" borderId="41" xfId="11" applyFont="1" applyBorder="1" applyAlignment="1">
      <alignment vertical="center" shrinkToFit="1"/>
    </xf>
    <xf numFmtId="0" fontId="30" fillId="0" borderId="65" xfId="11" applyFont="1" applyBorder="1" applyAlignment="1">
      <alignment vertical="center" shrinkToFit="1"/>
    </xf>
    <xf numFmtId="10" fontId="30" fillId="0" borderId="65" xfId="11" applyNumberFormat="1" applyFont="1" applyBorder="1" applyAlignment="1">
      <alignment vertical="center" shrinkToFit="1"/>
    </xf>
    <xf numFmtId="0" fontId="30" fillId="3" borderId="65" xfId="11" applyFont="1" applyFill="1" applyBorder="1" applyAlignment="1">
      <alignment vertical="center" shrinkToFit="1"/>
    </xf>
    <xf numFmtId="0" fontId="66" fillId="0" borderId="55" xfId="11" applyFont="1" applyBorder="1" applyAlignment="1">
      <alignment horizontal="left" vertical="center" shrinkToFit="1"/>
    </xf>
    <xf numFmtId="0" fontId="78" fillId="0" borderId="0" xfId="11" applyFont="1" applyAlignment="1">
      <alignment vertical="center" shrinkToFit="1"/>
    </xf>
    <xf numFmtId="0" fontId="30" fillId="0" borderId="62" xfId="11" applyFont="1" applyBorder="1" applyAlignment="1">
      <alignment vertical="center"/>
    </xf>
    <xf numFmtId="0" fontId="30" fillId="0" borderId="3" xfId="11" applyFont="1" applyBorder="1" applyAlignment="1">
      <alignment vertical="center" shrinkToFit="1"/>
    </xf>
    <xf numFmtId="0" fontId="66" fillId="0" borderId="1" xfId="11" applyFont="1" applyBorder="1" applyAlignment="1">
      <alignment vertical="center" shrinkToFit="1"/>
    </xf>
    <xf numFmtId="0" fontId="30" fillId="0" borderId="63" xfId="11" applyFont="1" applyBorder="1" applyAlignment="1">
      <alignment vertical="center"/>
    </xf>
    <xf numFmtId="0" fontId="30" fillId="0" borderId="8" xfId="11" applyFont="1" applyBorder="1" applyAlignment="1">
      <alignment vertical="center" shrinkToFit="1"/>
    </xf>
    <xf numFmtId="0" fontId="30" fillId="0" borderId="5" xfId="11" applyFont="1" applyBorder="1" applyAlignment="1">
      <alignment vertical="center" shrinkToFit="1"/>
    </xf>
    <xf numFmtId="0" fontId="30" fillId="2" borderId="44" xfId="11" applyFont="1" applyFill="1" applyBorder="1" applyAlignment="1">
      <alignment horizontal="center" shrinkToFit="1"/>
    </xf>
    <xf numFmtId="0" fontId="13" fillId="2" borderId="8" xfId="11" applyFont="1" applyFill="1" applyBorder="1" applyAlignment="1">
      <alignment horizontal="center" vertical="center" shrinkToFit="1"/>
    </xf>
    <xf numFmtId="0" fontId="13" fillId="2" borderId="1" xfId="11" applyFont="1" applyFill="1" applyBorder="1" applyAlignment="1">
      <alignment horizontal="center" vertical="center" shrinkToFit="1"/>
    </xf>
    <xf numFmtId="0" fontId="9" fillId="2" borderId="1" xfId="11" applyFont="1" applyFill="1" applyBorder="1" applyAlignment="1">
      <alignment horizontal="center" vertical="center" shrinkToFit="1"/>
    </xf>
    <xf numFmtId="0" fontId="26" fillId="0" borderId="0" xfId="11" applyAlignment="1">
      <alignment horizontal="center" vertical="center" shrinkToFit="1"/>
    </xf>
    <xf numFmtId="0" fontId="9" fillId="0" borderId="22" xfId="11" applyFont="1" applyBorder="1" applyAlignment="1">
      <alignment vertical="center" shrinkToFit="1"/>
    </xf>
    <xf numFmtId="0" fontId="30" fillId="0" borderId="4" xfId="11" applyFont="1" applyBorder="1"/>
    <xf numFmtId="0" fontId="30" fillId="0" borderId="2" xfId="11" applyFont="1" applyBorder="1"/>
    <xf numFmtId="0" fontId="30" fillId="0" borderId="3" xfId="11" applyFont="1" applyBorder="1"/>
    <xf numFmtId="0" fontId="30" fillId="0" borderId="27" xfId="11" applyFont="1" applyBorder="1" applyAlignment="1">
      <alignment horizontal="left"/>
    </xf>
    <xf numFmtId="0" fontId="30" fillId="0" borderId="28" xfId="11" applyFont="1" applyBorder="1" applyAlignment="1">
      <alignment horizontal="left"/>
    </xf>
    <xf numFmtId="0" fontId="30" fillId="0" borderId="25" xfId="11" applyFont="1" applyBorder="1" applyAlignment="1">
      <alignment horizontal="left"/>
    </xf>
    <xf numFmtId="0" fontId="9" fillId="0" borderId="3" xfId="11" applyFont="1" applyBorder="1" applyAlignment="1">
      <alignment shrinkToFit="1"/>
    </xf>
    <xf numFmtId="10" fontId="9" fillId="0" borderId="1" xfId="11" applyNumberFormat="1" applyFont="1" applyBorder="1" applyAlignment="1">
      <alignment shrinkToFit="1"/>
    </xf>
    <xf numFmtId="0" fontId="9" fillId="0" borderId="1" xfId="11" applyFont="1" applyBorder="1" applyAlignment="1">
      <alignment shrinkToFit="1"/>
    </xf>
    <xf numFmtId="0" fontId="26" fillId="0" borderId="0" xfId="11" applyAlignment="1">
      <alignment shrinkToFit="1"/>
    </xf>
    <xf numFmtId="0" fontId="30" fillId="0" borderId="54" xfId="11" applyFont="1" applyBorder="1"/>
    <xf numFmtId="0" fontId="30" fillId="0" borderId="47" xfId="11" applyFont="1" applyBorder="1"/>
    <xf numFmtId="0" fontId="30" fillId="0" borderId="48" xfId="11" applyFont="1" applyBorder="1"/>
    <xf numFmtId="0" fontId="9" fillId="0" borderId="8" xfId="11" applyFont="1" applyBorder="1" applyAlignment="1">
      <alignment shrinkToFit="1"/>
    </xf>
    <xf numFmtId="0" fontId="9" fillId="0" borderId="5" xfId="11" applyFont="1" applyBorder="1" applyAlignment="1">
      <alignment shrinkToFit="1"/>
    </xf>
    <xf numFmtId="0" fontId="13" fillId="2" borderId="66" xfId="11" applyFont="1" applyFill="1" applyBorder="1" applyAlignment="1">
      <alignment horizontal="center" shrinkToFit="1"/>
    </xf>
    <xf numFmtId="0" fontId="13" fillId="2" borderId="16" xfId="11" applyFont="1" applyFill="1" applyBorder="1" applyAlignment="1">
      <alignment horizontal="center" shrinkToFit="1"/>
    </xf>
    <xf numFmtId="0" fontId="26" fillId="0" borderId="0" xfId="11" applyAlignment="1">
      <alignment wrapText="1" shrinkToFit="1"/>
    </xf>
    <xf numFmtId="0" fontId="26" fillId="0" borderId="0" xfId="11" applyAlignment="1">
      <alignment vertical="center" shrinkToFit="1"/>
    </xf>
    <xf numFmtId="0" fontId="9" fillId="0" borderId="4" xfId="11" applyFont="1" applyBorder="1" applyAlignment="1">
      <alignment shrinkToFit="1"/>
    </xf>
    <xf numFmtId="0" fontId="11" fillId="0" borderId="3" xfId="11" applyFont="1" applyBorder="1" applyAlignment="1">
      <alignment shrinkToFit="1"/>
    </xf>
    <xf numFmtId="0" fontId="9" fillId="0" borderId="9" xfId="11" applyFont="1" applyBorder="1" applyAlignment="1">
      <alignment shrinkToFit="1"/>
    </xf>
    <xf numFmtId="0" fontId="11" fillId="0" borderId="8" xfId="11" applyFont="1" applyBorder="1" applyAlignment="1">
      <alignment shrinkToFit="1"/>
    </xf>
    <xf numFmtId="0" fontId="13" fillId="2" borderId="22" xfId="11" applyFont="1" applyFill="1" applyBorder="1" applyAlignment="1">
      <alignment horizontal="center" vertical="center" shrinkToFit="1"/>
    </xf>
    <xf numFmtId="0" fontId="13" fillId="2" borderId="3" xfId="11" applyFont="1" applyFill="1" applyBorder="1" applyAlignment="1">
      <alignment horizontal="center" vertical="center" shrinkToFit="1"/>
    </xf>
    <xf numFmtId="0" fontId="30" fillId="0" borderId="28" xfId="11" applyFont="1" applyBorder="1" applyAlignment="1">
      <alignment vertical="center"/>
    </xf>
    <xf numFmtId="0" fontId="30" fillId="0" borderId="25" xfId="11" applyFont="1" applyBorder="1" applyAlignment="1">
      <alignment vertical="center"/>
    </xf>
    <xf numFmtId="186" fontId="84" fillId="0" borderId="22" xfId="4" applyNumberFormat="1" applyFont="1" applyBorder="1" applyAlignment="1">
      <alignment horizontal="center" vertical="center"/>
    </xf>
    <xf numFmtId="185" fontId="90" fillId="0" borderId="22" xfId="0" applyNumberFormat="1" applyFont="1" applyBorder="1" applyAlignment="1">
      <alignment shrinkToFit="1"/>
    </xf>
    <xf numFmtId="177" fontId="16" fillId="9" borderId="22" xfId="0" applyNumberFormat="1" applyFont="1" applyFill="1" applyBorder="1"/>
    <xf numFmtId="0" fontId="60" fillId="0" borderId="0" xfId="0" applyFont="1" applyAlignment="1">
      <alignment shrinkToFit="1"/>
    </xf>
    <xf numFmtId="0" fontId="68" fillId="0" borderId="0" xfId="0" applyFont="1" applyAlignment="1">
      <alignment horizontal="center" vertical="center" shrinkToFit="1"/>
    </xf>
    <xf numFmtId="185" fontId="28" fillId="0" borderId="0" xfId="14" applyNumberFormat="1" applyFont="1" applyAlignment="1">
      <alignment horizontal="center" vertical="center" shrinkToFit="1"/>
    </xf>
    <xf numFmtId="0" fontId="9" fillId="0" borderId="3" xfId="11" applyFont="1" applyBorder="1" applyAlignment="1">
      <alignment vertical="center" shrinkToFit="1"/>
    </xf>
    <xf numFmtId="10" fontId="9" fillId="0" borderId="1" xfId="11" applyNumberFormat="1" applyFont="1" applyBorder="1" applyAlignment="1">
      <alignment vertical="center" shrinkToFit="1"/>
    </xf>
    <xf numFmtId="0" fontId="9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9" fillId="0" borderId="8" xfId="11" applyFont="1" applyBorder="1" applyAlignment="1">
      <alignment vertical="center" shrinkToFit="1"/>
    </xf>
    <xf numFmtId="0" fontId="9" fillId="0" borderId="5" xfId="11" applyFont="1" applyBorder="1" applyAlignment="1">
      <alignment vertical="center" shrinkToFit="1"/>
    </xf>
    <xf numFmtId="0" fontId="70" fillId="0" borderId="0" xfId="0" applyFont="1" applyAlignment="1">
      <alignment horizontal="left" vertical="center"/>
    </xf>
    <xf numFmtId="189" fontId="28" fillId="0" borderId="0" xfId="0" applyNumberFormat="1" applyFont="1" applyAlignment="1">
      <alignment horizontal="center"/>
    </xf>
    <xf numFmtId="189" fontId="16" fillId="0" borderId="22" xfId="0" applyNumberFormat="1" applyFont="1" applyBorder="1" applyAlignment="1">
      <alignment shrinkToFit="1"/>
    </xf>
    <xf numFmtId="190" fontId="16" fillId="0" borderId="22" xfId="0" applyNumberFormat="1" applyFont="1" applyBorder="1"/>
    <xf numFmtId="1" fontId="30" fillId="3" borderId="22" xfId="11" applyNumberFormat="1" applyFont="1" applyFill="1" applyBorder="1" applyAlignment="1">
      <alignment vertical="center" shrinkToFit="1"/>
    </xf>
    <xf numFmtId="1" fontId="30" fillId="3" borderId="64" xfId="11" applyNumberFormat="1" applyFont="1" applyFill="1" applyBorder="1" applyAlignment="1">
      <alignment vertical="center" shrinkToFit="1"/>
    </xf>
    <xf numFmtId="1" fontId="30" fillId="3" borderId="51" xfId="11" applyNumberFormat="1" applyFont="1" applyFill="1" applyBorder="1" applyAlignment="1">
      <alignment vertical="center" shrinkToFit="1"/>
    </xf>
    <xf numFmtId="1" fontId="30" fillId="3" borderId="1" xfId="11" applyNumberFormat="1" applyFont="1" applyFill="1" applyBorder="1" applyAlignment="1">
      <alignment vertical="center" shrinkToFit="1"/>
    </xf>
    <xf numFmtId="1" fontId="30" fillId="3" borderId="45" xfId="11" applyNumberFormat="1" applyFont="1" applyFill="1" applyBorder="1" applyAlignment="1">
      <alignment shrinkToFit="1"/>
    </xf>
    <xf numFmtId="0" fontId="28" fillId="0" borderId="27" xfId="11" applyFont="1" applyBorder="1" applyAlignment="1">
      <alignment horizontal="center" vertical="center" shrinkToFit="1"/>
    </xf>
    <xf numFmtId="0" fontId="59" fillId="0" borderId="27" xfId="11" applyFont="1" applyBorder="1" applyAlignment="1">
      <alignment horizontal="center" vertical="center" shrinkToFit="1"/>
    </xf>
    <xf numFmtId="1" fontId="26" fillId="0" borderId="0" xfId="11" applyNumberFormat="1" applyAlignment="1">
      <alignment shrinkToFit="1"/>
    </xf>
    <xf numFmtId="1" fontId="9" fillId="2" borderId="1" xfId="11" applyNumberFormat="1" applyFont="1" applyFill="1" applyBorder="1" applyAlignment="1">
      <alignment horizontal="center" vertical="center" shrinkToFit="1"/>
    </xf>
    <xf numFmtId="1" fontId="30" fillId="3" borderId="22" xfId="11" applyNumberFormat="1" applyFont="1" applyFill="1" applyBorder="1" applyAlignment="1">
      <alignment shrinkToFit="1"/>
    </xf>
    <xf numFmtId="1" fontId="9" fillId="3" borderId="1" xfId="11" applyNumberFormat="1" applyFont="1" applyFill="1" applyBorder="1" applyAlignment="1">
      <alignment shrinkToFit="1"/>
    </xf>
    <xf numFmtId="1" fontId="9" fillId="3" borderId="5" xfId="11" applyNumberFormat="1" applyFont="1" applyFill="1" applyBorder="1" applyAlignment="1">
      <alignment shrinkToFit="1"/>
    </xf>
    <xf numFmtId="1" fontId="9" fillId="3" borderId="18" xfId="11" applyNumberFormat="1" applyFont="1" applyFill="1" applyBorder="1" applyAlignment="1">
      <alignment shrinkToFit="1"/>
    </xf>
    <xf numFmtId="0" fontId="82" fillId="10" borderId="22" xfId="4" applyFont="1" applyFill="1" applyBorder="1" applyAlignment="1">
      <alignment horizontal="center" vertical="center" wrapText="1"/>
    </xf>
    <xf numFmtId="195" fontId="84" fillId="9" borderId="22" xfId="4" applyNumberFormat="1" applyFont="1" applyFill="1" applyBorder="1" applyAlignment="1">
      <alignment horizontal="center" vertical="center"/>
    </xf>
    <xf numFmtId="10" fontId="84" fillId="0" borderId="22" xfId="4" applyNumberFormat="1" applyFont="1" applyBorder="1" applyAlignment="1">
      <alignment horizontal="center" vertical="center"/>
    </xf>
    <xf numFmtId="0" fontId="8" fillId="0" borderId="0" xfId="4">
      <alignment vertical="center"/>
    </xf>
    <xf numFmtId="0" fontId="68" fillId="0" borderId="0" xfId="11" applyFont="1" applyAlignment="1">
      <alignment vertical="center" shrinkToFit="1"/>
    </xf>
    <xf numFmtId="0" fontId="68" fillId="0" borderId="0" xfId="11" applyFont="1" applyAlignment="1">
      <alignment shrinkToFit="1"/>
    </xf>
    <xf numFmtId="0" fontId="0" fillId="0" borderId="0" xfId="0" applyAlignment="1">
      <alignment vertical="center"/>
    </xf>
    <xf numFmtId="10" fontId="30" fillId="3" borderId="50" xfId="11" applyNumberFormat="1" applyFont="1" applyFill="1" applyBorder="1" applyAlignment="1">
      <alignment horizontal="center" vertical="center" shrinkToFit="1"/>
    </xf>
    <xf numFmtId="0" fontId="26" fillId="0" borderId="0" xfId="11" applyAlignment="1">
      <alignment horizontal="left" vertical="center" indent="2"/>
    </xf>
    <xf numFmtId="0" fontId="70" fillId="0" borderId="0" xfId="11" applyFont="1" applyAlignment="1">
      <alignment horizontal="left" vertical="center" indent="1"/>
    </xf>
    <xf numFmtId="0" fontId="26" fillId="0" borderId="0" xfId="11" applyAlignment="1">
      <alignment horizontal="left" vertical="center"/>
    </xf>
    <xf numFmtId="0" fontId="70" fillId="0" borderId="0" xfId="11" applyFont="1" applyAlignment="1">
      <alignment horizontal="left" vertical="center"/>
    </xf>
    <xf numFmtId="0" fontId="70" fillId="0" borderId="67" xfId="11" applyFont="1" applyBorder="1" applyAlignment="1">
      <alignment horizontal="left" vertical="center"/>
    </xf>
    <xf numFmtId="0" fontId="26" fillId="0" borderId="0" xfId="11" applyAlignment="1">
      <alignment vertical="center"/>
    </xf>
    <xf numFmtId="0" fontId="30" fillId="2" borderId="72" xfId="11" applyFont="1" applyFill="1" applyBorder="1" applyAlignment="1">
      <alignment horizontal="center" vertical="center" shrinkToFit="1"/>
    </xf>
    <xf numFmtId="10" fontId="30" fillId="3" borderId="73" xfId="11" applyNumberFormat="1" applyFont="1" applyFill="1" applyBorder="1" applyAlignment="1">
      <alignment horizontal="center" vertical="center" shrinkToFit="1"/>
    </xf>
    <xf numFmtId="0" fontId="30" fillId="2" borderId="74" xfId="11" applyFont="1" applyFill="1" applyBorder="1" applyAlignment="1">
      <alignment horizontal="center" shrinkToFit="1"/>
    </xf>
    <xf numFmtId="0" fontId="13" fillId="2" borderId="75" xfId="11" applyFont="1" applyFill="1" applyBorder="1" applyAlignment="1">
      <alignment horizontal="center" shrinkToFit="1"/>
    </xf>
    <xf numFmtId="0" fontId="13" fillId="2" borderId="74" xfId="11" applyFont="1" applyFill="1" applyBorder="1" applyAlignment="1">
      <alignment horizontal="center" shrinkToFit="1"/>
    </xf>
    <xf numFmtId="1" fontId="9" fillId="3" borderId="76" xfId="11" applyNumberFormat="1" applyFont="1" applyFill="1" applyBorder="1" applyAlignment="1">
      <alignment shrinkToFit="1"/>
    </xf>
    <xf numFmtId="195" fontId="6" fillId="0" borderId="0" xfId="15" applyNumberFormat="1">
      <alignment vertical="center"/>
    </xf>
    <xf numFmtId="0" fontId="72" fillId="0" borderId="0" xfId="0" applyFont="1" applyAlignment="1">
      <alignment vertical="center"/>
    </xf>
    <xf numFmtId="193" fontId="84" fillId="9" borderId="22" xfId="4" applyNumberFormat="1" applyFont="1" applyFill="1" applyBorder="1" applyAlignment="1">
      <alignment horizontal="center" vertical="center"/>
    </xf>
    <xf numFmtId="193" fontId="84" fillId="9" borderId="22" xfId="6" applyNumberFormat="1" applyFont="1" applyFill="1" applyBorder="1" applyAlignment="1">
      <alignment horizontal="center" vertical="center"/>
    </xf>
    <xf numFmtId="0" fontId="30" fillId="0" borderId="77" xfId="11" applyFont="1" applyBorder="1" applyAlignment="1">
      <alignment vertical="center"/>
    </xf>
    <xf numFmtId="193" fontId="84" fillId="9" borderId="22" xfId="17" applyNumberFormat="1" applyFont="1" applyFill="1" applyBorder="1" applyAlignment="1">
      <alignment horizontal="center" vertical="center"/>
    </xf>
    <xf numFmtId="186" fontId="84" fillId="0" borderId="22" xfId="17" applyNumberFormat="1" applyFont="1" applyBorder="1" applyAlignment="1">
      <alignment horizontal="center" vertical="center"/>
    </xf>
    <xf numFmtId="186" fontId="88" fillId="0" borderId="22" xfId="19" applyNumberFormat="1" applyFont="1" applyBorder="1" applyAlignment="1">
      <alignment horizontal="center" vertical="center"/>
    </xf>
    <xf numFmtId="10" fontId="84" fillId="0" borderId="22" xfId="19" applyNumberFormat="1" applyFont="1" applyBorder="1" applyAlignment="1">
      <alignment horizontal="center" vertical="center"/>
    </xf>
    <xf numFmtId="10" fontId="84" fillId="0" borderId="22" xfId="17" applyNumberFormat="1" applyFont="1" applyBorder="1" applyAlignment="1">
      <alignment horizontal="center" vertical="center"/>
    </xf>
    <xf numFmtId="192" fontId="59" fillId="0" borderId="22" xfId="0" applyNumberFormat="1" applyFont="1" applyBorder="1" applyAlignment="1">
      <alignment shrinkToFit="1"/>
    </xf>
    <xf numFmtId="10" fontId="9" fillId="0" borderId="65" xfId="11" applyNumberFormat="1" applyFont="1" applyBorder="1" applyAlignment="1">
      <alignment shrinkToFit="1"/>
    </xf>
    <xf numFmtId="0" fontId="28" fillId="0" borderId="22" xfId="11" applyFont="1" applyBorder="1" applyAlignment="1">
      <alignment horizontal="center" vertical="center" shrinkToFit="1"/>
    </xf>
    <xf numFmtId="0" fontId="59" fillId="0" borderId="22" xfId="11" applyFont="1" applyBorder="1" applyAlignment="1">
      <alignment horizontal="center" vertical="center" shrinkToFit="1"/>
    </xf>
    <xf numFmtId="1" fontId="30" fillId="3" borderId="78" xfId="11" applyNumberFormat="1" applyFont="1" applyFill="1" applyBorder="1" applyAlignment="1">
      <alignment vertical="center" shrinkToFit="1"/>
    </xf>
    <xf numFmtId="0" fontId="30" fillId="0" borderId="71" xfId="11" applyFont="1" applyBorder="1" applyAlignment="1">
      <alignment vertical="center"/>
    </xf>
    <xf numFmtId="9" fontId="30" fillId="0" borderId="22" xfId="11" applyNumberFormat="1" applyFont="1" applyBorder="1" applyAlignment="1">
      <alignment shrinkToFit="1"/>
    </xf>
    <xf numFmtId="0" fontId="30" fillId="0" borderId="22" xfId="11" applyFont="1" applyBorder="1" applyAlignment="1">
      <alignment vertical="center"/>
    </xf>
    <xf numFmtId="0" fontId="30" fillId="0" borderId="57" xfId="11" applyFont="1" applyBorder="1" applyAlignment="1">
      <alignment vertical="center"/>
    </xf>
    <xf numFmtId="0" fontId="30" fillId="0" borderId="58" xfId="11" applyFont="1" applyBorder="1" applyAlignment="1">
      <alignment vertical="center"/>
    </xf>
    <xf numFmtId="0" fontId="30" fillId="0" borderId="61" xfId="11" applyFont="1" applyBorder="1" applyAlignment="1">
      <alignment vertical="center"/>
    </xf>
    <xf numFmtId="0" fontId="33" fillId="0" borderId="22" xfId="11" applyFont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22" xfId="22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196" fontId="38" fillId="0" borderId="22" xfId="11" applyNumberFormat="1" applyFont="1" applyBorder="1" applyAlignment="1">
      <alignment horizontal="center" vertical="center"/>
    </xf>
    <xf numFmtId="197" fontId="38" fillId="0" borderId="22" xfId="11" applyNumberFormat="1" applyFont="1" applyBorder="1" applyAlignment="1">
      <alignment horizontal="center" vertical="center"/>
    </xf>
    <xf numFmtId="185" fontId="38" fillId="9" borderId="22" xfId="13" applyNumberFormat="1" applyFont="1" applyFill="1" applyBorder="1" applyAlignment="1">
      <alignment horizontal="center" vertical="center"/>
    </xf>
    <xf numFmtId="196" fontId="38" fillId="0" borderId="22" xfId="21" applyNumberFormat="1" applyFont="1" applyBorder="1" applyAlignment="1">
      <alignment horizontal="center" vertical="center"/>
    </xf>
    <xf numFmtId="197" fontId="38" fillId="9" borderId="22" xfId="11" applyNumberFormat="1" applyFont="1" applyFill="1" applyBorder="1" applyAlignment="1">
      <alignment horizontal="center" vertical="center"/>
    </xf>
    <xf numFmtId="196" fontId="38" fillId="9" borderId="22" xfId="11" applyNumberFormat="1" applyFont="1" applyFill="1" applyBorder="1" applyAlignment="1">
      <alignment horizontal="center" vertical="center"/>
    </xf>
    <xf numFmtId="0" fontId="102" fillId="0" borderId="22" xfId="11" applyFont="1" applyBorder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101" fillId="0" borderId="22" xfId="11" applyFont="1" applyBorder="1" applyAlignment="1">
      <alignment horizontal="left" vertical="center"/>
    </xf>
    <xf numFmtId="0" fontId="100" fillId="0" borderId="0" xfId="11" applyFont="1" applyAlignment="1">
      <alignment horizontal="center" vertical="center"/>
    </xf>
    <xf numFmtId="1" fontId="33" fillId="0" borderId="40" xfId="11" applyNumberFormat="1" applyFont="1" applyBorder="1" applyAlignment="1">
      <alignment horizontal="center" vertical="center"/>
    </xf>
    <xf numFmtId="0" fontId="33" fillId="0" borderId="40" xfId="11" applyFont="1" applyBorder="1" applyAlignment="1">
      <alignment horizontal="center" vertical="center"/>
    </xf>
    <xf numFmtId="0" fontId="33" fillId="0" borderId="0" xfId="11" applyFont="1" applyAlignment="1">
      <alignment horizontal="left" vertical="center"/>
    </xf>
    <xf numFmtId="0" fontId="100" fillId="0" borderId="0" xfId="11" applyFont="1" applyAlignment="1">
      <alignment horizontal="left" vertical="center"/>
    </xf>
    <xf numFmtId="0" fontId="95" fillId="0" borderId="0" xfId="11" applyFont="1" applyAlignment="1">
      <alignment horizontal="center" vertical="center"/>
    </xf>
    <xf numFmtId="0" fontId="102" fillId="0" borderId="0" xfId="11" applyFont="1" applyAlignment="1">
      <alignment horizontal="center" vertical="center"/>
    </xf>
    <xf numFmtId="198" fontId="38" fillId="9" borderId="22" xfId="13" applyNumberFormat="1" applyFont="1" applyFill="1" applyBorder="1" applyAlignment="1">
      <alignment horizontal="center" vertical="center"/>
    </xf>
    <xf numFmtId="1" fontId="63" fillId="0" borderId="79" xfId="11" applyNumberFormat="1" applyFont="1" applyBorder="1" applyAlignment="1">
      <alignment horizontal="center" vertical="center"/>
    </xf>
    <xf numFmtId="9" fontId="33" fillId="0" borderId="79" xfId="13" applyFont="1" applyBorder="1" applyAlignment="1">
      <alignment horizontal="center"/>
    </xf>
    <xf numFmtId="1" fontId="33" fillId="0" borderId="69" xfId="11" applyNumberFormat="1" applyFont="1" applyBorder="1" applyAlignment="1">
      <alignment horizontal="center" vertical="center"/>
    </xf>
    <xf numFmtId="1" fontId="33" fillId="0" borderId="22" xfId="11" applyNumberFormat="1" applyFont="1" applyBorder="1" applyAlignment="1">
      <alignment horizontal="center" vertical="center"/>
    </xf>
    <xf numFmtId="0" fontId="30" fillId="0" borderId="68" xfId="11" applyFont="1" applyBorder="1" applyAlignment="1">
      <alignment vertical="center"/>
    </xf>
    <xf numFmtId="0" fontId="30" fillId="0" borderId="54" xfId="11" applyFont="1" applyBorder="1" applyAlignment="1">
      <alignment horizontal="left" vertical="center"/>
    </xf>
    <xf numFmtId="0" fontId="30" fillId="0" borderId="47" xfId="11" applyFont="1" applyBorder="1" applyAlignment="1">
      <alignment horizontal="left" vertical="center"/>
    </xf>
    <xf numFmtId="0" fontId="30" fillId="0" borderId="63" xfId="11" applyFont="1" applyBorder="1" applyAlignment="1">
      <alignment horizontal="left" vertical="center"/>
    </xf>
    <xf numFmtId="0" fontId="30" fillId="0" borderId="27" xfId="11" applyFont="1" applyBorder="1" applyAlignment="1">
      <alignment vertical="center"/>
    </xf>
    <xf numFmtId="0" fontId="13" fillId="2" borderId="5" xfId="11" applyFont="1" applyFill="1" applyBorder="1" applyAlignment="1">
      <alignment horizontal="center" vertical="center" shrinkToFit="1"/>
    </xf>
    <xf numFmtId="0" fontId="30" fillId="0" borderId="59" xfId="11" applyFont="1" applyBorder="1" applyAlignment="1">
      <alignment vertical="center"/>
    </xf>
    <xf numFmtId="0" fontId="30" fillId="0" borderId="80" xfId="11" applyFont="1" applyBorder="1" applyAlignment="1">
      <alignment vertical="center"/>
    </xf>
    <xf numFmtId="0" fontId="95" fillId="0" borderId="22" xfId="11" applyFont="1" applyBorder="1" applyAlignment="1">
      <alignment horizontal="center" vertical="center"/>
    </xf>
    <xf numFmtId="0" fontId="16" fillId="0" borderId="0" xfId="11" applyFont="1" applyAlignment="1">
      <alignment horizontal="center" shrinkToFit="1"/>
    </xf>
    <xf numFmtId="3" fontId="8" fillId="0" borderId="0" xfId="4" applyNumberFormat="1">
      <alignment vertical="center"/>
    </xf>
    <xf numFmtId="0" fontId="3" fillId="0" borderId="0" xfId="15" applyFont="1">
      <alignment vertical="center"/>
    </xf>
    <xf numFmtId="0" fontId="95" fillId="0" borderId="0" xfId="15" applyFont="1">
      <alignment vertical="center"/>
    </xf>
    <xf numFmtId="10" fontId="9" fillId="0" borderId="65" xfId="11" applyNumberFormat="1" applyFont="1" applyBorder="1" applyAlignment="1">
      <alignment vertical="center" shrinkToFit="1"/>
    </xf>
    <xf numFmtId="183" fontId="16" fillId="0" borderId="0" xfId="0" applyNumberFormat="1" applyFont="1" applyAlignment="1">
      <alignment horizontal="center" vertical="center" shrinkToFit="1"/>
    </xf>
    <xf numFmtId="183" fontId="16" fillId="0" borderId="0" xfId="0" applyNumberFormat="1" applyFont="1" applyAlignment="1">
      <alignment horizontal="center" shrinkToFit="1"/>
    </xf>
    <xf numFmtId="1" fontId="16" fillId="0" borderId="0" xfId="0" applyNumberFormat="1" applyFont="1" applyAlignment="1">
      <alignment horizontal="center" shrinkToFit="1"/>
    </xf>
    <xf numFmtId="1" fontId="16" fillId="0" borderId="0" xfId="0" applyNumberFormat="1" applyFont="1" applyAlignment="1">
      <alignment horizontal="center" vertical="center" shrinkToFit="1"/>
    </xf>
    <xf numFmtId="0" fontId="103" fillId="0" borderId="0" xfId="0" applyFont="1" applyAlignment="1">
      <alignment shrinkToFit="1"/>
    </xf>
    <xf numFmtId="0" fontId="9" fillId="0" borderId="82" xfId="11" applyFont="1" applyBorder="1" applyAlignment="1">
      <alignment vertical="center" shrinkToFit="1"/>
    </xf>
    <xf numFmtId="1" fontId="9" fillId="3" borderId="76" xfId="0" applyNumberFormat="1" applyFont="1" applyFill="1" applyBorder="1" applyAlignment="1">
      <alignment shrinkToFit="1"/>
    </xf>
    <xf numFmtId="0" fontId="104" fillId="0" borderId="0" xfId="0" applyFont="1" applyAlignment="1">
      <alignment horizontal="left" vertical="center" indent="1"/>
    </xf>
    <xf numFmtId="0" fontId="68" fillId="0" borderId="0" xfId="0" applyFont="1" applyAlignment="1">
      <alignment horizontal="left" vertical="center" indent="2"/>
    </xf>
    <xf numFmtId="0" fontId="68" fillId="0" borderId="0" xfId="11" applyFont="1"/>
    <xf numFmtId="0" fontId="68" fillId="0" borderId="0" xfId="11" applyFont="1" applyAlignment="1">
      <alignment horizontal="left" vertical="center"/>
    </xf>
    <xf numFmtId="0" fontId="68" fillId="0" borderId="0" xfId="11" applyFont="1" applyAlignment="1">
      <alignment horizontal="left" vertical="center" indent="2"/>
    </xf>
    <xf numFmtId="0" fontId="104" fillId="0" borderId="0" xfId="11" applyFont="1" applyAlignment="1">
      <alignment horizontal="left" vertical="center" indent="1"/>
    </xf>
    <xf numFmtId="0" fontId="104" fillId="0" borderId="0" xfId="11" applyFont="1" applyAlignment="1">
      <alignment horizontal="left" vertical="center"/>
    </xf>
    <xf numFmtId="0" fontId="105" fillId="0" borderId="0" xfId="11" applyFont="1" applyAlignment="1">
      <alignment vertical="center" shrinkToFit="1"/>
    </xf>
    <xf numFmtId="0" fontId="68" fillId="0" borderId="0" xfId="0" applyFont="1" applyAlignment="1">
      <alignment shrinkToFit="1"/>
    </xf>
    <xf numFmtId="0" fontId="68" fillId="0" borderId="0" xfId="0" applyFont="1"/>
    <xf numFmtId="0" fontId="2" fillId="0" borderId="0" xfId="15" applyFont="1">
      <alignment vertical="center"/>
    </xf>
    <xf numFmtId="0" fontId="106" fillId="0" borderId="0" xfId="11" applyFont="1" applyAlignment="1">
      <alignment horizontal="center" vertical="center"/>
    </xf>
    <xf numFmtId="3" fontId="30" fillId="6" borderId="22" xfId="0" applyNumberFormat="1" applyFont="1" applyFill="1" applyBorder="1" applyAlignment="1">
      <alignment shrinkToFit="1"/>
    </xf>
    <xf numFmtId="0" fontId="109" fillId="0" borderId="84" xfId="11" applyFont="1" applyBorder="1" applyAlignment="1">
      <alignment horizontal="center" vertical="center"/>
    </xf>
    <xf numFmtId="0" fontId="109" fillId="0" borderId="85" xfId="11" applyFont="1" applyBorder="1" applyAlignment="1">
      <alignment horizontal="center" vertical="center"/>
    </xf>
    <xf numFmtId="196" fontId="110" fillId="0" borderId="22" xfId="11" applyNumberFormat="1" applyFont="1" applyBorder="1" applyAlignment="1">
      <alignment horizontal="right" vertical="center"/>
    </xf>
    <xf numFmtId="199" fontId="110" fillId="0" borderId="22" xfId="11" applyNumberFormat="1" applyFont="1" applyBorder="1" applyAlignment="1">
      <alignment horizontal="right" vertical="center"/>
    </xf>
    <xf numFmtId="186" fontId="110" fillId="0" borderId="22" xfId="13" applyNumberFormat="1" applyFont="1" applyBorder="1" applyAlignment="1">
      <alignment vertical="center"/>
    </xf>
    <xf numFmtId="10" fontId="110" fillId="0" borderId="22" xfId="13" applyNumberFormat="1" applyFont="1" applyBorder="1" applyAlignment="1">
      <alignment vertical="center"/>
    </xf>
    <xf numFmtId="183" fontId="110" fillId="0" borderId="22" xfId="11" applyNumberFormat="1" applyFont="1" applyBorder="1" applyAlignment="1">
      <alignment vertical="center"/>
    </xf>
    <xf numFmtId="183" fontId="110" fillId="0" borderId="89" xfId="11" applyNumberFormat="1" applyFont="1" applyBorder="1" applyAlignment="1">
      <alignment vertical="center"/>
    </xf>
    <xf numFmtId="10" fontId="30" fillId="9" borderId="22" xfId="0" applyNumberFormat="1" applyFont="1" applyFill="1" applyBorder="1" applyAlignment="1">
      <alignment shrinkToFit="1"/>
    </xf>
    <xf numFmtId="4" fontId="30" fillId="6" borderId="22" xfId="0" applyNumberFormat="1" applyFont="1" applyFill="1" applyBorder="1" applyAlignment="1">
      <alignment horizontal="right" shrinkToFit="1"/>
    </xf>
    <xf numFmtId="186" fontId="30" fillId="6" borderId="22" xfId="13" applyNumberFormat="1" applyFont="1" applyFill="1" applyBorder="1" applyAlignment="1">
      <alignment horizontal="right" shrinkToFit="1"/>
    </xf>
    <xf numFmtId="10" fontId="30" fillId="6" borderId="22" xfId="13" applyNumberFormat="1" applyFont="1" applyFill="1" applyBorder="1" applyAlignment="1">
      <alignment horizontal="right" shrinkToFit="1"/>
    </xf>
    <xf numFmtId="191" fontId="30" fillId="6" borderId="22" xfId="0" applyNumberFormat="1" applyFont="1" applyFill="1" applyBorder="1" applyAlignment="1">
      <alignment shrinkToFit="1"/>
    </xf>
    <xf numFmtId="188" fontId="28" fillId="0" borderId="0" xfId="0" applyNumberFormat="1" applyFont="1" applyAlignment="1">
      <alignment horizontal="center"/>
    </xf>
    <xf numFmtId="185" fontId="28" fillId="0" borderId="0" xfId="13" applyNumberFormat="1" applyFont="1" applyAlignment="1">
      <alignment horizontal="center"/>
    </xf>
    <xf numFmtId="190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vertical="center"/>
    </xf>
    <xf numFmtId="10" fontId="28" fillId="0" borderId="0" xfId="0" applyNumberFormat="1" applyFont="1" applyAlignment="1">
      <alignment horizontal="center"/>
    </xf>
    <xf numFmtId="180" fontId="28" fillId="0" borderId="0" xfId="0" applyNumberFormat="1" applyFont="1" applyAlignment="1">
      <alignment horizontal="center"/>
    </xf>
    <xf numFmtId="186" fontId="28" fillId="0" borderId="0" xfId="0" applyNumberFormat="1" applyFont="1" applyAlignment="1">
      <alignment horizontal="center"/>
    </xf>
    <xf numFmtId="189" fontId="28" fillId="0" borderId="29" xfId="0" applyNumberFormat="1" applyFont="1" applyBorder="1" applyAlignment="1">
      <alignment horizontal="center"/>
    </xf>
    <xf numFmtId="190" fontId="28" fillId="0" borderId="30" xfId="0" applyNumberFormat="1" applyFont="1" applyBorder="1" applyAlignment="1">
      <alignment horizontal="center"/>
    </xf>
    <xf numFmtId="0" fontId="110" fillId="0" borderId="22" xfId="11" applyFont="1" applyBorder="1" applyAlignment="1">
      <alignment vertical="center"/>
    </xf>
    <xf numFmtId="196" fontId="110" fillId="9" borderId="87" xfId="11" applyNumberFormat="1" applyFont="1" applyFill="1" applyBorder="1"/>
    <xf numFmtId="0" fontId="110" fillId="9" borderId="22" xfId="11" applyFont="1" applyFill="1" applyBorder="1" applyAlignment="1">
      <alignment vertical="center"/>
    </xf>
    <xf numFmtId="10" fontId="111" fillId="9" borderId="22" xfId="13" applyNumberFormat="1" applyFont="1" applyFill="1" applyBorder="1" applyAlignment="1">
      <alignment horizontal="right" vertical="center"/>
    </xf>
    <xf numFmtId="10" fontId="110" fillId="9" borderId="22" xfId="13" applyNumberFormat="1" applyFont="1" applyFill="1" applyBorder="1" applyAlignment="1">
      <alignment horizontal="right" vertical="center"/>
    </xf>
    <xf numFmtId="10" fontId="110" fillId="9" borderId="87" xfId="13" applyNumberFormat="1" applyFont="1" applyFill="1" applyBorder="1" applyAlignment="1"/>
    <xf numFmtId="0" fontId="110" fillId="0" borderId="86" xfId="11" applyFont="1" applyBorder="1" applyAlignment="1">
      <alignment horizontal="left"/>
    </xf>
    <xf numFmtId="197" fontId="110" fillId="0" borderId="22" xfId="11" applyNumberFormat="1" applyFont="1" applyBorder="1" applyAlignment="1">
      <alignment horizontal="right" vertical="center"/>
    </xf>
    <xf numFmtId="199" fontId="110" fillId="9" borderId="87" xfId="11" applyNumberFormat="1" applyFont="1" applyFill="1" applyBorder="1"/>
    <xf numFmtId="10" fontId="110" fillId="9" borderId="87" xfId="13" applyNumberFormat="1" applyFont="1" applyFill="1" applyBorder="1" applyAlignment="1">
      <alignment horizontal="right" vertical="center"/>
    </xf>
    <xf numFmtId="186" fontId="110" fillId="9" borderId="87" xfId="13" applyNumberFormat="1" applyFont="1" applyFill="1" applyBorder="1" applyAlignment="1">
      <alignment horizontal="right" vertical="center"/>
    </xf>
    <xf numFmtId="10" fontId="110" fillId="0" borderId="87" xfId="13" applyNumberFormat="1" applyFont="1" applyFill="1" applyBorder="1" applyAlignment="1">
      <alignment horizontal="right" vertical="center"/>
    </xf>
    <xf numFmtId="10" fontId="110" fillId="0" borderId="22" xfId="13" applyNumberFormat="1" applyFont="1" applyBorder="1" applyAlignment="1"/>
    <xf numFmtId="197" fontId="110" fillId="9" borderId="87" xfId="13" applyNumberFormat="1" applyFont="1" applyFill="1" applyBorder="1" applyAlignment="1">
      <alignment horizontal="right" vertical="center"/>
    </xf>
    <xf numFmtId="0" fontId="110" fillId="0" borderId="23" xfId="11" applyFont="1" applyBorder="1" applyAlignment="1">
      <alignment vertical="center"/>
    </xf>
    <xf numFmtId="183" fontId="110" fillId="0" borderId="23" xfId="11" applyNumberFormat="1" applyFont="1" applyBorder="1" applyAlignment="1">
      <alignment vertical="center"/>
    </xf>
    <xf numFmtId="0" fontId="110" fillId="0" borderId="89" xfId="11" applyFont="1" applyBorder="1" applyAlignment="1">
      <alignment vertical="center"/>
    </xf>
    <xf numFmtId="197" fontId="110" fillId="9" borderId="90" xfId="13" applyNumberFormat="1" applyFont="1" applyFill="1" applyBorder="1" applyAlignment="1">
      <alignment horizontal="right" vertical="center"/>
    </xf>
    <xf numFmtId="3" fontId="30" fillId="9" borderId="22" xfId="0" applyNumberFormat="1" applyFont="1" applyFill="1" applyBorder="1" applyAlignment="1">
      <alignment shrinkToFit="1"/>
    </xf>
    <xf numFmtId="4" fontId="30" fillId="9" borderId="22" xfId="0" applyNumberFormat="1" applyFont="1" applyFill="1" applyBorder="1" applyAlignment="1">
      <alignment horizontal="right" shrinkToFit="1"/>
    </xf>
    <xf numFmtId="186" fontId="30" fillId="9" borderId="22" xfId="0" applyNumberFormat="1" applyFont="1" applyFill="1" applyBorder="1" applyAlignment="1">
      <alignment shrinkToFit="1"/>
    </xf>
    <xf numFmtId="10" fontId="30" fillId="6" borderId="22" xfId="13" applyNumberFormat="1" applyFont="1" applyFill="1" applyBorder="1" applyAlignment="1">
      <alignment shrinkToFit="1"/>
    </xf>
    <xf numFmtId="10" fontId="30" fillId="6" borderId="22" xfId="0" applyNumberFormat="1" applyFont="1" applyFill="1" applyBorder="1" applyAlignment="1">
      <alignment shrinkToFit="1"/>
    </xf>
    <xf numFmtId="183" fontId="30" fillId="9" borderId="22" xfId="0" applyNumberFormat="1" applyFont="1" applyFill="1" applyBorder="1" applyAlignment="1">
      <alignment shrinkToFit="1"/>
    </xf>
    <xf numFmtId="183" fontId="30" fillId="6" borderId="22" xfId="0" applyNumberFormat="1" applyFont="1" applyFill="1" applyBorder="1" applyAlignment="1">
      <alignment shrinkToFit="1"/>
    </xf>
    <xf numFmtId="179" fontId="16" fillId="0" borderId="0" xfId="0" applyNumberFormat="1" applyFont="1" applyAlignment="1">
      <alignment horizontal="center"/>
    </xf>
    <xf numFmtId="185" fontId="28" fillId="0" borderId="0" xfId="13" applyNumberFormat="1" applyFont="1" applyAlignment="1"/>
    <xf numFmtId="0" fontId="116" fillId="0" borderId="29" xfId="0" applyFont="1" applyBorder="1" applyAlignment="1">
      <alignment vertical="center"/>
    </xf>
    <xf numFmtId="0" fontId="116" fillId="0" borderId="30" xfId="0" applyFont="1" applyBorder="1" applyAlignment="1">
      <alignment vertical="center"/>
    </xf>
    <xf numFmtId="0" fontId="93" fillId="0" borderId="22" xfId="0" applyFont="1" applyBorder="1" applyAlignment="1">
      <alignment vertical="center"/>
    </xf>
    <xf numFmtId="0" fontId="118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189" fontId="28" fillId="0" borderId="30" xfId="0" applyNumberFormat="1" applyFont="1" applyBorder="1" applyAlignment="1">
      <alignment horizontal="center"/>
    </xf>
    <xf numFmtId="0" fontId="93" fillId="0" borderId="23" xfId="0" applyFont="1" applyBorder="1" applyAlignment="1">
      <alignment horizontal="center" vertical="center"/>
    </xf>
    <xf numFmtId="0" fontId="93" fillId="0" borderId="29" xfId="0" applyFont="1" applyBorder="1" applyAlignment="1">
      <alignment horizontal="center" vertical="center"/>
    </xf>
    <xf numFmtId="0" fontId="93" fillId="0" borderId="30" xfId="0" applyFont="1" applyBorder="1" applyAlignment="1">
      <alignment horizontal="center" vertical="center"/>
    </xf>
    <xf numFmtId="177" fontId="16" fillId="0" borderId="23" xfId="0" applyNumberFormat="1" applyFont="1" applyBorder="1" applyAlignment="1">
      <alignment horizontal="center" vertical="center"/>
    </xf>
    <xf numFmtId="177" fontId="16" fillId="0" borderId="29" xfId="0" applyNumberFormat="1" applyFont="1" applyBorder="1" applyAlignment="1">
      <alignment horizontal="center" vertical="center"/>
    </xf>
    <xf numFmtId="177" fontId="16" fillId="0" borderId="30" xfId="0" applyNumberFormat="1" applyFont="1" applyBorder="1" applyAlignment="1">
      <alignment horizontal="center" vertical="center"/>
    </xf>
    <xf numFmtId="10" fontId="66" fillId="0" borderId="22" xfId="11" applyNumberFormat="1" applyFont="1" applyBorder="1" applyAlignment="1">
      <alignment horizontal="left" vertical="center" shrinkToFit="1"/>
    </xf>
    <xf numFmtId="10" fontId="66" fillId="0" borderId="1" xfId="11" applyNumberFormat="1" applyFont="1" applyBorder="1" applyAlignment="1">
      <alignment vertical="center" shrinkToFit="1"/>
    </xf>
    <xf numFmtId="10" fontId="30" fillId="3" borderId="94" xfId="11" applyNumberFormat="1" applyFont="1" applyFill="1" applyBorder="1" applyAlignment="1">
      <alignment horizontal="center" vertical="center" shrinkToFit="1"/>
    </xf>
    <xf numFmtId="0" fontId="71" fillId="0" borderId="0" xfId="0" applyFont="1" applyAlignment="1">
      <alignment horizontal="center" vertical="center" shrinkToFit="1"/>
    </xf>
    <xf numFmtId="0" fontId="44" fillId="0" borderId="0" xfId="0" applyFont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110" fillId="0" borderId="86" xfId="11" applyFont="1" applyBorder="1" applyAlignment="1">
      <alignment horizontal="left" vertical="center"/>
    </xf>
    <xf numFmtId="0" fontId="110" fillId="0" borderId="91" xfId="11" applyFont="1" applyBorder="1" applyAlignment="1">
      <alignment horizontal="left" vertical="center"/>
    </xf>
    <xf numFmtId="0" fontId="110" fillId="0" borderId="88" xfId="11" applyFont="1" applyBorder="1" applyAlignment="1">
      <alignment horizontal="left" vertical="center"/>
    </xf>
    <xf numFmtId="0" fontId="109" fillId="0" borderId="83" xfId="11" applyFont="1" applyBorder="1" applyAlignment="1">
      <alignment horizontal="center" vertical="center"/>
    </xf>
    <xf numFmtId="0" fontId="109" fillId="0" borderId="84" xfId="11" applyFont="1" applyBorder="1" applyAlignment="1">
      <alignment horizontal="center" vertical="center"/>
    </xf>
    <xf numFmtId="0" fontId="110" fillId="0" borderId="92" xfId="11" applyFont="1" applyBorder="1" applyAlignment="1">
      <alignment horizontal="left" vertical="center"/>
    </xf>
    <xf numFmtId="0" fontId="110" fillId="0" borderId="93" xfId="11" applyFont="1" applyBorder="1" applyAlignment="1">
      <alignment horizontal="left" vertical="center"/>
    </xf>
    <xf numFmtId="0" fontId="51" fillId="9" borderId="27" xfId="0" applyFont="1" applyFill="1" applyBorder="1" applyAlignment="1">
      <alignment horizontal="center" vertical="center" shrinkToFit="1"/>
    </xf>
    <xf numFmtId="0" fontId="51" fillId="9" borderId="25" xfId="0" applyFont="1" applyFill="1" applyBorder="1" applyAlignment="1">
      <alignment horizontal="center" vertical="center" shrinkToFit="1"/>
    </xf>
    <xf numFmtId="185" fontId="28" fillId="0" borderId="0" xfId="0" applyNumberFormat="1" applyFont="1" applyAlignment="1">
      <alignment horizontal="center"/>
    </xf>
    <xf numFmtId="0" fontId="96" fillId="0" borderId="0" xfId="0" applyFont="1" applyAlignment="1">
      <alignment horizontal="center" vertical="center"/>
    </xf>
    <xf numFmtId="190" fontId="28" fillId="0" borderId="0" xfId="0" applyNumberFormat="1" applyFont="1" applyAlignment="1">
      <alignment horizontal="center"/>
    </xf>
    <xf numFmtId="189" fontId="28" fillId="0" borderId="0" xfId="0" applyNumberFormat="1" applyFont="1" applyAlignment="1">
      <alignment horizontal="center"/>
    </xf>
    <xf numFmtId="188" fontId="28" fillId="0" borderId="0" xfId="0" applyNumberFormat="1" applyFont="1" applyAlignment="1">
      <alignment horizontal="center"/>
    </xf>
    <xf numFmtId="0" fontId="124" fillId="0" borderId="0" xfId="0" applyFont="1" applyAlignment="1">
      <alignment horizontal="center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85" fontId="28" fillId="0" borderId="0" xfId="13" applyNumberFormat="1" applyFont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80" fontId="28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center"/>
    </xf>
    <xf numFmtId="185" fontId="16" fillId="0" borderId="0" xfId="0" applyNumberFormat="1" applyFont="1" applyAlignment="1">
      <alignment horizontal="center"/>
    </xf>
    <xf numFmtId="180" fontId="16" fillId="0" borderId="0" xfId="0" applyNumberFormat="1" applyFont="1" applyAlignment="1">
      <alignment horizontal="center"/>
    </xf>
    <xf numFmtId="186" fontId="28" fillId="0" borderId="0" xfId="0" applyNumberFormat="1" applyFont="1" applyAlignment="1">
      <alignment horizontal="center"/>
    </xf>
    <xf numFmtId="10" fontId="17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181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9" fontId="16" fillId="0" borderId="23" xfId="0" applyNumberFormat="1" applyFont="1" applyBorder="1" applyAlignment="1">
      <alignment horizontal="center" vertical="center"/>
    </xf>
    <xf numFmtId="179" fontId="16" fillId="0" borderId="29" xfId="0" applyNumberFormat="1" applyFont="1" applyBorder="1" applyAlignment="1">
      <alignment horizontal="center" vertical="center"/>
    </xf>
    <xf numFmtId="179" fontId="16" fillId="0" borderId="30" xfId="0" applyNumberFormat="1" applyFont="1" applyBorder="1" applyAlignment="1">
      <alignment horizontal="center" vertical="center"/>
    </xf>
    <xf numFmtId="182" fontId="16" fillId="0" borderId="22" xfId="0" applyNumberFormat="1" applyFont="1" applyBorder="1" applyAlignment="1">
      <alignment horizontal="center" shrinkToFit="1"/>
    </xf>
    <xf numFmtId="0" fontId="116" fillId="0" borderId="23" xfId="0" applyFont="1" applyBorder="1" applyAlignment="1">
      <alignment horizontal="center" vertical="center"/>
    </xf>
    <xf numFmtId="0" fontId="116" fillId="0" borderId="29" xfId="0" applyFont="1" applyBorder="1" applyAlignment="1">
      <alignment horizontal="center" vertical="center"/>
    </xf>
    <xf numFmtId="189" fontId="28" fillId="0" borderId="23" xfId="0" applyNumberFormat="1" applyFont="1" applyBorder="1" applyAlignment="1">
      <alignment horizontal="center"/>
    </xf>
    <xf numFmtId="189" fontId="28" fillId="0" borderId="29" xfId="0" applyNumberFormat="1" applyFont="1" applyBorder="1" applyAlignment="1">
      <alignment horizontal="center"/>
    </xf>
    <xf numFmtId="0" fontId="34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0" fontId="30" fillId="0" borderId="23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/>
    </xf>
    <xf numFmtId="189" fontId="29" fillId="0" borderId="22" xfId="0" applyNumberFormat="1" applyFont="1" applyBorder="1" applyAlignment="1">
      <alignment horizontal="center" vertical="center"/>
    </xf>
    <xf numFmtId="189" fontId="29" fillId="0" borderId="23" xfId="0" applyNumberFormat="1" applyFont="1" applyBorder="1" applyAlignment="1">
      <alignment horizontal="center" vertical="center"/>
    </xf>
    <xf numFmtId="182" fontId="29" fillId="0" borderId="22" xfId="0" applyNumberFormat="1" applyFont="1" applyBorder="1" applyAlignment="1">
      <alignment horizontal="center" vertical="center"/>
    </xf>
    <xf numFmtId="177" fontId="34" fillId="0" borderId="22" xfId="0" applyNumberFormat="1" applyFont="1" applyBorder="1" applyAlignment="1">
      <alignment horizontal="center" vertical="center"/>
    </xf>
    <xf numFmtId="177" fontId="16" fillId="0" borderId="22" xfId="0" applyNumberFormat="1" applyFont="1" applyBorder="1" applyAlignment="1">
      <alignment horizontal="center"/>
    </xf>
    <xf numFmtId="190" fontId="28" fillId="0" borderId="23" xfId="0" applyNumberFormat="1" applyFont="1" applyBorder="1" applyAlignment="1">
      <alignment horizontal="center"/>
    </xf>
    <xf numFmtId="190" fontId="28" fillId="0" borderId="29" xfId="0" applyNumberFormat="1" applyFont="1" applyBorder="1" applyAlignment="1">
      <alignment horizontal="center"/>
    </xf>
    <xf numFmtId="0" fontId="33" fillId="0" borderId="23" xfId="0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77" fontId="81" fillId="0" borderId="22" xfId="0" applyNumberFormat="1" applyFont="1" applyBorder="1" applyAlignment="1">
      <alignment horizontal="center" vertical="center"/>
    </xf>
    <xf numFmtId="177" fontId="29" fillId="0" borderId="23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/>
    </xf>
    <xf numFmtId="183" fontId="16" fillId="0" borderId="22" xfId="0" applyNumberFormat="1" applyFont="1" applyBorder="1" applyAlignment="1">
      <alignment horizontal="center" vertical="center"/>
    </xf>
    <xf numFmtId="183" fontId="16" fillId="9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0" fontId="16" fillId="9" borderId="22" xfId="0" applyFont="1" applyFill="1" applyBorder="1" applyAlignment="1">
      <alignment horizontal="center" vertical="center" shrinkToFit="1"/>
    </xf>
    <xf numFmtId="179" fontId="16" fillId="5" borderId="27" xfId="0" applyNumberFormat="1" applyFont="1" applyFill="1" applyBorder="1" applyAlignment="1">
      <alignment horizontal="center" vertical="center" shrinkToFit="1"/>
    </xf>
    <xf numFmtId="179" fontId="16" fillId="5" borderId="28" xfId="0" applyNumberFormat="1" applyFont="1" applyFill="1" applyBorder="1" applyAlignment="1">
      <alignment horizontal="center" vertical="center" shrinkToFit="1"/>
    </xf>
    <xf numFmtId="179" fontId="16" fillId="5" borderId="25" xfId="0" applyNumberFormat="1" applyFont="1" applyFill="1" applyBorder="1" applyAlignment="1">
      <alignment horizontal="center" vertical="center" shrinkToFit="1"/>
    </xf>
    <xf numFmtId="187" fontId="16" fillId="5" borderId="22" xfId="0" applyNumberFormat="1" applyFont="1" applyFill="1" applyBorder="1" applyAlignment="1">
      <alignment horizontal="center" vertical="center" shrinkToFit="1"/>
    </xf>
    <xf numFmtId="187" fontId="16" fillId="8" borderId="22" xfId="0" applyNumberFormat="1" applyFont="1" applyFill="1" applyBorder="1" applyAlignment="1">
      <alignment horizontal="center" vertical="center" shrinkToFit="1"/>
    </xf>
    <xf numFmtId="187" fontId="16" fillId="5" borderId="27" xfId="0" applyNumberFormat="1" applyFont="1" applyFill="1" applyBorder="1" applyAlignment="1">
      <alignment horizontal="center" vertical="center" shrinkToFit="1"/>
    </xf>
    <xf numFmtId="187" fontId="16" fillId="5" borderId="28" xfId="0" applyNumberFormat="1" applyFont="1" applyFill="1" applyBorder="1" applyAlignment="1">
      <alignment horizontal="center" vertical="center" shrinkToFit="1"/>
    </xf>
    <xf numFmtId="187" fontId="16" fillId="5" borderId="25" xfId="0" applyNumberFormat="1" applyFont="1" applyFill="1" applyBorder="1" applyAlignment="1">
      <alignment horizontal="center" vertical="center" shrinkToFit="1"/>
    </xf>
    <xf numFmtId="185" fontId="16" fillId="0" borderId="22" xfId="13" applyNumberFormat="1" applyFont="1" applyBorder="1" applyAlignment="1">
      <alignment horizontal="center" vertical="center" shrinkToFit="1"/>
    </xf>
    <xf numFmtId="0" fontId="89" fillId="0" borderId="37" xfId="0" applyFont="1" applyBorder="1" applyAlignment="1">
      <alignment horizontal="left" vertical="center"/>
    </xf>
    <xf numFmtId="0" fontId="89" fillId="0" borderId="32" xfId="0" applyFont="1" applyBorder="1" applyAlignment="1">
      <alignment horizontal="left" vertical="center"/>
    </xf>
    <xf numFmtId="0" fontId="89" fillId="0" borderId="26" xfId="0" applyFont="1" applyBorder="1" applyAlignment="1">
      <alignment horizontal="left" vertical="center"/>
    </xf>
    <xf numFmtId="0" fontId="89" fillId="0" borderId="36" xfId="0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179" fontId="16" fillId="5" borderId="22" xfId="0" applyNumberFormat="1" applyFont="1" applyFill="1" applyBorder="1" applyAlignment="1">
      <alignment horizontal="center" vertical="center" shrinkToFit="1"/>
    </xf>
    <xf numFmtId="0" fontId="16" fillId="5" borderId="22" xfId="0" applyFont="1" applyFill="1" applyBorder="1" applyAlignment="1">
      <alignment horizontal="center" vertical="center" shrinkToFit="1"/>
    </xf>
    <xf numFmtId="179" fontId="16" fillId="8" borderId="22" xfId="0" applyNumberFormat="1" applyFont="1" applyFill="1" applyBorder="1" applyAlignment="1">
      <alignment horizontal="center" vertical="center" shrinkToFit="1"/>
    </xf>
    <xf numFmtId="0" fontId="16" fillId="8" borderId="22" xfId="0" applyFont="1" applyFill="1" applyBorder="1" applyAlignment="1">
      <alignment horizontal="center" vertical="center" shrinkToFit="1"/>
    </xf>
    <xf numFmtId="0" fontId="53" fillId="0" borderId="37" xfId="0" applyFont="1" applyBorder="1" applyAlignment="1">
      <alignment horizontal="left" vertical="center"/>
    </xf>
    <xf numFmtId="0" fontId="53" fillId="0" borderId="32" xfId="0" applyFont="1" applyBorder="1" applyAlignment="1">
      <alignment horizontal="left" vertical="center"/>
    </xf>
    <xf numFmtId="0" fontId="53" fillId="0" borderId="26" xfId="0" applyFont="1" applyBorder="1" applyAlignment="1">
      <alignment horizontal="left" vertical="center"/>
    </xf>
    <xf numFmtId="0" fontId="53" fillId="0" borderId="36" xfId="0" applyFont="1" applyBorder="1" applyAlignment="1">
      <alignment horizontal="left" vertical="center"/>
    </xf>
    <xf numFmtId="179" fontId="16" fillId="8" borderId="27" xfId="0" applyNumberFormat="1" applyFont="1" applyFill="1" applyBorder="1" applyAlignment="1">
      <alignment horizontal="center" vertical="center" shrinkToFit="1"/>
    </xf>
    <xf numFmtId="179" fontId="16" fillId="8" borderId="28" xfId="0" applyNumberFormat="1" applyFont="1" applyFill="1" applyBorder="1" applyAlignment="1">
      <alignment horizontal="center" vertical="center" shrinkToFit="1"/>
    </xf>
    <xf numFmtId="179" fontId="16" fillId="8" borderId="25" xfId="0" applyNumberFormat="1" applyFont="1" applyFill="1" applyBorder="1" applyAlignment="1">
      <alignment horizontal="center" vertical="center" shrinkToFit="1"/>
    </xf>
    <xf numFmtId="187" fontId="16" fillId="8" borderId="27" xfId="0" applyNumberFormat="1" applyFont="1" applyFill="1" applyBorder="1" applyAlignment="1">
      <alignment horizontal="center" vertical="center" shrinkToFit="1"/>
    </xf>
    <xf numFmtId="187" fontId="16" fillId="8" borderId="28" xfId="0" applyNumberFormat="1" applyFont="1" applyFill="1" applyBorder="1" applyAlignment="1">
      <alignment horizontal="center" vertical="center" shrinkToFit="1"/>
    </xf>
    <xf numFmtId="187" fontId="16" fillId="8" borderId="25" xfId="0" applyNumberFormat="1" applyFont="1" applyFill="1" applyBorder="1" applyAlignment="1">
      <alignment horizontal="center" vertical="center" shrinkToFit="1"/>
    </xf>
    <xf numFmtId="0" fontId="16" fillId="0" borderId="23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9" borderId="27" xfId="0" applyFont="1" applyFill="1" applyBorder="1" applyAlignment="1">
      <alignment horizontal="center" vertical="center" shrinkToFit="1"/>
    </xf>
    <xf numFmtId="0" fontId="16" fillId="9" borderId="28" xfId="0" applyFont="1" applyFill="1" applyBorder="1" applyAlignment="1">
      <alignment horizontal="center" vertical="center" shrinkToFit="1"/>
    </xf>
    <xf numFmtId="0" fontId="16" fillId="9" borderId="25" xfId="0" applyFont="1" applyFill="1" applyBorder="1" applyAlignment="1">
      <alignment horizontal="center" vertical="center" shrinkToFit="1"/>
    </xf>
    <xf numFmtId="0" fontId="16" fillId="9" borderId="23" xfId="0" applyFont="1" applyFill="1" applyBorder="1" applyAlignment="1">
      <alignment horizontal="center" vertical="center" shrinkToFit="1"/>
    </xf>
    <xf numFmtId="0" fontId="16" fillId="9" borderId="29" xfId="0" applyFont="1" applyFill="1" applyBorder="1" applyAlignment="1">
      <alignment horizontal="center" vertical="center" shrinkToFit="1"/>
    </xf>
    <xf numFmtId="0" fontId="16" fillId="9" borderId="30" xfId="0" applyFont="1" applyFill="1" applyBorder="1" applyAlignment="1">
      <alignment horizontal="center" vertical="center" shrinkToFit="1"/>
    </xf>
    <xf numFmtId="185" fontId="16" fillId="0" borderId="23" xfId="13" applyNumberFormat="1" applyFont="1" applyBorder="1" applyAlignment="1">
      <alignment horizontal="center" vertical="center" shrinkToFit="1"/>
    </xf>
    <xf numFmtId="185" fontId="16" fillId="0" borderId="29" xfId="13" applyNumberFormat="1" applyFont="1" applyBorder="1" applyAlignment="1">
      <alignment horizontal="center" vertical="center" shrinkToFit="1"/>
    </xf>
    <xf numFmtId="185" fontId="16" fillId="0" borderId="30" xfId="13" applyNumberFormat="1" applyFont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shrinkToFit="1"/>
    </xf>
    <xf numFmtId="0" fontId="16" fillId="0" borderId="25" xfId="0" applyFont="1" applyBorder="1" applyAlignment="1">
      <alignment horizontal="center" vertical="center" shrinkToFit="1"/>
    </xf>
    <xf numFmtId="183" fontId="16" fillId="0" borderId="23" xfId="0" applyNumberFormat="1" applyFont="1" applyBorder="1" applyAlignment="1">
      <alignment horizontal="center" vertical="center" shrinkToFit="1"/>
    </xf>
    <xf numFmtId="183" fontId="16" fillId="0" borderId="29" xfId="0" applyNumberFormat="1" applyFont="1" applyBorder="1" applyAlignment="1">
      <alignment horizontal="center" vertical="center" shrinkToFit="1"/>
    </xf>
    <xf numFmtId="183" fontId="16" fillId="0" borderId="30" xfId="0" applyNumberFormat="1" applyFont="1" applyBorder="1" applyAlignment="1">
      <alignment horizontal="center" vertical="center" shrinkToFit="1"/>
    </xf>
    <xf numFmtId="183" fontId="16" fillId="0" borderId="23" xfId="0" applyNumberFormat="1" applyFont="1" applyBorder="1" applyAlignment="1">
      <alignment horizontal="center" vertical="center"/>
    </xf>
    <xf numFmtId="183" fontId="16" fillId="0" borderId="29" xfId="0" applyNumberFormat="1" applyFont="1" applyBorder="1" applyAlignment="1">
      <alignment horizontal="center" vertical="center"/>
    </xf>
    <xf numFmtId="183" fontId="16" fillId="0" borderId="30" xfId="0" applyNumberFormat="1" applyFont="1" applyBorder="1" applyAlignment="1">
      <alignment horizontal="center" vertical="center"/>
    </xf>
    <xf numFmtId="183" fontId="16" fillId="9" borderId="23" xfId="0" applyNumberFormat="1" applyFont="1" applyFill="1" applyBorder="1" applyAlignment="1">
      <alignment horizontal="center" vertical="center" shrinkToFit="1"/>
    </xf>
    <xf numFmtId="183" fontId="16" fillId="9" borderId="29" xfId="0" applyNumberFormat="1" applyFont="1" applyFill="1" applyBorder="1" applyAlignment="1">
      <alignment horizontal="center" vertical="center" shrinkToFit="1"/>
    </xf>
    <xf numFmtId="183" fontId="16" fillId="9" borderId="30" xfId="0" applyNumberFormat="1" applyFont="1" applyFill="1" applyBorder="1" applyAlignment="1">
      <alignment horizontal="center" vertical="center" shrinkToFit="1"/>
    </xf>
    <xf numFmtId="0" fontId="120" fillId="0" borderId="37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0" fontId="122" fillId="0" borderId="26" xfId="0" applyFont="1" applyBorder="1" applyAlignment="1">
      <alignment horizontal="left" vertical="center"/>
    </xf>
    <xf numFmtId="0" fontId="122" fillId="0" borderId="36" xfId="0" applyFont="1" applyBorder="1" applyAlignment="1">
      <alignment horizontal="left" vertical="center"/>
    </xf>
    <xf numFmtId="179" fontId="16" fillId="5" borderId="27" xfId="0" applyNumberFormat="1" applyFont="1" applyFill="1" applyBorder="1" applyAlignment="1">
      <alignment horizontal="center" vertical="center"/>
    </xf>
    <xf numFmtId="179" fontId="16" fillId="5" borderId="28" xfId="0" applyNumberFormat="1" applyFont="1" applyFill="1" applyBorder="1" applyAlignment="1">
      <alignment horizontal="center" vertical="center"/>
    </xf>
    <xf numFmtId="179" fontId="16" fillId="5" borderId="25" xfId="0" applyNumberFormat="1" applyFont="1" applyFill="1" applyBorder="1" applyAlignment="1">
      <alignment horizontal="center" vertical="center"/>
    </xf>
    <xf numFmtId="187" fontId="16" fillId="5" borderId="22" xfId="0" applyNumberFormat="1" applyFont="1" applyFill="1" applyBorder="1" applyAlignment="1">
      <alignment horizontal="center" vertical="center"/>
    </xf>
    <xf numFmtId="187" fontId="16" fillId="8" borderId="22" xfId="0" applyNumberFormat="1" applyFont="1" applyFill="1" applyBorder="1" applyAlignment="1">
      <alignment horizontal="center" vertical="center"/>
    </xf>
    <xf numFmtId="187" fontId="16" fillId="5" borderId="27" xfId="0" applyNumberFormat="1" applyFont="1" applyFill="1" applyBorder="1" applyAlignment="1">
      <alignment horizontal="center" vertical="center"/>
    </xf>
    <xf numFmtId="187" fontId="16" fillId="5" borderId="28" xfId="0" applyNumberFormat="1" applyFont="1" applyFill="1" applyBorder="1" applyAlignment="1">
      <alignment horizontal="center" vertical="center"/>
    </xf>
    <xf numFmtId="187" fontId="16" fillId="5" borderId="25" xfId="0" applyNumberFormat="1" applyFont="1" applyFill="1" applyBorder="1" applyAlignment="1">
      <alignment horizontal="center" vertical="center"/>
    </xf>
    <xf numFmtId="179" fontId="16" fillId="5" borderId="22" xfId="0" applyNumberFormat="1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179" fontId="16" fillId="8" borderId="22" xfId="0" applyNumberFormat="1" applyFont="1" applyFill="1" applyBorder="1" applyAlignment="1">
      <alignment horizontal="center" vertical="center"/>
    </xf>
    <xf numFmtId="0" fontId="16" fillId="8" borderId="22" xfId="0" applyFont="1" applyFill="1" applyBorder="1" applyAlignment="1">
      <alignment horizontal="center" vertical="center"/>
    </xf>
    <xf numFmtId="0" fontId="93" fillId="0" borderId="22" xfId="0" applyFont="1" applyBorder="1" applyAlignment="1">
      <alignment horizontal="center" vertical="center"/>
    </xf>
    <xf numFmtId="179" fontId="16" fillId="8" borderId="27" xfId="0" applyNumberFormat="1" applyFont="1" applyFill="1" applyBorder="1" applyAlignment="1">
      <alignment horizontal="center" vertical="center"/>
    </xf>
    <xf numFmtId="179" fontId="16" fillId="8" borderId="28" xfId="0" applyNumberFormat="1" applyFont="1" applyFill="1" applyBorder="1" applyAlignment="1">
      <alignment horizontal="center" vertical="center"/>
    </xf>
    <xf numFmtId="179" fontId="16" fillId="8" borderId="25" xfId="0" applyNumberFormat="1" applyFont="1" applyFill="1" applyBorder="1" applyAlignment="1">
      <alignment horizontal="center" vertical="center"/>
    </xf>
    <xf numFmtId="187" fontId="16" fillId="8" borderId="27" xfId="0" applyNumberFormat="1" applyFont="1" applyFill="1" applyBorder="1" applyAlignment="1">
      <alignment horizontal="center" vertical="center"/>
    </xf>
    <xf numFmtId="187" fontId="16" fillId="8" borderId="28" xfId="0" applyNumberFormat="1" applyFont="1" applyFill="1" applyBorder="1" applyAlignment="1">
      <alignment horizontal="center" vertical="center"/>
    </xf>
    <xf numFmtId="187" fontId="16" fillId="8" borderId="25" xfId="0" applyNumberFormat="1" applyFont="1" applyFill="1" applyBorder="1" applyAlignment="1">
      <alignment horizontal="center" vertical="center"/>
    </xf>
    <xf numFmtId="0" fontId="121" fillId="0" borderId="37" xfId="0" applyFont="1" applyBorder="1" applyAlignment="1">
      <alignment horizontal="left" vertical="center"/>
    </xf>
    <xf numFmtId="0" fontId="59" fillId="2" borderId="22" xfId="0" applyFont="1" applyFill="1" applyBorder="1" applyAlignment="1">
      <alignment horizontal="center" shrinkToFit="1"/>
    </xf>
    <xf numFmtId="0" fontId="74" fillId="0" borderId="22" xfId="0" applyFont="1" applyBorder="1" applyAlignment="1">
      <alignment horizontal="center" shrinkToFit="1"/>
    </xf>
    <xf numFmtId="0" fontId="17" fillId="0" borderId="22" xfId="0" applyFont="1" applyBorder="1" applyAlignment="1">
      <alignment horizontal="center" vertical="center" shrinkToFit="1"/>
    </xf>
    <xf numFmtId="0" fontId="59" fillId="2" borderId="22" xfId="0" applyFont="1" applyFill="1" applyBorder="1" applyAlignment="1">
      <alignment horizontal="center" vertical="center" shrinkToFit="1"/>
    </xf>
    <xf numFmtId="0" fontId="59" fillId="0" borderId="22" xfId="0" applyFont="1" applyBorder="1" applyAlignment="1">
      <alignment shrinkToFit="1"/>
    </xf>
    <xf numFmtId="0" fontId="74" fillId="0" borderId="22" xfId="0" applyFont="1" applyBorder="1" applyAlignment="1">
      <alignment shrinkToFit="1"/>
    </xf>
    <xf numFmtId="0" fontId="119" fillId="0" borderId="22" xfId="0" applyFont="1" applyBorder="1" applyAlignment="1">
      <alignment shrinkToFit="1"/>
    </xf>
    <xf numFmtId="0" fontId="53" fillId="0" borderId="0" xfId="0" applyFont="1" applyAlignment="1">
      <alignment horizontal="left" vertical="center" shrinkToFit="1"/>
    </xf>
    <xf numFmtId="0" fontId="74" fillId="0" borderId="22" xfId="0" applyFont="1" applyBorder="1" applyAlignment="1">
      <alignment horizontal="center" vertical="center" shrinkToFit="1"/>
    </xf>
    <xf numFmtId="0" fontId="107" fillId="0" borderId="22" xfId="0" applyFont="1" applyBorder="1" applyAlignment="1">
      <alignment shrinkToFit="1"/>
    </xf>
    <xf numFmtId="0" fontId="59" fillId="0" borderId="27" xfId="0" applyFont="1" applyBorder="1" applyAlignment="1">
      <alignment shrinkToFit="1"/>
    </xf>
    <xf numFmtId="0" fontId="59" fillId="0" borderId="25" xfId="0" applyFont="1" applyBorder="1" applyAlignment="1">
      <alignment shrinkToFit="1"/>
    </xf>
    <xf numFmtId="0" fontId="66" fillId="0" borderId="22" xfId="0" applyFont="1" applyBorder="1" applyAlignment="1">
      <alignment shrinkToFit="1"/>
    </xf>
    <xf numFmtId="0" fontId="79" fillId="0" borderId="27" xfId="0" applyFont="1" applyBorder="1" applyAlignment="1">
      <alignment shrinkToFit="1"/>
    </xf>
    <xf numFmtId="0" fontId="59" fillId="0" borderId="28" xfId="0" applyFont="1" applyBorder="1" applyAlignment="1">
      <alignment shrinkToFit="1"/>
    </xf>
    <xf numFmtId="0" fontId="59" fillId="2" borderId="27" xfId="0" applyFont="1" applyFill="1" applyBorder="1" applyAlignment="1">
      <alignment horizontal="center" shrinkToFit="1"/>
    </xf>
    <xf numFmtId="0" fontId="59" fillId="2" borderId="25" xfId="0" applyFont="1" applyFill="1" applyBorder="1" applyAlignment="1">
      <alignment horizontal="center" shrinkToFit="1"/>
    </xf>
    <xf numFmtId="0" fontId="59" fillId="2" borderId="28" xfId="0" applyFont="1" applyFill="1" applyBorder="1" applyAlignment="1">
      <alignment horizont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0" fontId="59" fillId="2" borderId="23" xfId="0" applyFont="1" applyFill="1" applyBorder="1" applyAlignment="1">
      <alignment horizontal="center" vertical="center" shrinkToFit="1"/>
    </xf>
    <xf numFmtId="0" fontId="59" fillId="2" borderId="29" xfId="0" applyFont="1" applyFill="1" applyBorder="1" applyAlignment="1">
      <alignment horizontal="center" vertical="center" shrinkToFit="1"/>
    </xf>
    <xf numFmtId="0" fontId="59" fillId="2" borderId="30" xfId="0" applyFont="1" applyFill="1" applyBorder="1" applyAlignment="1">
      <alignment horizontal="center" vertical="center" shrinkToFit="1"/>
    </xf>
    <xf numFmtId="0" fontId="59" fillId="2" borderId="27" xfId="0" applyFont="1" applyFill="1" applyBorder="1" applyAlignment="1">
      <alignment horizontal="center" vertical="center" shrinkToFit="1"/>
    </xf>
    <xf numFmtId="0" fontId="59" fillId="2" borderId="25" xfId="0" applyFont="1" applyFill="1" applyBorder="1" applyAlignment="1">
      <alignment horizontal="center" vertical="center" shrinkToFit="1"/>
    </xf>
    <xf numFmtId="0" fontId="59" fillId="2" borderId="28" xfId="0" applyFont="1" applyFill="1" applyBorder="1" applyAlignment="1">
      <alignment horizontal="center" vertical="center" shrinkToFit="1"/>
    </xf>
    <xf numFmtId="0" fontId="59" fillId="0" borderId="27" xfId="11" applyFont="1" applyBorder="1" applyAlignment="1">
      <alignment shrinkToFit="1"/>
    </xf>
    <xf numFmtId="0" fontId="59" fillId="0" borderId="25" xfId="11" applyFont="1" applyBorder="1" applyAlignment="1">
      <alignment shrinkToFit="1"/>
    </xf>
    <xf numFmtId="0" fontId="57" fillId="0" borderId="22" xfId="11" applyFont="1" applyBorder="1" applyAlignment="1">
      <alignment horizontal="center" vertical="center" shrinkToFit="1"/>
    </xf>
    <xf numFmtId="0" fontId="34" fillId="0" borderId="22" xfId="11" applyFont="1" applyBorder="1" applyAlignment="1">
      <alignment horizontal="center" vertical="center" shrinkToFit="1"/>
    </xf>
    <xf numFmtId="0" fontId="44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6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0" fontId="30" fillId="0" borderId="37" xfId="11" applyFont="1" applyBorder="1" applyAlignment="1">
      <alignment horizontal="center" vertical="center" shrinkToFit="1"/>
    </xf>
    <xf numFmtId="0" fontId="30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shrinkToFit="1"/>
    </xf>
    <xf numFmtId="0" fontId="66" fillId="0" borderId="22" xfId="11" applyFont="1" applyBorder="1" applyAlignment="1">
      <alignment horizontal="left" vertical="center" wrapText="1"/>
    </xf>
    <xf numFmtId="0" fontId="66" fillId="2" borderId="22" xfId="11" applyFont="1" applyFill="1" applyBorder="1" applyAlignment="1">
      <alignment horizontal="center" vertical="center" shrinkToFit="1"/>
    </xf>
    <xf numFmtId="0" fontId="66" fillId="0" borderId="22" xfId="11" applyFont="1" applyBorder="1" applyAlignment="1">
      <alignment horizontal="center" vertical="center" wrapText="1"/>
    </xf>
    <xf numFmtId="0" fontId="45" fillId="2" borderId="22" xfId="11" applyFont="1" applyFill="1" applyBorder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30" fillId="9" borderId="22" xfId="11" applyFont="1" applyFill="1" applyBorder="1" applyAlignment="1">
      <alignment horizontal="center"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30" fillId="2" borderId="27" xfId="11" applyFont="1" applyFill="1" applyBorder="1" applyAlignment="1">
      <alignment horizontal="center" vertical="center" shrinkToFit="1"/>
    </xf>
    <xf numFmtId="0" fontId="30" fillId="2" borderId="28" xfId="11" applyFont="1" applyFill="1" applyBorder="1" applyAlignment="1">
      <alignment horizontal="center" vertical="center" shrinkToFit="1"/>
    </xf>
    <xf numFmtId="0" fontId="30" fillId="2" borderId="25" xfId="11" applyFont="1" applyFill="1" applyBorder="1" applyAlignment="1">
      <alignment horizontal="center" vertical="center" shrinkToFit="1"/>
    </xf>
    <xf numFmtId="0" fontId="39" fillId="0" borderId="22" xfId="11" applyFont="1" applyBorder="1" applyAlignment="1">
      <alignment vertical="center" wrapText="1"/>
    </xf>
    <xf numFmtId="0" fontId="66" fillId="0" borderId="22" xfId="11" applyFont="1" applyBorder="1" applyAlignment="1">
      <alignment vertical="center" wrapText="1"/>
    </xf>
    <xf numFmtId="0" fontId="28" fillId="0" borderId="22" xfId="11" applyFont="1" applyBorder="1" applyAlignment="1">
      <alignment horizontal="center" vertical="center" wrapText="1" shrinkToFit="1"/>
    </xf>
    <xf numFmtId="0" fontId="30" fillId="2" borderId="35" xfId="11" applyFont="1" applyFill="1" applyBorder="1" applyAlignment="1">
      <alignment horizontal="center" vertical="center" shrinkToFit="1"/>
    </xf>
    <xf numFmtId="0" fontId="30" fillId="2" borderId="26" xfId="11" applyFont="1" applyFill="1" applyBorder="1" applyAlignment="1">
      <alignment horizontal="center" vertical="center" shrinkToFit="1"/>
    </xf>
    <xf numFmtId="0" fontId="30" fillId="2" borderId="43" xfId="11" applyFont="1" applyFill="1" applyBorder="1" applyAlignment="1">
      <alignment horizontal="center" vertical="center" shrinkToFit="1"/>
    </xf>
    <xf numFmtId="0" fontId="39" fillId="0" borderId="22" xfId="11" applyFont="1" applyBorder="1" applyAlignment="1">
      <alignment horizontal="left" vertical="center" wrapText="1"/>
    </xf>
    <xf numFmtId="0" fontId="30" fillId="2" borderId="57" xfId="11" applyFont="1" applyFill="1" applyBorder="1" applyAlignment="1">
      <alignment horizontal="center" vertical="center" shrinkToFit="1"/>
    </xf>
    <xf numFmtId="0" fontId="30" fillId="2" borderId="58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30" fillId="9" borderId="27" xfId="11" applyFont="1" applyFill="1" applyBorder="1" applyAlignment="1">
      <alignment horizontal="center" vertical="center" shrinkToFit="1"/>
    </xf>
    <xf numFmtId="0" fontId="30" fillId="9" borderId="25" xfId="11" applyFont="1" applyFill="1" applyBorder="1" applyAlignment="1">
      <alignment horizontal="center" vertical="center" shrinkToFit="1"/>
    </xf>
    <xf numFmtId="0" fontId="30" fillId="0" borderId="27" xfId="11" applyFont="1" applyBorder="1" applyAlignment="1">
      <alignment horizontal="center" vertical="center" shrinkToFit="1"/>
    </xf>
    <xf numFmtId="0" fontId="30" fillId="0" borderId="25" xfId="11" applyFont="1" applyBorder="1" applyAlignment="1">
      <alignment horizontal="center" vertical="center" shrinkToFit="1"/>
    </xf>
    <xf numFmtId="0" fontId="53" fillId="0" borderId="26" xfId="11" applyFont="1" applyBorder="1" applyAlignment="1">
      <alignment horizontal="left" vertical="center" shrinkToFit="1"/>
    </xf>
    <xf numFmtId="0" fontId="30" fillId="0" borderId="23" xfId="11" applyFont="1" applyBorder="1" applyAlignment="1">
      <alignment horizontal="center" vertical="center" shrinkToFit="1"/>
    </xf>
    <xf numFmtId="0" fontId="30" fillId="0" borderId="30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37" fillId="0" borderId="27" xfId="11" applyFont="1" applyBorder="1" applyAlignment="1">
      <alignment horizontal="center" vertical="center" shrinkToFit="1"/>
    </xf>
    <xf numFmtId="0" fontId="37" fillId="0" borderId="25" xfId="11" applyFont="1" applyBorder="1" applyAlignment="1">
      <alignment horizontal="center" vertical="center" shrinkToFit="1"/>
    </xf>
    <xf numFmtId="0" fontId="9" fillId="2" borderId="4" xfId="11" applyFont="1" applyFill="1" applyBorder="1" applyAlignment="1">
      <alignment horizontal="center" vertical="center" shrinkToFit="1"/>
    </xf>
    <xf numFmtId="0" fontId="9" fillId="2" borderId="2" xfId="11" applyFont="1" applyFill="1" applyBorder="1" applyAlignment="1">
      <alignment horizontal="center" vertical="center" shrinkToFit="1"/>
    </xf>
    <xf numFmtId="0" fontId="9" fillId="2" borderId="3" xfId="11" applyFont="1" applyFill="1" applyBorder="1" applyAlignment="1">
      <alignment horizontal="center" vertical="center" shrinkToFit="1"/>
    </xf>
    <xf numFmtId="0" fontId="13" fillId="2" borderId="54" xfId="11" applyFont="1" applyFill="1" applyBorder="1" applyAlignment="1">
      <alignment horizontal="center" vertical="center" shrinkToFit="1"/>
    </xf>
    <xf numFmtId="0" fontId="13" fillId="2" borderId="47" xfId="11" applyFont="1" applyFill="1" applyBorder="1" applyAlignment="1">
      <alignment horizontal="center" vertical="center" shrinkToFit="1"/>
    </xf>
    <xf numFmtId="0" fontId="13" fillId="2" borderId="48" xfId="11" applyFont="1" applyFill="1" applyBorder="1" applyAlignment="1">
      <alignment horizontal="center" vertical="center" shrinkToFit="1"/>
    </xf>
    <xf numFmtId="0" fontId="14" fillId="2" borderId="4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26" fillId="0" borderId="23" xfId="11" applyBorder="1" applyAlignment="1">
      <alignment horizontal="center" vertical="center" shrinkToFit="1"/>
    </xf>
    <xf numFmtId="0" fontId="26" fillId="0" borderId="29" xfId="11" applyBorder="1" applyAlignment="1">
      <alignment horizontal="center" vertical="center" shrinkToFit="1"/>
    </xf>
    <xf numFmtId="0" fontId="26" fillId="0" borderId="30" xfId="11" applyBorder="1" applyAlignment="1">
      <alignment horizontal="center" vertical="center" shrinkToFit="1"/>
    </xf>
    <xf numFmtId="0" fontId="26" fillId="0" borderId="23" xfId="11" applyBorder="1" applyAlignment="1">
      <alignment horizontal="center" vertical="center" wrapText="1" shrinkToFit="1"/>
    </xf>
    <xf numFmtId="0" fontId="26" fillId="0" borderId="29" xfId="11" applyBorder="1" applyAlignment="1">
      <alignment horizontal="center" vertical="center" wrapText="1" shrinkToFit="1"/>
    </xf>
    <xf numFmtId="0" fontId="26" fillId="0" borderId="30" xfId="11" applyBorder="1" applyAlignment="1">
      <alignment horizontal="center" vertical="center" wrapText="1" shrinkToFit="1"/>
    </xf>
    <xf numFmtId="0" fontId="39" fillId="0" borderId="68" xfId="11" applyFont="1" applyBorder="1" applyAlignment="1">
      <alignment horizontal="left" vertical="center" wrapText="1"/>
    </xf>
    <xf numFmtId="0" fontId="39" fillId="0" borderId="61" xfId="11" applyFont="1" applyBorder="1" applyAlignment="1">
      <alignment horizontal="left" vertical="center" wrapText="1"/>
    </xf>
    <xf numFmtId="0" fontId="79" fillId="0" borderId="4" xfId="11" applyFont="1" applyBorder="1" applyAlignment="1">
      <alignment horizontal="left" vertical="center" wrapText="1"/>
    </xf>
    <xf numFmtId="0" fontId="79" fillId="0" borderId="3" xfId="11" applyFont="1" applyBorder="1" applyAlignment="1">
      <alignment horizontal="left" vertical="center" wrapText="1"/>
    </xf>
    <xf numFmtId="0" fontId="79" fillId="4" borderId="4" xfId="11" applyFont="1" applyFill="1" applyBorder="1" applyAlignment="1">
      <alignment horizontal="left" vertical="center" wrapText="1"/>
    </xf>
    <xf numFmtId="0" fontId="79" fillId="4" borderId="3" xfId="11" applyFont="1" applyFill="1" applyBorder="1" applyAlignment="1">
      <alignment horizontal="left" vertical="center" wrapText="1"/>
    </xf>
    <xf numFmtId="0" fontId="79" fillId="0" borderId="4" xfId="11" applyFont="1" applyBorder="1" applyAlignment="1">
      <alignment horizontal="left" vertical="center" wrapText="1" shrinkToFit="1"/>
    </xf>
    <xf numFmtId="0" fontId="79" fillId="0" borderId="3" xfId="11" applyFont="1" applyBorder="1" applyAlignment="1">
      <alignment horizontal="left" vertical="center" wrapText="1" shrinkToFit="1"/>
    </xf>
    <xf numFmtId="0" fontId="9" fillId="2" borderId="35" xfId="11" applyFont="1" applyFill="1" applyBorder="1" applyAlignment="1">
      <alignment horizontal="center" vertical="center" shrinkToFit="1"/>
    </xf>
    <xf numFmtId="0" fontId="9" fillId="2" borderId="26" xfId="11" applyFont="1" applyFill="1" applyBorder="1" applyAlignment="1">
      <alignment horizontal="center" vertical="center" shrinkToFit="1"/>
    </xf>
    <xf numFmtId="0" fontId="9" fillId="2" borderId="36" xfId="11" applyFont="1" applyFill="1" applyBorder="1" applyAlignment="1">
      <alignment horizontal="center" vertical="center" shrinkToFit="1"/>
    </xf>
    <xf numFmtId="0" fontId="9" fillId="2" borderId="39" xfId="11" applyFont="1" applyFill="1" applyBorder="1" applyAlignment="1">
      <alignment horizontal="center" shrinkToFit="1"/>
    </xf>
    <xf numFmtId="0" fontId="9" fillId="2" borderId="2" xfId="11" applyFont="1" applyFill="1" applyBorder="1" applyAlignment="1">
      <alignment horizontal="center" shrinkToFit="1"/>
    </xf>
    <xf numFmtId="0" fontId="9" fillId="2" borderId="3" xfId="11" applyFont="1" applyFill="1" applyBorder="1" applyAlignment="1">
      <alignment horizontal="center" shrinkToFit="1"/>
    </xf>
    <xf numFmtId="0" fontId="37" fillId="0" borderId="23" xfId="11" applyFont="1" applyBorder="1" applyAlignment="1">
      <alignment horizontal="center" vertical="center" wrapText="1" shrinkToFit="1"/>
    </xf>
    <xf numFmtId="0" fontId="37" fillId="0" borderId="29" xfId="11" applyFont="1" applyBorder="1" applyAlignment="1">
      <alignment horizontal="center" vertical="center" wrapText="1" shrinkToFit="1"/>
    </xf>
    <xf numFmtId="0" fontId="37" fillId="0" borderId="30" xfId="11" applyFont="1" applyBorder="1" applyAlignment="1">
      <alignment horizontal="center" vertical="center" wrapText="1" shrinkToFit="1"/>
    </xf>
    <xf numFmtId="0" fontId="91" fillId="4" borderId="4" xfId="11" applyFont="1" applyFill="1" applyBorder="1" applyAlignment="1">
      <alignment vertical="center" wrapText="1"/>
    </xf>
    <xf numFmtId="0" fontId="91" fillId="4" borderId="3" xfId="11" applyFont="1" applyFill="1" applyBorder="1" applyAlignment="1">
      <alignment vertical="center" wrapText="1"/>
    </xf>
    <xf numFmtId="0" fontId="79" fillId="0" borderId="4" xfId="11" applyFont="1" applyBorder="1" applyAlignment="1">
      <alignment vertical="center" wrapText="1"/>
    </xf>
    <xf numFmtId="0" fontId="79" fillId="0" borderId="3" xfId="11" applyFont="1" applyBorder="1" applyAlignment="1">
      <alignment vertical="center" wrapText="1"/>
    </xf>
    <xf numFmtId="0" fontId="79" fillId="0" borderId="4" xfId="11" applyFont="1" applyBorder="1" applyAlignment="1">
      <alignment horizontal="left" vertical="top" wrapText="1"/>
    </xf>
    <xf numFmtId="0" fontId="79" fillId="0" borderId="3" xfId="11" applyFont="1" applyBorder="1" applyAlignment="1">
      <alignment horizontal="left" vertical="top" wrapText="1"/>
    </xf>
    <xf numFmtId="0" fontId="9" fillId="2" borderId="27" xfId="11" applyFont="1" applyFill="1" applyBorder="1" applyAlignment="1">
      <alignment horizontal="center" vertical="center" shrinkToFit="1"/>
    </xf>
    <xf numFmtId="0" fontId="9" fillId="2" borderId="28" xfId="11" applyFont="1" applyFill="1" applyBorder="1" applyAlignment="1">
      <alignment horizontal="center" vertical="center" shrinkToFit="1"/>
    </xf>
    <xf numFmtId="0" fontId="9" fillId="2" borderId="25" xfId="11" applyFont="1" applyFill="1" applyBorder="1" applyAlignment="1">
      <alignment horizontal="center" vertical="center" shrinkToFit="1"/>
    </xf>
    <xf numFmtId="0" fontId="79" fillId="4" borderId="4" xfId="11" applyFont="1" applyFill="1" applyBorder="1" applyAlignment="1">
      <alignment vertical="center" wrapText="1"/>
    </xf>
    <xf numFmtId="0" fontId="79" fillId="4" borderId="3" xfId="11" applyFont="1" applyFill="1" applyBorder="1" applyAlignment="1">
      <alignment vertical="center" wrapText="1"/>
    </xf>
    <xf numFmtId="0" fontId="9" fillId="2" borderId="68" xfId="11" applyFont="1" applyFill="1" applyBorder="1" applyAlignment="1">
      <alignment horizontal="center" vertical="center" shrinkToFit="1"/>
    </xf>
    <xf numFmtId="0" fontId="9" fillId="2" borderId="58" xfId="11" applyFont="1" applyFill="1" applyBorder="1" applyAlignment="1">
      <alignment horizontal="center" vertical="center" shrinkToFit="1"/>
    </xf>
    <xf numFmtId="0" fontId="9" fillId="2" borderId="61" xfId="11" applyFont="1" applyFill="1" applyBorder="1" applyAlignment="1">
      <alignment horizontal="center" vertical="center" shrinkToFit="1"/>
    </xf>
    <xf numFmtId="0" fontId="13" fillId="2" borderId="27" xfId="11" applyFont="1" applyFill="1" applyBorder="1" applyAlignment="1">
      <alignment horizontal="center" vertical="center" shrinkToFit="1"/>
    </xf>
    <xf numFmtId="0" fontId="13" fillId="2" borderId="28" xfId="11" applyFont="1" applyFill="1" applyBorder="1" applyAlignment="1">
      <alignment horizontal="center" vertical="center" shrinkToFit="1"/>
    </xf>
    <xf numFmtId="0" fontId="13" fillId="2" borderId="25" xfId="11" applyFont="1" applyFill="1" applyBorder="1" applyAlignment="1">
      <alignment horizontal="center" vertical="center" shrinkToFit="1"/>
    </xf>
    <xf numFmtId="0" fontId="79" fillId="0" borderId="4" xfId="11" applyFont="1" applyBorder="1" applyAlignment="1">
      <alignment vertical="center" wrapText="1" shrinkToFit="1"/>
    </xf>
    <xf numFmtId="0" fontId="79" fillId="0" borderId="3" xfId="11" applyFont="1" applyBorder="1" applyAlignment="1">
      <alignment vertical="center" wrapText="1" shrinkToFit="1"/>
    </xf>
    <xf numFmtId="0" fontId="68" fillId="0" borderId="23" xfId="11" applyFont="1" applyBorder="1" applyAlignment="1">
      <alignment horizontal="center" vertical="center" wrapText="1" shrinkToFit="1"/>
    </xf>
    <xf numFmtId="0" fontId="68" fillId="0" borderId="29" xfId="11" applyFont="1" applyBorder="1" applyAlignment="1">
      <alignment horizontal="center" vertical="center" wrapText="1" shrinkToFit="1"/>
    </xf>
    <xf numFmtId="0" fontId="68" fillId="0" borderId="30" xfId="11" applyFont="1" applyBorder="1" applyAlignment="1">
      <alignment horizontal="center" vertical="center" wrapText="1" shrinkToFit="1"/>
    </xf>
    <xf numFmtId="0" fontId="79" fillId="0" borderId="4" xfId="11" applyFont="1" applyBorder="1" applyAlignment="1">
      <alignment horizontal="center" vertical="center" shrinkToFit="1"/>
    </xf>
    <xf numFmtId="0" fontId="79" fillId="0" borderId="3" xfId="11" applyFont="1" applyBorder="1" applyAlignment="1">
      <alignment horizontal="center" vertical="center" shrinkToFit="1"/>
    </xf>
    <xf numFmtId="0" fontId="79" fillId="0" borderId="4" xfId="11" applyFont="1" applyBorder="1" applyAlignment="1">
      <alignment horizontal="center" shrinkToFit="1"/>
    </xf>
    <xf numFmtId="0" fontId="79" fillId="0" borderId="3" xfId="11" applyFont="1" applyBorder="1" applyAlignment="1">
      <alignment horizontal="center" shrinkToFit="1"/>
    </xf>
    <xf numFmtId="0" fontId="59" fillId="0" borderId="22" xfId="11" applyFont="1" applyBorder="1" applyAlignment="1">
      <alignment horizontal="center" vertical="center" shrinkToFit="1"/>
    </xf>
    <xf numFmtId="0" fontId="66" fillId="0" borderId="68" xfId="11" applyFont="1" applyBorder="1" applyAlignment="1">
      <alignment horizontal="left" vertical="center" wrapText="1"/>
    </xf>
    <xf numFmtId="0" fontId="66" fillId="0" borderId="61" xfId="11" applyFont="1" applyBorder="1" applyAlignment="1">
      <alignment horizontal="left" vertical="center" wrapText="1"/>
    </xf>
    <xf numFmtId="0" fontId="66" fillId="2" borderId="52" xfId="11" applyFont="1" applyFill="1" applyBorder="1" applyAlignment="1">
      <alignment horizontal="left" vertical="center" shrinkToFit="1"/>
    </xf>
    <xf numFmtId="0" fontId="66" fillId="2" borderId="26" xfId="11" applyFont="1" applyFill="1" applyBorder="1" applyAlignment="1">
      <alignment horizontal="left" vertical="center" shrinkToFit="1"/>
    </xf>
    <xf numFmtId="0" fontId="66" fillId="2" borderId="53" xfId="11" applyFont="1" applyFill="1" applyBorder="1" applyAlignment="1">
      <alignment horizontal="left" vertical="center" shrinkToFit="1"/>
    </xf>
    <xf numFmtId="0" fontId="66" fillId="2" borderId="57" xfId="11" applyFont="1" applyFill="1" applyBorder="1" applyAlignment="1">
      <alignment horizontal="left" vertical="center" shrinkToFit="1"/>
    </xf>
    <xf numFmtId="0" fontId="66" fillId="2" borderId="61" xfId="11" applyFont="1" applyFill="1" applyBorder="1" applyAlignment="1">
      <alignment horizontal="left" vertical="center" shrinkToFit="1"/>
    </xf>
    <xf numFmtId="0" fontId="66" fillId="0" borderId="4" xfId="11" applyFont="1" applyBorder="1" applyAlignment="1">
      <alignment horizontal="left" vertical="center" shrinkToFit="1"/>
    </xf>
    <xf numFmtId="0" fontId="66" fillId="0" borderId="62" xfId="11" applyFont="1" applyBorder="1" applyAlignment="1">
      <alignment horizontal="left" vertical="center" shrinkToFit="1"/>
    </xf>
    <xf numFmtId="0" fontId="66" fillId="2" borderId="52" xfId="11" applyFont="1" applyFill="1" applyBorder="1" applyAlignment="1">
      <alignment horizontal="center" vertical="center" shrinkToFit="1"/>
    </xf>
    <xf numFmtId="0" fontId="66" fillId="2" borderId="26" xfId="11" applyFont="1" applyFill="1" applyBorder="1" applyAlignment="1">
      <alignment horizontal="center" vertical="center" shrinkToFit="1"/>
    </xf>
    <xf numFmtId="0" fontId="66" fillId="2" borderId="36" xfId="11" applyFont="1" applyFill="1" applyBorder="1" applyAlignment="1">
      <alignment horizontal="center" vertical="center" shrinkToFit="1"/>
    </xf>
    <xf numFmtId="0" fontId="66" fillId="0" borderId="4" xfId="11" applyFont="1" applyBorder="1" applyAlignment="1">
      <alignment horizontal="left" vertical="center" wrapText="1"/>
    </xf>
    <xf numFmtId="0" fontId="66" fillId="0" borderId="62" xfId="11" applyFont="1" applyBorder="1" applyAlignment="1">
      <alignment horizontal="left" vertical="center" wrapText="1"/>
    </xf>
    <xf numFmtId="0" fontId="30" fillId="2" borderId="46" xfId="11" applyFont="1" applyFill="1" applyBorder="1" applyAlignment="1">
      <alignment horizontal="center" shrinkToFit="1"/>
    </xf>
    <xf numFmtId="0" fontId="30" fillId="2" borderId="47" xfId="11" applyFont="1" applyFill="1" applyBorder="1" applyAlignment="1">
      <alignment horizontal="center" shrinkToFit="1"/>
    </xf>
    <xf numFmtId="0" fontId="30" fillId="2" borderId="63" xfId="11" applyFont="1" applyFill="1" applyBorder="1" applyAlignment="1">
      <alignment horizontal="center" shrinkToFit="1"/>
    </xf>
    <xf numFmtId="0" fontId="66" fillId="2" borderId="57" xfId="11" applyFont="1" applyFill="1" applyBorder="1" applyAlignment="1">
      <alignment horizontal="center" vertical="center" shrinkToFit="1"/>
    </xf>
    <xf numFmtId="0" fontId="66" fillId="2" borderId="61" xfId="11" applyFont="1" applyFill="1" applyBorder="1" applyAlignment="1">
      <alignment horizontal="center" vertical="center" shrinkToFit="1"/>
    </xf>
    <xf numFmtId="0" fontId="9" fillId="2" borderId="9" xfId="11" applyFont="1" applyFill="1" applyBorder="1" applyAlignment="1">
      <alignment horizontal="center" vertical="center" shrinkToFit="1"/>
    </xf>
    <xf numFmtId="0" fontId="9" fillId="2" borderId="10" xfId="11" applyFont="1" applyFill="1" applyBorder="1" applyAlignment="1">
      <alignment horizontal="center" vertical="center" shrinkToFit="1"/>
    </xf>
    <xf numFmtId="0" fontId="9" fillId="2" borderId="8" xfId="11" applyFont="1" applyFill="1" applyBorder="1" applyAlignment="1">
      <alignment horizontal="center" vertical="center" shrinkToFit="1"/>
    </xf>
    <xf numFmtId="0" fontId="13" fillId="2" borderId="9" xfId="11" applyFont="1" applyFill="1" applyBorder="1" applyAlignment="1">
      <alignment horizontal="center" vertical="center" shrinkToFit="1"/>
    </xf>
    <xf numFmtId="0" fontId="13" fillId="2" borderId="10" xfId="11" applyFont="1" applyFill="1" applyBorder="1" applyAlignment="1">
      <alignment horizontal="center" vertical="center" shrinkToFit="1"/>
    </xf>
    <xf numFmtId="0" fontId="13" fillId="2" borderId="8" xfId="11" applyFont="1" applyFill="1" applyBorder="1" applyAlignment="1">
      <alignment horizontal="center" vertical="center" shrinkToFit="1"/>
    </xf>
    <xf numFmtId="0" fontId="91" fillId="0" borderId="4" xfId="11" applyFont="1" applyBorder="1" applyAlignment="1">
      <alignment vertical="center" wrapText="1"/>
    </xf>
    <xf numFmtId="0" fontId="91" fillId="0" borderId="3" xfId="11" applyFont="1" applyBorder="1" applyAlignment="1">
      <alignment vertical="center" wrapText="1"/>
    </xf>
    <xf numFmtId="0" fontId="79" fillId="0" borderId="4" xfId="11" applyFont="1" applyBorder="1" applyAlignment="1">
      <alignment vertical="top" wrapText="1" shrinkToFit="1"/>
    </xf>
    <xf numFmtId="0" fontId="79" fillId="0" borderId="3" xfId="11" applyFont="1" applyBorder="1" applyAlignment="1">
      <alignment vertical="top" wrapText="1" shrinkToFit="1"/>
    </xf>
    <xf numFmtId="0" fontId="97" fillId="0" borderId="26" xfId="11" applyFont="1" applyBorder="1" applyAlignment="1">
      <alignment horizontal="center" shrinkToFit="1"/>
    </xf>
    <xf numFmtId="0" fontId="28" fillId="0" borderId="26" xfId="11" applyFont="1" applyBorder="1" applyAlignment="1">
      <alignment horizontal="center" shrinkToFit="1"/>
    </xf>
    <xf numFmtId="0" fontId="30" fillId="0" borderId="22" xfId="11" applyFont="1" applyBorder="1" applyAlignment="1">
      <alignment horizontal="center" vertical="center"/>
    </xf>
    <xf numFmtId="0" fontId="46" fillId="0" borderId="81" xfId="11" applyFont="1" applyBorder="1" applyAlignment="1">
      <alignment horizontal="center" vertical="center"/>
    </xf>
    <xf numFmtId="0" fontId="46" fillId="0" borderId="29" xfId="11" applyFont="1" applyBorder="1" applyAlignment="1">
      <alignment horizontal="center" vertical="center"/>
    </xf>
    <xf numFmtId="0" fontId="46" fillId="0" borderId="30" xfId="11" applyFont="1" applyBorder="1" applyAlignment="1">
      <alignment horizontal="center" vertical="center"/>
    </xf>
    <xf numFmtId="0" fontId="28" fillId="0" borderId="27" xfId="11" applyFont="1" applyBorder="1" applyAlignment="1">
      <alignment horizontal="center" shrinkToFit="1"/>
    </xf>
    <xf numFmtId="0" fontId="28" fillId="0" borderId="25" xfId="11" applyFont="1" applyBorder="1" applyAlignment="1">
      <alignment horizontal="center" shrinkToFi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30" fillId="2" borderId="61" xfId="11" applyFont="1" applyFill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29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wrapText="1" shrinkToFit="1"/>
    </xf>
    <xf numFmtId="0" fontId="28" fillId="0" borderId="29" xfId="11" applyFont="1" applyBorder="1" applyAlignment="1">
      <alignment horizontal="center" vertical="center" wrapText="1" shrinkToFit="1"/>
    </xf>
    <xf numFmtId="0" fontId="28" fillId="0" borderId="30" xfId="11" applyFont="1" applyBorder="1" applyAlignment="1">
      <alignment horizontal="center" vertical="center" wrapText="1" shrinkToFit="1"/>
    </xf>
    <xf numFmtId="0" fontId="39" fillId="0" borderId="4" xfId="11" applyFont="1" applyBorder="1" applyAlignment="1">
      <alignment horizontal="left" vertical="center" wrapText="1"/>
    </xf>
    <xf numFmtId="0" fontId="39" fillId="0" borderId="62" xfId="11" applyFont="1" applyBorder="1" applyAlignment="1">
      <alignment horizontal="left" vertical="center" wrapText="1"/>
    </xf>
    <xf numFmtId="0" fontId="30" fillId="2" borderId="70" xfId="11" applyFont="1" applyFill="1" applyBorder="1" applyAlignment="1">
      <alignment horizontal="center" vertical="center" shrinkToFit="1"/>
    </xf>
    <xf numFmtId="0" fontId="59" fillId="0" borderId="27" xfId="11" applyFont="1" applyBorder="1" applyAlignment="1">
      <alignment horizontal="center" vertical="center" shrinkToFit="1"/>
    </xf>
    <xf numFmtId="0" fontId="59" fillId="0" borderId="25" xfId="11" applyFont="1" applyBorder="1" applyAlignment="1">
      <alignment horizontal="center" vertical="center" shrinkToFit="1"/>
    </xf>
    <xf numFmtId="0" fontId="30" fillId="2" borderId="68" xfId="11" applyFont="1" applyFill="1" applyBorder="1" applyAlignment="1">
      <alignment horizontal="center" vertical="center" shrinkToFit="1"/>
    </xf>
    <xf numFmtId="0" fontId="30" fillId="2" borderId="31" xfId="11" applyFont="1" applyFill="1" applyBorder="1" applyAlignment="1">
      <alignment horizontal="center" vertical="center" shrinkToFit="1"/>
    </xf>
    <xf numFmtId="0" fontId="30" fillId="2" borderId="37" xfId="11" applyFont="1" applyFill="1" applyBorder="1" applyAlignment="1">
      <alignment horizontal="center" vertical="center" shrinkToFit="1"/>
    </xf>
    <xf numFmtId="0" fontId="30" fillId="2" borderId="32" xfId="11" applyFont="1" applyFill="1" applyBorder="1" applyAlignment="1">
      <alignment horizontal="center" vertical="center" shrinkToFit="1"/>
    </xf>
    <xf numFmtId="0" fontId="45" fillId="2" borderId="27" xfId="11" applyFont="1" applyFill="1" applyBorder="1" applyAlignment="1">
      <alignment horizontal="center" vertical="center" shrinkToFit="1"/>
    </xf>
    <xf numFmtId="0" fontId="45" fillId="2" borderId="25" xfId="11" applyFont="1" applyFill="1" applyBorder="1" applyAlignment="1">
      <alignment horizontal="center" vertical="center" shrinkToFit="1"/>
    </xf>
    <xf numFmtId="0" fontId="39" fillId="0" borderId="71" xfId="11" applyFont="1" applyBorder="1" applyAlignment="1">
      <alignment horizontal="left" vertical="center" wrapText="1"/>
    </xf>
    <xf numFmtId="0" fontId="66" fillId="0" borderId="71" xfId="11" applyFont="1" applyBorder="1" applyAlignment="1">
      <alignment horizontal="left" vertical="center" wrapText="1"/>
    </xf>
    <xf numFmtId="0" fontId="53" fillId="0" borderId="37" xfId="11" applyFont="1" applyBorder="1" applyAlignment="1">
      <alignment horizontal="left" vertical="center" shrinkToFit="1"/>
    </xf>
    <xf numFmtId="0" fontId="94" fillId="0" borderId="4" xfId="11" applyFont="1" applyBorder="1" applyAlignment="1">
      <alignment horizontal="left" vertical="center" wrapText="1"/>
    </xf>
    <xf numFmtId="0" fontId="9" fillId="0" borderId="3" xfId="11" applyFont="1" applyBorder="1" applyAlignment="1">
      <alignment horizontal="left" vertical="center" wrapText="1"/>
    </xf>
    <xf numFmtId="0" fontId="30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shrinkToFit="1"/>
    </xf>
    <xf numFmtId="0" fontId="30" fillId="0" borderId="38" xfId="0" applyFont="1" applyBorder="1" applyAlignment="1">
      <alignment horizont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82" fillId="10" borderId="22" xfId="4" applyFont="1" applyFill="1" applyBorder="1" applyAlignment="1">
      <alignment horizontal="center" vertical="center" wrapText="1"/>
    </xf>
    <xf numFmtId="0" fontId="85" fillId="5" borderId="35" xfId="15" applyFont="1" applyFill="1" applyBorder="1" applyAlignment="1">
      <alignment horizontal="center" vertical="center"/>
    </xf>
    <xf numFmtId="0" fontId="85" fillId="5" borderId="26" xfId="15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0" fontId="82" fillId="10" borderId="22" xfId="15" applyFont="1" applyFill="1" applyBorder="1" applyAlignment="1">
      <alignment horizontal="center" vertical="center" wrapText="1"/>
    </xf>
    <xf numFmtId="195" fontId="84" fillId="9" borderId="22" xfId="15" applyNumberFormat="1" applyFont="1" applyFill="1" applyBorder="1" applyAlignment="1">
      <alignment horizontal="center" vertical="center"/>
    </xf>
    <xf numFmtId="0" fontId="100" fillId="0" borderId="31" xfId="11" applyFont="1" applyBorder="1" applyAlignment="1">
      <alignment horizontal="center" vertical="center"/>
    </xf>
    <xf numFmtId="0" fontId="100" fillId="0" borderId="32" xfId="11" applyFont="1" applyBorder="1" applyAlignment="1">
      <alignment horizontal="center" vertical="center"/>
    </xf>
    <xf numFmtId="0" fontId="100" fillId="0" borderId="33" xfId="11" applyFont="1" applyBorder="1" applyAlignment="1">
      <alignment horizontal="center" vertical="center"/>
    </xf>
    <xf numFmtId="0" fontId="100" fillId="0" borderId="34" xfId="11" applyFont="1" applyBorder="1" applyAlignment="1">
      <alignment horizontal="center" vertical="center"/>
    </xf>
    <xf numFmtId="0" fontId="100" fillId="0" borderId="35" xfId="11" applyFont="1" applyBorder="1" applyAlignment="1">
      <alignment horizontal="center" vertical="center"/>
    </xf>
    <xf numFmtId="0" fontId="100" fillId="0" borderId="36" xfId="11" applyFont="1" applyBorder="1" applyAlignment="1">
      <alignment horizontal="center" vertical="center"/>
    </xf>
    <xf numFmtId="0" fontId="101" fillId="5" borderId="23" xfId="5" applyFont="1" applyFill="1" applyBorder="1" applyAlignment="1">
      <alignment horizontal="center" vertical="center"/>
    </xf>
    <xf numFmtId="0" fontId="101" fillId="5" borderId="29" xfId="5" applyFont="1" applyFill="1" applyBorder="1" applyAlignment="1">
      <alignment horizontal="center" vertical="center"/>
    </xf>
    <xf numFmtId="0" fontId="101" fillId="5" borderId="30" xfId="5" applyFont="1" applyFill="1" applyBorder="1" applyAlignment="1">
      <alignment horizontal="center" vertical="center"/>
    </xf>
    <xf numFmtId="0" fontId="38" fillId="5" borderId="23" xfId="5" applyFont="1" applyFill="1" applyBorder="1" applyAlignment="1">
      <alignment horizontal="center" vertical="center"/>
    </xf>
    <xf numFmtId="0" fontId="38" fillId="5" borderId="29" xfId="5" applyFont="1" applyFill="1" applyBorder="1" applyAlignment="1">
      <alignment horizontal="center" vertical="center"/>
    </xf>
    <xf numFmtId="0" fontId="38" fillId="5" borderId="30" xfId="5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31" xfId="5" applyFont="1" applyFill="1" applyBorder="1" applyAlignment="1">
      <alignment horizontal="center" vertical="center"/>
    </xf>
    <xf numFmtId="0" fontId="38" fillId="5" borderId="37" xfId="5" applyFont="1" applyFill="1" applyBorder="1" applyAlignment="1">
      <alignment horizontal="center" vertical="center"/>
    </xf>
    <xf numFmtId="0" fontId="38" fillId="5" borderId="32" xfId="5" applyFont="1" applyFill="1" applyBorder="1" applyAlignment="1">
      <alignment horizontal="center" vertical="center"/>
    </xf>
    <xf numFmtId="0" fontId="38" fillId="5" borderId="33" xfId="5" applyFont="1" applyFill="1" applyBorder="1" applyAlignment="1">
      <alignment horizontal="center" vertical="center"/>
    </xf>
    <xf numFmtId="0" fontId="38" fillId="5" borderId="0" xfId="5" applyFont="1" applyFill="1" applyAlignment="1">
      <alignment horizontal="center" vertical="center"/>
    </xf>
    <xf numFmtId="0" fontId="38" fillId="5" borderId="34" xfId="5" applyFont="1" applyFill="1" applyBorder="1" applyAlignment="1">
      <alignment horizontal="center" vertical="center"/>
    </xf>
    <xf numFmtId="0" fontId="38" fillId="5" borderId="35" xfId="5" applyFont="1" applyFill="1" applyBorder="1" applyAlignment="1">
      <alignment horizontal="center" vertical="center"/>
    </xf>
    <xf numFmtId="0" fontId="38" fillId="5" borderId="26" xfId="5" applyFont="1" applyFill="1" applyBorder="1" applyAlignment="1">
      <alignment horizontal="center" vertical="center"/>
    </xf>
    <xf numFmtId="0" fontId="38" fillId="5" borderId="36" xfId="5" applyFont="1" applyFill="1" applyBorder="1" applyAlignment="1">
      <alignment horizontal="center" vertical="center"/>
    </xf>
    <xf numFmtId="0" fontId="100" fillId="5" borderId="31" xfId="11" applyFont="1" applyFill="1" applyBorder="1" applyAlignment="1">
      <alignment horizontal="center" vertical="center"/>
    </xf>
    <xf numFmtId="0" fontId="33" fillId="5" borderId="32" xfId="11" applyFont="1" applyFill="1" applyBorder="1" applyAlignment="1">
      <alignment horizontal="center" vertical="center"/>
    </xf>
    <xf numFmtId="0" fontId="33" fillId="5" borderId="33" xfId="11" applyFont="1" applyFill="1" applyBorder="1" applyAlignment="1">
      <alignment horizontal="center" vertical="center"/>
    </xf>
    <xf numFmtId="0" fontId="33" fillId="5" borderId="34" xfId="11" applyFont="1" applyFill="1" applyBorder="1" applyAlignment="1">
      <alignment horizontal="center" vertical="center"/>
    </xf>
    <xf numFmtId="0" fontId="33" fillId="5" borderId="35" xfId="11" applyFont="1" applyFill="1" applyBorder="1" applyAlignment="1">
      <alignment horizontal="center" vertical="center"/>
    </xf>
    <xf numFmtId="0" fontId="33" fillId="5" borderId="36" xfId="11" applyFont="1" applyFill="1" applyBorder="1" applyAlignment="1">
      <alignment horizontal="center" vertical="center"/>
    </xf>
    <xf numFmtId="0" fontId="38" fillId="5" borderId="22" xfId="5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/>
    </xf>
    <xf numFmtId="0" fontId="40" fillId="5" borderId="22" xfId="22" applyFont="1" applyFill="1" applyBorder="1" applyAlignment="1">
      <alignment horizontal="center"/>
    </xf>
    <xf numFmtId="0" fontId="42" fillId="0" borderId="26" xfId="11" applyFont="1" applyBorder="1" applyAlignment="1">
      <alignment horizontal="center" vertical="center"/>
    </xf>
    <xf numFmtId="0" fontId="36" fillId="0" borderId="26" xfId="11" applyFont="1" applyBorder="1" applyAlignment="1">
      <alignment horizontal="center" vertical="center"/>
    </xf>
    <xf numFmtId="0" fontId="62" fillId="5" borderId="23" xfId="5" applyFont="1" applyFill="1" applyBorder="1" applyAlignment="1">
      <alignment horizontal="center" vertical="center"/>
    </xf>
    <xf numFmtId="0" fontId="62" fillId="5" borderId="29" xfId="5" applyFont="1" applyFill="1" applyBorder="1" applyAlignment="1">
      <alignment horizontal="center" vertical="center"/>
    </xf>
    <xf numFmtId="0" fontId="62" fillId="5" borderId="30" xfId="5" applyFont="1" applyFill="1" applyBorder="1" applyAlignment="1">
      <alignment horizontal="center" vertical="center"/>
    </xf>
    <xf numFmtId="0" fontId="101" fillId="5" borderId="22" xfId="22" applyFont="1" applyFill="1" applyBorder="1" applyAlignment="1">
      <alignment horizontal="center" vertical="center" wrapText="1"/>
    </xf>
    <xf numFmtId="0" fontId="40" fillId="5" borderId="27" xfId="22" applyFont="1" applyFill="1" applyBorder="1" applyAlignment="1">
      <alignment horizontal="center"/>
    </xf>
    <xf numFmtId="0" fontId="40" fillId="5" borderId="28" xfId="22" applyFont="1" applyFill="1" applyBorder="1" applyAlignment="1">
      <alignment horizontal="center"/>
    </xf>
    <xf numFmtId="0" fontId="40" fillId="5" borderId="25" xfId="22" applyFont="1" applyFill="1" applyBorder="1" applyAlignment="1">
      <alignment horizontal="center"/>
    </xf>
    <xf numFmtId="0" fontId="9" fillId="0" borderId="4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1" fillId="0" borderId="21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13" fillId="0" borderId="12" xfId="0" applyFont="1" applyBorder="1" applyAlignment="1">
      <alignment shrinkToFit="1"/>
    </xf>
    <xf numFmtId="0" fontId="11" fillId="0" borderId="13" xfId="0" applyFont="1" applyBorder="1" applyAlignment="1">
      <alignment shrinkToFit="1"/>
    </xf>
    <xf numFmtId="0" fontId="11" fillId="0" borderId="11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9" fillId="0" borderId="19" xfId="0" applyFont="1" applyBorder="1" applyAlignment="1">
      <alignment shrinkToFit="1"/>
    </xf>
    <xf numFmtId="0" fontId="11" fillId="0" borderId="20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0" borderId="9" xfId="0" applyFont="1" applyBorder="1" applyAlignment="1">
      <alignment shrinkToFit="1"/>
    </xf>
    <xf numFmtId="0" fontId="39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 xr:uid="{00000000-0005-0000-0000-000001000000}"/>
    <cellStyle name="一般 2 2" xfId="23" xr:uid="{E179DD41-8B7B-41FC-9C3A-AE6E6BDD5169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2 2 2 2 2" xfId="35" xr:uid="{1F39F23B-920A-4453-9DB4-EF85FABC66B9}"/>
    <cellStyle name="一般 2 2 30 2 2 30 2 2 2 2 3" xfId="33" xr:uid="{680E44A1-9F8B-4DFD-8CDB-BCCAABBAF56E}"/>
    <cellStyle name="一般 2 2 30 2 2 30 2 2 2 3" xfId="31" xr:uid="{E0555160-8E4A-46E0-B3F6-05F88C521726}"/>
    <cellStyle name="一般 2 2 30 2 2 30 2 2 3" xfId="28" xr:uid="{2D9A7470-88BC-45F8-BFDE-4D7E8B9A29FC}"/>
    <cellStyle name="一般 2 2 30 2 2 30 2 3" xfId="15" xr:uid="{3C908013-BC9B-405B-A82E-0D245F04FCA4}"/>
    <cellStyle name="一般 2 2 30 2 2 30 2 3 2" xfId="29" xr:uid="{AB3E692C-0762-4B59-B310-0509ED91F4A2}"/>
    <cellStyle name="一般 2 2 30 2 2 30 2 4" xfId="25" xr:uid="{C2E77384-5A72-4828-94BA-2576BC70E928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2 3 2 2 2 2" xfId="32" xr:uid="{4A1B08AA-C3C0-48B2-9072-E5B62592C77D}"/>
    <cellStyle name="一般 2 2 30 2 3 2 2 3" xfId="30" xr:uid="{9C4D9376-DEA9-4FAA-843D-D5B945B87462}"/>
    <cellStyle name="一般 2 2 30 2 3 2 3" xfId="26" xr:uid="{CA51055B-B268-44B4-B647-EC7675D174BD}"/>
    <cellStyle name="一般 2 2 30 3 30" xfId="7" xr:uid="{00000000-0005-0000-0000-000006000000}"/>
    <cellStyle name="一般 2 2 30 3 30 2" xfId="27" xr:uid="{15CB9CAD-5A57-4A7F-A4CB-9BAE7F070705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2 2" xfId="24" xr:uid="{F2DB8F63-C516-4257-829E-9141DDB7EE7F}"/>
    <cellStyle name="千分位 3" xfId="21" xr:uid="{82CCC478-D2F7-415A-9028-C3A8A8C15057}"/>
    <cellStyle name="千分位 3 2" xfId="34" xr:uid="{CE48597D-D37C-4FF9-B3F6-93225E63AB4C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&#39135;&#30740;&#25152;114&#24180;JFM&#29256;\&#32371;&#20132;&#39135;&#30740;&#25152;\&#12304;JFM&#25351;&#23566;&#12305;&#22823;&#28330;&#24288;&#29983;&#29986;&#31649;&#29702;&#22577;&#34920;202603(&#25976;&#20540;&#32047;&#31309;&#32317;&#34920;(&#26376;).xlsx" TargetMode="External"/><Relationship Id="rId1" Type="http://schemas.openxmlformats.org/officeDocument/2006/relationships/externalLinkPath" Target="&#12304;JFM&#25351;&#23566;&#12305;&#22823;&#28330;&#24288;&#29983;&#29986;&#31649;&#29702;&#22577;&#34920;202603(&#25976;&#20540;&#32047;&#31309;&#32317;&#34920;(&#26376;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(&#9679;)&#22823;&#28330;&#24288;&#29983;&#29986;&#31649;&#29702;&#22577;&#34920;cora(0428-0504).xlsx" TargetMode="External"/><Relationship Id="rId2" Type="http://schemas.openxmlformats.org/officeDocument/2006/relationships/externalLinkPath" Target="file:///C:\Users\pzps99632\Desktop\(&#9679;)&#22823;&#28330;&#24288;&#29983;&#29986;&#31649;&#29702;&#22577;&#34920;cora(0428-0504).xlsx" TargetMode="External"/><Relationship Id="rId1" Type="http://schemas.openxmlformats.org/officeDocument/2006/relationships/externalLinkPath" Target="/Users/pzps99632/Desktop/(&#9679;)&#22823;&#28330;&#24288;&#29983;&#29986;&#31649;&#29702;&#22577;&#34920;cora(0428-050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數值累積總表(月)"/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7-1 (週)"/>
      <sheetName val="生產管理報表 8-5(週報廢)"/>
      <sheetName val="生產管理報表 8-6(週報廢)"/>
      <sheetName val="生產管理報表 8-7(週超用)"/>
      <sheetName val="生產管理報表 8-8(週超用) "/>
      <sheetName val="生產管理報表 9"/>
      <sheetName val="日別報廢率總表"/>
      <sheetName val="報廢20大－原因別分析"/>
      <sheetName val="超用20大－原因別分析"/>
      <sheetName val="填寫舉例"/>
      <sheetName val="鮮食品群番"/>
      <sheetName val="下拉式選單"/>
    </sheetNames>
    <sheetDataSet>
      <sheetData sheetId="0">
        <row r="6">
          <cell r="P6">
            <v>67948</v>
          </cell>
        </row>
      </sheetData>
      <sheetData sheetId="1"/>
      <sheetData sheetId="2"/>
      <sheetData sheetId="3"/>
      <sheetData sheetId="4">
        <row r="10">
          <cell r="K10">
            <v>0.82360963344933713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生產管理報表(月)"/>
      <sheetName val="生產管理報表(週) "/>
      <sheetName val="（１）收支狀況"/>
      <sheetName val="貼訂購銷售表"/>
      <sheetName val="W2"/>
      <sheetName val="W3"/>
      <sheetName val="W4"/>
      <sheetName val="W5"/>
      <sheetName val="W6"/>
      <sheetName val="W7"/>
      <sheetName val="W1"/>
      <sheetName val="產能清單0428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8）品群別人時生產性(季節調理麵) --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4E15-AC20-41E5-88A7-CFD7E5BF0AEF}">
  <sheetPr codeName="工作表1"/>
  <dimension ref="B1:P45"/>
  <sheetViews>
    <sheetView topLeftCell="A7" workbookViewId="0">
      <selection activeCell="C54" sqref="C54"/>
    </sheetView>
  </sheetViews>
  <sheetFormatPr defaultColWidth="8.7109375" defaultRowHeight="13.5"/>
  <cols>
    <col min="1" max="1" width="8.7109375" style="432"/>
    <col min="2" max="2" width="27.7109375" style="432" bestFit="1" customWidth="1"/>
    <col min="3" max="3" width="34.7109375" style="432" customWidth="1"/>
    <col min="4" max="15" width="12.7109375" style="432" customWidth="1"/>
    <col min="16" max="16" width="15.7109375" style="432" customWidth="1"/>
    <col min="17" max="16384" width="8.7109375" style="432"/>
  </cols>
  <sheetData>
    <row r="1" spans="2:16" ht="18.75">
      <c r="B1" s="513" t="s">
        <v>197</v>
      </c>
      <c r="C1" s="514"/>
      <c r="D1" s="443" t="s">
        <v>595</v>
      </c>
      <c r="E1" s="443" t="s">
        <v>597</v>
      </c>
      <c r="F1" s="443" t="s">
        <v>598</v>
      </c>
      <c r="G1" s="443" t="s">
        <v>599</v>
      </c>
      <c r="H1" s="443" t="s">
        <v>600</v>
      </c>
      <c r="I1" s="443" t="s">
        <v>601</v>
      </c>
      <c r="J1" s="443" t="s">
        <v>602</v>
      </c>
      <c r="K1" s="443" t="s">
        <v>603</v>
      </c>
      <c r="L1" s="443" t="s">
        <v>604</v>
      </c>
      <c r="M1" s="443" t="s">
        <v>605</v>
      </c>
      <c r="N1" s="443" t="s">
        <v>606</v>
      </c>
      <c r="O1" s="443" t="s">
        <v>607</v>
      </c>
      <c r="P1" s="444" t="s">
        <v>608</v>
      </c>
    </row>
    <row r="2" spans="2:16" ht="15.75">
      <c r="B2" s="510" t="s">
        <v>625</v>
      </c>
      <c r="C2" s="465" t="s">
        <v>609</v>
      </c>
      <c r="D2" s="445">
        <v>146299.93539000006</v>
      </c>
      <c r="E2" s="445">
        <v>116569.43023000001</v>
      </c>
      <c r="F2" s="445">
        <v>148837.99842999995</v>
      </c>
      <c r="G2" s="445">
        <v>160648.31477000003</v>
      </c>
      <c r="H2" s="445"/>
      <c r="I2" s="445"/>
      <c r="J2" s="445"/>
      <c r="K2" s="445"/>
      <c r="L2" s="445"/>
      <c r="M2" s="445"/>
      <c r="N2" s="445"/>
      <c r="O2" s="445"/>
      <c r="P2" s="466">
        <f>SUM(D2:O2)</f>
        <v>572355.67882000003</v>
      </c>
    </row>
    <row r="3" spans="2:16" ht="15.75">
      <c r="B3" s="510"/>
      <c r="C3" s="465" t="s">
        <v>610</v>
      </c>
      <c r="D3" s="445">
        <v>4768701</v>
      </c>
      <c r="E3" s="445">
        <v>3787002</v>
      </c>
      <c r="F3" s="445">
        <v>5045753</v>
      </c>
      <c r="G3" s="445">
        <v>5396292</v>
      </c>
      <c r="H3" s="445"/>
      <c r="I3" s="445"/>
      <c r="J3" s="445"/>
      <c r="K3" s="445"/>
      <c r="L3" s="445"/>
      <c r="M3" s="445"/>
      <c r="N3" s="445"/>
      <c r="O3" s="445"/>
      <c r="P3" s="466">
        <f>SUM(D3:O3)</f>
        <v>18997748</v>
      </c>
    </row>
    <row r="4" spans="2:16" ht="15.75">
      <c r="B4" s="510"/>
      <c r="C4" s="465" t="s">
        <v>611</v>
      </c>
      <c r="D4" s="445">
        <v>93253</v>
      </c>
      <c r="E4" s="445">
        <v>74777</v>
      </c>
      <c r="F4" s="445">
        <v>93614</v>
      </c>
      <c r="G4" s="445">
        <v>104435</v>
      </c>
      <c r="H4" s="445"/>
      <c r="I4" s="445"/>
      <c r="J4" s="445"/>
      <c r="K4" s="445"/>
      <c r="L4" s="445"/>
      <c r="M4" s="445"/>
      <c r="N4" s="445"/>
      <c r="O4" s="445"/>
      <c r="P4" s="466">
        <f>SUM(D4:O4)</f>
        <v>366079</v>
      </c>
    </row>
    <row r="5" spans="2:16" ht="15.75">
      <c r="B5" s="510"/>
      <c r="C5" s="467" t="s">
        <v>626</v>
      </c>
      <c r="D5" s="468">
        <v>0.65500000000000003</v>
      </c>
      <c r="E5" s="468">
        <v>0.65300000000000002</v>
      </c>
      <c r="F5" s="468">
        <v>0.64800000000000002</v>
      </c>
      <c r="G5" s="468">
        <v>0.66300000000000003</v>
      </c>
      <c r="H5" s="469" t="str">
        <f t="shared" ref="H5:O5" si="0">IFERROR(H4/H2, "")</f>
        <v/>
      </c>
      <c r="I5" s="469" t="str">
        <f t="shared" si="0"/>
        <v/>
      </c>
      <c r="J5" s="469" t="str">
        <f t="shared" si="0"/>
        <v/>
      </c>
      <c r="K5" s="469" t="str">
        <f t="shared" si="0"/>
        <v/>
      </c>
      <c r="L5" s="469" t="str">
        <f t="shared" si="0"/>
        <v/>
      </c>
      <c r="M5" s="469" t="str">
        <f t="shared" si="0"/>
        <v/>
      </c>
      <c r="N5" s="469" t="str">
        <f t="shared" si="0"/>
        <v/>
      </c>
      <c r="O5" s="469" t="str">
        <f t="shared" si="0"/>
        <v/>
      </c>
      <c r="P5" s="470">
        <f>AVERAGEIF(D5:O5, "&gt;0")</f>
        <v>0.65474999999999994</v>
      </c>
    </row>
    <row r="6" spans="2:16" ht="15.75">
      <c r="B6" s="510"/>
      <c r="C6" s="465" t="s">
        <v>612</v>
      </c>
      <c r="D6" s="445">
        <v>22378</v>
      </c>
      <c r="E6" s="445">
        <v>22860</v>
      </c>
      <c r="F6" s="445">
        <v>22710</v>
      </c>
      <c r="G6" s="445">
        <v>23226</v>
      </c>
      <c r="H6" s="445"/>
      <c r="I6" s="445"/>
      <c r="J6" s="445"/>
      <c r="K6" s="445"/>
      <c r="L6" s="445"/>
      <c r="M6" s="445"/>
      <c r="N6" s="445"/>
      <c r="O6" s="445"/>
      <c r="P6" s="466">
        <f t="shared" ref="P6" si="1">SUM(D6:O6)</f>
        <v>91174</v>
      </c>
    </row>
    <row r="7" spans="2:16" ht="15.75">
      <c r="B7" s="510"/>
      <c r="C7" s="467" t="s">
        <v>627</v>
      </c>
      <c r="D7" s="468">
        <v>0.157</v>
      </c>
      <c r="E7" s="468">
        <v>0.2</v>
      </c>
      <c r="F7" s="468">
        <v>0.157</v>
      </c>
      <c r="G7" s="468">
        <v>0.14699999999999999</v>
      </c>
      <c r="H7" s="469" t="str">
        <f t="shared" ref="H7:O7" si="2">IFERROR(H6/H2, "")</f>
        <v/>
      </c>
      <c r="I7" s="469" t="str">
        <f t="shared" si="2"/>
        <v/>
      </c>
      <c r="J7" s="469" t="str">
        <f t="shared" si="2"/>
        <v/>
      </c>
      <c r="K7" s="469" t="str">
        <f t="shared" si="2"/>
        <v/>
      </c>
      <c r="L7" s="469" t="str">
        <f t="shared" si="2"/>
        <v/>
      </c>
      <c r="M7" s="469" t="str">
        <f t="shared" si="2"/>
        <v/>
      </c>
      <c r="N7" s="469" t="str">
        <f t="shared" si="2"/>
        <v/>
      </c>
      <c r="O7" s="469" t="str">
        <f t="shared" si="2"/>
        <v/>
      </c>
      <c r="P7" s="470">
        <f>AVERAGEIF(D7:O7, "&gt;0")</f>
        <v>0.16525000000000001</v>
      </c>
    </row>
    <row r="8" spans="2:16" ht="15.75">
      <c r="B8" s="471"/>
      <c r="C8" s="465"/>
      <c r="D8" s="445"/>
      <c r="E8" s="445"/>
      <c r="F8" s="445"/>
      <c r="G8" s="445"/>
      <c r="H8" s="445"/>
      <c r="I8" s="445"/>
      <c r="J8" s="445"/>
      <c r="K8" s="445"/>
      <c r="L8" s="445"/>
      <c r="M8" s="445"/>
      <c r="N8" s="445"/>
      <c r="O8" s="445"/>
      <c r="P8" s="466"/>
    </row>
    <row r="9" spans="2:16" ht="15.75">
      <c r="B9" s="510" t="s">
        <v>130</v>
      </c>
      <c r="C9" s="465" t="s">
        <v>628</v>
      </c>
      <c r="D9" s="472">
        <v>497.6</v>
      </c>
      <c r="E9" s="472">
        <v>497.6</v>
      </c>
      <c r="F9" s="472">
        <v>497.6</v>
      </c>
      <c r="G9" s="472">
        <v>497.6</v>
      </c>
      <c r="H9" s="446"/>
      <c r="I9" s="446"/>
      <c r="J9" s="446"/>
      <c r="K9" s="446"/>
      <c r="L9" s="446"/>
      <c r="M9" s="446"/>
      <c r="N9" s="446"/>
      <c r="O9" s="446"/>
      <c r="P9" s="473">
        <f>AVERAGEIF(D9:O9, "&gt;0")</f>
        <v>497.6</v>
      </c>
    </row>
    <row r="10" spans="2:16" ht="15.75">
      <c r="B10" s="510"/>
      <c r="C10" s="465" t="s">
        <v>613</v>
      </c>
      <c r="D10" s="472">
        <v>458.3841382804668</v>
      </c>
      <c r="E10" s="472">
        <v>476.04171528829499</v>
      </c>
      <c r="F10" s="472">
        <v>409.81563372836604</v>
      </c>
      <c r="G10" s="472">
        <v>402.86432092718081</v>
      </c>
      <c r="H10" s="446"/>
      <c r="I10" s="446"/>
      <c r="J10" s="446"/>
      <c r="K10" s="446"/>
      <c r="L10" s="446"/>
      <c r="M10" s="446"/>
      <c r="N10" s="446"/>
      <c r="O10" s="446"/>
      <c r="P10" s="473">
        <f>AVERAGEIF(D10:O10, "&gt;0")</f>
        <v>436.77645205607718</v>
      </c>
    </row>
    <row r="11" spans="2:16" ht="15.75">
      <c r="B11" s="510"/>
      <c r="C11" s="467" t="s">
        <v>614</v>
      </c>
      <c r="D11" s="469">
        <f t="shared" ref="D11:O11" si="3">IFERROR(D10/D9, "")</f>
        <v>0.92118998850576117</v>
      </c>
      <c r="E11" s="469">
        <f t="shared" si="3"/>
        <v>0.95667547284625198</v>
      </c>
      <c r="F11" s="469">
        <f t="shared" si="3"/>
        <v>0.82358447292678061</v>
      </c>
      <c r="G11" s="469">
        <f>IFERROR(G10/G9, "")</f>
        <v>0.80961479286008997</v>
      </c>
      <c r="H11" s="469" t="str">
        <f t="shared" si="3"/>
        <v/>
      </c>
      <c r="I11" s="469" t="str">
        <f t="shared" si="3"/>
        <v/>
      </c>
      <c r="J11" s="469" t="str">
        <f t="shared" si="3"/>
        <v/>
      </c>
      <c r="K11" s="469" t="str">
        <f t="shared" si="3"/>
        <v/>
      </c>
      <c r="L11" s="469" t="str">
        <f t="shared" si="3"/>
        <v/>
      </c>
      <c r="M11" s="469" t="str">
        <f t="shared" si="3"/>
        <v/>
      </c>
      <c r="N11" s="469" t="str">
        <f t="shared" si="3"/>
        <v/>
      </c>
      <c r="O11" s="469" t="str">
        <f t="shared" si="3"/>
        <v/>
      </c>
      <c r="P11" s="474">
        <f>AVERAGEIF(D11:O11, "&gt;0")</f>
        <v>0.87776618178472088</v>
      </c>
    </row>
    <row r="12" spans="2:16" ht="15.75">
      <c r="B12" s="510"/>
      <c r="C12" s="465" t="s">
        <v>615</v>
      </c>
      <c r="D12" s="448">
        <v>2.4135432458014692E-3</v>
      </c>
      <c r="E12" s="447">
        <v>2.3657636051419204E-3</v>
      </c>
      <c r="F12" s="447">
        <v>2.0222247634522129E-3</v>
      </c>
      <c r="G12" s="447">
        <v>2.0113648122943311E-3</v>
      </c>
      <c r="H12" s="447"/>
      <c r="I12" s="447"/>
      <c r="J12" s="447"/>
      <c r="K12" s="447"/>
      <c r="L12" s="447"/>
      <c r="M12" s="447"/>
      <c r="N12" s="447"/>
      <c r="O12" s="447"/>
      <c r="P12" s="475">
        <f>AVERAGEIF(D12:O12, "&gt;0")</f>
        <v>2.2032241066724831E-3</v>
      </c>
    </row>
    <row r="13" spans="2:16" ht="15.75">
      <c r="B13" s="510"/>
      <c r="C13" s="465" t="s">
        <v>616</v>
      </c>
      <c r="D13" s="448">
        <v>5.599443330875099E-3</v>
      </c>
      <c r="E13" s="448">
        <v>5.2393000579921759E-3</v>
      </c>
      <c r="F13" s="448">
        <v>4.8799137535570384E-3</v>
      </c>
      <c r="G13" s="448">
        <v>4.3085188206646403E-3</v>
      </c>
      <c r="H13" s="448"/>
      <c r="I13" s="448"/>
      <c r="J13" s="448"/>
      <c r="K13" s="448"/>
      <c r="L13" s="448"/>
      <c r="M13" s="448"/>
      <c r="N13" s="448"/>
      <c r="O13" s="448"/>
      <c r="P13" s="474">
        <f>AVERAGEIF(D13:O13, "&gt;0")</f>
        <v>5.0067939907722384E-3</v>
      </c>
    </row>
    <row r="14" spans="2:16" ht="15.75">
      <c r="B14" s="510"/>
      <c r="C14" s="465" t="s">
        <v>629</v>
      </c>
      <c r="D14" s="448">
        <v>0.89999999999999947</v>
      </c>
      <c r="E14" s="448">
        <v>0.89999999999999958</v>
      </c>
      <c r="F14" s="448">
        <v>0.89999999999999947</v>
      </c>
      <c r="G14" s="448">
        <v>0.89999999999999958</v>
      </c>
      <c r="H14" s="448"/>
      <c r="I14" s="448"/>
      <c r="J14" s="448"/>
      <c r="K14" s="448"/>
      <c r="L14" s="448"/>
      <c r="M14" s="448"/>
      <c r="N14" s="448"/>
      <c r="O14" s="448"/>
      <c r="P14" s="474">
        <f t="shared" ref="P14" si="4">AVERAGEIF(D14:O14, "&gt;0")</f>
        <v>0.89999999999999947</v>
      </c>
    </row>
    <row r="15" spans="2:16" ht="15.75">
      <c r="B15" s="510"/>
      <c r="C15" s="465" t="s">
        <v>630</v>
      </c>
      <c r="D15" s="448">
        <v>5.7692307692307702E-2</v>
      </c>
      <c r="E15" s="448">
        <v>0.13873626373626369</v>
      </c>
      <c r="F15" s="448">
        <v>0.21960297766749381</v>
      </c>
      <c r="G15" s="448">
        <v>0.30384615384615377</v>
      </c>
      <c r="H15" s="448"/>
      <c r="I15" s="448"/>
      <c r="J15" s="448"/>
      <c r="K15" s="448"/>
      <c r="L15" s="448"/>
      <c r="M15" s="448"/>
      <c r="N15" s="448"/>
      <c r="O15" s="448"/>
      <c r="P15" s="476">
        <v>0.21959999999999999</v>
      </c>
    </row>
    <row r="16" spans="2:16" ht="15.75">
      <c r="B16" s="471"/>
      <c r="C16" s="465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74"/>
    </row>
    <row r="17" spans="2:16" ht="15.75">
      <c r="B17" s="511" t="s">
        <v>631</v>
      </c>
      <c r="C17" s="465" t="s">
        <v>632</v>
      </c>
      <c r="D17" s="477">
        <v>0.36139567422949059</v>
      </c>
      <c r="E17" s="477">
        <v>0.34737656751091073</v>
      </c>
      <c r="F17" s="477">
        <v>0.36414345188530645</v>
      </c>
      <c r="G17" s="477">
        <v>0.38079955956950995</v>
      </c>
      <c r="H17" s="477"/>
      <c r="I17" s="477"/>
      <c r="J17" s="477"/>
      <c r="K17" s="477"/>
      <c r="L17" s="477"/>
      <c r="M17" s="477"/>
      <c r="N17" s="477"/>
      <c r="O17" s="477"/>
      <c r="P17" s="474">
        <f>AVERAGEIF(D17:O17, "&gt;0")</f>
        <v>0.36342881329880444</v>
      </c>
    </row>
    <row r="18" spans="2:16" ht="15.75">
      <c r="B18" s="515"/>
      <c r="C18" s="465" t="s">
        <v>222</v>
      </c>
      <c r="D18" s="477">
        <v>6.9633574224369291E-2</v>
      </c>
      <c r="E18" s="477">
        <v>7.7793665132509071E-2</v>
      </c>
      <c r="F18" s="477">
        <v>8.4480826486750038E-2</v>
      </c>
      <c r="G18" s="477">
        <v>6.0267903798814304E-2</v>
      </c>
      <c r="H18" s="477"/>
      <c r="I18" s="477"/>
      <c r="J18" s="477"/>
      <c r="K18" s="477"/>
      <c r="L18" s="477"/>
      <c r="M18" s="477"/>
      <c r="N18" s="477"/>
      <c r="O18" s="477"/>
      <c r="P18" s="474">
        <f t="shared" ref="P18:P45" si="5">AVERAGEIF(D18:O18, "&gt;0")</f>
        <v>7.3043992410610672E-2</v>
      </c>
    </row>
    <row r="19" spans="2:16" ht="15.75">
      <c r="B19" s="515"/>
      <c r="C19" s="465" t="s">
        <v>235</v>
      </c>
      <c r="D19" s="477">
        <v>2.2453221877666876E-2</v>
      </c>
      <c r="E19" s="477">
        <v>2.1676449691951108E-2</v>
      </c>
      <c r="F19" s="477">
        <v>2.4365160296787799E-2</v>
      </c>
      <c r="G19" s="477">
        <v>1.8891117808144807E-2</v>
      </c>
      <c r="H19" s="477"/>
      <c r="I19" s="477"/>
      <c r="J19" s="477"/>
      <c r="K19" s="477"/>
      <c r="L19" s="477"/>
      <c r="M19" s="477"/>
      <c r="N19" s="477"/>
      <c r="O19" s="477"/>
      <c r="P19" s="474">
        <f t="shared" si="5"/>
        <v>2.184648741863765E-2</v>
      </c>
    </row>
    <row r="20" spans="2:16" ht="15.75">
      <c r="B20" s="515"/>
      <c r="C20" s="465" t="s">
        <v>220</v>
      </c>
      <c r="D20" s="477">
        <v>8.5850389930237133E-3</v>
      </c>
      <c r="E20" s="477">
        <v>9.9523222144173289E-3</v>
      </c>
      <c r="F20" s="477">
        <v>1.4684918119400437E-2</v>
      </c>
      <c r="G20" s="477">
        <v>2.8316295795027466E-2</v>
      </c>
      <c r="H20" s="477"/>
      <c r="I20" s="477"/>
      <c r="J20" s="477"/>
      <c r="K20" s="477"/>
      <c r="L20" s="477"/>
      <c r="M20" s="477"/>
      <c r="N20" s="477"/>
      <c r="O20" s="477"/>
      <c r="P20" s="474">
        <f t="shared" si="5"/>
        <v>1.5384643780467236E-2</v>
      </c>
    </row>
    <row r="21" spans="2:16" ht="15.75">
      <c r="B21" s="515"/>
      <c r="C21" s="465" t="s">
        <v>224</v>
      </c>
      <c r="D21" s="477">
        <v>0.16215294044225204</v>
      </c>
      <c r="E21" s="477">
        <v>0.18214707911075978</v>
      </c>
      <c r="F21" s="477">
        <v>0.20289323995580696</v>
      </c>
      <c r="G21" s="477">
        <v>0.15628267987712793</v>
      </c>
      <c r="H21" s="477"/>
      <c r="I21" s="477"/>
      <c r="J21" s="477"/>
      <c r="K21" s="477"/>
      <c r="L21" s="477"/>
      <c r="M21" s="477"/>
      <c r="N21" s="477"/>
      <c r="O21" s="477"/>
      <c r="P21" s="474">
        <f t="shared" si="5"/>
        <v>0.17586898484648669</v>
      </c>
    </row>
    <row r="22" spans="2:16" ht="15.75">
      <c r="B22" s="515"/>
      <c r="C22" s="465" t="s">
        <v>226</v>
      </c>
      <c r="D22" s="477">
        <v>0.27057088032525339</v>
      </c>
      <c r="E22" s="477">
        <v>0.27529225824200032</v>
      </c>
      <c r="F22" s="477">
        <v>0.29293399487971084</v>
      </c>
      <c r="G22" s="477">
        <v>0.27842233710348685</v>
      </c>
      <c r="H22" s="477"/>
      <c r="I22" s="477"/>
      <c r="J22" s="477"/>
      <c r="K22" s="477"/>
      <c r="L22" s="477"/>
      <c r="M22" s="477"/>
      <c r="N22" s="477"/>
      <c r="O22" s="477"/>
      <c r="P22" s="474">
        <f t="shared" si="5"/>
        <v>0.27930486763761286</v>
      </c>
    </row>
    <row r="23" spans="2:16" ht="15.75">
      <c r="B23" s="515"/>
      <c r="C23" s="465" t="s">
        <v>236</v>
      </c>
      <c r="D23" s="477">
        <v>2.9234371078829206E-2</v>
      </c>
      <c r="E23" s="477">
        <v>8.9796818765835347E-3</v>
      </c>
      <c r="F23" s="477">
        <v>0</v>
      </c>
      <c r="G23" s="477">
        <v>0</v>
      </c>
      <c r="H23" s="477"/>
      <c r="I23" s="477"/>
      <c r="J23" s="477"/>
      <c r="K23" s="477"/>
      <c r="L23" s="477"/>
      <c r="M23" s="477"/>
      <c r="N23" s="477"/>
      <c r="O23" s="477"/>
      <c r="P23" s="474">
        <f t="shared" si="5"/>
        <v>1.910702647770637E-2</v>
      </c>
    </row>
    <row r="24" spans="2:16" ht="15.75">
      <c r="B24" s="515"/>
      <c r="C24" s="465" t="s">
        <v>237</v>
      </c>
      <c r="D24" s="477">
        <v>4.0564165966170615E-2</v>
      </c>
      <c r="E24" s="477">
        <v>4.0109498783470192E-2</v>
      </c>
      <c r="F24" s="477">
        <v>1.6541184549440737E-3</v>
      </c>
      <c r="G24" s="477">
        <v>6.4343547299571813E-2</v>
      </c>
      <c r="H24" s="477"/>
      <c r="I24" s="477"/>
      <c r="J24" s="477"/>
      <c r="K24" s="477"/>
      <c r="L24" s="477"/>
      <c r="M24" s="477"/>
      <c r="N24" s="477"/>
      <c r="O24" s="477"/>
      <c r="P24" s="474">
        <f t="shared" si="5"/>
        <v>3.6667832626039176E-2</v>
      </c>
    </row>
    <row r="25" spans="2:16" ht="15.75">
      <c r="B25" s="516"/>
      <c r="C25" s="465" t="s">
        <v>232</v>
      </c>
      <c r="D25" s="477">
        <v>3.5410132862943831E-2</v>
      </c>
      <c r="E25" s="477">
        <v>3.6672477437397863E-2</v>
      </c>
      <c r="F25" s="477">
        <v>1.4844289921293864E-2</v>
      </c>
      <c r="G25" s="477">
        <v>1.2676558748316833E-2</v>
      </c>
      <c r="H25" s="477"/>
      <c r="I25" s="477"/>
      <c r="J25" s="477"/>
      <c r="K25" s="477"/>
      <c r="L25" s="477"/>
      <c r="M25" s="477"/>
      <c r="N25" s="477"/>
      <c r="O25" s="477"/>
      <c r="P25" s="474">
        <f t="shared" si="5"/>
        <v>2.4900864742488094E-2</v>
      </c>
    </row>
    <row r="26" spans="2:16" ht="15.75">
      <c r="B26" s="471"/>
      <c r="C26" s="465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74"/>
    </row>
    <row r="27" spans="2:16" ht="15.75">
      <c r="B27" s="511" t="s">
        <v>633</v>
      </c>
      <c r="C27" s="465" t="s">
        <v>632</v>
      </c>
      <c r="D27" s="477">
        <v>0.58577126139802016</v>
      </c>
      <c r="E27" s="477">
        <v>0.57025346170928881</v>
      </c>
      <c r="F27" s="477">
        <v>0.57640851623137324</v>
      </c>
      <c r="G27" s="477">
        <v>0.58366911946203059</v>
      </c>
      <c r="H27" s="477"/>
      <c r="I27" s="477"/>
      <c r="J27" s="477"/>
      <c r="K27" s="477"/>
      <c r="L27" s="477"/>
      <c r="M27" s="477"/>
      <c r="N27" s="477"/>
      <c r="O27" s="477"/>
      <c r="P27" s="474">
        <f>AVERAGEIF(D27:O27, "&gt;0")</f>
        <v>0.57902558970017826</v>
      </c>
    </row>
    <row r="28" spans="2:16" ht="15.75">
      <c r="B28" s="515"/>
      <c r="C28" s="465" t="s">
        <v>222</v>
      </c>
      <c r="D28" s="477">
        <v>8.1693945583923164E-2</v>
      </c>
      <c r="E28" s="477">
        <v>9.1615478418020382E-2</v>
      </c>
      <c r="F28" s="477">
        <v>0.10179987010858439</v>
      </c>
      <c r="G28" s="477">
        <v>6.8907686982098079E-2</v>
      </c>
      <c r="H28" s="477"/>
      <c r="I28" s="477"/>
      <c r="J28" s="477"/>
      <c r="K28" s="477"/>
      <c r="L28" s="477"/>
      <c r="M28" s="477"/>
      <c r="N28" s="477"/>
      <c r="O28" s="477"/>
      <c r="P28" s="474">
        <f t="shared" si="5"/>
        <v>8.6004245273156504E-2</v>
      </c>
    </row>
    <row r="29" spans="2:16" ht="15.75">
      <c r="B29" s="515"/>
      <c r="C29" s="465" t="s">
        <v>235</v>
      </c>
      <c r="D29" s="477">
        <v>2.4966128092325353E-2</v>
      </c>
      <c r="E29" s="477">
        <v>2.3825971045169769E-2</v>
      </c>
      <c r="F29" s="477">
        <v>2.6809080825002728E-2</v>
      </c>
      <c r="G29" s="477">
        <v>2.031339297428679E-2</v>
      </c>
      <c r="H29" s="477"/>
      <c r="I29" s="477"/>
      <c r="J29" s="477"/>
      <c r="K29" s="477"/>
      <c r="L29" s="477"/>
      <c r="M29" s="477"/>
      <c r="N29" s="477"/>
      <c r="O29" s="477"/>
      <c r="P29" s="474">
        <f t="shared" si="5"/>
        <v>2.397864323419616E-2</v>
      </c>
    </row>
    <row r="30" spans="2:16" ht="15.75">
      <c r="B30" s="515"/>
      <c r="C30" s="465" t="s">
        <v>220</v>
      </c>
      <c r="D30" s="477">
        <v>9.7963785106258503E-3</v>
      </c>
      <c r="E30" s="477">
        <v>1.1706621755150907E-2</v>
      </c>
      <c r="F30" s="477">
        <v>1.640151628508173E-2</v>
      </c>
      <c r="G30" s="477">
        <v>3.1347821800599376E-2</v>
      </c>
      <c r="H30" s="477"/>
      <c r="I30" s="477"/>
      <c r="J30" s="477"/>
      <c r="K30" s="477"/>
      <c r="L30" s="477"/>
      <c r="M30" s="477"/>
      <c r="N30" s="477"/>
      <c r="O30" s="477"/>
      <c r="P30" s="474">
        <f t="shared" si="5"/>
        <v>1.7313084587864465E-2</v>
      </c>
    </row>
    <row r="31" spans="2:16" ht="15.75">
      <c r="B31" s="515"/>
      <c r="C31" s="465" t="s">
        <v>224</v>
      </c>
      <c r="D31" s="477">
        <v>8.9953008167213674E-2</v>
      </c>
      <c r="E31" s="477">
        <v>0.10114834901064219</v>
      </c>
      <c r="F31" s="477">
        <v>0.11343936177613133</v>
      </c>
      <c r="G31" s="477">
        <v>8.956298139537297E-2</v>
      </c>
      <c r="H31" s="477"/>
      <c r="I31" s="477"/>
      <c r="J31" s="477"/>
      <c r="K31" s="477"/>
      <c r="L31" s="477"/>
      <c r="M31" s="477"/>
      <c r="N31" s="477"/>
      <c r="O31" s="477"/>
      <c r="P31" s="474">
        <f t="shared" si="5"/>
        <v>9.8525925087340038E-2</v>
      </c>
    </row>
    <row r="32" spans="2:16" ht="15.75">
      <c r="B32" s="515"/>
      <c r="C32" s="465" t="s">
        <v>226</v>
      </c>
      <c r="D32" s="477">
        <v>0.13708177551916129</v>
      </c>
      <c r="E32" s="477">
        <v>0.14060779476747043</v>
      </c>
      <c r="F32" s="477">
        <v>0.14223546019791297</v>
      </c>
      <c r="G32" s="477">
        <v>0.13317793032697267</v>
      </c>
      <c r="H32" s="477"/>
      <c r="I32" s="477"/>
      <c r="J32" s="477"/>
      <c r="K32" s="477"/>
      <c r="L32" s="477"/>
      <c r="M32" s="477"/>
      <c r="N32" s="477"/>
      <c r="O32" s="477"/>
      <c r="P32" s="474">
        <f t="shared" si="5"/>
        <v>0.13827574020287933</v>
      </c>
    </row>
    <row r="33" spans="2:16" ht="15.75">
      <c r="B33" s="515"/>
      <c r="C33" s="465" t="s">
        <v>236</v>
      </c>
      <c r="D33" s="477">
        <v>1.5652480623129864E-2</v>
      </c>
      <c r="E33" s="477">
        <v>4.823868590510383E-3</v>
      </c>
      <c r="F33" s="477">
        <v>0</v>
      </c>
      <c r="G33" s="477">
        <v>0</v>
      </c>
      <c r="H33" s="477"/>
      <c r="I33" s="477"/>
      <c r="J33" s="477"/>
      <c r="K33" s="477"/>
      <c r="L33" s="477"/>
      <c r="M33" s="477"/>
      <c r="N33" s="477"/>
      <c r="O33" s="477"/>
      <c r="P33" s="474">
        <f t="shared" si="5"/>
        <v>1.0238174606820123E-2</v>
      </c>
    </row>
    <row r="34" spans="2:16" ht="15.75">
      <c r="B34" s="515"/>
      <c r="C34" s="465" t="s">
        <v>237</v>
      </c>
      <c r="D34" s="477">
        <v>2.2004734622699137E-2</v>
      </c>
      <c r="E34" s="477">
        <v>2.0902022232890293E-2</v>
      </c>
      <c r="F34" s="477">
        <v>6.7918504928798538E-4</v>
      </c>
      <c r="G34" s="477">
        <v>5.3864579603920618E-2</v>
      </c>
      <c r="H34" s="477"/>
      <c r="I34" s="477"/>
      <c r="J34" s="477"/>
      <c r="K34" s="477"/>
      <c r="L34" s="477"/>
      <c r="M34" s="477"/>
      <c r="N34" s="477"/>
      <c r="O34" s="477"/>
      <c r="P34" s="474">
        <f t="shared" si="5"/>
        <v>2.4362630377199507E-2</v>
      </c>
    </row>
    <row r="35" spans="2:16" ht="15.75">
      <c r="B35" s="516"/>
      <c r="C35" s="465" t="s">
        <v>232</v>
      </c>
      <c r="D35" s="477">
        <v>3.3080287482901531E-2</v>
      </c>
      <c r="E35" s="477">
        <v>3.5116432470856891E-2</v>
      </c>
      <c r="F35" s="477">
        <v>2.2227009526625659E-2</v>
      </c>
      <c r="G35" s="477">
        <v>1.9156487454718908E-2</v>
      </c>
      <c r="H35" s="477"/>
      <c r="I35" s="477"/>
      <c r="J35" s="477"/>
      <c r="K35" s="477"/>
      <c r="L35" s="477"/>
      <c r="M35" s="477"/>
      <c r="N35" s="477"/>
      <c r="O35" s="477"/>
      <c r="P35" s="474">
        <f t="shared" si="5"/>
        <v>2.7395054233775744E-2</v>
      </c>
    </row>
    <row r="36" spans="2:16" ht="15.75">
      <c r="B36" s="471"/>
      <c r="C36" s="465"/>
      <c r="D36" s="448"/>
      <c r="E36" s="448"/>
      <c r="F36" s="448"/>
      <c r="G36" s="448"/>
      <c r="H36" s="448"/>
      <c r="I36" s="448"/>
      <c r="J36" s="448"/>
      <c r="K36" s="448"/>
      <c r="L36" s="448"/>
      <c r="M36" s="448"/>
      <c r="N36" s="448"/>
      <c r="O36" s="448"/>
      <c r="P36" s="474"/>
    </row>
    <row r="37" spans="2:16" ht="15.75">
      <c r="B37" s="510" t="s">
        <v>634</v>
      </c>
      <c r="C37" s="465" t="s">
        <v>632</v>
      </c>
      <c r="D37" s="449">
        <v>768.96508698264131</v>
      </c>
      <c r="E37" s="449">
        <v>774.12086448722914</v>
      </c>
      <c r="F37" s="449">
        <v>757.5904244152307</v>
      </c>
      <c r="G37" s="449">
        <v>740.76981301731939</v>
      </c>
      <c r="H37" s="449"/>
      <c r="I37" s="449"/>
      <c r="J37" s="449"/>
      <c r="K37" s="449"/>
      <c r="L37" s="449"/>
      <c r="M37" s="449"/>
      <c r="N37" s="449"/>
      <c r="O37" s="449"/>
      <c r="P37" s="478">
        <f>AVERAGEIF(D37:O37, "&gt;0")</f>
        <v>760.36154722560514</v>
      </c>
    </row>
    <row r="38" spans="2:16" ht="15.75">
      <c r="B38" s="511"/>
      <c r="C38" s="479" t="s">
        <v>222</v>
      </c>
      <c r="D38" s="480">
        <v>280.52357557404559</v>
      </c>
      <c r="E38" s="480">
        <v>304.46478382945497</v>
      </c>
      <c r="F38" s="480">
        <v>311.70581961708376</v>
      </c>
      <c r="G38" s="480">
        <v>320.67204374311393</v>
      </c>
      <c r="H38" s="480"/>
      <c r="I38" s="480"/>
      <c r="J38" s="480"/>
      <c r="K38" s="480"/>
      <c r="L38" s="480"/>
      <c r="M38" s="480"/>
      <c r="N38" s="480"/>
      <c r="O38" s="480"/>
      <c r="P38" s="478">
        <f t="shared" si="5"/>
        <v>304.34155569092457</v>
      </c>
    </row>
    <row r="39" spans="2:16" ht="15.75">
      <c r="B39" s="511"/>
      <c r="C39" s="479" t="s">
        <v>235</v>
      </c>
      <c r="D39" s="480">
        <v>258.56166578115295</v>
      </c>
      <c r="E39" s="480">
        <v>203.2437413385673</v>
      </c>
      <c r="F39" s="480">
        <v>331.13667122055222</v>
      </c>
      <c r="G39" s="480">
        <v>331.07659362533582</v>
      </c>
      <c r="H39" s="480"/>
      <c r="I39" s="480"/>
      <c r="J39" s="480"/>
      <c r="K39" s="480"/>
      <c r="L39" s="480"/>
      <c r="M39" s="480"/>
      <c r="N39" s="480"/>
      <c r="O39" s="480"/>
      <c r="P39" s="478">
        <f t="shared" si="5"/>
        <v>281.00466799140207</v>
      </c>
    </row>
    <row r="40" spans="2:16" ht="15.75">
      <c r="B40" s="511"/>
      <c r="C40" s="479" t="s">
        <v>220</v>
      </c>
      <c r="D40" s="480">
        <v>486.07170829520021</v>
      </c>
      <c r="E40" s="480">
        <v>490.19814173593841</v>
      </c>
      <c r="F40" s="480">
        <v>493.97618103140815</v>
      </c>
      <c r="G40" s="480">
        <v>416.80190173613738</v>
      </c>
      <c r="H40" s="480"/>
      <c r="I40" s="480"/>
      <c r="J40" s="480"/>
      <c r="K40" s="480"/>
      <c r="L40" s="480"/>
      <c r="M40" s="480"/>
      <c r="N40" s="480"/>
      <c r="O40" s="480"/>
      <c r="P40" s="478">
        <f t="shared" si="5"/>
        <v>471.76198319967102</v>
      </c>
    </row>
    <row r="41" spans="2:16" ht="15.75">
      <c r="B41" s="511"/>
      <c r="C41" s="479" t="s">
        <v>224</v>
      </c>
      <c r="D41" s="480">
        <v>82.669482447974161</v>
      </c>
      <c r="E41" s="480">
        <v>81.452411562244222</v>
      </c>
      <c r="F41" s="480">
        <v>79.94999927589204</v>
      </c>
      <c r="G41" s="480">
        <v>82.282454157599574</v>
      </c>
      <c r="H41" s="480"/>
      <c r="I41" s="480"/>
      <c r="J41" s="480"/>
      <c r="K41" s="480"/>
      <c r="L41" s="480"/>
      <c r="M41" s="480"/>
      <c r="N41" s="480"/>
      <c r="O41" s="480"/>
      <c r="P41" s="478">
        <f t="shared" si="5"/>
        <v>81.588586860927506</v>
      </c>
    </row>
    <row r="42" spans="2:16" ht="15.75">
      <c r="B42" s="511"/>
      <c r="C42" s="479" t="s">
        <v>226</v>
      </c>
      <c r="D42" s="480">
        <v>78.306366965294018</v>
      </c>
      <c r="E42" s="480">
        <v>77.971322564328403</v>
      </c>
      <c r="F42" s="480">
        <v>77.906796798443906</v>
      </c>
      <c r="G42" s="480">
        <v>78.189351465199536</v>
      </c>
      <c r="H42" s="480"/>
      <c r="I42" s="480"/>
      <c r="J42" s="480"/>
      <c r="K42" s="480"/>
      <c r="L42" s="480"/>
      <c r="M42" s="480"/>
      <c r="N42" s="480"/>
      <c r="O42" s="480"/>
      <c r="P42" s="478">
        <f t="shared" si="5"/>
        <v>78.093459448316466</v>
      </c>
    </row>
    <row r="43" spans="2:16" ht="15.75">
      <c r="B43" s="511"/>
      <c r="C43" s="479" t="s">
        <v>236</v>
      </c>
      <c r="D43" s="480">
        <v>76.250132772766719</v>
      </c>
      <c r="E43" s="480">
        <v>72.949975663847383</v>
      </c>
      <c r="F43" s="480">
        <v>0</v>
      </c>
      <c r="G43" s="480">
        <v>0</v>
      </c>
      <c r="H43" s="480"/>
      <c r="I43" s="480"/>
      <c r="J43" s="480"/>
      <c r="K43" s="480"/>
      <c r="L43" s="480"/>
      <c r="M43" s="480"/>
      <c r="N43" s="480"/>
      <c r="O43" s="480"/>
      <c r="P43" s="478">
        <f t="shared" si="5"/>
        <v>74.600054218307051</v>
      </c>
    </row>
    <row r="44" spans="2:16" ht="15.75">
      <c r="B44" s="511"/>
      <c r="C44" s="479" t="s">
        <v>237</v>
      </c>
      <c r="D44" s="480">
        <v>110.80830487807768</v>
      </c>
      <c r="E44" s="480">
        <v>97.15750138812345</v>
      </c>
      <c r="F44" s="480">
        <v>84.60142398436416</v>
      </c>
      <c r="G44" s="480">
        <v>159.74228643292116</v>
      </c>
      <c r="H44" s="480"/>
      <c r="I44" s="480"/>
      <c r="J44" s="480"/>
      <c r="K44" s="480"/>
      <c r="L44" s="480"/>
      <c r="M44" s="480"/>
      <c r="N44" s="480"/>
      <c r="O44" s="480"/>
      <c r="P44" s="478">
        <f t="shared" si="5"/>
        <v>113.07737917087161</v>
      </c>
    </row>
    <row r="45" spans="2:16" ht="16.5" thickBot="1">
      <c r="B45" s="512"/>
      <c r="C45" s="481" t="s">
        <v>232</v>
      </c>
      <c r="D45" s="450">
        <v>76.123665150077642</v>
      </c>
      <c r="E45" s="450">
        <v>77.592138128204311</v>
      </c>
      <c r="F45" s="450">
        <v>83.044478559400275</v>
      </c>
      <c r="G45" s="450">
        <v>83.064526679068933</v>
      </c>
      <c r="H45" s="450"/>
      <c r="I45" s="450"/>
      <c r="J45" s="450"/>
      <c r="K45" s="450"/>
      <c r="L45" s="450"/>
      <c r="M45" s="450"/>
      <c r="N45" s="450"/>
      <c r="O45" s="450"/>
      <c r="P45" s="482">
        <f t="shared" si="5"/>
        <v>79.956202129187787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5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>
    <tabColor rgb="FFFF0000"/>
    <outlinePr summaryBelow="0" summaryRight="0"/>
  </sheetPr>
  <dimension ref="A1:P37"/>
  <sheetViews>
    <sheetView tabSelected="1" view="pageBreakPreview" zoomScale="115" zoomScaleNormal="100" zoomScaleSheetLayoutView="115" workbookViewId="0">
      <selection activeCell="B9" sqref="B9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507" t="s">
        <v>334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99"/>
    </row>
    <row r="2" spans="1:12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</row>
    <row r="3" spans="1:12" ht="21.6" customHeight="1">
      <c r="A3" s="114" t="s">
        <v>73</v>
      </c>
      <c r="B3" s="115">
        <v>4</v>
      </c>
      <c r="C3" s="114" t="s">
        <v>20</v>
      </c>
      <c r="D3" s="509" t="s">
        <v>370</v>
      </c>
      <c r="E3" s="509"/>
      <c r="F3" s="100"/>
      <c r="G3" s="109"/>
      <c r="H3" s="100"/>
      <c r="I3" s="100"/>
      <c r="J3" s="100"/>
      <c r="K3" s="100"/>
    </row>
    <row r="4" spans="1:12" ht="15.75" customHeight="1">
      <c r="A4" s="110" t="s">
        <v>596</v>
      </c>
      <c r="E4" s="102" t="s">
        <v>23</v>
      </c>
      <c r="G4" s="111" t="s">
        <v>71</v>
      </c>
      <c r="L4" s="99"/>
    </row>
    <row r="5" spans="1:12" s="104" customFormat="1" ht="15.75" customHeight="1">
      <c r="A5" s="121" t="s">
        <v>197</v>
      </c>
      <c r="B5" s="116" t="s">
        <v>22</v>
      </c>
      <c r="C5" s="116" t="s">
        <v>1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22</v>
      </c>
      <c r="J5" s="116" t="s">
        <v>67</v>
      </c>
      <c r="K5" s="116" t="s">
        <v>3</v>
      </c>
      <c r="L5" s="105" t="s">
        <v>60</v>
      </c>
    </row>
    <row r="6" spans="1:12" ht="18" customHeight="1">
      <c r="A6" s="107" t="s">
        <v>24</v>
      </c>
      <c r="B6" s="483">
        <f>'（１）收支狀況'!H6/1000</f>
        <v>160648.31477000003</v>
      </c>
      <c r="C6" s="442">
        <f>'數值累積總表(月)'!F2</f>
        <v>148837.99842999995</v>
      </c>
      <c r="D6" s="117">
        <f t="shared" ref="D6:D11" si="0">B6-C6</f>
        <v>11810.316340000078</v>
      </c>
      <c r="E6" s="442">
        <f>'數值累積總表(月)'!P2</f>
        <v>572355.67882000003</v>
      </c>
      <c r="G6" s="107" t="s">
        <v>198</v>
      </c>
      <c r="H6" s="119">
        <v>497.6</v>
      </c>
      <c r="I6" s="484">
        <f>'（２）ＫＰＩ達成進度'!H6</f>
        <v>402.86432092718081</v>
      </c>
      <c r="J6" s="452">
        <f>'數值累積總表(月)'!F10</f>
        <v>409.81563372836604</v>
      </c>
      <c r="K6" s="452">
        <f>'數值累積總表(月)'!P10</f>
        <v>436.77645205607718</v>
      </c>
      <c r="L6" s="101" t="s">
        <v>195</v>
      </c>
    </row>
    <row r="7" spans="1:12" ht="18" customHeight="1">
      <c r="A7" s="107" t="s">
        <v>25</v>
      </c>
      <c r="B7" s="483">
        <f>'（１）收支狀況'!K6</f>
        <v>5396292</v>
      </c>
      <c r="C7" s="442">
        <f>'數值累積總表(月)'!F3</f>
        <v>5045753</v>
      </c>
      <c r="D7" s="117">
        <f t="shared" si="0"/>
        <v>350539</v>
      </c>
      <c r="E7" s="442">
        <f>'數值累積總表(月)'!P3</f>
        <v>18997748</v>
      </c>
      <c r="G7" s="107" t="s">
        <v>199</v>
      </c>
      <c r="H7" s="118">
        <v>0.8</v>
      </c>
      <c r="I7" s="451">
        <f>'（２）ＫＰＩ達成進度'!K6</f>
        <v>0.91063363681550835</v>
      </c>
      <c r="J7" s="454">
        <f>'數值累積總表(月)'!F11</f>
        <v>0.82358447292678061</v>
      </c>
      <c r="K7" s="454">
        <f>'數值累積總表(月)'!P11</f>
        <v>0.87776618178472088</v>
      </c>
      <c r="L7" s="101" t="s">
        <v>4</v>
      </c>
    </row>
    <row r="8" spans="1:12" ht="18" customHeight="1">
      <c r="A8" s="107" t="s">
        <v>5</v>
      </c>
      <c r="B8" s="483">
        <v>104435</v>
      </c>
      <c r="C8" s="442">
        <f>'數值累積總表(月)'!F4</f>
        <v>93614</v>
      </c>
      <c r="D8" s="117">
        <f>B8-C8</f>
        <v>10821</v>
      </c>
      <c r="E8" s="442">
        <f>'數值累積總表(月)'!P4</f>
        <v>366079</v>
      </c>
      <c r="G8" s="107" t="s">
        <v>200</v>
      </c>
      <c r="H8" s="118">
        <v>2.5000000000000001E-3</v>
      </c>
      <c r="I8" s="485">
        <f>'（２）ＫＰＩ達成進度'!N6</f>
        <v>2.0113648122943311E-3</v>
      </c>
      <c r="J8" s="453">
        <f>'數值累積總表(月)'!F12</f>
        <v>2.0222247634522129E-3</v>
      </c>
      <c r="K8" s="453">
        <f>'數值累積總表(月)'!P12</f>
        <v>2.2032241066724831E-3</v>
      </c>
      <c r="L8" s="101" t="s">
        <v>55</v>
      </c>
    </row>
    <row r="9" spans="1:12" ht="18" customHeight="1">
      <c r="A9" s="107" t="s">
        <v>6</v>
      </c>
      <c r="B9" s="451">
        <v>0.66300000000000003</v>
      </c>
      <c r="C9" s="486">
        <f>'數值累積總表(月)'!F5</f>
        <v>0.64800000000000002</v>
      </c>
      <c r="D9" s="118">
        <f t="shared" si="0"/>
        <v>1.5000000000000013E-2</v>
      </c>
      <c r="E9" s="486">
        <f>'數值累積總表(月)'!P5</f>
        <v>0.65474999999999994</v>
      </c>
      <c r="G9" s="107" t="s">
        <v>201</v>
      </c>
      <c r="H9" s="118">
        <v>4.0000000000000001E-3</v>
      </c>
      <c r="I9" s="451">
        <f>'（２）ＫＰＩ達成進度'!Q6</f>
        <v>4.3085188206646403E-3</v>
      </c>
      <c r="J9" s="454">
        <f>'數值累積總表(月)'!F13</f>
        <v>4.8799137535570384E-3</v>
      </c>
      <c r="K9" s="454">
        <f>'數值累積總表(月)'!P13</f>
        <v>5.0067939907722384E-3</v>
      </c>
      <c r="L9" s="101" t="s">
        <v>98</v>
      </c>
    </row>
    <row r="10" spans="1:12" ht="18" customHeight="1">
      <c r="A10" s="107" t="s">
        <v>64</v>
      </c>
      <c r="B10" s="483">
        <v>23226</v>
      </c>
      <c r="C10" s="442">
        <f>'數值累積總表(月)'!F6</f>
        <v>22710</v>
      </c>
      <c r="D10" s="117">
        <f>B10-C10</f>
        <v>516</v>
      </c>
      <c r="E10" s="442">
        <f>'[1]數值累積總表(月)'!P6</f>
        <v>67948</v>
      </c>
      <c r="G10" s="107" t="s">
        <v>202</v>
      </c>
      <c r="H10" s="118">
        <v>0.8</v>
      </c>
      <c r="I10" s="451">
        <f>'（２）ＫＰＩ達成進度'!T6</f>
        <v>0.89999999999999958</v>
      </c>
      <c r="J10" s="454">
        <f>'數值累積總表(月)'!F14</f>
        <v>0.89999999999999947</v>
      </c>
      <c r="K10" s="454">
        <f>'數值累積總表(月)'!P14</f>
        <v>0.89999999999999947</v>
      </c>
      <c r="L10" s="101" t="s">
        <v>7</v>
      </c>
    </row>
    <row r="11" spans="1:12" ht="18" customHeight="1">
      <c r="A11" s="107" t="s">
        <v>65</v>
      </c>
      <c r="B11" s="451">
        <v>0.14699999999999999</v>
      </c>
      <c r="C11" s="486">
        <f>'數值累積總表(月)'!F7</f>
        <v>0.157</v>
      </c>
      <c r="D11" s="118">
        <f t="shared" si="0"/>
        <v>-1.0000000000000009E-2</v>
      </c>
      <c r="E11" s="486">
        <f>'數值累積總表(月)'!P7</f>
        <v>0.16525000000000001</v>
      </c>
      <c r="G11" s="107" t="s">
        <v>203</v>
      </c>
      <c r="H11" s="118">
        <v>1</v>
      </c>
      <c r="I11" s="451">
        <f>'（２）ＫＰＩ達成進度'!W6</f>
        <v>0.30384615384615377</v>
      </c>
      <c r="J11" s="454">
        <f>'數值累積總表(月)'!F15</f>
        <v>0.21960297766749381</v>
      </c>
      <c r="K11" s="454">
        <f>'數值累積總表(月)'!P15</f>
        <v>0.21959999999999999</v>
      </c>
      <c r="L11" s="101" t="s">
        <v>62</v>
      </c>
    </row>
    <row r="12" spans="1:12" ht="9.6" customHeight="1">
      <c r="L12" s="99"/>
    </row>
    <row r="13" spans="1:12" ht="15.75" customHeight="1">
      <c r="A13" s="110" t="s">
        <v>32</v>
      </c>
      <c r="E13" s="317" t="s">
        <v>23</v>
      </c>
      <c r="G13" s="110" t="s">
        <v>33</v>
      </c>
      <c r="K13" s="317" t="s">
        <v>448</v>
      </c>
      <c r="L13" s="99"/>
    </row>
    <row r="14" spans="1:12" s="106" customFormat="1" ht="14.25">
      <c r="A14" s="120"/>
      <c r="B14" s="120" t="s">
        <v>22</v>
      </c>
      <c r="C14" s="120" t="s">
        <v>41</v>
      </c>
      <c r="D14" s="120" t="s">
        <v>67</v>
      </c>
      <c r="E14" s="120" t="s">
        <v>68</v>
      </c>
      <c r="G14" s="120"/>
      <c r="H14" s="120" t="s">
        <v>22</v>
      </c>
      <c r="I14" s="120" t="s">
        <v>41</v>
      </c>
      <c r="J14" s="120" t="s">
        <v>67</v>
      </c>
      <c r="K14" s="120" t="s">
        <v>68</v>
      </c>
    </row>
    <row r="15" spans="1:12" ht="18" customHeight="1">
      <c r="A15" s="107" t="s">
        <v>391</v>
      </c>
      <c r="B15" s="483">
        <f>SUM('（３）業績構成比'!M8:M37)/1000</f>
        <v>61174.807510000006</v>
      </c>
      <c r="C15" s="118">
        <f>IFERROR(B15/$B$6,"")</f>
        <v>0.38079955956950995</v>
      </c>
      <c r="D15" s="487">
        <f>'數值累積總表(月)'!F17</f>
        <v>0.36414345188530645</v>
      </c>
      <c r="E15" s="118">
        <f>IFERROR(C15-D15,"")</f>
        <v>1.6656107684203503E-2</v>
      </c>
      <c r="G15" s="107" t="s">
        <v>392</v>
      </c>
      <c r="H15" s="483">
        <f>SUM('（４）訂單數量構成比'!M8:M37)</f>
        <v>3149649</v>
      </c>
      <c r="I15" s="118">
        <f t="shared" ref="I15:I23" si="1">IFERROR(H15/$B$7,"")</f>
        <v>0.58366911946203059</v>
      </c>
      <c r="J15" s="487">
        <f>'數值累積總表(月)'!F27</f>
        <v>0.57640851623137324</v>
      </c>
      <c r="K15" s="118">
        <f>IFERROR(I15-J15,"")</f>
        <v>7.2606032306573587E-3</v>
      </c>
      <c r="L15" s="99"/>
    </row>
    <row r="16" spans="1:12" ht="18" customHeight="1">
      <c r="A16" s="107" t="s">
        <v>223</v>
      </c>
      <c r="B16" s="483">
        <f>SUM('（３）業績構成比'!S8:S37)/1000</f>
        <v>9681.9371800000008</v>
      </c>
      <c r="C16" s="118">
        <f t="shared" ref="C16:C23" si="2">IFERROR(B16/$B$6,"")</f>
        <v>6.0267903798814304E-2</v>
      </c>
      <c r="D16" s="487">
        <f>'數值累積總表(月)'!F18</f>
        <v>8.4480826486750038E-2</v>
      </c>
      <c r="E16" s="118">
        <f t="shared" ref="E16:E23" si="3">IFERROR(C16-D16,"")</f>
        <v>-2.4212922687935734E-2</v>
      </c>
      <c r="G16" s="107" t="s">
        <v>223</v>
      </c>
      <c r="H16" s="483">
        <f>SUM('（４）訂單數量構成比'!S8:S37)</f>
        <v>371846</v>
      </c>
      <c r="I16" s="118">
        <f t="shared" si="1"/>
        <v>6.8907686982098079E-2</v>
      </c>
      <c r="J16" s="487">
        <f>'數值累積總表(月)'!F28</f>
        <v>0.10179987010858439</v>
      </c>
      <c r="K16" s="118">
        <f t="shared" ref="K16:K23" si="4">IFERROR(I16-J16,"")</f>
        <v>-3.2892183126486313E-2</v>
      </c>
      <c r="L16" s="99"/>
    </row>
    <row r="17" spans="1:16" ht="18" customHeight="1">
      <c r="A17" s="107" t="s">
        <v>219</v>
      </c>
      <c r="B17" s="483">
        <f>SUM('（３）業績構成比'!U8:U37)/1000</f>
        <v>3034.8262399999999</v>
      </c>
      <c r="C17" s="118">
        <f t="shared" si="2"/>
        <v>1.8891117808144807E-2</v>
      </c>
      <c r="D17" s="487">
        <f>'數值累積總表(月)'!F19</f>
        <v>2.4365160296787799E-2</v>
      </c>
      <c r="E17" s="118">
        <f t="shared" si="3"/>
        <v>-5.4740424886429925E-3</v>
      </c>
      <c r="G17" s="107" t="s">
        <v>235</v>
      </c>
      <c r="H17" s="483">
        <f>SUM('（４）訂單數量構成比'!U8:U37)</f>
        <v>109617</v>
      </c>
      <c r="I17" s="118">
        <f t="shared" si="1"/>
        <v>2.031339297428679E-2</v>
      </c>
      <c r="J17" s="487">
        <f>'數值累積總表(月)'!F29</f>
        <v>2.6809080825002728E-2</v>
      </c>
      <c r="K17" s="118">
        <f t="shared" si="4"/>
        <v>-6.4956878507159387E-3</v>
      </c>
      <c r="L17" s="99"/>
    </row>
    <row r="18" spans="1:16" ht="18" customHeight="1">
      <c r="A18" s="107" t="s">
        <v>221</v>
      </c>
      <c r="B18" s="483">
        <f>SUM('（３）業績構成比'!W8:W37)/1000</f>
        <v>4548.9652000000006</v>
      </c>
      <c r="C18" s="118">
        <f t="shared" si="2"/>
        <v>2.8316295795027466E-2</v>
      </c>
      <c r="D18" s="487">
        <f>'數值累積總表(月)'!F20</f>
        <v>1.4684918119400437E-2</v>
      </c>
      <c r="E18" s="118">
        <f t="shared" si="3"/>
        <v>1.3631377675627028E-2</v>
      </c>
      <c r="G18" s="107" t="s">
        <v>220</v>
      </c>
      <c r="H18" s="483">
        <f>SUM('（４）訂單數量構成比'!W8:W37)</f>
        <v>169162</v>
      </c>
      <c r="I18" s="118">
        <f t="shared" si="1"/>
        <v>3.1347821800599376E-2</v>
      </c>
      <c r="J18" s="487">
        <f>'數值累積總表(月)'!F30</f>
        <v>1.640151628508173E-2</v>
      </c>
      <c r="K18" s="118">
        <f t="shared" si="4"/>
        <v>1.4946305515517646E-2</v>
      </c>
      <c r="L18" s="99"/>
    </row>
    <row r="19" spans="1:16" ht="18" customHeight="1">
      <c r="A19" s="107" t="s">
        <v>225</v>
      </c>
      <c r="B19" s="483">
        <f>SUM('（３）業績構成比'!AC8:AC37)/1000</f>
        <v>25106.549149999995</v>
      </c>
      <c r="C19" s="118">
        <f t="shared" si="2"/>
        <v>0.15628267987712793</v>
      </c>
      <c r="D19" s="487">
        <f>'數值累積總表(月)'!F21</f>
        <v>0.20289323995580696</v>
      </c>
      <c r="E19" s="118">
        <f t="shared" si="3"/>
        <v>-4.6610560078679031E-2</v>
      </c>
      <c r="G19" s="107" t="s">
        <v>224</v>
      </c>
      <c r="H19" s="483">
        <f>SUM('（４）訂單數量構成比'!AC8:AC37)</f>
        <v>483308</v>
      </c>
      <c r="I19" s="118">
        <f t="shared" si="1"/>
        <v>8.956298139537297E-2</v>
      </c>
      <c r="J19" s="487">
        <f>'數值累積總表(月)'!F31</f>
        <v>0.11343936177613133</v>
      </c>
      <c r="K19" s="118">
        <f t="shared" si="4"/>
        <v>-2.3876380380758358E-2</v>
      </c>
      <c r="L19" s="99"/>
    </row>
    <row r="20" spans="1:16" ht="18" customHeight="1">
      <c r="A20" s="107" t="s">
        <v>227</v>
      </c>
      <c r="B20" s="483">
        <f>SUM('（３）業績構成比'!AE8:AE37)/1000</f>
        <v>44728.07925000001</v>
      </c>
      <c r="C20" s="118">
        <f t="shared" si="2"/>
        <v>0.27842233710348685</v>
      </c>
      <c r="D20" s="487">
        <f>'數值累積總表(月)'!F22</f>
        <v>0.29293399487971084</v>
      </c>
      <c r="E20" s="118">
        <f t="shared" si="3"/>
        <v>-1.4511657776223985E-2</v>
      </c>
      <c r="G20" s="107" t="s">
        <v>226</v>
      </c>
      <c r="H20" s="483">
        <f>SUM('（４）訂單數量構成比'!AE8:AE37)</f>
        <v>718667</v>
      </c>
      <c r="I20" s="118">
        <f t="shared" si="1"/>
        <v>0.13317793032697267</v>
      </c>
      <c r="J20" s="487">
        <f>'數值累積總表(月)'!F32</f>
        <v>0.14223546019791297</v>
      </c>
      <c r="K20" s="118">
        <f t="shared" si="4"/>
        <v>-9.0575298709403007E-3</v>
      </c>
      <c r="L20" s="99"/>
    </row>
    <row r="21" spans="1:16" ht="18" customHeight="1">
      <c r="A21" s="107" t="s">
        <v>230</v>
      </c>
      <c r="B21" s="483">
        <f>SUM('（３）業績構成比'!AG8:AG37)/1000</f>
        <v>0</v>
      </c>
      <c r="C21" s="118">
        <f t="shared" si="2"/>
        <v>0</v>
      </c>
      <c r="D21" s="487">
        <f>'數值累積總表(月)'!F23</f>
        <v>0</v>
      </c>
      <c r="E21" s="118">
        <f t="shared" si="3"/>
        <v>0</v>
      </c>
      <c r="G21" s="107" t="s">
        <v>236</v>
      </c>
      <c r="H21" s="483">
        <f>SUM('（４）訂單數量構成比'!AG8:AG37)</f>
        <v>0</v>
      </c>
      <c r="I21" s="118">
        <f t="shared" si="1"/>
        <v>0</v>
      </c>
      <c r="J21" s="487">
        <f>'數值累積總表(月)'!F33</f>
        <v>0</v>
      </c>
      <c r="K21" s="118">
        <f t="shared" si="4"/>
        <v>0</v>
      </c>
      <c r="L21" s="99"/>
    </row>
    <row r="22" spans="1:16" ht="18" customHeight="1">
      <c r="A22" s="107" t="s">
        <v>231</v>
      </c>
      <c r="B22" s="483">
        <f>SUM('（３）業績構成比'!AI8:AI37)/1000</f>
        <v>10336.682439999999</v>
      </c>
      <c r="C22" s="118">
        <f t="shared" si="2"/>
        <v>6.4343547299571813E-2</v>
      </c>
      <c r="D22" s="487">
        <f>'數值累積總表(月)'!F24</f>
        <v>1.6541184549440737E-3</v>
      </c>
      <c r="E22" s="118">
        <f t="shared" si="3"/>
        <v>6.2689428844627734E-2</v>
      </c>
      <c r="G22" s="107" t="s">
        <v>237</v>
      </c>
      <c r="H22" s="483">
        <f>SUM('（４）訂單數量構成比'!AI8:AI37)</f>
        <v>290669</v>
      </c>
      <c r="I22" s="118">
        <f t="shared" si="1"/>
        <v>5.3864579603920618E-2</v>
      </c>
      <c r="J22" s="487">
        <f>'數值累積總表(月)'!F34</f>
        <v>6.7918504928798538E-4</v>
      </c>
      <c r="K22" s="118">
        <f t="shared" si="4"/>
        <v>5.3185394554632635E-2</v>
      </c>
      <c r="L22" s="99"/>
    </row>
    <row r="23" spans="1:16" ht="18" customHeight="1">
      <c r="A23" s="107" t="s">
        <v>233</v>
      </c>
      <c r="B23" s="483">
        <f>SUM('（３）業績構成比'!AK8:AK37)/1000</f>
        <v>2036.4678000000001</v>
      </c>
      <c r="C23" s="118">
        <f t="shared" si="2"/>
        <v>1.2676558748316833E-2</v>
      </c>
      <c r="D23" s="487">
        <f>'數值累積總表(月)'!F25</f>
        <v>1.4844289921293864E-2</v>
      </c>
      <c r="E23" s="118">
        <f t="shared" si="3"/>
        <v>-2.1677311729770311E-3</v>
      </c>
      <c r="G23" s="107" t="s">
        <v>232</v>
      </c>
      <c r="H23" s="483">
        <f>SUM('（４）訂單數量構成比'!AK8:AK37)</f>
        <v>103374</v>
      </c>
      <c r="I23" s="118">
        <f t="shared" si="1"/>
        <v>1.9156487454718908E-2</v>
      </c>
      <c r="J23" s="487">
        <f>'數值累積總表(月)'!F35</f>
        <v>2.2227009526625659E-2</v>
      </c>
      <c r="K23" s="118">
        <f t="shared" si="4"/>
        <v>-3.0705220719067505E-3</v>
      </c>
      <c r="L23" s="99"/>
    </row>
    <row r="24" spans="1:16" ht="15.75" customHeight="1">
      <c r="C24" s="112">
        <f>SUM(C15:C23)</f>
        <v>1</v>
      </c>
      <c r="D24" s="112">
        <f t="shared" ref="D24" si="5">SUM(D15:D23)</f>
        <v>1.0000000000000004</v>
      </c>
      <c r="I24" s="112">
        <f t="shared" ref="I24:J24" si="6">SUM(I15:I23)</f>
        <v>1</v>
      </c>
      <c r="J24" s="112">
        <f t="shared" si="6"/>
        <v>1</v>
      </c>
      <c r="L24" s="99"/>
    </row>
    <row r="25" spans="1:16" ht="9.6" customHeight="1">
      <c r="A25" s="113"/>
      <c r="L25" s="99"/>
    </row>
    <row r="26" spans="1:16" ht="15.75" customHeight="1">
      <c r="A26" s="110" t="s">
        <v>196</v>
      </c>
      <c r="L26" s="99"/>
    </row>
    <row r="27" spans="1:16" ht="15.75" customHeight="1">
      <c r="A27" s="107" t="s">
        <v>188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6" ht="18" customHeight="1">
      <c r="A28" s="107" t="s">
        <v>234</v>
      </c>
      <c r="B28" s="488">
        <f>'（５-1）品群別人時生產性(18℃-飯糰)'!C1</f>
        <v>740.76981301731939</v>
      </c>
      <c r="C28" s="489">
        <f>'數值累積總表(月)'!F37</f>
        <v>757.5904244152307</v>
      </c>
      <c r="D28" s="222">
        <f t="shared" ref="D28:D36" si="7">B28-C28</f>
        <v>-16.820611397911307</v>
      </c>
      <c r="E28" s="455">
        <f>'數值累積總表(月)'!P37</f>
        <v>760.36154722560514</v>
      </c>
      <c r="G28" s="122"/>
      <c r="H28" s="122"/>
      <c r="I28" s="122"/>
      <c r="J28" s="122"/>
      <c r="K28" s="122"/>
      <c r="L28" s="122"/>
      <c r="M28" s="122"/>
      <c r="N28" s="122"/>
      <c r="O28" s="123"/>
      <c r="P28" s="123"/>
    </row>
    <row r="29" spans="1:16" ht="18" customHeight="1">
      <c r="A29" s="107" t="s">
        <v>222</v>
      </c>
      <c r="B29" s="488">
        <f>'（５-2）品群別人時生產性(18℃-壽司手卷)'!C1</f>
        <v>320.67204374311393</v>
      </c>
      <c r="C29" s="489">
        <f>'數值累積總表(月)'!F38</f>
        <v>311.70581961708376</v>
      </c>
      <c r="D29" s="222">
        <f t="shared" si="7"/>
        <v>8.9662241260301698</v>
      </c>
      <c r="E29" s="455">
        <f>'數值累積總表(月)'!P38</f>
        <v>304.34155569092457</v>
      </c>
      <c r="G29" s="124"/>
      <c r="H29" s="124"/>
      <c r="I29" s="125"/>
      <c r="J29" s="1"/>
      <c r="K29" s="126"/>
      <c r="L29" s="67"/>
      <c r="M29" s="67"/>
      <c r="N29" s="67"/>
      <c r="O29" s="67"/>
      <c r="P29" s="67"/>
    </row>
    <row r="30" spans="1:16" ht="18" customHeight="1">
      <c r="A30" s="107" t="s">
        <v>235</v>
      </c>
      <c r="B30" s="488">
        <f>'（５-3）品群別人時生產性(4℃-飯糰)'!C1</f>
        <v>331.07659362533582</v>
      </c>
      <c r="C30" s="489">
        <f>'數值累積總表(月)'!F39</f>
        <v>331.13667122055222</v>
      </c>
      <c r="D30" s="222">
        <f t="shared" si="7"/>
        <v>-6.0077595216398549E-2</v>
      </c>
      <c r="E30" s="455">
        <f>'數值累積總表(月)'!P39</f>
        <v>281.00466799140207</v>
      </c>
      <c r="L30" s="99"/>
    </row>
    <row r="31" spans="1:16" ht="18" customHeight="1">
      <c r="A31" s="107" t="s">
        <v>220</v>
      </c>
      <c r="B31" s="488">
        <f>'（５-4）品群別人時生產性(4℃-壽司手卷)'!C1</f>
        <v>416.80190173613738</v>
      </c>
      <c r="C31" s="489">
        <f>'數值累積總表(月)'!F40</f>
        <v>493.97618103140815</v>
      </c>
      <c r="D31" s="222">
        <f t="shared" si="7"/>
        <v>-77.174279295270765</v>
      </c>
      <c r="E31" s="455">
        <f>'數值累積總表(月)'!P40</f>
        <v>471.76198319967102</v>
      </c>
      <c r="L31" s="99"/>
    </row>
    <row r="32" spans="1:16" ht="18" customHeight="1">
      <c r="A32" s="107" t="s">
        <v>224</v>
      </c>
      <c r="B32" s="488">
        <f>'（５-5）品群別人時生產性(微波主食) '!C1</f>
        <v>82.282454157599574</v>
      </c>
      <c r="C32" s="489">
        <f>'數值累積總表(月)'!F41</f>
        <v>79.94999927589204</v>
      </c>
      <c r="D32" s="222">
        <f t="shared" si="7"/>
        <v>2.3324548817075339</v>
      </c>
      <c r="E32" s="455">
        <f>'數值累積總表(月)'!P41</f>
        <v>81.588586860927506</v>
      </c>
      <c r="L32" s="99"/>
    </row>
    <row r="33" spans="1:12" ht="18" customHeight="1">
      <c r="A33" s="107" t="s">
        <v>226</v>
      </c>
      <c r="B33" s="488">
        <f>'（５-6）品群別人時生產性(便當)'!C1</f>
        <v>78.189351465199536</v>
      </c>
      <c r="C33" s="489">
        <f>'數值累積總表(月)'!F42</f>
        <v>77.906796798443906</v>
      </c>
      <c r="D33" s="222">
        <f t="shared" si="7"/>
        <v>0.28255466675562957</v>
      </c>
      <c r="E33" s="455">
        <f>'數值累積總表(月)'!P42</f>
        <v>78.093459448316466</v>
      </c>
      <c r="L33" s="99"/>
    </row>
    <row r="34" spans="1:12" ht="18" customHeight="1">
      <c r="A34" s="107" t="s">
        <v>236</v>
      </c>
      <c r="B34" s="488">
        <f>'（５-7）品群別人時生產性(熱食義麵) '!C1</f>
        <v>0</v>
      </c>
      <c r="C34" s="489">
        <f>'數值累積總表(月)'!F43</f>
        <v>0</v>
      </c>
      <c r="D34" s="222">
        <f t="shared" si="7"/>
        <v>0</v>
      </c>
      <c r="E34" s="455">
        <f>'數值累積總表(月)'!P43</f>
        <v>74.600054218307051</v>
      </c>
      <c r="L34" s="99"/>
    </row>
    <row r="35" spans="1:12" ht="18" customHeight="1">
      <c r="A35" s="107" t="s">
        <v>237</v>
      </c>
      <c r="B35" s="488">
        <f>'（５-8）品群別人時生產性(季節調理麵) '!C1</f>
        <v>159.74228643292116</v>
      </c>
      <c r="C35" s="489">
        <f>'數值累積總表(月)'!F44</f>
        <v>84.60142398436416</v>
      </c>
      <c r="D35" s="222">
        <f t="shared" si="7"/>
        <v>75.140862448557002</v>
      </c>
      <c r="E35" s="455">
        <f>'數值累積總表(月)'!P44</f>
        <v>113.07737917087161</v>
      </c>
      <c r="L35" s="99"/>
    </row>
    <row r="36" spans="1:12" ht="18" customHeight="1">
      <c r="A36" s="103" t="s">
        <v>232</v>
      </c>
      <c r="B36" s="488">
        <f>'（５-9）品群別人時生產性(微波小吃)'!C1</f>
        <v>83.064526679068933</v>
      </c>
      <c r="C36" s="489">
        <f>'數值累積總表(月)'!F45</f>
        <v>83.044478559400275</v>
      </c>
      <c r="D36" s="222">
        <f t="shared" si="7"/>
        <v>2.004811966865816E-2</v>
      </c>
      <c r="E36" s="455">
        <f>'數值累積總表(月)'!P45</f>
        <v>79.956202129187787</v>
      </c>
      <c r="L36" s="99"/>
    </row>
    <row r="37" spans="1:12" ht="15.75" customHeight="1">
      <c r="L37" s="99"/>
    </row>
  </sheetData>
  <mergeCells count="2">
    <mergeCell ref="A1:K2"/>
    <mergeCell ref="D3:E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3">
    <tabColor rgb="FF92D050"/>
    <outlinePr summaryBelow="0" summaryRight="0"/>
  </sheetPr>
  <dimension ref="A1:Q38"/>
  <sheetViews>
    <sheetView view="pageBreakPreview" topLeftCell="A25" zoomScaleNormal="60" zoomScaleSheetLayoutView="100" workbookViewId="0">
      <selection activeCell="B15" sqref="B15:B23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507" t="s">
        <v>371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99"/>
    </row>
    <row r="2" spans="1:16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</row>
    <row r="3" spans="1:16" ht="21.6" customHeight="1">
      <c r="A3" s="114" t="s">
        <v>325</v>
      </c>
      <c r="B3" s="115">
        <v>5</v>
      </c>
      <c r="C3" s="157" t="s">
        <v>326</v>
      </c>
      <c r="D3" s="115" t="s">
        <v>783</v>
      </c>
      <c r="E3" s="114" t="s">
        <v>20</v>
      </c>
      <c r="F3" s="517" t="s">
        <v>370</v>
      </c>
      <c r="G3" s="518"/>
      <c r="H3" s="100"/>
      <c r="I3" s="109"/>
      <c r="J3" s="100"/>
      <c r="K3" s="100"/>
      <c r="M3" s="100"/>
      <c r="N3" s="100"/>
    </row>
    <row r="4" spans="1:16" ht="15.75" customHeight="1">
      <c r="A4" s="110" t="s">
        <v>414</v>
      </c>
      <c r="E4" s="102" t="s">
        <v>420</v>
      </c>
      <c r="G4" s="111" t="s">
        <v>71</v>
      </c>
      <c r="L4" s="99"/>
    </row>
    <row r="5" spans="1:16" s="104" customFormat="1" ht="15.75" customHeight="1">
      <c r="A5" s="121" t="s">
        <v>197</v>
      </c>
      <c r="B5" s="121" t="s">
        <v>328</v>
      </c>
      <c r="C5" s="121" t="s">
        <v>330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327</v>
      </c>
      <c r="J5" s="116" t="s">
        <v>329</v>
      </c>
      <c r="K5" s="116" t="s">
        <v>3</v>
      </c>
      <c r="L5" s="105" t="s">
        <v>60</v>
      </c>
    </row>
    <row r="6" spans="1:16" ht="18" customHeight="1">
      <c r="A6" s="107" t="s">
        <v>24</v>
      </c>
      <c r="B6" s="117">
        <f>'（１）收支狀況'!G33/1000</f>
        <v>37624.281149999995</v>
      </c>
      <c r="C6" s="117">
        <v>42842.57084</v>
      </c>
      <c r="D6" s="117">
        <f>B6-C6</f>
        <v>-5218.2896900000051</v>
      </c>
      <c r="E6" s="216">
        <f>'（１）收支狀況'!H6:H6/1000</f>
        <v>160648.31477000003</v>
      </c>
      <c r="G6" s="217" t="s">
        <v>416</v>
      </c>
      <c r="H6" s="218">
        <v>442.4</v>
      </c>
      <c r="I6" s="218">
        <f>'（２）ＫＰＩ達成進度'!G33</f>
        <v>409.72046242744102</v>
      </c>
      <c r="J6" s="218">
        <v>399.10175002113846</v>
      </c>
      <c r="K6" s="218">
        <f>'（２）ＫＰＩ達成進度'!H6</f>
        <v>402.86432092718081</v>
      </c>
      <c r="L6" s="101" t="s">
        <v>195</v>
      </c>
    </row>
    <row r="7" spans="1:16" ht="18" customHeight="1">
      <c r="A7" s="107" t="s">
        <v>25</v>
      </c>
      <c r="B7" s="117">
        <f>'（１）收支狀況'!J33</f>
        <v>1262288</v>
      </c>
      <c r="C7" s="117">
        <v>1445720</v>
      </c>
      <c r="D7" s="117">
        <f t="shared" ref="D7:D11" si="0">B7-C7</f>
        <v>-183432</v>
      </c>
      <c r="E7" s="216">
        <f>'（１）收支狀況'!K6:K6</f>
        <v>5396292</v>
      </c>
      <c r="G7" s="217" t="s">
        <v>417</v>
      </c>
      <c r="H7" s="219">
        <v>0.8</v>
      </c>
      <c r="I7" s="118">
        <f>'（２）ＫＰＩ達成進度'!J33</f>
        <v>0.92613124418499349</v>
      </c>
      <c r="J7" s="118">
        <v>0.90212872970420077</v>
      </c>
      <c r="K7" s="219">
        <f>'（２）ＫＰＩ達成進度'!K6</f>
        <v>0.91063363681550835</v>
      </c>
      <c r="L7" s="101" t="s">
        <v>4</v>
      </c>
    </row>
    <row r="8" spans="1:16" ht="18" customHeight="1">
      <c r="A8" s="107" t="s">
        <v>415</v>
      </c>
      <c r="B8" s="117">
        <f>'（１）收支狀況'!M33/1000</f>
        <v>25299.964531154637</v>
      </c>
      <c r="C8" s="117">
        <v>28823.930926192374</v>
      </c>
      <c r="D8" s="117">
        <f>B8-C8</f>
        <v>-3523.9663950377362</v>
      </c>
      <c r="E8" s="216">
        <f>'（１）收支狀況'!N6:N6/1000</f>
        <v>107165.65363367919</v>
      </c>
      <c r="G8" s="217" t="s">
        <v>200</v>
      </c>
      <c r="H8" s="118">
        <v>2.5000000000000001E-3</v>
      </c>
      <c r="I8" s="220">
        <f>'（２）ＫＰＩ達成進度'!M33</f>
        <v>2.0023818766068025E-3</v>
      </c>
      <c r="J8" s="220">
        <v>2.00926755246665E-3</v>
      </c>
      <c r="K8" s="220">
        <f>'（２）ＫＰＩ達成進度'!N6</f>
        <v>2.0113648122943311E-3</v>
      </c>
      <c r="L8" s="101" t="s">
        <v>55</v>
      </c>
    </row>
    <row r="9" spans="1:16" ht="18" customHeight="1">
      <c r="A9" s="107" t="s">
        <v>6</v>
      </c>
      <c r="B9" s="219">
        <f>'（１）收支狀況'!P33</f>
        <v>0.67243715382332658</v>
      </c>
      <c r="C9" s="219">
        <v>0.67278714514678206</v>
      </c>
      <c r="D9" s="219">
        <f t="shared" si="0"/>
        <v>-3.4999132345547856E-4</v>
      </c>
      <c r="E9" s="219">
        <f>'（１）收支狀況'!Q6</f>
        <v>0.66708233937659478</v>
      </c>
      <c r="G9" s="217" t="s">
        <v>201</v>
      </c>
      <c r="H9" s="118">
        <v>4.0000000000000001E-3</v>
      </c>
      <c r="I9" s="118">
        <f>'（２）ＫＰＩ達成進度'!P33</f>
        <v>5.388819720072888E-3</v>
      </c>
      <c r="J9" s="118">
        <v>4.2144964567611045E-3</v>
      </c>
      <c r="K9" s="118">
        <f>'（２）ＫＰＩ達成進度'!Q6</f>
        <v>4.3085188206646403E-3</v>
      </c>
      <c r="L9" s="101" t="s">
        <v>98</v>
      </c>
    </row>
    <row r="10" spans="1:16" ht="18" customHeight="1">
      <c r="A10" s="107" t="s">
        <v>64</v>
      </c>
      <c r="B10" s="117">
        <f>'（１）收支狀況'!S33/1000</f>
        <v>5540.8398999999999</v>
      </c>
      <c r="C10" s="117">
        <v>6142.920948</v>
      </c>
      <c r="D10" s="117">
        <f t="shared" si="0"/>
        <v>-602.08104800000001</v>
      </c>
      <c r="E10" s="216">
        <f>'（１）收支狀況'!T6/1000</f>
        <v>24653.627101999999</v>
      </c>
      <c r="G10" s="217" t="s">
        <v>418</v>
      </c>
      <c r="H10" s="219">
        <v>0.8</v>
      </c>
      <c r="I10" s="219">
        <f>'（２）ＫＰＩ達成進度'!S33</f>
        <v>0.90000000000000013</v>
      </c>
      <c r="J10" s="219">
        <v>0.90000000000000013</v>
      </c>
      <c r="K10" s="219">
        <f>'（２）ＫＰＩ達成進度'!T6</f>
        <v>0.89999999999999958</v>
      </c>
      <c r="L10" s="101" t="s">
        <v>7</v>
      </c>
      <c r="M10" s="318"/>
      <c r="N10" s="318"/>
      <c r="O10" s="318"/>
      <c r="P10" s="318"/>
    </row>
    <row r="11" spans="1:16" ht="18" customHeight="1">
      <c r="A11" s="107" t="s">
        <v>65</v>
      </c>
      <c r="B11" s="219">
        <f>'（１）收支狀況'!V33</f>
        <v>0.14726766148461021</v>
      </c>
      <c r="C11" s="219">
        <v>0.14338357450446593</v>
      </c>
      <c r="D11" s="219">
        <f t="shared" si="0"/>
        <v>3.8840869801442801E-3</v>
      </c>
      <c r="E11" s="219">
        <f>'（１）收支狀況'!W6</f>
        <v>0.15346334094631842</v>
      </c>
      <c r="G11" s="217" t="s">
        <v>419</v>
      </c>
      <c r="H11" s="219">
        <v>1</v>
      </c>
      <c r="I11" s="315">
        <f>18/52*100%</f>
        <v>0.34615384615384615</v>
      </c>
      <c r="J11" s="315">
        <v>0.32692307692307693</v>
      </c>
      <c r="K11" s="315">
        <f>'（２）ＫＰＩ達成進度'!W6</f>
        <v>0.30384615384615377</v>
      </c>
      <c r="L11" s="101" t="s">
        <v>62</v>
      </c>
      <c r="M11" s="319"/>
      <c r="N11" s="319"/>
      <c r="O11" s="319"/>
      <c r="P11" s="319"/>
    </row>
    <row r="12" spans="1:16" ht="9.6" customHeight="1">
      <c r="L12" s="99"/>
    </row>
    <row r="13" spans="1:16" ht="15.75" customHeight="1">
      <c r="A13" s="110" t="s">
        <v>32</v>
      </c>
      <c r="E13" s="317" t="s">
        <v>23</v>
      </c>
      <c r="G13" s="110" t="s">
        <v>33</v>
      </c>
      <c r="K13" s="317" t="s">
        <v>448</v>
      </c>
      <c r="L13" s="99"/>
    </row>
    <row r="14" spans="1:16" s="106" customFormat="1" ht="14.25">
      <c r="A14" s="120"/>
      <c r="B14" s="158" t="s">
        <v>328</v>
      </c>
      <c r="C14" s="120" t="s">
        <v>66</v>
      </c>
      <c r="D14" s="158" t="s">
        <v>331</v>
      </c>
      <c r="E14" s="120" t="s">
        <v>68</v>
      </c>
      <c r="G14" s="120"/>
      <c r="H14" s="158" t="s">
        <v>328</v>
      </c>
      <c r="I14" s="120" t="s">
        <v>66</v>
      </c>
      <c r="J14" s="158" t="s">
        <v>331</v>
      </c>
      <c r="K14" s="120" t="s">
        <v>68</v>
      </c>
    </row>
    <row r="15" spans="1:16" ht="18" customHeight="1">
      <c r="A15" s="107" t="s">
        <v>391</v>
      </c>
      <c r="B15" s="117">
        <f>SUM('（３）業績構成比'!M35:M41)/1000</f>
        <v>14606.671350000002</v>
      </c>
      <c r="C15" s="219">
        <f>IFERROR(B15/$B$6,"")</f>
        <v>0.38822459601995624</v>
      </c>
      <c r="D15" s="219">
        <v>0.39391672747674839</v>
      </c>
      <c r="E15" s="219">
        <f>IFERROR(C15-D15,"")</f>
        <v>-5.6921314567921488E-3</v>
      </c>
      <c r="G15" s="107" t="s">
        <v>392</v>
      </c>
      <c r="H15" s="117">
        <f>SUM('（４）訂單數量構成比'!M35:M41)</f>
        <v>738776</v>
      </c>
      <c r="I15" s="219">
        <f>IFERROR(H15/$B$7,"")</f>
        <v>0.58526738747417384</v>
      </c>
      <c r="J15" s="219">
        <v>0.58589459964794066</v>
      </c>
      <c r="K15" s="219">
        <f t="shared" ref="K15:K23" si="1">IFERROR(I15-J15,"")</f>
        <v>-6.2721217376682237E-4</v>
      </c>
      <c r="L15" s="99"/>
    </row>
    <row r="16" spans="1:16" ht="18" customHeight="1">
      <c r="A16" s="107" t="s">
        <v>223</v>
      </c>
      <c r="B16" s="117">
        <f>SUM('（３）業績構成比'!S35:S41)/1000</f>
        <v>1707.77325</v>
      </c>
      <c r="C16" s="219">
        <f t="shared" ref="C16:C23" si="2">IFERROR(B16/$B$6,"")</f>
        <v>4.5390189468111609E-2</v>
      </c>
      <c r="D16" s="219">
        <v>4.8102496172513574E-2</v>
      </c>
      <c r="E16" s="219">
        <f t="shared" ref="E16:E23" si="3">IFERROR(C16-D16,"")</f>
        <v>-2.712306704401965E-3</v>
      </c>
      <c r="G16" s="107" t="s">
        <v>254</v>
      </c>
      <c r="H16" s="117">
        <f>SUM('（４）訂單數量構成比'!S35:S41)</f>
        <v>64836</v>
      </c>
      <c r="I16" s="219">
        <f>IFERROR(H16/$B$7,"")</f>
        <v>5.1363872586921523E-2</v>
      </c>
      <c r="J16" s="219">
        <v>5.33362138622136E-2</v>
      </c>
      <c r="K16" s="219">
        <f t="shared" si="1"/>
        <v>-1.9723412752920763E-3</v>
      </c>
      <c r="L16" s="99"/>
    </row>
    <row r="17" spans="1:17" ht="18" customHeight="1">
      <c r="A17" s="107" t="s">
        <v>219</v>
      </c>
      <c r="B17" s="117">
        <f>SUM('（３）業績構成比'!U35:U41)/1000</f>
        <v>659.55543999999998</v>
      </c>
      <c r="C17" s="219">
        <f t="shared" si="2"/>
        <v>1.7530047613946241E-2</v>
      </c>
      <c r="D17" s="219">
        <v>1.6606452896765232E-2</v>
      </c>
      <c r="E17" s="219">
        <f t="shared" si="3"/>
        <v>9.2359471718100883E-4</v>
      </c>
      <c r="G17" s="107" t="s">
        <v>235</v>
      </c>
      <c r="H17" s="117">
        <f>SUM('（４）訂單數量構成比'!U35:U41)</f>
        <v>23517</v>
      </c>
      <c r="I17" s="219">
        <f t="shared" ref="I17:I23" si="4">IFERROR(H17/$B$7,"")</f>
        <v>1.863045517346279E-2</v>
      </c>
      <c r="J17" s="219">
        <v>1.7600836869443109E-2</v>
      </c>
      <c r="K17" s="219">
        <f t="shared" si="1"/>
        <v>1.0296183040196805E-3</v>
      </c>
      <c r="L17" s="99"/>
    </row>
    <row r="18" spans="1:17" ht="18" customHeight="1">
      <c r="A18" s="107" t="s">
        <v>221</v>
      </c>
      <c r="B18" s="117">
        <f>SUM('（３）業績構成比'!W35:W41)/1000</f>
        <v>594.51477</v>
      </c>
      <c r="C18" s="219">
        <f t="shared" si="2"/>
        <v>1.5801358905165423E-2</v>
      </c>
      <c r="D18" s="219">
        <v>3.0988527455987333E-2</v>
      </c>
      <c r="E18" s="219">
        <f t="shared" si="3"/>
        <v>-1.518716855082191E-2</v>
      </c>
      <c r="G18" s="107" t="s">
        <v>220</v>
      </c>
      <c r="H18" s="117">
        <f>SUM('（４）訂單數量構成比'!W35:W41)</f>
        <v>23986</v>
      </c>
      <c r="I18" s="219">
        <f t="shared" si="4"/>
        <v>1.9002002712534698E-2</v>
      </c>
      <c r="J18" s="219">
        <v>3.5706240064129667E-2</v>
      </c>
      <c r="K18" s="219">
        <f t="shared" si="1"/>
        <v>-1.6704237351594969E-2</v>
      </c>
      <c r="L18" s="99"/>
    </row>
    <row r="19" spans="1:17" ht="18" customHeight="1">
      <c r="A19" s="107" t="s">
        <v>225</v>
      </c>
      <c r="B19" s="117">
        <f>SUM('（３）業績構成比'!AC35:AC41)/1000</f>
        <v>5466.2702099999997</v>
      </c>
      <c r="C19" s="219">
        <f t="shared" si="2"/>
        <v>0.1452857049469502</v>
      </c>
      <c r="D19" s="219">
        <v>0.14777576688703278</v>
      </c>
      <c r="E19" s="219">
        <f t="shared" si="3"/>
        <v>-2.490061940082583E-3</v>
      </c>
      <c r="G19" s="107" t="s">
        <v>224</v>
      </c>
      <c r="H19" s="117">
        <f>SUM('（４）訂單數量構成比'!AC35:AC41)</f>
        <v>108472</v>
      </c>
      <c r="I19" s="219">
        <f t="shared" si="4"/>
        <v>8.5932845753108639E-2</v>
      </c>
      <c r="J19" s="219">
        <v>8.7049772270029691E-2</v>
      </c>
      <c r="K19" s="219">
        <f t="shared" si="1"/>
        <v>-1.1169265169210518E-3</v>
      </c>
      <c r="L19" s="99"/>
    </row>
    <row r="20" spans="1:17" ht="18" customHeight="1">
      <c r="A20" s="107" t="s">
        <v>227</v>
      </c>
      <c r="B20" s="117">
        <f>SUM('（３）業績構成比'!AE35:AE41)/1000</f>
        <v>9747.8154800000011</v>
      </c>
      <c r="C20" s="219">
        <f t="shared" si="2"/>
        <v>0.25908310224287173</v>
      </c>
      <c r="D20" s="219">
        <v>0.25091633456118179</v>
      </c>
      <c r="E20" s="219">
        <f t="shared" si="3"/>
        <v>8.1667676816899459E-3</v>
      </c>
      <c r="G20" s="107" t="s">
        <v>226</v>
      </c>
      <c r="H20" s="117">
        <f>SUM('（４）訂單數量構成比'!AE35:AE41)</f>
        <v>157290</v>
      </c>
      <c r="I20" s="219">
        <f t="shared" si="4"/>
        <v>0.12460706273053376</v>
      </c>
      <c r="J20" s="219">
        <v>0.11899663788269757</v>
      </c>
      <c r="K20" s="219">
        <f t="shared" si="1"/>
        <v>5.6104248478361929E-3</v>
      </c>
      <c r="L20" s="99"/>
    </row>
    <row r="21" spans="1:17" ht="18" customHeight="1">
      <c r="A21" s="107" t="s">
        <v>230</v>
      </c>
      <c r="B21" s="117">
        <f>SUM('（３）業績構成比'!AG35:AG41)/1000</f>
        <v>0</v>
      </c>
      <c r="C21" s="219">
        <f t="shared" si="2"/>
        <v>0</v>
      </c>
      <c r="D21" s="219">
        <v>0</v>
      </c>
      <c r="E21" s="219">
        <f t="shared" si="3"/>
        <v>0</v>
      </c>
      <c r="G21" s="107" t="s">
        <v>236</v>
      </c>
      <c r="H21" s="117">
        <f>SUM('（４）訂單數量構成比'!AG35:AG41)</f>
        <v>0</v>
      </c>
      <c r="I21" s="219">
        <f t="shared" si="4"/>
        <v>0</v>
      </c>
      <c r="J21" s="219">
        <v>0</v>
      </c>
      <c r="K21" s="219">
        <f t="shared" si="1"/>
        <v>0</v>
      </c>
      <c r="L21" s="99"/>
    </row>
    <row r="22" spans="1:17" ht="18" customHeight="1">
      <c r="A22" s="107" t="s">
        <v>231</v>
      </c>
      <c r="B22" s="117">
        <f>SUM('（３）業績構成比'!AI35:AI41)/1000</f>
        <v>4376.0317500000001</v>
      </c>
      <c r="C22" s="219">
        <f t="shared" si="2"/>
        <v>0.11630871384767974</v>
      </c>
      <c r="D22" s="219">
        <v>9.9990949113120731E-2</v>
      </c>
      <c r="E22" s="219">
        <f t="shared" si="3"/>
        <v>1.6317764734559009E-2</v>
      </c>
      <c r="G22" s="107" t="s">
        <v>237</v>
      </c>
      <c r="H22" s="117">
        <f>SUM('（４）訂單數量構成比'!AI35:AI41)</f>
        <v>121774</v>
      </c>
      <c r="I22" s="219">
        <f t="shared" si="4"/>
        <v>9.6470852927382653E-2</v>
      </c>
      <c r="J22" s="219">
        <v>8.388663887051051E-2</v>
      </c>
      <c r="K22" s="219">
        <f t="shared" si="1"/>
        <v>1.2584214056872142E-2</v>
      </c>
      <c r="L22" s="99"/>
    </row>
    <row r="23" spans="1:17" ht="18" customHeight="1">
      <c r="A23" s="107" t="s">
        <v>233</v>
      </c>
      <c r="B23" s="117">
        <f>SUM('（３）業績構成比'!AK35:AK41)/1000</f>
        <v>465.64889999999991</v>
      </c>
      <c r="C23" s="219">
        <f t="shared" si="2"/>
        <v>1.2376286955319012E-2</v>
      </c>
      <c r="D23" s="219">
        <v>1.1702745436650053E-2</v>
      </c>
      <c r="E23" s="219">
        <f t="shared" si="3"/>
        <v>6.735415186689582E-4</v>
      </c>
      <c r="G23" s="107" t="s">
        <v>232</v>
      </c>
      <c r="H23" s="117">
        <f>SUM('（４）訂單數量構成比'!AK35:AK41)</f>
        <v>23637</v>
      </c>
      <c r="I23" s="219">
        <f t="shared" si="4"/>
        <v>1.8725520641882043E-2</v>
      </c>
      <c r="J23" s="219">
        <v>1.7529060533035237E-2</v>
      </c>
      <c r="K23" s="219">
        <f t="shared" si="1"/>
        <v>1.1964601088468065E-3</v>
      </c>
      <c r="L23" s="99"/>
    </row>
    <row r="24" spans="1:17" ht="15.75" customHeight="1">
      <c r="B24" s="102"/>
      <c r="C24" s="112">
        <f>SUM(C15:C23)</f>
        <v>1.0000000000000002</v>
      </c>
      <c r="D24" s="112">
        <f>SUM(D15:D23)</f>
        <v>0.99999999999999978</v>
      </c>
      <c r="I24" s="112">
        <f>SUM(I15:I23)</f>
        <v>1</v>
      </c>
      <c r="J24" s="112">
        <f>SUM(J15:J23)</f>
        <v>1</v>
      </c>
      <c r="L24" s="99"/>
    </row>
    <row r="25" spans="1:17" ht="9.6" customHeight="1">
      <c r="A25" s="113"/>
      <c r="L25" s="99"/>
    </row>
    <row r="26" spans="1:17" ht="15.75" customHeight="1">
      <c r="A26" s="110" t="s">
        <v>432</v>
      </c>
      <c r="L26" s="99"/>
    </row>
    <row r="27" spans="1:17" ht="15.75" customHeight="1">
      <c r="A27" s="107" t="s">
        <v>188</v>
      </c>
      <c r="B27" s="159" t="s">
        <v>328</v>
      </c>
      <c r="C27" s="159" t="s">
        <v>330</v>
      </c>
      <c r="D27" s="107" t="s">
        <v>2</v>
      </c>
      <c r="E27" s="107" t="s">
        <v>3</v>
      </c>
      <c r="L27" s="99"/>
    </row>
    <row r="28" spans="1:17" ht="18" customHeight="1">
      <c r="A28" s="107" t="s">
        <v>392</v>
      </c>
      <c r="B28" s="210">
        <f>'（５-1）品群別人時生產性(18℃-飯糰)'!L163</f>
        <v>754.59133104919283</v>
      </c>
      <c r="C28" s="210">
        <v>747.01134769674832</v>
      </c>
      <c r="D28" s="221">
        <f>B28-C28</f>
        <v>7.5799833524445148</v>
      </c>
      <c r="E28" s="222">
        <f>'（５-1）品群別人時生產性(18℃-飯糰)'!C1</f>
        <v>740.76981301731939</v>
      </c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</row>
    <row r="29" spans="1:17" ht="18" customHeight="1">
      <c r="A29" s="107" t="s">
        <v>222</v>
      </c>
      <c r="B29" s="210">
        <f>'（５-2）品群別人時生產性(18℃-壽司手卷)'!L87</f>
        <v>319.3525945658962</v>
      </c>
      <c r="C29" s="210">
        <v>319.02574906475786</v>
      </c>
      <c r="D29" s="221">
        <f>B29-C29</f>
        <v>0.32684550113833666</v>
      </c>
      <c r="E29" s="222">
        <f>'（５-2）品群別人時生產性(18℃-壽司手卷)'!C1</f>
        <v>320.67204374311393</v>
      </c>
      <c r="G29" s="124"/>
      <c r="H29" s="124"/>
      <c r="I29" s="125"/>
      <c r="J29" s="1"/>
      <c r="K29" s="126"/>
      <c r="L29" s="67"/>
      <c r="M29" s="66"/>
      <c r="N29" s="67"/>
      <c r="O29" s="67"/>
      <c r="P29" s="67"/>
      <c r="Q29" s="67"/>
    </row>
    <row r="30" spans="1:17" ht="18" customHeight="1">
      <c r="A30" s="107" t="s">
        <v>235</v>
      </c>
      <c r="B30" s="210">
        <f>'（５-3）品群別人時生產性(4℃-飯糰)'!L87</f>
        <v>330.92770848601748</v>
      </c>
      <c r="C30" s="210">
        <v>330.64530833280173</v>
      </c>
      <c r="D30" s="221">
        <f>B30-C30</f>
        <v>0.28240015321574674</v>
      </c>
      <c r="E30" s="222">
        <f>'（５-3）品群別人時生產性(4℃-飯糰)'!C1</f>
        <v>331.07659362533582</v>
      </c>
      <c r="L30" s="99"/>
    </row>
    <row r="31" spans="1:17" ht="18" customHeight="1">
      <c r="A31" s="107" t="s">
        <v>220</v>
      </c>
      <c r="B31" s="210">
        <f>'（５-4）品群別人時生產性(4℃-壽司手卷)'!L87</f>
        <v>330.46632943390705</v>
      </c>
      <c r="C31" s="210">
        <v>368.48117707341515</v>
      </c>
      <c r="D31" s="221">
        <f>B31-C31</f>
        <v>-38.014847639508105</v>
      </c>
      <c r="E31" s="222">
        <f>'（５-4）品群別人時生產性(4℃-壽司手卷)'!C1</f>
        <v>416.80190173613738</v>
      </c>
      <c r="L31" s="99"/>
    </row>
    <row r="32" spans="1:17" ht="18" customHeight="1">
      <c r="A32" s="107" t="s">
        <v>225</v>
      </c>
      <c r="B32" s="210">
        <f>'（５-5）品群別人時生產性(微波主食) '!L87</f>
        <v>84.873928785145154</v>
      </c>
      <c r="C32" s="210">
        <v>84.026729631488195</v>
      </c>
      <c r="D32" s="221">
        <f t="shared" ref="D32:D36" si="5">B32-C32</f>
        <v>0.84719915365695897</v>
      </c>
      <c r="E32" s="222">
        <f>'（５-5）品群別人時生產性(微波主食) '!C1</f>
        <v>82.282454157599574</v>
      </c>
      <c r="L32" s="99"/>
    </row>
    <row r="33" spans="1:12" ht="18" customHeight="1">
      <c r="A33" s="107" t="s">
        <v>226</v>
      </c>
      <c r="B33" s="210">
        <f>'（５-6）品群別人時生產性(便當)'!L87</f>
        <v>78.556988347293995</v>
      </c>
      <c r="C33" s="210">
        <v>78.552970598954801</v>
      </c>
      <c r="D33" s="221">
        <f t="shared" si="5"/>
        <v>4.0177483391943269E-3</v>
      </c>
      <c r="E33" s="222">
        <f>'（５-6）品群別人時生產性(便當)'!C1</f>
        <v>78.189351465199536</v>
      </c>
      <c r="L33" s="99"/>
    </row>
    <row r="34" spans="1:12" ht="18" customHeight="1">
      <c r="A34" s="107" t="s">
        <v>236</v>
      </c>
      <c r="B34" s="210">
        <f>'（５-7）品群別人時生產性(熱食義麵) '!L87</f>
        <v>0</v>
      </c>
      <c r="C34" s="210">
        <v>0</v>
      </c>
      <c r="D34" s="221">
        <f t="shared" si="5"/>
        <v>0</v>
      </c>
      <c r="E34" s="222">
        <f>'（５-7）品群別人時生產性(熱食義麵) '!C1</f>
        <v>0</v>
      </c>
      <c r="L34" s="99"/>
    </row>
    <row r="35" spans="1:12" ht="18" customHeight="1">
      <c r="A35" s="107" t="s">
        <v>237</v>
      </c>
      <c r="B35" s="210">
        <f>'（５-6）品群別人時生產性(便當)'!L87</f>
        <v>78.556988347293995</v>
      </c>
      <c r="C35" s="210">
        <v>78.552970598954801</v>
      </c>
      <c r="D35" s="221">
        <f t="shared" si="5"/>
        <v>4.0177483391943269E-3</v>
      </c>
      <c r="E35" s="222">
        <f>'（５-8）品群別人時生產性(季節調理麵) '!C1</f>
        <v>159.74228643292116</v>
      </c>
      <c r="L35" s="99"/>
    </row>
    <row r="36" spans="1:12" ht="18" customHeight="1">
      <c r="A36" s="103" t="s">
        <v>232</v>
      </c>
      <c r="B36" s="210">
        <f>'（５-9）品群別人時生產性(微波小吃)'!L87</f>
        <v>83.100806249453484</v>
      </c>
      <c r="C36" s="210">
        <v>83.106080974728215</v>
      </c>
      <c r="D36" s="221">
        <f t="shared" si="5"/>
        <v>-5.2747252747309403E-3</v>
      </c>
      <c r="E36" s="223">
        <f>'（５-9）品群別人時生產性(微波小吃)'!C1</f>
        <v>83.064526679068933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>
    <tabColor rgb="FFFFFFCC"/>
    <pageSetUpPr fitToPage="1"/>
  </sheetPr>
  <dimension ref="B2:W39"/>
  <sheetViews>
    <sheetView zoomScale="80" zoomScaleNormal="80" workbookViewId="0">
      <selection activeCell="H6" sqref="H6:H35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29" t="s">
        <v>126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529"/>
      <c r="V2" s="529"/>
      <c r="W2" s="529"/>
    </row>
    <row r="3" spans="2:23" s="77" customFormat="1" ht="23.45" customHeight="1">
      <c r="B3" s="533" t="s">
        <v>122</v>
      </c>
      <c r="C3" s="534" t="s">
        <v>119</v>
      </c>
      <c r="D3" s="535" t="s">
        <v>105</v>
      </c>
      <c r="E3" s="535"/>
      <c r="F3" s="532" t="s">
        <v>123</v>
      </c>
      <c r="G3" s="532"/>
      <c r="H3" s="532"/>
      <c r="I3" s="530" t="s">
        <v>124</v>
      </c>
      <c r="J3" s="530"/>
      <c r="K3" s="530"/>
      <c r="L3" s="531" t="s">
        <v>125</v>
      </c>
      <c r="M3" s="531"/>
      <c r="N3" s="531"/>
      <c r="O3" s="528" t="s">
        <v>127</v>
      </c>
      <c r="P3" s="528"/>
      <c r="Q3" s="528"/>
      <c r="R3" s="536" t="s">
        <v>128</v>
      </c>
      <c r="S3" s="536"/>
      <c r="T3" s="536"/>
      <c r="U3" s="528" t="s">
        <v>129</v>
      </c>
      <c r="V3" s="528"/>
      <c r="W3" s="528"/>
    </row>
    <row r="4" spans="2:23" s="77" customFormat="1" ht="23.45" customHeight="1">
      <c r="B4" s="533"/>
      <c r="C4" s="534"/>
      <c r="D4" s="535"/>
      <c r="E4" s="535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25">
        <v>46120</v>
      </c>
      <c r="D5" s="80">
        <v>46112</v>
      </c>
      <c r="E5" s="80" t="s">
        <v>118</v>
      </c>
      <c r="F5" s="164">
        <v>5566321.9800000004</v>
      </c>
      <c r="G5" s="523">
        <f>SUM(F5:F11)</f>
        <v>30121754.649999999</v>
      </c>
      <c r="H5" s="456"/>
      <c r="I5" s="214">
        <v>179182</v>
      </c>
      <c r="J5" s="521">
        <f t="shared" ref="J5" si="0">SUM(I5:I11)</f>
        <v>995977</v>
      </c>
      <c r="K5" s="458"/>
      <c r="L5" s="164">
        <v>3707859.0558321653</v>
      </c>
      <c r="M5" s="523">
        <f t="shared" ref="M5" si="1">SUM(L5:L11)</f>
        <v>20020073.787437111</v>
      </c>
      <c r="N5" s="456"/>
      <c r="O5" s="154">
        <f t="shared" ref="O5:O11" si="2">L5/F5</f>
        <v>0.6661237113402062</v>
      </c>
      <c r="P5" s="519">
        <f>M5/G5</f>
        <v>0.66463836586083846</v>
      </c>
      <c r="Q5" s="457"/>
      <c r="R5" s="165">
        <v>863172.13600000006</v>
      </c>
      <c r="S5" s="522">
        <f t="shared" ref="S5" si="3">SUM(R5:R11)</f>
        <v>5296902.7679999992</v>
      </c>
      <c r="T5" s="456"/>
      <c r="U5" s="154">
        <f t="shared" ref="U5:U11" si="4">R5/F5</f>
        <v>0.15507046468052141</v>
      </c>
      <c r="V5" s="519">
        <f>S5/G5</f>
        <v>0.17584974147580076</v>
      </c>
      <c r="W5" s="457"/>
    </row>
    <row r="6" spans="2:23">
      <c r="B6" s="526"/>
      <c r="C6" s="520" t="s">
        <v>113</v>
      </c>
      <c r="D6" s="80">
        <f t="shared" ref="D6:D34" si="5">D5+1</f>
        <v>46113</v>
      </c>
      <c r="E6" s="80" t="s">
        <v>112</v>
      </c>
      <c r="F6" s="164">
        <v>4658389.7299999995</v>
      </c>
      <c r="G6" s="523"/>
      <c r="H6" s="523">
        <f>SUM(F6:F35)</f>
        <v>160648314.77000004</v>
      </c>
      <c r="I6" s="214">
        <v>156110</v>
      </c>
      <c r="J6" s="521"/>
      <c r="K6" s="521">
        <f>SUM(I6:I35)</f>
        <v>5396292</v>
      </c>
      <c r="L6" s="164">
        <v>3067045.3785228869</v>
      </c>
      <c r="M6" s="523"/>
      <c r="N6" s="523">
        <f>SUM(L6:L35)</f>
        <v>107165653.6336792</v>
      </c>
      <c r="O6" s="154">
        <f t="shared" si="2"/>
        <v>0.65839175257731974</v>
      </c>
      <c r="P6" s="519"/>
      <c r="Q6" s="527">
        <f>N6/H6</f>
        <v>0.66708233937659478</v>
      </c>
      <c r="R6" s="165">
        <v>766317.89199999999</v>
      </c>
      <c r="S6" s="522"/>
      <c r="T6" s="523">
        <f>SUM(R6:R35)</f>
        <v>24653627.101999998</v>
      </c>
      <c r="U6" s="154">
        <f t="shared" si="4"/>
        <v>0.16450274374102231</v>
      </c>
      <c r="V6" s="519"/>
      <c r="W6" s="527">
        <f>T6/H6</f>
        <v>0.15346334094631842</v>
      </c>
    </row>
    <row r="7" spans="2:23">
      <c r="B7" s="526"/>
      <c r="C7" s="520"/>
      <c r="D7" s="80">
        <f t="shared" si="5"/>
        <v>46114</v>
      </c>
      <c r="E7" s="80" t="s">
        <v>113</v>
      </c>
      <c r="F7" s="164">
        <v>3718970.84</v>
      </c>
      <c r="G7" s="523"/>
      <c r="H7" s="523"/>
      <c r="I7" s="214">
        <v>125387</v>
      </c>
      <c r="J7" s="521"/>
      <c r="K7" s="521"/>
      <c r="L7" s="164">
        <v>2504899.3903150517</v>
      </c>
      <c r="M7" s="523"/>
      <c r="N7" s="523"/>
      <c r="O7" s="154">
        <f t="shared" si="2"/>
        <v>0.67354639175257736</v>
      </c>
      <c r="P7" s="519"/>
      <c r="Q7" s="527"/>
      <c r="R7" s="165">
        <v>713559.71799999999</v>
      </c>
      <c r="S7" s="522"/>
      <c r="T7" s="523"/>
      <c r="U7" s="154">
        <f t="shared" si="4"/>
        <v>0.19187021052308117</v>
      </c>
      <c r="V7" s="519"/>
      <c r="W7" s="527"/>
    </row>
    <row r="8" spans="2:23">
      <c r="B8" s="526"/>
      <c r="C8" s="520"/>
      <c r="D8" s="80">
        <f t="shared" si="5"/>
        <v>46115</v>
      </c>
      <c r="E8" s="80" t="s">
        <v>114</v>
      </c>
      <c r="F8" s="164">
        <v>3549995.84</v>
      </c>
      <c r="G8" s="523"/>
      <c r="H8" s="523"/>
      <c r="I8" s="214">
        <v>119195</v>
      </c>
      <c r="J8" s="521"/>
      <c r="K8" s="521"/>
      <c r="L8" s="164">
        <v>2351927.1408428866</v>
      </c>
      <c r="M8" s="523"/>
      <c r="N8" s="523"/>
      <c r="O8" s="154">
        <f t="shared" si="2"/>
        <v>0.6625154639175258</v>
      </c>
      <c r="P8" s="519"/>
      <c r="Q8" s="527"/>
      <c r="R8" s="165">
        <v>705005.23800000001</v>
      </c>
      <c r="S8" s="522"/>
      <c r="T8" s="523"/>
      <c r="U8" s="154">
        <f t="shared" si="4"/>
        <v>0.19859325750646514</v>
      </c>
      <c r="V8" s="519"/>
      <c r="W8" s="527"/>
    </row>
    <row r="9" spans="2:23">
      <c r="B9" s="526"/>
      <c r="C9" s="520"/>
      <c r="D9" s="80">
        <f t="shared" si="5"/>
        <v>46116</v>
      </c>
      <c r="E9" s="80" t="s">
        <v>115</v>
      </c>
      <c r="F9" s="164">
        <v>3467991.8799999994</v>
      </c>
      <c r="G9" s="523"/>
      <c r="H9" s="523"/>
      <c r="I9" s="214">
        <v>114970</v>
      </c>
      <c r="J9" s="521"/>
      <c r="K9" s="521"/>
      <c r="L9" s="164">
        <v>2303676.1731538144</v>
      </c>
      <c r="M9" s="523"/>
      <c r="N9" s="523"/>
      <c r="O9" s="154">
        <f t="shared" si="2"/>
        <v>0.66426804123711347</v>
      </c>
      <c r="P9" s="519"/>
      <c r="Q9" s="527"/>
      <c r="R9" s="165">
        <v>709401.67599999998</v>
      </c>
      <c r="S9" s="522"/>
      <c r="T9" s="523"/>
      <c r="U9" s="154">
        <f t="shared" si="4"/>
        <v>0.20455690224972503</v>
      </c>
      <c r="V9" s="519"/>
      <c r="W9" s="527"/>
    </row>
    <row r="10" spans="2:23">
      <c r="B10" s="526"/>
      <c r="C10" s="520"/>
      <c r="D10" s="80">
        <f t="shared" si="5"/>
        <v>46117</v>
      </c>
      <c r="E10" s="80" t="s">
        <v>116</v>
      </c>
      <c r="F10" s="164">
        <v>3900098.7399999998</v>
      </c>
      <c r="G10" s="523"/>
      <c r="H10" s="523"/>
      <c r="I10" s="214">
        <v>129122</v>
      </c>
      <c r="J10" s="521"/>
      <c r="K10" s="521"/>
      <c r="L10" s="164">
        <v>2586288.1582655669</v>
      </c>
      <c r="M10" s="523"/>
      <c r="N10" s="523"/>
      <c r="O10" s="154">
        <f t="shared" si="2"/>
        <v>0.66313402061855675</v>
      </c>
      <c r="P10" s="519"/>
      <c r="Q10" s="527"/>
      <c r="R10" s="165">
        <v>736893.51199999999</v>
      </c>
      <c r="S10" s="522"/>
      <c r="T10" s="523"/>
      <c r="U10" s="154">
        <f t="shared" si="4"/>
        <v>0.18894227072825343</v>
      </c>
      <c r="V10" s="519"/>
      <c r="W10" s="527"/>
    </row>
    <row r="11" spans="2:23">
      <c r="B11" s="526"/>
      <c r="C11" s="520"/>
      <c r="D11" s="80">
        <f t="shared" si="5"/>
        <v>46118</v>
      </c>
      <c r="E11" s="80" t="s">
        <v>117</v>
      </c>
      <c r="F11" s="164">
        <v>5259985.6399999997</v>
      </c>
      <c r="G11" s="523"/>
      <c r="H11" s="523"/>
      <c r="I11" s="214">
        <v>172011</v>
      </c>
      <c r="J11" s="521"/>
      <c r="K11" s="521"/>
      <c r="L11" s="164">
        <v>3498378.4905047417</v>
      </c>
      <c r="M11" s="523"/>
      <c r="N11" s="523"/>
      <c r="O11" s="154">
        <f t="shared" si="2"/>
        <v>0.66509278350515455</v>
      </c>
      <c r="P11" s="519"/>
      <c r="Q11" s="527"/>
      <c r="R11" s="165">
        <v>802552.59600000002</v>
      </c>
      <c r="S11" s="522"/>
      <c r="T11" s="523"/>
      <c r="U11" s="154">
        <f t="shared" si="4"/>
        <v>0.15257695570438859</v>
      </c>
      <c r="V11" s="519"/>
      <c r="W11" s="527"/>
    </row>
    <row r="12" spans="2:23">
      <c r="B12" s="525">
        <f>B5+7</f>
        <v>46127</v>
      </c>
      <c r="C12" s="520"/>
      <c r="D12" s="80">
        <f t="shared" si="5"/>
        <v>46119</v>
      </c>
      <c r="E12" s="80" t="s">
        <v>118</v>
      </c>
      <c r="F12" s="164">
        <v>5422854.080000001</v>
      </c>
      <c r="G12" s="523">
        <f>SUM(F12:F18)</f>
        <v>35260129.75</v>
      </c>
      <c r="H12" s="523"/>
      <c r="I12" s="214">
        <v>179797</v>
      </c>
      <c r="J12" s="521">
        <f t="shared" ref="J12" si="6">SUM(I12:I18)</f>
        <v>1171613</v>
      </c>
      <c r="K12" s="521"/>
      <c r="L12" s="164">
        <v>3563094.6591208261</v>
      </c>
      <c r="M12" s="523">
        <f t="shared" ref="M12" si="7">SUM(L12:L18)</f>
        <v>23080516.55304949</v>
      </c>
      <c r="N12" s="523"/>
      <c r="O12" s="154">
        <f t="shared" ref="O12:O18" si="8">L12/F12</f>
        <v>0.65705154639175267</v>
      </c>
      <c r="P12" s="519">
        <f>M12/G12</f>
        <v>0.65457832165377927</v>
      </c>
      <c r="Q12" s="527"/>
      <c r="R12" s="165">
        <v>884506.99800000002</v>
      </c>
      <c r="S12" s="522">
        <f t="shared" ref="S12" si="9">SUM(R12:R18)</f>
        <v>5724562.6380000003</v>
      </c>
      <c r="T12" s="523"/>
      <c r="U12" s="154">
        <f t="shared" ref="U12:U18" si="10">R12/F12</f>
        <v>0.16310728353583134</v>
      </c>
      <c r="V12" s="519">
        <f>S12/G12</f>
        <v>0.16235228510467975</v>
      </c>
      <c r="W12" s="527"/>
    </row>
    <row r="13" spans="2:23">
      <c r="B13" s="526"/>
      <c r="C13" s="520"/>
      <c r="D13" s="80">
        <f t="shared" si="5"/>
        <v>46120</v>
      </c>
      <c r="E13" s="80" t="s">
        <v>112</v>
      </c>
      <c r="F13" s="164">
        <v>5000122.24</v>
      </c>
      <c r="G13" s="523"/>
      <c r="H13" s="523"/>
      <c r="I13" s="214">
        <v>166150</v>
      </c>
      <c r="J13" s="521"/>
      <c r="K13" s="521"/>
      <c r="L13" s="164">
        <v>3305441.6342037111</v>
      </c>
      <c r="M13" s="523"/>
      <c r="N13" s="523"/>
      <c r="O13" s="154">
        <f t="shared" si="8"/>
        <v>0.66107216494845356</v>
      </c>
      <c r="P13" s="519"/>
      <c r="Q13" s="527"/>
      <c r="R13" s="165">
        <v>818122.78599999996</v>
      </c>
      <c r="S13" s="522"/>
      <c r="T13" s="523"/>
      <c r="U13" s="154">
        <f t="shared" si="10"/>
        <v>0.16362055700462233</v>
      </c>
      <c r="V13" s="519"/>
      <c r="W13" s="527"/>
    </row>
    <row r="14" spans="2:23">
      <c r="B14" s="526"/>
      <c r="C14" s="520"/>
      <c r="D14" s="80">
        <f t="shared" si="5"/>
        <v>46121</v>
      </c>
      <c r="E14" s="80" t="s">
        <v>113</v>
      </c>
      <c r="F14" s="164">
        <v>4626484.24</v>
      </c>
      <c r="G14" s="523"/>
      <c r="H14" s="523"/>
      <c r="I14" s="214">
        <v>155377</v>
      </c>
      <c r="J14" s="521"/>
      <c r="K14" s="521"/>
      <c r="L14" s="164">
        <v>3006928.5817171144</v>
      </c>
      <c r="M14" s="523"/>
      <c r="N14" s="523"/>
      <c r="O14" s="154">
        <f t="shared" si="8"/>
        <v>0.64993814432989705</v>
      </c>
      <c r="P14" s="519"/>
      <c r="Q14" s="527"/>
      <c r="R14" s="165">
        <v>757121.41200000001</v>
      </c>
      <c r="S14" s="522"/>
      <c r="T14" s="523"/>
      <c r="U14" s="154">
        <f t="shared" si="10"/>
        <v>0.16364940908131137</v>
      </c>
      <c r="V14" s="519"/>
      <c r="W14" s="527"/>
    </row>
    <row r="15" spans="2:23">
      <c r="B15" s="526"/>
      <c r="C15" s="520"/>
      <c r="D15" s="80">
        <f t="shared" si="5"/>
        <v>46122</v>
      </c>
      <c r="E15" s="80" t="s">
        <v>114</v>
      </c>
      <c r="F15" s="164">
        <v>4119112.4899999998</v>
      </c>
      <c r="G15" s="523"/>
      <c r="H15" s="523"/>
      <c r="I15" s="214">
        <v>137940</v>
      </c>
      <c r="J15" s="521"/>
      <c r="K15" s="521"/>
      <c r="L15" s="164">
        <v>2680565.5342140202</v>
      </c>
      <c r="M15" s="523"/>
      <c r="N15" s="523"/>
      <c r="O15" s="154">
        <f t="shared" si="8"/>
        <v>0.65076288659793813</v>
      </c>
      <c r="P15" s="519"/>
      <c r="Q15" s="527"/>
      <c r="R15" s="165">
        <v>747813.04399999999</v>
      </c>
      <c r="S15" s="522"/>
      <c r="T15" s="523"/>
      <c r="U15" s="154">
        <f t="shared" si="10"/>
        <v>0.18154712837182072</v>
      </c>
      <c r="V15" s="519"/>
      <c r="W15" s="527"/>
    </row>
    <row r="16" spans="2:23">
      <c r="B16" s="526"/>
      <c r="C16" s="520"/>
      <c r="D16" s="80">
        <f t="shared" si="5"/>
        <v>46123</v>
      </c>
      <c r="E16" s="80" t="s">
        <v>115</v>
      </c>
      <c r="F16" s="164">
        <v>4445689.26</v>
      </c>
      <c r="G16" s="523"/>
      <c r="H16" s="523"/>
      <c r="I16" s="214">
        <v>148324</v>
      </c>
      <c r="J16" s="521"/>
      <c r="K16" s="521"/>
      <c r="L16" s="164">
        <v>3008585.8328189692</v>
      </c>
      <c r="M16" s="523"/>
      <c r="N16" s="523"/>
      <c r="O16" s="154">
        <f t="shared" si="8"/>
        <v>0.67674226804123716</v>
      </c>
      <c r="P16" s="519"/>
      <c r="Q16" s="527"/>
      <c r="R16" s="165">
        <v>783926.04200000002</v>
      </c>
      <c r="S16" s="522"/>
      <c r="T16" s="523"/>
      <c r="U16" s="154">
        <f t="shared" si="10"/>
        <v>0.17633397121417344</v>
      </c>
      <c r="V16" s="519"/>
      <c r="W16" s="527"/>
    </row>
    <row r="17" spans="2:23">
      <c r="B17" s="526"/>
      <c r="C17" s="520"/>
      <c r="D17" s="80">
        <f t="shared" si="5"/>
        <v>46124</v>
      </c>
      <c r="E17" s="80" t="s">
        <v>116</v>
      </c>
      <c r="F17" s="164">
        <v>5887717.3999999985</v>
      </c>
      <c r="G17" s="523"/>
      <c r="H17" s="523"/>
      <c r="I17" s="214">
        <v>191499</v>
      </c>
      <c r="J17" s="521"/>
      <c r="K17" s="521"/>
      <c r="L17" s="164">
        <v>3810263.6295628864</v>
      </c>
      <c r="M17" s="523"/>
      <c r="N17" s="523"/>
      <c r="O17" s="154">
        <f t="shared" si="8"/>
        <v>0.64715463917525784</v>
      </c>
      <c r="P17" s="519"/>
      <c r="Q17" s="527"/>
      <c r="R17" s="165">
        <v>882575.076</v>
      </c>
      <c r="S17" s="522"/>
      <c r="T17" s="523"/>
      <c r="U17" s="154">
        <f t="shared" si="10"/>
        <v>0.14990105944962648</v>
      </c>
      <c r="V17" s="519"/>
      <c r="W17" s="527"/>
    </row>
    <row r="18" spans="2:23">
      <c r="B18" s="526"/>
      <c r="C18" s="520"/>
      <c r="D18" s="80">
        <f t="shared" si="5"/>
        <v>46125</v>
      </c>
      <c r="E18" s="80" t="s">
        <v>117</v>
      </c>
      <c r="F18" s="164">
        <v>5758150.04</v>
      </c>
      <c r="G18" s="523"/>
      <c r="H18" s="523"/>
      <c r="I18" s="214">
        <v>192526</v>
      </c>
      <c r="J18" s="521"/>
      <c r="K18" s="521"/>
      <c r="L18" s="164">
        <v>3705636.6814119588</v>
      </c>
      <c r="M18" s="523"/>
      <c r="N18" s="523"/>
      <c r="O18" s="154">
        <f t="shared" si="8"/>
        <v>0.64354639175257733</v>
      </c>
      <c r="P18" s="519"/>
      <c r="Q18" s="527"/>
      <c r="R18" s="165">
        <v>850497.28</v>
      </c>
      <c r="S18" s="522"/>
      <c r="T18" s="523"/>
      <c r="U18" s="154">
        <f t="shared" si="10"/>
        <v>0.14770321615308238</v>
      </c>
      <c r="V18" s="519"/>
      <c r="W18" s="527"/>
    </row>
    <row r="19" spans="2:23">
      <c r="B19" s="525">
        <f>B12+7</f>
        <v>46134</v>
      </c>
      <c r="C19" s="520"/>
      <c r="D19" s="80">
        <f t="shared" si="5"/>
        <v>46126</v>
      </c>
      <c r="E19" s="80" t="s">
        <v>118</v>
      </c>
      <c r="F19" s="164">
        <v>6972503.2700000014</v>
      </c>
      <c r="G19" s="523">
        <f>SUM(F19:F25)</f>
        <v>42842570.840000004</v>
      </c>
      <c r="H19" s="523"/>
      <c r="I19" s="214">
        <v>236038</v>
      </c>
      <c r="J19" s="521">
        <f t="shared" ref="J19" si="11">SUM(I19:I25)</f>
        <v>1445720</v>
      </c>
      <c r="K19" s="521"/>
      <c r="L19" s="164">
        <v>4734401.6018070113</v>
      </c>
      <c r="M19" s="523">
        <f t="shared" ref="M19" si="12">SUM(L19:L25)</f>
        <v>28823930.926192373</v>
      </c>
      <c r="N19" s="523"/>
      <c r="O19" s="154">
        <f t="shared" ref="O19:O39" si="13">L19/F19</f>
        <v>0.67901030927835049</v>
      </c>
      <c r="P19" s="519">
        <f>M19/G19</f>
        <v>0.67278714514678206</v>
      </c>
      <c r="Q19" s="527"/>
      <c r="R19" s="165">
        <v>982263.52</v>
      </c>
      <c r="S19" s="522">
        <f t="shared" ref="S19" si="14">SUM(R19:R25)</f>
        <v>6142920.9479999999</v>
      </c>
      <c r="T19" s="523"/>
      <c r="U19" s="154">
        <f t="shared" ref="U19:U39" si="15">R19/F19</f>
        <v>0.14087673852033916</v>
      </c>
      <c r="V19" s="519">
        <f>S19/G19</f>
        <v>0.14338357450446593</v>
      </c>
      <c r="W19" s="527"/>
    </row>
    <row r="20" spans="2:23">
      <c r="B20" s="526"/>
      <c r="C20" s="520"/>
      <c r="D20" s="80">
        <f t="shared" si="5"/>
        <v>46127</v>
      </c>
      <c r="E20" s="80" t="s">
        <v>112</v>
      </c>
      <c r="F20" s="164">
        <v>6457162.1800000006</v>
      </c>
      <c r="G20" s="523"/>
      <c r="H20" s="523"/>
      <c r="I20" s="214">
        <v>218111</v>
      </c>
      <c r="J20" s="521"/>
      <c r="K20" s="521"/>
      <c r="L20" s="164">
        <v>4305928.6438259799</v>
      </c>
      <c r="M20" s="523"/>
      <c r="N20" s="523"/>
      <c r="O20" s="154">
        <f t="shared" si="13"/>
        <v>0.66684536082474233</v>
      </c>
      <c r="P20" s="519"/>
      <c r="Q20" s="527"/>
      <c r="R20" s="165">
        <v>906270.98199999996</v>
      </c>
      <c r="S20" s="522"/>
      <c r="T20" s="523"/>
      <c r="U20" s="154">
        <f t="shared" si="15"/>
        <v>0.14035128075410983</v>
      </c>
      <c r="V20" s="519"/>
      <c r="W20" s="527"/>
    </row>
    <row r="21" spans="2:23">
      <c r="B21" s="526"/>
      <c r="C21" s="520"/>
      <c r="D21" s="80">
        <f t="shared" si="5"/>
        <v>46128</v>
      </c>
      <c r="E21" s="80" t="s">
        <v>113</v>
      </c>
      <c r="F21" s="164">
        <v>5781414.5900000008</v>
      </c>
      <c r="G21" s="523"/>
      <c r="H21" s="523"/>
      <c r="I21" s="214">
        <v>197163</v>
      </c>
      <c r="J21" s="521"/>
      <c r="K21" s="521"/>
      <c r="L21" s="164">
        <v>3881534.471743919</v>
      </c>
      <c r="M21" s="523"/>
      <c r="N21" s="523"/>
      <c r="O21" s="154">
        <f t="shared" si="13"/>
        <v>0.6713814432989692</v>
      </c>
      <c r="P21" s="519"/>
      <c r="Q21" s="527"/>
      <c r="R21" s="165">
        <v>843663.47600000002</v>
      </c>
      <c r="S21" s="522"/>
      <c r="T21" s="523"/>
      <c r="U21" s="154">
        <f t="shared" si="15"/>
        <v>0.14592682515093591</v>
      </c>
      <c r="V21" s="519"/>
      <c r="W21" s="527"/>
    </row>
    <row r="22" spans="2:23">
      <c r="B22" s="526"/>
      <c r="C22" s="520"/>
      <c r="D22" s="80">
        <f t="shared" si="5"/>
        <v>46129</v>
      </c>
      <c r="E22" s="80" t="s">
        <v>114</v>
      </c>
      <c r="F22" s="164">
        <v>5012455.3299999991</v>
      </c>
      <c r="G22" s="523"/>
      <c r="H22" s="523"/>
      <c r="I22" s="214">
        <v>171515</v>
      </c>
      <c r="J22" s="521"/>
      <c r="K22" s="521"/>
      <c r="L22" s="164">
        <v>3414877.2992548454</v>
      </c>
      <c r="M22" s="523"/>
      <c r="N22" s="523"/>
      <c r="O22" s="154">
        <f t="shared" si="13"/>
        <v>0.68127835051546404</v>
      </c>
      <c r="P22" s="519"/>
      <c r="Q22" s="527"/>
      <c r="R22" s="165">
        <v>796938.66599999997</v>
      </c>
      <c r="S22" s="522"/>
      <c r="T22" s="523"/>
      <c r="U22" s="154">
        <f t="shared" si="15"/>
        <v>0.15899167444550574</v>
      </c>
      <c r="V22" s="519"/>
      <c r="W22" s="527"/>
    </row>
    <row r="23" spans="2:23">
      <c r="B23" s="526"/>
      <c r="C23" s="520"/>
      <c r="D23" s="80">
        <f t="shared" si="5"/>
        <v>46130</v>
      </c>
      <c r="E23" s="80" t="s">
        <v>115</v>
      </c>
      <c r="F23" s="164">
        <v>5245500.34</v>
      </c>
      <c r="G23" s="523"/>
      <c r="H23" s="523"/>
      <c r="I23" s="214">
        <v>179200</v>
      </c>
      <c r="J23" s="521"/>
      <c r="K23" s="521"/>
      <c r="L23" s="164">
        <v>3454675.708459381</v>
      </c>
      <c r="M23" s="523"/>
      <c r="N23" s="523"/>
      <c r="O23" s="154">
        <f t="shared" si="13"/>
        <v>0.65859793814432988</v>
      </c>
      <c r="P23" s="519"/>
      <c r="Q23" s="527"/>
      <c r="R23" s="165">
        <v>802448.93200000003</v>
      </c>
      <c r="S23" s="522"/>
      <c r="T23" s="523"/>
      <c r="U23" s="154">
        <f t="shared" si="15"/>
        <v>0.15297853016629487</v>
      </c>
      <c r="V23" s="519"/>
      <c r="W23" s="527"/>
    </row>
    <row r="24" spans="2:23">
      <c r="B24" s="526"/>
      <c r="C24" s="520"/>
      <c r="D24" s="80">
        <f t="shared" si="5"/>
        <v>46131</v>
      </c>
      <c r="E24" s="80" t="s">
        <v>116</v>
      </c>
      <c r="F24" s="164">
        <v>6890291.8599999994</v>
      </c>
      <c r="G24" s="523"/>
      <c r="H24" s="523"/>
      <c r="I24" s="214">
        <v>227448</v>
      </c>
      <c r="J24" s="521"/>
      <c r="K24" s="521"/>
      <c r="L24" s="164">
        <v>4653717.3290313408</v>
      </c>
      <c r="M24" s="523"/>
      <c r="N24" s="523"/>
      <c r="O24" s="154">
        <f t="shared" si="13"/>
        <v>0.6754020618556702</v>
      </c>
      <c r="P24" s="519"/>
      <c r="Q24" s="527"/>
      <c r="R24" s="165">
        <v>922125.71400000004</v>
      </c>
      <c r="S24" s="522"/>
      <c r="T24" s="523"/>
      <c r="U24" s="154">
        <f t="shared" si="15"/>
        <v>0.13382970311507242</v>
      </c>
      <c r="V24" s="519"/>
      <c r="W24" s="527"/>
    </row>
    <row r="25" spans="2:23">
      <c r="B25" s="526"/>
      <c r="C25" s="520"/>
      <c r="D25" s="80">
        <f t="shared" si="5"/>
        <v>46132</v>
      </c>
      <c r="E25" s="80" t="s">
        <v>117</v>
      </c>
      <c r="F25" s="164">
        <v>6483243.2699999996</v>
      </c>
      <c r="G25" s="523"/>
      <c r="H25" s="523"/>
      <c r="I25" s="214">
        <v>216245</v>
      </c>
      <c r="J25" s="521"/>
      <c r="K25" s="521"/>
      <c r="L25" s="164">
        <v>4378795.8720698962</v>
      </c>
      <c r="M25" s="523"/>
      <c r="N25" s="523"/>
      <c r="O25" s="154">
        <f t="shared" si="13"/>
        <v>0.67540206185567009</v>
      </c>
      <c r="P25" s="519"/>
      <c r="Q25" s="527"/>
      <c r="R25" s="165">
        <v>889209.65800000005</v>
      </c>
      <c r="S25" s="522"/>
      <c r="T25" s="523"/>
      <c r="U25" s="154">
        <f t="shared" si="15"/>
        <v>0.13715506590885645</v>
      </c>
      <c r="V25" s="519"/>
      <c r="W25" s="527"/>
    </row>
    <row r="26" spans="2:23">
      <c r="B26" s="525">
        <f>B19+7</f>
        <v>46141</v>
      </c>
      <c r="C26" s="520"/>
      <c r="D26" s="80">
        <f t="shared" si="5"/>
        <v>46133</v>
      </c>
      <c r="E26" s="80" t="s">
        <v>118</v>
      </c>
      <c r="F26" s="164">
        <v>6566952.1500000004</v>
      </c>
      <c r="G26" s="523">
        <f>SUM(F26:F32)</f>
        <v>41521897.800000004</v>
      </c>
      <c r="H26" s="523"/>
      <c r="I26" s="214">
        <v>222749</v>
      </c>
      <c r="J26" s="521">
        <f t="shared" ref="J26" si="16">SUM(I26:I32)</f>
        <v>1407149</v>
      </c>
      <c r="K26" s="521"/>
      <c r="L26" s="164">
        <v>4402836.764155671</v>
      </c>
      <c r="M26" s="523">
        <f t="shared" ref="M26" si="17">SUM(L26:L32)</f>
        <v>27819795.964653615</v>
      </c>
      <c r="N26" s="523"/>
      <c r="O26" s="154">
        <f t="shared" si="13"/>
        <v>0.67045360824742273</v>
      </c>
      <c r="P26" s="519">
        <f>M26/G26</f>
        <v>0.67000299694041465</v>
      </c>
      <c r="Q26" s="527"/>
      <c r="R26" s="165">
        <v>906043.13399999996</v>
      </c>
      <c r="S26" s="522">
        <f t="shared" ref="S26" si="18">SUM(R26:R32)</f>
        <v>5935188.1900000004</v>
      </c>
      <c r="T26" s="523"/>
      <c r="U26" s="154">
        <f t="shared" si="15"/>
        <v>0.1379701135784886</v>
      </c>
      <c r="V26" s="519">
        <f>S26/G26</f>
        <v>0.14294115886966996</v>
      </c>
      <c r="W26" s="527"/>
    </row>
    <row r="27" spans="2:23">
      <c r="B27" s="526"/>
      <c r="C27" s="520"/>
      <c r="D27" s="80">
        <f t="shared" si="5"/>
        <v>46134</v>
      </c>
      <c r="E27" s="80" t="s">
        <v>112</v>
      </c>
      <c r="F27" s="164">
        <v>6140458.7200000007</v>
      </c>
      <c r="G27" s="523"/>
      <c r="H27" s="523"/>
      <c r="I27" s="214">
        <v>209305</v>
      </c>
      <c r="J27" s="521"/>
      <c r="K27" s="521"/>
      <c r="L27" s="164">
        <v>4066249.7466028882</v>
      </c>
      <c r="M27" s="523"/>
      <c r="N27" s="523"/>
      <c r="O27" s="154">
        <f t="shared" si="13"/>
        <v>0.6622061855670105</v>
      </c>
      <c r="P27" s="519"/>
      <c r="Q27" s="527"/>
      <c r="R27" s="165">
        <v>869134.76599999995</v>
      </c>
      <c r="S27" s="522"/>
      <c r="T27" s="523"/>
      <c r="U27" s="154">
        <f t="shared" si="15"/>
        <v>0.14154231884486959</v>
      </c>
      <c r="V27" s="519"/>
      <c r="W27" s="527"/>
    </row>
    <row r="28" spans="2:23">
      <c r="B28" s="526"/>
      <c r="C28" s="520"/>
      <c r="D28" s="80">
        <f t="shared" si="5"/>
        <v>46135</v>
      </c>
      <c r="E28" s="80" t="s">
        <v>113</v>
      </c>
      <c r="F28" s="164">
        <v>5473020.1600000001</v>
      </c>
      <c r="G28" s="523"/>
      <c r="H28" s="523"/>
      <c r="I28" s="214">
        <v>188863</v>
      </c>
      <c r="J28" s="521"/>
      <c r="K28" s="521"/>
      <c r="L28" s="164">
        <v>3675612.631990104</v>
      </c>
      <c r="M28" s="523"/>
      <c r="N28" s="523"/>
      <c r="O28" s="154">
        <f t="shared" si="13"/>
        <v>0.67158762886597956</v>
      </c>
      <c r="P28" s="519"/>
      <c r="Q28" s="527"/>
      <c r="R28" s="165">
        <v>802300.08400000003</v>
      </c>
      <c r="S28" s="522"/>
      <c r="T28" s="523"/>
      <c r="U28" s="154">
        <f t="shared" si="15"/>
        <v>0.1465918378784119</v>
      </c>
      <c r="V28" s="519"/>
      <c r="W28" s="527"/>
    </row>
    <row r="29" spans="2:23">
      <c r="B29" s="526"/>
      <c r="C29" s="520"/>
      <c r="D29" s="80">
        <f t="shared" si="5"/>
        <v>46136</v>
      </c>
      <c r="E29" s="80" t="s">
        <v>114</v>
      </c>
      <c r="F29" s="164">
        <v>4824961.62</v>
      </c>
      <c r="G29" s="523"/>
      <c r="H29" s="523"/>
      <c r="I29" s="214">
        <v>166555</v>
      </c>
      <c r="J29" s="521"/>
      <c r="K29" s="521"/>
      <c r="L29" s="164">
        <v>3335888.9286977327</v>
      </c>
      <c r="M29" s="523"/>
      <c r="N29" s="523"/>
      <c r="O29" s="154">
        <f t="shared" si="13"/>
        <v>0.69138144329896922</v>
      </c>
      <c r="P29" s="519"/>
      <c r="Q29" s="527"/>
      <c r="R29" s="165">
        <v>757479.39399999997</v>
      </c>
      <c r="S29" s="522"/>
      <c r="T29" s="523"/>
      <c r="U29" s="154">
        <f t="shared" si="15"/>
        <v>0.15699179675547345</v>
      </c>
      <c r="V29" s="519"/>
      <c r="W29" s="527"/>
    </row>
    <row r="30" spans="2:23">
      <c r="B30" s="526"/>
      <c r="C30" s="520"/>
      <c r="D30" s="80">
        <f t="shared" si="5"/>
        <v>46137</v>
      </c>
      <c r="E30" s="80" t="s">
        <v>115</v>
      </c>
      <c r="F30" s="164">
        <v>5186632.5600000005</v>
      </c>
      <c r="G30" s="523"/>
      <c r="H30" s="523"/>
      <c r="I30" s="214">
        <v>176739</v>
      </c>
      <c r="J30" s="521"/>
      <c r="K30" s="521"/>
      <c r="L30" s="164">
        <v>3465098.3135901033</v>
      </c>
      <c r="M30" s="523"/>
      <c r="N30" s="523"/>
      <c r="O30" s="154">
        <f t="shared" si="13"/>
        <v>0.66808247422680411</v>
      </c>
      <c r="P30" s="519"/>
      <c r="Q30" s="527"/>
      <c r="R30" s="165">
        <v>783678.62600000005</v>
      </c>
      <c r="S30" s="522"/>
      <c r="T30" s="523"/>
      <c r="U30" s="154">
        <f t="shared" si="15"/>
        <v>0.15109584435262172</v>
      </c>
      <c r="V30" s="519"/>
      <c r="W30" s="527"/>
    </row>
    <row r="31" spans="2:23">
      <c r="B31" s="526"/>
      <c r="C31" s="520"/>
      <c r="D31" s="80">
        <f t="shared" si="5"/>
        <v>46138</v>
      </c>
      <c r="E31" s="80" t="s">
        <v>116</v>
      </c>
      <c r="F31" s="164">
        <v>6854398.3500000006</v>
      </c>
      <c r="G31" s="523"/>
      <c r="H31" s="523"/>
      <c r="I31" s="214">
        <v>225993</v>
      </c>
      <c r="J31" s="521"/>
      <c r="K31" s="521"/>
      <c r="L31" s="164">
        <v>4471187.6412154641</v>
      </c>
      <c r="M31" s="523"/>
      <c r="N31" s="523"/>
      <c r="O31" s="154">
        <f t="shared" si="13"/>
        <v>0.65230927835051544</v>
      </c>
      <c r="P31" s="519"/>
      <c r="Q31" s="527"/>
      <c r="R31" s="165">
        <v>920025.64399999997</v>
      </c>
      <c r="S31" s="522"/>
      <c r="T31" s="523"/>
      <c r="U31" s="154">
        <f t="shared" si="15"/>
        <v>0.13422412836569381</v>
      </c>
      <c r="V31" s="519"/>
      <c r="W31" s="527"/>
    </row>
    <row r="32" spans="2:23">
      <c r="B32" s="526"/>
      <c r="C32" s="520"/>
      <c r="D32" s="80">
        <f t="shared" si="5"/>
        <v>46139</v>
      </c>
      <c r="E32" s="80" t="s">
        <v>117</v>
      </c>
      <c r="F32" s="164">
        <v>6475474.2400000002</v>
      </c>
      <c r="G32" s="523"/>
      <c r="H32" s="523"/>
      <c r="I32" s="214">
        <v>216945</v>
      </c>
      <c r="J32" s="521"/>
      <c r="K32" s="521"/>
      <c r="L32" s="164">
        <v>4402921.9384016497</v>
      </c>
      <c r="M32" s="523"/>
      <c r="N32" s="523"/>
      <c r="O32" s="154">
        <f t="shared" si="13"/>
        <v>0.67993814432989697</v>
      </c>
      <c r="P32" s="519"/>
      <c r="Q32" s="527"/>
      <c r="R32" s="165">
        <v>896526.54200000002</v>
      </c>
      <c r="S32" s="522"/>
      <c r="T32" s="523"/>
      <c r="U32" s="154">
        <f t="shared" si="15"/>
        <v>0.13844955732539521</v>
      </c>
      <c r="V32" s="519"/>
      <c r="W32" s="527"/>
    </row>
    <row r="33" spans="2:23">
      <c r="B33" s="525">
        <f>B26+7</f>
        <v>46148</v>
      </c>
      <c r="C33" s="520"/>
      <c r="D33" s="80">
        <f t="shared" si="5"/>
        <v>46140</v>
      </c>
      <c r="E33" s="80" t="s">
        <v>118</v>
      </c>
      <c r="F33" s="164">
        <v>6434818.2700000005</v>
      </c>
      <c r="G33" s="523">
        <f>SUM(F33:F39)</f>
        <v>37624281.149999999</v>
      </c>
      <c r="H33" s="523"/>
      <c r="I33" s="214">
        <v>214895</v>
      </c>
      <c r="J33" s="521">
        <f t="shared" ref="J33" si="19">SUM(I33:I39)</f>
        <v>1262288</v>
      </c>
      <c r="K33" s="521"/>
      <c r="L33" s="164">
        <v>4415081.3932121648</v>
      </c>
      <c r="M33" s="523">
        <f t="shared" ref="M33" si="20">SUM(L33:L39)</f>
        <v>25299964.531154636</v>
      </c>
      <c r="N33" s="523"/>
      <c r="O33" s="154">
        <f t="shared" si="13"/>
        <v>0.68612371134020611</v>
      </c>
      <c r="P33" s="519">
        <f>M33/G33</f>
        <v>0.67243715382332658</v>
      </c>
      <c r="Q33" s="527"/>
      <c r="R33" s="165">
        <v>888285.34600000002</v>
      </c>
      <c r="S33" s="522">
        <f t="shared" ref="S33" si="21">SUM(R33:R39)</f>
        <v>5540839.9000000004</v>
      </c>
      <c r="T33" s="523"/>
      <c r="U33" s="154">
        <f t="shared" si="15"/>
        <v>0.1380435792788908</v>
      </c>
      <c r="V33" s="519">
        <f>S33/G33</f>
        <v>0.14726766148461021</v>
      </c>
      <c r="W33" s="527"/>
    </row>
    <row r="34" spans="2:23">
      <c r="B34" s="526"/>
      <c r="C34" s="520"/>
      <c r="D34" s="80">
        <f t="shared" si="5"/>
        <v>46141</v>
      </c>
      <c r="E34" s="80" t="s">
        <v>112</v>
      </c>
      <c r="F34" s="164">
        <v>5586966.5599999996</v>
      </c>
      <c r="G34" s="523"/>
      <c r="H34" s="523"/>
      <c r="I34" s="214">
        <v>189446</v>
      </c>
      <c r="J34" s="521"/>
      <c r="K34" s="521"/>
      <c r="L34" s="164">
        <v>3741194.0818375261</v>
      </c>
      <c r="M34" s="523"/>
      <c r="N34" s="523"/>
      <c r="O34" s="154">
        <f t="shared" si="13"/>
        <v>0.66962886597938154</v>
      </c>
      <c r="P34" s="519"/>
      <c r="Q34" s="527"/>
      <c r="R34" s="165">
        <v>808748.228</v>
      </c>
      <c r="S34" s="522"/>
      <c r="T34" s="523"/>
      <c r="U34" s="154">
        <f t="shared" si="15"/>
        <v>0.14475623208312169</v>
      </c>
      <c r="V34" s="519"/>
      <c r="W34" s="527"/>
    </row>
    <row r="35" spans="2:23">
      <c r="B35" s="526"/>
      <c r="C35" s="520"/>
      <c r="D35" s="80">
        <f t="shared" ref="D35:D39" si="22">D34+1</f>
        <v>46142</v>
      </c>
      <c r="E35" s="80" t="s">
        <v>113</v>
      </c>
      <c r="F35" s="164">
        <v>4446498.88</v>
      </c>
      <c r="G35" s="523"/>
      <c r="H35" s="523"/>
      <c r="I35" s="214">
        <v>150674</v>
      </c>
      <c r="J35" s="521"/>
      <c r="K35" s="521"/>
      <c r="L35" s="164">
        <v>2972919.983129072</v>
      </c>
      <c r="M35" s="523"/>
      <c r="N35" s="523"/>
      <c r="O35" s="154">
        <f t="shared" si="13"/>
        <v>0.66859793814432988</v>
      </c>
      <c r="P35" s="519"/>
      <c r="Q35" s="527"/>
      <c r="R35" s="165">
        <v>720191.12</v>
      </c>
      <c r="S35" s="522"/>
      <c r="T35" s="523"/>
      <c r="U35" s="154">
        <f t="shared" si="15"/>
        <v>0.16196813255466289</v>
      </c>
      <c r="V35" s="519"/>
      <c r="W35" s="527"/>
    </row>
    <row r="36" spans="2:23">
      <c r="B36" s="526"/>
      <c r="C36" s="524" t="s">
        <v>114</v>
      </c>
      <c r="D36" s="80">
        <f t="shared" si="22"/>
        <v>46143</v>
      </c>
      <c r="E36" s="80" t="s">
        <v>114</v>
      </c>
      <c r="F36" s="164">
        <v>4128529.58</v>
      </c>
      <c r="G36" s="523"/>
      <c r="H36" s="164"/>
      <c r="I36" s="214">
        <v>140738</v>
      </c>
      <c r="J36" s="521"/>
      <c r="K36" s="214"/>
      <c r="L36" s="164">
        <v>2836938.2538692784</v>
      </c>
      <c r="M36" s="523"/>
      <c r="N36" s="164"/>
      <c r="O36" s="154">
        <f t="shared" si="13"/>
        <v>0.68715463917525776</v>
      </c>
      <c r="P36" s="519"/>
      <c r="Q36" s="491"/>
      <c r="R36" s="165">
        <v>715052.78</v>
      </c>
      <c r="S36" s="522"/>
      <c r="T36" s="164"/>
      <c r="U36" s="154">
        <f t="shared" si="15"/>
        <v>0.17319793067826342</v>
      </c>
      <c r="V36" s="519"/>
      <c r="W36" s="491"/>
    </row>
    <row r="37" spans="2:23">
      <c r="B37" s="526"/>
      <c r="C37" s="524"/>
      <c r="D37" s="80">
        <f t="shared" si="22"/>
        <v>46144</v>
      </c>
      <c r="E37" s="80" t="s">
        <v>115</v>
      </c>
      <c r="F37" s="164">
        <v>4422738.33</v>
      </c>
      <c r="G37" s="523"/>
      <c r="I37" s="214">
        <v>150228</v>
      </c>
      <c r="J37" s="521"/>
      <c r="L37" s="164">
        <v>2943355.1562352581</v>
      </c>
      <c r="M37" s="523"/>
      <c r="O37" s="154">
        <f t="shared" si="13"/>
        <v>0.66550515463917537</v>
      </c>
      <c r="P37" s="519"/>
      <c r="R37" s="165">
        <v>720724.18200000003</v>
      </c>
      <c r="S37" s="522"/>
      <c r="U37" s="154">
        <f t="shared" si="15"/>
        <v>0.16295881153791886</v>
      </c>
      <c r="V37" s="519"/>
    </row>
    <row r="38" spans="2:23">
      <c r="B38" s="526"/>
      <c r="C38" s="524"/>
      <c r="D38" s="80">
        <f t="shared" si="22"/>
        <v>46145</v>
      </c>
      <c r="E38" s="80" t="s">
        <v>116</v>
      </c>
      <c r="F38" s="164">
        <v>6472238.8599999994</v>
      </c>
      <c r="G38" s="523"/>
      <c r="I38" s="214">
        <v>212432</v>
      </c>
      <c r="J38" s="521"/>
      <c r="L38" s="164">
        <v>4332663.4859303096</v>
      </c>
      <c r="M38" s="523"/>
      <c r="O38" s="154">
        <f t="shared" si="13"/>
        <v>0.6694226804123713</v>
      </c>
      <c r="P38" s="519"/>
      <c r="R38" s="165">
        <v>865468.50399999996</v>
      </c>
      <c r="S38" s="522"/>
      <c r="U38" s="154">
        <f t="shared" si="15"/>
        <v>0.13372011180687482</v>
      </c>
      <c r="V38" s="519"/>
    </row>
    <row r="39" spans="2:23">
      <c r="B39" s="526"/>
      <c r="C39" s="524"/>
      <c r="D39" s="80">
        <f t="shared" si="22"/>
        <v>46146</v>
      </c>
      <c r="E39" s="80" t="s">
        <v>117</v>
      </c>
      <c r="F39" s="164">
        <v>6132490.6699999999</v>
      </c>
      <c r="G39" s="523"/>
      <c r="I39" s="214">
        <v>203875</v>
      </c>
      <c r="J39" s="521"/>
      <c r="L39" s="164">
        <v>4057812.1769410307</v>
      </c>
      <c r="M39" s="523"/>
      <c r="O39" s="154">
        <f t="shared" si="13"/>
        <v>0.6616907216494845</v>
      </c>
      <c r="P39" s="519"/>
      <c r="R39" s="165">
        <v>822369.74</v>
      </c>
      <c r="S39" s="522"/>
      <c r="U39" s="154">
        <f t="shared" si="15"/>
        <v>0.13410044698853166</v>
      </c>
      <c r="V39" s="519"/>
    </row>
  </sheetData>
  <mergeCells count="53">
    <mergeCell ref="W6:W35"/>
    <mergeCell ref="B33:B39"/>
    <mergeCell ref="J33:J39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V5:V11"/>
    <mergeCell ref="S26:S32"/>
    <mergeCell ref="V26:V32"/>
    <mergeCell ref="V33:V39"/>
    <mergeCell ref="H6:H35"/>
    <mergeCell ref="K6:K35"/>
    <mergeCell ref="N6:N35"/>
    <mergeCell ref="M26:M32"/>
    <mergeCell ref="P26:P32"/>
    <mergeCell ref="S12:S18"/>
    <mergeCell ref="V12:V18"/>
    <mergeCell ref="S19:S25"/>
    <mergeCell ref="V19:V25"/>
    <mergeCell ref="Q6:Q35"/>
    <mergeCell ref="T6:T35"/>
    <mergeCell ref="M5:M11"/>
    <mergeCell ref="P19:P25"/>
    <mergeCell ref="J12:J18"/>
    <mergeCell ref="M12:M18"/>
    <mergeCell ref="B26:B32"/>
    <mergeCell ref="G26:G32"/>
    <mergeCell ref="J26:J32"/>
    <mergeCell ref="B5:B11"/>
    <mergeCell ref="G5:G11"/>
    <mergeCell ref="B12:B18"/>
    <mergeCell ref="G12:G18"/>
    <mergeCell ref="B19:B25"/>
    <mergeCell ref="G19:G25"/>
    <mergeCell ref="J19:J25"/>
    <mergeCell ref="P33:P39"/>
    <mergeCell ref="C6:C35"/>
    <mergeCell ref="J5:J11"/>
    <mergeCell ref="P5:P11"/>
    <mergeCell ref="S5:S11"/>
    <mergeCell ref="S33:S39"/>
    <mergeCell ref="P12:P18"/>
    <mergeCell ref="G33:G39"/>
    <mergeCell ref="M19:M25"/>
    <mergeCell ref="M33:M39"/>
    <mergeCell ref="C36:C39"/>
  </mergeCells>
  <phoneticPr fontId="15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FFCC"/>
  </sheetPr>
  <dimension ref="B1:W39"/>
  <sheetViews>
    <sheetView topLeftCell="E7" zoomScale="85" zoomScaleNormal="85" workbookViewId="0">
      <selection activeCell="U39" sqref="U39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6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3" t="s">
        <v>364</v>
      </c>
      <c r="C1" s="166">
        <v>442.4</v>
      </c>
    </row>
    <row r="2" spans="2:23" ht="38.1" customHeight="1">
      <c r="B2" s="529" t="s">
        <v>130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</row>
    <row r="3" spans="2:23" s="71" customFormat="1" ht="23.45" customHeight="1">
      <c r="B3" s="533" t="s">
        <v>122</v>
      </c>
      <c r="C3" s="534" t="s">
        <v>119</v>
      </c>
      <c r="D3" s="535" t="s">
        <v>105</v>
      </c>
      <c r="E3" s="535"/>
      <c r="F3" s="544" t="s">
        <v>107</v>
      </c>
      <c r="G3" s="544"/>
      <c r="H3" s="544"/>
      <c r="I3" s="545" t="s">
        <v>108</v>
      </c>
      <c r="J3" s="545"/>
      <c r="K3" s="545"/>
      <c r="L3" s="542" t="s">
        <v>324</v>
      </c>
      <c r="M3" s="542"/>
      <c r="N3" s="542"/>
      <c r="O3" s="542" t="s">
        <v>106</v>
      </c>
      <c r="P3" s="542"/>
      <c r="Q3" s="542"/>
      <c r="R3" s="542" t="s">
        <v>363</v>
      </c>
      <c r="S3" s="542"/>
      <c r="T3" s="542"/>
      <c r="U3" s="542" t="s">
        <v>449</v>
      </c>
      <c r="V3" s="542"/>
      <c r="W3" s="542"/>
    </row>
    <row r="4" spans="2:23" ht="15.75">
      <c r="B4" s="533"/>
      <c r="C4" s="534"/>
      <c r="D4" s="535"/>
      <c r="E4" s="535"/>
      <c r="F4" s="79" t="s">
        <v>116</v>
      </c>
      <c r="G4" s="90" t="s">
        <v>131</v>
      </c>
      <c r="H4" s="90" t="s">
        <v>132</v>
      </c>
      <c r="I4" s="79" t="s">
        <v>116</v>
      </c>
      <c r="J4" s="89" t="s">
        <v>131</v>
      </c>
      <c r="K4" s="89" t="s">
        <v>132</v>
      </c>
      <c r="L4" s="169" t="s">
        <v>116</v>
      </c>
      <c r="M4" s="89" t="s">
        <v>131</v>
      </c>
      <c r="N4" s="89" t="s">
        <v>132</v>
      </c>
      <c r="O4" s="167" t="s">
        <v>116</v>
      </c>
      <c r="P4" s="89" t="s">
        <v>131</v>
      </c>
      <c r="Q4" s="89" t="s">
        <v>132</v>
      </c>
      <c r="R4" s="79" t="s">
        <v>116</v>
      </c>
      <c r="S4" s="89" t="s">
        <v>131</v>
      </c>
      <c r="T4" s="89" t="s">
        <v>132</v>
      </c>
      <c r="U4" s="79" t="s">
        <v>116</v>
      </c>
      <c r="V4" s="89" t="s">
        <v>131</v>
      </c>
      <c r="W4" s="89" t="s">
        <v>132</v>
      </c>
    </row>
    <row r="5" spans="2:23">
      <c r="B5" s="525">
        <v>46120</v>
      </c>
      <c r="C5" s="459"/>
      <c r="D5" s="80">
        <v>46112</v>
      </c>
      <c r="E5" s="80" t="s">
        <v>118</v>
      </c>
      <c r="F5" s="87">
        <v>410.20374988511981</v>
      </c>
      <c r="G5" s="537">
        <f>AVERAGE(F5:F11)</f>
        <v>410.90558034951437</v>
      </c>
      <c r="H5" s="461"/>
      <c r="I5" s="154">
        <f>F5/$C$1</f>
        <v>0.92722366610560536</v>
      </c>
      <c r="J5" s="519">
        <f t="shared" ref="J5" si="0">AVERAGE(I5:I11)</f>
        <v>0.92881008216436367</v>
      </c>
      <c r="K5" s="460"/>
      <c r="L5" s="162">
        <v>2.0115286611573271E-3</v>
      </c>
      <c r="M5" s="541">
        <f t="shared" ref="M5" si="1">AVERAGE(L5:L11)</f>
        <v>2.0108330140377051E-3</v>
      </c>
      <c r="N5" s="462"/>
      <c r="O5" s="84">
        <v>4.4775692260619086E-3</v>
      </c>
      <c r="P5" s="538">
        <f t="shared" ref="P5" si="2">AVERAGE(O5:O11)</f>
        <v>4.4376523250051862E-3</v>
      </c>
      <c r="Q5" s="460"/>
      <c r="R5" s="154">
        <v>0.9</v>
      </c>
      <c r="S5" s="519">
        <f t="shared" ref="S5" si="3">AVERAGE(R5:R11)</f>
        <v>0.90000000000000013</v>
      </c>
      <c r="T5" s="460"/>
      <c r="U5" s="154">
        <f>14/52*100%</f>
        <v>0.26923076923076922</v>
      </c>
      <c r="V5" s="519">
        <f t="shared" ref="V5" si="4">AVERAGE(U5:U11)</f>
        <v>0.26923076923076922</v>
      </c>
      <c r="W5" s="460"/>
    </row>
    <row r="6" spans="2:23">
      <c r="B6" s="525"/>
      <c r="C6" s="520" t="s">
        <v>113</v>
      </c>
      <c r="D6" s="80">
        <f t="shared" ref="D6:D34" si="5">D5+1</f>
        <v>46113</v>
      </c>
      <c r="E6" s="80" t="s">
        <v>112</v>
      </c>
      <c r="F6" s="87">
        <v>412.35390058150983</v>
      </c>
      <c r="G6" s="537"/>
      <c r="H6" s="537">
        <f>AVERAGEIF(F6:F35,"&lt;&gt;0")</f>
        <v>402.86432092718081</v>
      </c>
      <c r="I6" s="154">
        <f t="shared" ref="I6:I39" si="6">F6/$C$1</f>
        <v>0.93208386207393723</v>
      </c>
      <c r="J6" s="519"/>
      <c r="K6" s="538">
        <f>AVERAGEIF(I6:I35,"&lt;&gt;0")</f>
        <v>0.91063363681550835</v>
      </c>
      <c r="L6" s="162">
        <v>2.0102006149665804E-3</v>
      </c>
      <c r="M6" s="541"/>
      <c r="N6" s="541">
        <f>AVERAGEIF(L6:L35,"&lt;&gt;0")</f>
        <v>2.0113648122943311E-3</v>
      </c>
      <c r="O6" s="84">
        <v>4.4516756007874792E-3</v>
      </c>
      <c r="P6" s="538"/>
      <c r="Q6" s="541">
        <f>AVERAGEIF(O6:O35,"&lt;&gt;0")</f>
        <v>4.3085188206646403E-3</v>
      </c>
      <c r="R6" s="154">
        <v>0.9</v>
      </c>
      <c r="S6" s="519"/>
      <c r="T6" s="538">
        <f>AVERAGEIF(R6:R35,"&lt;&gt;0")</f>
        <v>0.89999999999999958</v>
      </c>
      <c r="U6" s="154">
        <f t="shared" ref="U6:U11" si="7">14/52*100%</f>
        <v>0.26923076923076922</v>
      </c>
      <c r="V6" s="519"/>
      <c r="W6" s="538">
        <f>AVERAGEIF(U6:U35,"&lt;&gt;0")</f>
        <v>0.30384615384615377</v>
      </c>
    </row>
    <row r="7" spans="2:23">
      <c r="B7" s="525"/>
      <c r="C7" s="520"/>
      <c r="D7" s="80">
        <f t="shared" si="5"/>
        <v>46114</v>
      </c>
      <c r="E7" s="80" t="s">
        <v>113</v>
      </c>
      <c r="F7" s="87">
        <v>413.1263650492188</v>
      </c>
      <c r="G7" s="537"/>
      <c r="H7" s="537"/>
      <c r="I7" s="154">
        <f t="shared" si="6"/>
        <v>0.93382993908051271</v>
      </c>
      <c r="J7" s="519"/>
      <c r="K7" s="538"/>
      <c r="L7" s="162">
        <v>2.0157613013174359E-3</v>
      </c>
      <c r="M7" s="541"/>
      <c r="N7" s="541"/>
      <c r="O7" s="84">
        <v>4.4335571880956166E-3</v>
      </c>
      <c r="P7" s="538"/>
      <c r="Q7" s="541"/>
      <c r="R7" s="154">
        <v>0.9</v>
      </c>
      <c r="S7" s="519"/>
      <c r="T7" s="538"/>
      <c r="U7" s="154">
        <f t="shared" si="7"/>
        <v>0.26923076923076922</v>
      </c>
      <c r="V7" s="519"/>
      <c r="W7" s="538"/>
    </row>
    <row r="8" spans="2:23">
      <c r="B8" s="525"/>
      <c r="C8" s="520"/>
      <c r="D8" s="80">
        <f t="shared" si="5"/>
        <v>46115</v>
      </c>
      <c r="E8" s="80" t="s">
        <v>114</v>
      </c>
      <c r="F8" s="87">
        <v>413.20841431372912</v>
      </c>
      <c r="G8" s="537"/>
      <c r="H8" s="537"/>
      <c r="I8" s="154">
        <f t="shared" si="6"/>
        <v>0.93401540305996644</v>
      </c>
      <c r="J8" s="519"/>
      <c r="K8" s="538"/>
      <c r="L8" s="162">
        <v>2.0102222147956096E-3</v>
      </c>
      <c r="M8" s="541"/>
      <c r="N8" s="541"/>
      <c r="O8" s="84">
        <v>4.4111784085921609E-3</v>
      </c>
      <c r="P8" s="538"/>
      <c r="Q8" s="541"/>
      <c r="R8" s="154">
        <v>0.9</v>
      </c>
      <c r="S8" s="519"/>
      <c r="T8" s="538"/>
      <c r="U8" s="154">
        <f t="shared" si="7"/>
        <v>0.26923076923076922</v>
      </c>
      <c r="V8" s="519"/>
      <c r="W8" s="538"/>
    </row>
    <row r="9" spans="2:23">
      <c r="B9" s="525"/>
      <c r="C9" s="520"/>
      <c r="D9" s="80">
        <f t="shared" si="5"/>
        <v>46116</v>
      </c>
      <c r="E9" s="80" t="s">
        <v>115</v>
      </c>
      <c r="F9" s="87">
        <v>410.99928332311958</v>
      </c>
      <c r="G9" s="537"/>
      <c r="H9" s="537"/>
      <c r="I9" s="154">
        <f t="shared" si="6"/>
        <v>0.92902188816256692</v>
      </c>
      <c r="J9" s="519"/>
      <c r="K9" s="538"/>
      <c r="L9" s="162">
        <v>2.0057929605071627E-3</v>
      </c>
      <c r="M9" s="541"/>
      <c r="N9" s="541"/>
      <c r="O9" s="84">
        <v>4.4036966718618772E-3</v>
      </c>
      <c r="P9" s="538"/>
      <c r="Q9" s="541"/>
      <c r="R9" s="154">
        <v>0.9</v>
      </c>
      <c r="S9" s="519"/>
      <c r="T9" s="538"/>
      <c r="U9" s="154">
        <f t="shared" si="7"/>
        <v>0.26923076923076922</v>
      </c>
      <c r="V9" s="519"/>
      <c r="W9" s="538"/>
    </row>
    <row r="10" spans="2:23">
      <c r="B10" s="525"/>
      <c r="C10" s="520"/>
      <c r="D10" s="80">
        <f t="shared" si="5"/>
        <v>46117</v>
      </c>
      <c r="E10" s="80" t="s">
        <v>116</v>
      </c>
      <c r="F10" s="87">
        <v>410.97079120142928</v>
      </c>
      <c r="G10" s="537"/>
      <c r="H10" s="537"/>
      <c r="I10" s="154">
        <f t="shared" si="6"/>
        <v>0.92895748463252559</v>
      </c>
      <c r="J10" s="519"/>
      <c r="K10" s="538"/>
      <c r="L10" s="162">
        <v>2.0082163868497338E-3</v>
      </c>
      <c r="M10" s="541"/>
      <c r="N10" s="541"/>
      <c r="O10" s="84">
        <v>4.411943657611093E-3</v>
      </c>
      <c r="P10" s="538"/>
      <c r="Q10" s="541"/>
      <c r="R10" s="154">
        <v>0.9</v>
      </c>
      <c r="S10" s="519"/>
      <c r="T10" s="538"/>
      <c r="U10" s="154">
        <f t="shared" si="7"/>
        <v>0.26923076923076922</v>
      </c>
      <c r="V10" s="519"/>
      <c r="W10" s="538"/>
    </row>
    <row r="11" spans="2:23">
      <c r="B11" s="525"/>
      <c r="C11" s="520"/>
      <c r="D11" s="80">
        <f t="shared" si="5"/>
        <v>46118</v>
      </c>
      <c r="E11" s="80" t="s">
        <v>117</v>
      </c>
      <c r="F11" s="87">
        <v>405.47655809247465</v>
      </c>
      <c r="G11" s="537"/>
      <c r="H11" s="537"/>
      <c r="I11" s="154">
        <f t="shared" si="6"/>
        <v>0.916538332035431</v>
      </c>
      <c r="J11" s="519"/>
      <c r="K11" s="538"/>
      <c r="L11" s="162">
        <v>2.0141089586700849E-3</v>
      </c>
      <c r="M11" s="541"/>
      <c r="N11" s="541"/>
      <c r="O11" s="84">
        <v>4.4739455220261697E-3</v>
      </c>
      <c r="P11" s="538"/>
      <c r="Q11" s="541"/>
      <c r="R11" s="154">
        <v>0.9</v>
      </c>
      <c r="S11" s="519"/>
      <c r="T11" s="538"/>
      <c r="U11" s="154">
        <f t="shared" si="7"/>
        <v>0.26923076923076922</v>
      </c>
      <c r="V11" s="519"/>
      <c r="W11" s="538"/>
    </row>
    <row r="12" spans="2:23">
      <c r="B12" s="525">
        <f t="shared" ref="B12" si="8">B5+7</f>
        <v>46127</v>
      </c>
      <c r="C12" s="520"/>
      <c r="D12" s="80">
        <f t="shared" si="5"/>
        <v>46119</v>
      </c>
      <c r="E12" s="490" t="s">
        <v>118</v>
      </c>
      <c r="F12" s="88">
        <v>404.90475454154506</v>
      </c>
      <c r="G12" s="540">
        <f t="shared" ref="G12" si="9">AVERAGE(F12:F18)</f>
        <v>407.83400132115185</v>
      </c>
      <c r="H12" s="537"/>
      <c r="I12" s="154">
        <f t="shared" si="6"/>
        <v>0.91524582852971315</v>
      </c>
      <c r="J12" s="539">
        <f t="shared" ref="J12" si="10">AVERAGE(I12:I18)</f>
        <v>0.92186709159392355</v>
      </c>
      <c r="K12" s="538"/>
      <c r="L12" s="162">
        <v>2.0201584882033191E-3</v>
      </c>
      <c r="M12" s="541">
        <f>AVERAGE(L12:L18)</f>
        <v>2.0153950640746749E-3</v>
      </c>
      <c r="N12" s="541"/>
      <c r="O12" s="84">
        <v>4.327638334682987E-3</v>
      </c>
      <c r="P12" s="538">
        <f t="shared" ref="P12" si="11">AVERAGE(O12:O18)</f>
        <v>4.3307228070989289E-3</v>
      </c>
      <c r="Q12" s="541"/>
      <c r="R12" s="154">
        <v>0.9</v>
      </c>
      <c r="S12" s="539">
        <f t="shared" ref="S12" si="12">AVERAGE(R12:R18)</f>
        <v>0.90000000000000013</v>
      </c>
      <c r="T12" s="538"/>
      <c r="U12" s="154">
        <f t="shared" ref="U12:U18" si="13">15/52*100%</f>
        <v>0.28846153846153844</v>
      </c>
      <c r="V12" s="519">
        <f t="shared" ref="V12" si="14">AVERAGE(U12:U18)</f>
        <v>0.28846153846153838</v>
      </c>
      <c r="W12" s="538"/>
    </row>
    <row r="13" spans="2:23">
      <c r="B13" s="525"/>
      <c r="C13" s="520"/>
      <c r="D13" s="80">
        <f t="shared" si="5"/>
        <v>46120</v>
      </c>
      <c r="E13" s="490" t="s">
        <v>112</v>
      </c>
      <c r="F13" s="88">
        <v>405.31668460703202</v>
      </c>
      <c r="G13" s="540"/>
      <c r="H13" s="537"/>
      <c r="I13" s="154">
        <f t="shared" si="6"/>
        <v>0.916176954355859</v>
      </c>
      <c r="J13" s="539"/>
      <c r="K13" s="538"/>
      <c r="L13" s="162">
        <v>2.0155733032638816E-3</v>
      </c>
      <c r="M13" s="541"/>
      <c r="N13" s="541"/>
      <c r="O13" s="84">
        <v>4.3342108972119842E-3</v>
      </c>
      <c r="P13" s="538"/>
      <c r="Q13" s="541"/>
      <c r="R13" s="154">
        <v>0.9</v>
      </c>
      <c r="S13" s="539"/>
      <c r="T13" s="538"/>
      <c r="U13" s="154">
        <f t="shared" si="13"/>
        <v>0.28846153846153844</v>
      </c>
      <c r="V13" s="519"/>
      <c r="W13" s="538"/>
    </row>
    <row r="14" spans="2:23">
      <c r="B14" s="525"/>
      <c r="C14" s="520"/>
      <c r="D14" s="80">
        <f t="shared" si="5"/>
        <v>46121</v>
      </c>
      <c r="E14" s="490" t="s">
        <v>113</v>
      </c>
      <c r="F14" s="88">
        <v>407.25961584627078</v>
      </c>
      <c r="G14" s="540"/>
      <c r="H14" s="537"/>
      <c r="I14" s="154">
        <f t="shared" si="6"/>
        <v>0.92056875191290866</v>
      </c>
      <c r="J14" s="539"/>
      <c r="K14" s="538"/>
      <c r="L14" s="162">
        <v>2.0138790097769788E-3</v>
      </c>
      <c r="M14" s="541"/>
      <c r="N14" s="541"/>
      <c r="O14" s="84">
        <v>4.1880140501678303E-3</v>
      </c>
      <c r="P14" s="538"/>
      <c r="Q14" s="541"/>
      <c r="R14" s="154">
        <v>0.9</v>
      </c>
      <c r="S14" s="539"/>
      <c r="T14" s="538"/>
      <c r="U14" s="154">
        <f t="shared" si="13"/>
        <v>0.28846153846153844</v>
      </c>
      <c r="V14" s="519"/>
      <c r="W14" s="538"/>
    </row>
    <row r="15" spans="2:23">
      <c r="B15" s="525"/>
      <c r="C15" s="520"/>
      <c r="D15" s="80">
        <f t="shared" si="5"/>
        <v>46122</v>
      </c>
      <c r="E15" s="490" t="s">
        <v>114</v>
      </c>
      <c r="F15" s="88">
        <v>407.72238099422958</v>
      </c>
      <c r="G15" s="540"/>
      <c r="H15" s="537"/>
      <c r="I15" s="154">
        <f t="shared" si="6"/>
        <v>0.92161478524916274</v>
      </c>
      <c r="J15" s="539"/>
      <c r="K15" s="538"/>
      <c r="L15" s="162">
        <v>2.0055706466030501E-3</v>
      </c>
      <c r="M15" s="541"/>
      <c r="N15" s="541"/>
      <c r="O15" s="84">
        <v>4.1643234171543581E-3</v>
      </c>
      <c r="P15" s="538"/>
      <c r="Q15" s="541"/>
      <c r="R15" s="154">
        <v>0.9</v>
      </c>
      <c r="S15" s="539"/>
      <c r="T15" s="538"/>
      <c r="U15" s="154">
        <f t="shared" si="13"/>
        <v>0.28846153846153844</v>
      </c>
      <c r="V15" s="519"/>
      <c r="W15" s="538"/>
    </row>
    <row r="16" spans="2:23">
      <c r="B16" s="525"/>
      <c r="C16" s="520"/>
      <c r="D16" s="80">
        <f t="shared" si="5"/>
        <v>46123</v>
      </c>
      <c r="E16" s="490" t="s">
        <v>115</v>
      </c>
      <c r="F16" s="88">
        <v>407.72238099422958</v>
      </c>
      <c r="G16" s="540"/>
      <c r="H16" s="537"/>
      <c r="I16" s="154">
        <f t="shared" si="6"/>
        <v>0.92161478524916274</v>
      </c>
      <c r="J16" s="539"/>
      <c r="K16" s="538"/>
      <c r="L16" s="162">
        <v>2.0123063212024853E-3</v>
      </c>
      <c r="M16" s="541"/>
      <c r="N16" s="541"/>
      <c r="O16" s="84">
        <v>4.5432982421267989E-3</v>
      </c>
      <c r="P16" s="538"/>
      <c r="Q16" s="541"/>
      <c r="R16" s="154">
        <v>0.9</v>
      </c>
      <c r="S16" s="539"/>
      <c r="T16" s="538"/>
      <c r="U16" s="154">
        <f t="shared" si="13"/>
        <v>0.28846153846153844</v>
      </c>
      <c r="V16" s="519"/>
      <c r="W16" s="538"/>
    </row>
    <row r="17" spans="2:23">
      <c r="B17" s="525"/>
      <c r="C17" s="520"/>
      <c r="D17" s="80">
        <f t="shared" si="5"/>
        <v>46124</v>
      </c>
      <c r="E17" s="490" t="s">
        <v>116</v>
      </c>
      <c r="F17" s="88">
        <v>407.43386800536638</v>
      </c>
      <c r="G17" s="540"/>
      <c r="H17" s="537"/>
      <c r="I17" s="154">
        <f t="shared" si="6"/>
        <v>0.92096263111520438</v>
      </c>
      <c r="J17" s="539"/>
      <c r="K17" s="538"/>
      <c r="L17" s="162">
        <v>2.0202072368486982E-3</v>
      </c>
      <c r="M17" s="541"/>
      <c r="N17" s="541"/>
      <c r="O17" s="84">
        <v>4.3819395781461937E-3</v>
      </c>
      <c r="P17" s="538"/>
      <c r="Q17" s="541"/>
      <c r="R17" s="154">
        <v>0.9</v>
      </c>
      <c r="S17" s="539"/>
      <c r="T17" s="538"/>
      <c r="U17" s="154">
        <f t="shared" si="13"/>
        <v>0.28846153846153844</v>
      </c>
      <c r="V17" s="519"/>
      <c r="W17" s="538"/>
    </row>
    <row r="18" spans="2:23">
      <c r="B18" s="525"/>
      <c r="C18" s="520"/>
      <c r="D18" s="80">
        <f t="shared" si="5"/>
        <v>46125</v>
      </c>
      <c r="E18" s="490" t="s">
        <v>117</v>
      </c>
      <c r="F18" s="88">
        <v>414.4783242593893</v>
      </c>
      <c r="G18" s="540"/>
      <c r="H18" s="537"/>
      <c r="I18" s="154">
        <f t="shared" si="6"/>
        <v>0.93688590474545508</v>
      </c>
      <c r="J18" s="539"/>
      <c r="K18" s="538"/>
      <c r="L18" s="162">
        <v>2.0200704426243119E-3</v>
      </c>
      <c r="M18" s="541"/>
      <c r="N18" s="541"/>
      <c r="O18" s="84">
        <v>4.3756351302023447E-3</v>
      </c>
      <c r="P18" s="538"/>
      <c r="Q18" s="541"/>
      <c r="R18" s="154">
        <v>0.9</v>
      </c>
      <c r="S18" s="539"/>
      <c r="T18" s="538"/>
      <c r="U18" s="154">
        <f t="shared" si="13"/>
        <v>0.28846153846153844</v>
      </c>
      <c r="V18" s="519"/>
      <c r="W18" s="538"/>
    </row>
    <row r="19" spans="2:23">
      <c r="B19" s="525">
        <f t="shared" ref="B19" si="15">B12+7</f>
        <v>46134</v>
      </c>
      <c r="C19" s="520"/>
      <c r="D19" s="80">
        <f t="shared" si="5"/>
        <v>46126</v>
      </c>
      <c r="E19" s="490" t="s">
        <v>118</v>
      </c>
      <c r="F19" s="88">
        <v>390.84594575421073</v>
      </c>
      <c r="G19" s="540">
        <f t="shared" ref="G19" si="16">AVERAGE(F19:F25)</f>
        <v>393.52033354984593</v>
      </c>
      <c r="H19" s="537"/>
      <c r="I19" s="154">
        <f t="shared" si="6"/>
        <v>0.88346732765418345</v>
      </c>
      <c r="J19" s="539">
        <f t="shared" ref="J19" si="17">AVERAGE(I19:I25)</f>
        <v>0.88951250802406412</v>
      </c>
      <c r="K19" s="538"/>
      <c r="L19" s="162">
        <v>2.0252907963139617E-3</v>
      </c>
      <c r="M19" s="541">
        <f>AVERAGE(L19:L25)</f>
        <v>2.0149066012127631E-3</v>
      </c>
      <c r="N19" s="541"/>
      <c r="O19" s="84">
        <v>4.3072153912378161E-3</v>
      </c>
      <c r="P19" s="538">
        <f t="shared" ref="P19" si="18">AVERAGE(O19:O25)</f>
        <v>4.3163657381009961E-3</v>
      </c>
      <c r="Q19" s="541"/>
      <c r="R19" s="154">
        <v>0.9</v>
      </c>
      <c r="S19" s="539">
        <f t="shared" ref="S19" si="19">AVERAGE(R19:R25)</f>
        <v>0.90000000000000013</v>
      </c>
      <c r="T19" s="538"/>
      <c r="U19" s="154">
        <f>16/52*100%</f>
        <v>0.30769230769230771</v>
      </c>
      <c r="V19" s="519">
        <f t="shared" ref="V19" si="20">AVERAGE(U19:U25)</f>
        <v>0.30769230769230776</v>
      </c>
      <c r="W19" s="538"/>
    </row>
    <row r="20" spans="2:23">
      <c r="B20" s="525"/>
      <c r="C20" s="520"/>
      <c r="D20" s="80">
        <f t="shared" si="5"/>
        <v>46127</v>
      </c>
      <c r="E20" s="490" t="s">
        <v>112</v>
      </c>
      <c r="F20" s="88">
        <v>391.69320473120655</v>
      </c>
      <c r="G20" s="540"/>
      <c r="H20" s="537"/>
      <c r="I20" s="154">
        <f t="shared" si="6"/>
        <v>0.88538247000724812</v>
      </c>
      <c r="J20" s="539"/>
      <c r="K20" s="538"/>
      <c r="L20" s="162">
        <v>2.018078427759112E-3</v>
      </c>
      <c r="M20" s="541"/>
      <c r="N20" s="541"/>
      <c r="O20" s="84">
        <v>4.2965398617260666E-3</v>
      </c>
      <c r="P20" s="538"/>
      <c r="Q20" s="541"/>
      <c r="R20" s="154">
        <v>0.9</v>
      </c>
      <c r="S20" s="539"/>
      <c r="T20" s="538"/>
      <c r="U20" s="154">
        <f t="shared" ref="U20:U25" si="21">16/52*100%</f>
        <v>0.30769230769230771</v>
      </c>
      <c r="V20" s="519"/>
      <c r="W20" s="538"/>
    </row>
    <row r="21" spans="2:23">
      <c r="B21" s="525"/>
      <c r="C21" s="520"/>
      <c r="D21" s="80">
        <f t="shared" si="5"/>
        <v>46128</v>
      </c>
      <c r="E21" s="490" t="s">
        <v>113</v>
      </c>
      <c r="F21" s="88">
        <v>395.47061973566144</v>
      </c>
      <c r="G21" s="540"/>
      <c r="H21" s="537"/>
      <c r="I21" s="154">
        <f t="shared" si="6"/>
        <v>0.89392093068639566</v>
      </c>
      <c r="J21" s="539"/>
      <c r="K21" s="538"/>
      <c r="L21" s="162">
        <v>2.0143240756584457E-3</v>
      </c>
      <c r="M21" s="541"/>
      <c r="N21" s="541"/>
      <c r="O21" s="84">
        <v>4.2908731096553297E-3</v>
      </c>
      <c r="P21" s="538"/>
      <c r="Q21" s="541"/>
      <c r="R21" s="154">
        <v>0.9</v>
      </c>
      <c r="S21" s="539"/>
      <c r="T21" s="538"/>
      <c r="U21" s="154">
        <f t="shared" si="21"/>
        <v>0.30769230769230771</v>
      </c>
      <c r="V21" s="519"/>
      <c r="W21" s="538"/>
    </row>
    <row r="22" spans="2:23">
      <c r="B22" s="525"/>
      <c r="C22" s="520"/>
      <c r="D22" s="80">
        <f t="shared" si="5"/>
        <v>46129</v>
      </c>
      <c r="E22" s="490" t="s">
        <v>114</v>
      </c>
      <c r="F22" s="88">
        <v>393.86102377423839</v>
      </c>
      <c r="G22" s="540"/>
      <c r="H22" s="537"/>
      <c r="I22" s="154">
        <f t="shared" si="6"/>
        <v>0.89028260346798915</v>
      </c>
      <c r="J22" s="539"/>
      <c r="K22" s="538"/>
      <c r="L22" s="162">
        <v>2.0086653021604084E-3</v>
      </c>
      <c r="M22" s="541"/>
      <c r="N22" s="541"/>
      <c r="O22" s="84">
        <v>4.2765284653419533E-3</v>
      </c>
      <c r="P22" s="538"/>
      <c r="Q22" s="541"/>
      <c r="R22" s="154">
        <v>0.9</v>
      </c>
      <c r="S22" s="539"/>
      <c r="T22" s="538"/>
      <c r="U22" s="154">
        <f t="shared" si="21"/>
        <v>0.30769230769230771</v>
      </c>
      <c r="V22" s="519"/>
      <c r="W22" s="538"/>
    </row>
    <row r="23" spans="2:23">
      <c r="B23" s="525"/>
      <c r="C23" s="520"/>
      <c r="D23" s="80">
        <f t="shared" si="5"/>
        <v>46130</v>
      </c>
      <c r="E23" s="490" t="s">
        <v>115</v>
      </c>
      <c r="F23" s="88">
        <v>394.15728626579391</v>
      </c>
      <c r="G23" s="540"/>
      <c r="H23" s="537"/>
      <c r="I23" s="154">
        <f t="shared" si="6"/>
        <v>0.890952274561017</v>
      </c>
      <c r="J23" s="539"/>
      <c r="K23" s="538"/>
      <c r="L23" s="162">
        <v>2.0099673084760499E-3</v>
      </c>
      <c r="M23" s="541"/>
      <c r="N23" s="541"/>
      <c r="O23" s="84">
        <v>4.4085362503284136E-3</v>
      </c>
      <c r="P23" s="538"/>
      <c r="Q23" s="541"/>
      <c r="R23" s="154">
        <v>0.9</v>
      </c>
      <c r="S23" s="539"/>
      <c r="T23" s="538"/>
      <c r="U23" s="154">
        <f t="shared" si="21"/>
        <v>0.30769230769230771</v>
      </c>
      <c r="V23" s="519"/>
      <c r="W23" s="538"/>
    </row>
    <row r="24" spans="2:23">
      <c r="B24" s="525"/>
      <c r="C24" s="520"/>
      <c r="D24" s="80">
        <f t="shared" si="5"/>
        <v>46131</v>
      </c>
      <c r="E24" s="490" t="s">
        <v>116</v>
      </c>
      <c r="F24" s="88">
        <v>394.19776913007843</v>
      </c>
      <c r="G24" s="540"/>
      <c r="H24" s="537"/>
      <c r="I24" s="154">
        <f t="shared" si="6"/>
        <v>0.89104378193959866</v>
      </c>
      <c r="J24" s="539"/>
      <c r="K24" s="538"/>
      <c r="L24" s="162">
        <v>2.0159220076927187E-3</v>
      </c>
      <c r="M24" s="541"/>
      <c r="N24" s="541"/>
      <c r="O24" s="84">
        <v>4.3119630058747593E-3</v>
      </c>
      <c r="P24" s="538"/>
      <c r="Q24" s="541"/>
      <c r="R24" s="154">
        <v>0.9</v>
      </c>
      <c r="S24" s="539"/>
      <c r="T24" s="538"/>
      <c r="U24" s="154">
        <f t="shared" si="21"/>
        <v>0.30769230769230771</v>
      </c>
      <c r="V24" s="519"/>
      <c r="W24" s="538"/>
    </row>
    <row r="25" spans="2:23">
      <c r="B25" s="525"/>
      <c r="C25" s="520"/>
      <c r="D25" s="80">
        <f t="shared" si="5"/>
        <v>46132</v>
      </c>
      <c r="E25" s="490" t="s">
        <v>117</v>
      </c>
      <c r="F25" s="88">
        <v>394.41648545773228</v>
      </c>
      <c r="G25" s="540"/>
      <c r="H25" s="537"/>
      <c r="I25" s="154">
        <f t="shared" si="6"/>
        <v>0.89153816785201701</v>
      </c>
      <c r="J25" s="539"/>
      <c r="K25" s="538"/>
      <c r="L25" s="162">
        <v>2.0120982904286424E-3</v>
      </c>
      <c r="M25" s="541"/>
      <c r="N25" s="541"/>
      <c r="O25" s="84">
        <v>4.3229040825426314E-3</v>
      </c>
      <c r="P25" s="538"/>
      <c r="Q25" s="541"/>
      <c r="R25" s="154">
        <v>0.9</v>
      </c>
      <c r="S25" s="539"/>
      <c r="T25" s="538"/>
      <c r="U25" s="154">
        <f t="shared" si="21"/>
        <v>0.30769230769230771</v>
      </c>
      <c r="V25" s="519"/>
      <c r="W25" s="538"/>
    </row>
    <row r="26" spans="2:23">
      <c r="B26" s="525">
        <f t="shared" ref="B26" si="22">B19+7</f>
        <v>46141</v>
      </c>
      <c r="C26" s="520"/>
      <c r="D26" s="80">
        <f t="shared" si="5"/>
        <v>46133</v>
      </c>
      <c r="E26" s="490" t="s">
        <v>118</v>
      </c>
      <c r="F26" s="88">
        <v>397.74010072906293</v>
      </c>
      <c r="G26" s="540">
        <f t="shared" ref="G26" si="23">AVERAGE(F26:F32)</f>
        <v>399.10175002113846</v>
      </c>
      <c r="H26" s="537"/>
      <c r="I26" s="154">
        <f t="shared" si="6"/>
        <v>0.89905086059914774</v>
      </c>
      <c r="J26" s="539">
        <f t="shared" ref="J26" si="24">AVERAGE(I26:I32)</f>
        <v>0.90212872970420077</v>
      </c>
      <c r="K26" s="538"/>
      <c r="L26" s="162">
        <v>2.0145327543128074E-3</v>
      </c>
      <c r="M26" s="541">
        <f>AVERAGE(L26:L32)</f>
        <v>2.00926755246665E-3</v>
      </c>
      <c r="N26" s="541"/>
      <c r="O26" s="84">
        <v>4.4409426016818769E-3</v>
      </c>
      <c r="P26" s="538">
        <f t="shared" ref="P26" si="25">AVERAGE(O26:O32)</f>
        <v>4.2144964567611045E-3</v>
      </c>
      <c r="Q26" s="541"/>
      <c r="R26" s="154">
        <v>0.9</v>
      </c>
      <c r="S26" s="539">
        <f t="shared" ref="S26" si="26">AVERAGE(R26:R32)</f>
        <v>0.90000000000000013</v>
      </c>
      <c r="T26" s="538"/>
      <c r="U26" s="154">
        <f>17/52*100%</f>
        <v>0.32692307692307693</v>
      </c>
      <c r="V26" s="519">
        <f t="shared" ref="V26" si="27">AVERAGE(U26:U32)</f>
        <v>0.32692307692307693</v>
      </c>
      <c r="W26" s="538"/>
    </row>
    <row r="27" spans="2:23">
      <c r="B27" s="525"/>
      <c r="C27" s="520"/>
      <c r="D27" s="80">
        <f t="shared" si="5"/>
        <v>46134</v>
      </c>
      <c r="E27" s="490" t="s">
        <v>112</v>
      </c>
      <c r="F27" s="88">
        <v>396.61573683045197</v>
      </c>
      <c r="G27" s="540"/>
      <c r="H27" s="537"/>
      <c r="I27" s="154">
        <f t="shared" si="6"/>
        <v>0.89650935088257677</v>
      </c>
      <c r="J27" s="539"/>
      <c r="K27" s="538"/>
      <c r="L27" s="162">
        <v>2.0082066279243716E-3</v>
      </c>
      <c r="M27" s="541"/>
      <c r="N27" s="541"/>
      <c r="O27" s="84">
        <v>4.4221506304662501E-3</v>
      </c>
      <c r="P27" s="538"/>
      <c r="Q27" s="541"/>
      <c r="R27" s="154">
        <v>0.9</v>
      </c>
      <c r="S27" s="539"/>
      <c r="T27" s="538"/>
      <c r="U27" s="154">
        <f t="shared" ref="U27:U32" si="28">17/52*100%</f>
        <v>0.32692307692307693</v>
      </c>
      <c r="V27" s="519"/>
      <c r="W27" s="538"/>
    </row>
    <row r="28" spans="2:23">
      <c r="B28" s="525"/>
      <c r="C28" s="520"/>
      <c r="D28" s="80">
        <f t="shared" si="5"/>
        <v>46135</v>
      </c>
      <c r="E28" s="490" t="s">
        <v>113</v>
      </c>
      <c r="F28" s="88">
        <v>400.0845704617235</v>
      </c>
      <c r="G28" s="540"/>
      <c r="H28" s="537"/>
      <c r="I28" s="154">
        <f t="shared" si="6"/>
        <v>0.90435029489539676</v>
      </c>
      <c r="J28" s="539"/>
      <c r="K28" s="538"/>
      <c r="L28" s="162">
        <v>2.0060149751028869E-3</v>
      </c>
      <c r="M28" s="541"/>
      <c r="N28" s="541"/>
      <c r="O28" s="84">
        <v>4.1921447444476442E-3</v>
      </c>
      <c r="P28" s="538"/>
      <c r="Q28" s="541"/>
      <c r="R28" s="154">
        <v>0.9</v>
      </c>
      <c r="S28" s="539"/>
      <c r="T28" s="538"/>
      <c r="U28" s="154">
        <f t="shared" si="28"/>
        <v>0.32692307692307693</v>
      </c>
      <c r="V28" s="519"/>
      <c r="W28" s="538"/>
    </row>
    <row r="29" spans="2:23">
      <c r="B29" s="525"/>
      <c r="C29" s="520"/>
      <c r="D29" s="80">
        <f t="shared" si="5"/>
        <v>46136</v>
      </c>
      <c r="E29" s="490" t="s">
        <v>114</v>
      </c>
      <c r="F29" s="88">
        <v>399.08733506005609</v>
      </c>
      <c r="G29" s="540"/>
      <c r="H29" s="537"/>
      <c r="I29" s="154">
        <f t="shared" si="6"/>
        <v>0.90209614615745048</v>
      </c>
      <c r="J29" s="539"/>
      <c r="K29" s="538"/>
      <c r="L29" s="162">
        <v>2.0067676387917669E-3</v>
      </c>
      <c r="M29" s="541"/>
      <c r="N29" s="541"/>
      <c r="O29" s="84">
        <v>4.1585060980791127E-3</v>
      </c>
      <c r="P29" s="538"/>
      <c r="Q29" s="541"/>
      <c r="R29" s="154">
        <v>0.9</v>
      </c>
      <c r="S29" s="539"/>
      <c r="T29" s="538"/>
      <c r="U29" s="154">
        <f t="shared" si="28"/>
        <v>0.32692307692307693</v>
      </c>
      <c r="V29" s="519"/>
      <c r="W29" s="538"/>
    </row>
    <row r="30" spans="2:23">
      <c r="B30" s="525"/>
      <c r="C30" s="520"/>
      <c r="D30" s="80">
        <f t="shared" si="5"/>
        <v>46137</v>
      </c>
      <c r="E30" s="490" t="s">
        <v>115</v>
      </c>
      <c r="F30" s="88">
        <v>399.88744976579795</v>
      </c>
      <c r="G30" s="540"/>
      <c r="H30" s="537"/>
      <c r="I30" s="154">
        <f t="shared" si="6"/>
        <v>0.90390472370207497</v>
      </c>
      <c r="J30" s="539"/>
      <c r="K30" s="538"/>
      <c r="L30" s="162">
        <v>2.0097102463722629E-3</v>
      </c>
      <c r="M30" s="541"/>
      <c r="N30" s="541"/>
      <c r="O30" s="84">
        <v>4.1700691633339811E-3</v>
      </c>
      <c r="P30" s="538"/>
      <c r="Q30" s="541"/>
      <c r="R30" s="154">
        <v>0.9</v>
      </c>
      <c r="S30" s="539"/>
      <c r="T30" s="538"/>
      <c r="U30" s="154">
        <f t="shared" si="28"/>
        <v>0.32692307692307693</v>
      </c>
      <c r="V30" s="519"/>
      <c r="W30" s="538"/>
    </row>
    <row r="31" spans="2:23">
      <c r="B31" s="525"/>
      <c r="C31" s="520"/>
      <c r="D31" s="80">
        <f t="shared" si="5"/>
        <v>46138</v>
      </c>
      <c r="E31" s="490" t="s">
        <v>116</v>
      </c>
      <c r="F31" s="88">
        <v>400.12911335627797</v>
      </c>
      <c r="G31" s="540"/>
      <c r="H31" s="537"/>
      <c r="I31" s="154">
        <f t="shared" si="6"/>
        <v>0.90445097955759035</v>
      </c>
      <c r="J31" s="539"/>
      <c r="K31" s="538"/>
      <c r="L31" s="162">
        <v>2.0144544852722193E-3</v>
      </c>
      <c r="M31" s="541"/>
      <c r="N31" s="541"/>
      <c r="O31" s="84">
        <v>4.0397191097012973E-3</v>
      </c>
      <c r="P31" s="538"/>
      <c r="Q31" s="541"/>
      <c r="R31" s="154">
        <v>0.9</v>
      </c>
      <c r="S31" s="539"/>
      <c r="T31" s="538"/>
      <c r="U31" s="154">
        <f t="shared" si="28"/>
        <v>0.32692307692307693</v>
      </c>
      <c r="V31" s="519"/>
      <c r="W31" s="538"/>
    </row>
    <row r="32" spans="2:23">
      <c r="B32" s="525"/>
      <c r="C32" s="520"/>
      <c r="D32" s="80">
        <f t="shared" si="5"/>
        <v>46139</v>
      </c>
      <c r="E32" s="490" t="s">
        <v>117</v>
      </c>
      <c r="F32" s="88">
        <v>400.16794394459868</v>
      </c>
      <c r="G32" s="540"/>
      <c r="H32" s="537"/>
      <c r="I32" s="154">
        <f t="shared" si="6"/>
        <v>0.90453875213516888</v>
      </c>
      <c r="J32" s="539"/>
      <c r="K32" s="538"/>
      <c r="L32" s="162">
        <v>2.0051861394902375E-3</v>
      </c>
      <c r="M32" s="541"/>
      <c r="N32" s="541"/>
      <c r="O32" s="84">
        <v>4.0779428496175727E-3</v>
      </c>
      <c r="P32" s="538"/>
      <c r="Q32" s="541"/>
      <c r="R32" s="154">
        <v>0.9</v>
      </c>
      <c r="S32" s="539"/>
      <c r="T32" s="538"/>
      <c r="U32" s="154">
        <f t="shared" si="28"/>
        <v>0.32692307692307693</v>
      </c>
      <c r="V32" s="519"/>
      <c r="W32" s="538"/>
    </row>
    <row r="33" spans="2:23">
      <c r="B33" s="525">
        <f t="shared" ref="B33" si="29">B26+7</f>
        <v>46148</v>
      </c>
      <c r="C33" s="520"/>
      <c r="D33" s="80">
        <f t="shared" si="5"/>
        <v>46140</v>
      </c>
      <c r="E33" s="490" t="s">
        <v>118</v>
      </c>
      <c r="F33" s="88">
        <v>399.75430402726511</v>
      </c>
      <c r="G33" s="540">
        <f t="shared" ref="G33" si="30">AVERAGE(F33:F39)</f>
        <v>409.72046242744102</v>
      </c>
      <c r="H33" s="537"/>
      <c r="I33" s="154">
        <f t="shared" si="6"/>
        <v>0.9036037613636192</v>
      </c>
      <c r="J33" s="539">
        <f t="shared" ref="J33" si="31">AVERAGE(I33:I39)</f>
        <v>0.92613124418499349</v>
      </c>
      <c r="K33" s="538"/>
      <c r="L33" s="162">
        <v>1.9999699074640695E-3</v>
      </c>
      <c r="M33" s="541">
        <f>AVERAGE(L33:L39)</f>
        <v>2.0023818766068025E-3</v>
      </c>
      <c r="N33" s="541"/>
      <c r="O33" s="84">
        <v>4.2745687361890328E-3</v>
      </c>
      <c r="P33" s="538">
        <f t="shared" ref="P33" si="32">AVERAGE(O33:O39)</f>
        <v>5.388819720072888E-3</v>
      </c>
      <c r="Q33" s="541"/>
      <c r="R33" s="154">
        <v>0.9</v>
      </c>
      <c r="S33" s="539">
        <f t="shared" ref="S33" si="33">AVERAGE(R33:R39)</f>
        <v>0.90000000000000013</v>
      </c>
      <c r="T33" s="538"/>
      <c r="U33" s="154">
        <f t="shared" ref="U33:U39" si="34">18/52*100%</f>
        <v>0.34615384615384615</v>
      </c>
      <c r="V33" s="519">
        <f t="shared" ref="V33" si="35">AVERAGE(U33:U39)</f>
        <v>0.3461538461538462</v>
      </c>
      <c r="W33" s="538"/>
    </row>
    <row r="34" spans="2:23">
      <c r="B34" s="525"/>
      <c r="C34" s="520"/>
      <c r="D34" s="80">
        <f t="shared" si="5"/>
        <v>46141</v>
      </c>
      <c r="E34" s="490" t="s">
        <v>112</v>
      </c>
      <c r="F34" s="88">
        <v>399.78288508067499</v>
      </c>
      <c r="G34" s="540"/>
      <c r="H34" s="537"/>
      <c r="I34" s="154">
        <f t="shared" si="6"/>
        <v>0.90366836591472655</v>
      </c>
      <c r="J34" s="539"/>
      <c r="K34" s="538"/>
      <c r="L34" s="162">
        <v>2.0001055277481376E-3</v>
      </c>
      <c r="M34" s="541"/>
      <c r="N34" s="541"/>
      <c r="O34" s="84">
        <v>4.1835263821589754E-3</v>
      </c>
      <c r="P34" s="538"/>
      <c r="Q34" s="541"/>
      <c r="R34" s="154">
        <v>0.9</v>
      </c>
      <c r="S34" s="539"/>
      <c r="T34" s="538"/>
      <c r="U34" s="154">
        <f t="shared" si="34"/>
        <v>0.34615384615384615</v>
      </c>
      <c r="V34" s="519"/>
      <c r="W34" s="538"/>
    </row>
    <row r="35" spans="2:23">
      <c r="B35" s="525"/>
      <c r="C35" s="520"/>
      <c r="D35" s="80">
        <f t="shared" ref="D35:D39" si="36">D34+1</f>
        <v>46142</v>
      </c>
      <c r="E35" s="490" t="s">
        <v>113</v>
      </c>
      <c r="F35" s="88">
        <v>417.06453190105208</v>
      </c>
      <c r="G35" s="540"/>
      <c r="H35" s="537"/>
      <c r="I35" s="154">
        <f t="shared" si="6"/>
        <v>0.94273176288664584</v>
      </c>
      <c r="J35" s="539"/>
      <c r="K35" s="538"/>
      <c r="L35" s="162">
        <v>1.9995819722324996E-3</v>
      </c>
      <c r="M35" s="541"/>
      <c r="N35" s="541"/>
      <c r="O35" s="84">
        <v>4.1803774388896259E-3</v>
      </c>
      <c r="P35" s="538"/>
      <c r="Q35" s="541"/>
      <c r="R35" s="154">
        <v>0.9</v>
      </c>
      <c r="S35" s="539"/>
      <c r="T35" s="538"/>
      <c r="U35" s="154">
        <f t="shared" si="34"/>
        <v>0.34615384615384615</v>
      </c>
      <c r="V35" s="519"/>
      <c r="W35" s="538"/>
    </row>
    <row r="36" spans="2:23">
      <c r="B36" s="525"/>
      <c r="C36" s="73"/>
      <c r="D36" s="80">
        <f t="shared" si="36"/>
        <v>46143</v>
      </c>
      <c r="E36" s="490" t="s">
        <v>114</v>
      </c>
      <c r="F36" s="88">
        <v>421.58555206989342</v>
      </c>
      <c r="G36" s="540"/>
      <c r="H36" s="87"/>
      <c r="I36" s="154">
        <f t="shared" si="6"/>
        <v>0.95295106706576271</v>
      </c>
      <c r="J36" s="539"/>
      <c r="K36" s="84"/>
      <c r="L36" s="162">
        <v>1.9983886611755846E-3</v>
      </c>
      <c r="M36" s="541"/>
      <c r="N36" s="162"/>
      <c r="O36" s="84">
        <v>6.4823775829650227E-3</v>
      </c>
      <c r="P36" s="538"/>
      <c r="Q36" s="162"/>
      <c r="R36" s="154">
        <v>0.9</v>
      </c>
      <c r="S36" s="539"/>
      <c r="T36" s="84"/>
      <c r="U36" s="154">
        <f t="shared" si="34"/>
        <v>0.34615384615384615</v>
      </c>
      <c r="V36" s="519"/>
      <c r="W36" s="84"/>
    </row>
    <row r="37" spans="2:23">
      <c r="B37" s="525"/>
      <c r="C37" s="73"/>
      <c r="D37" s="80">
        <f t="shared" si="36"/>
        <v>46144</v>
      </c>
      <c r="E37" s="490" t="s">
        <v>115</v>
      </c>
      <c r="F37" s="88">
        <v>423.2801153570785</v>
      </c>
      <c r="G37" s="540"/>
      <c r="I37" s="154">
        <f t="shared" si="6"/>
        <v>0.95678145424294425</v>
      </c>
      <c r="J37" s="539"/>
      <c r="L37" s="162">
        <v>2.004070021479204E-3</v>
      </c>
      <c r="M37" s="541"/>
      <c r="O37" s="84">
        <v>6.3600143398038229E-3</v>
      </c>
      <c r="P37" s="538"/>
      <c r="R37" s="154">
        <v>0.9</v>
      </c>
      <c r="S37" s="539"/>
      <c r="U37" s="154">
        <f t="shared" si="34"/>
        <v>0.34615384615384615</v>
      </c>
      <c r="V37" s="519"/>
    </row>
    <row r="38" spans="2:23">
      <c r="B38" s="525"/>
      <c r="C38" s="73"/>
      <c r="D38" s="80">
        <f t="shared" si="36"/>
        <v>46145</v>
      </c>
      <c r="E38" s="490" t="s">
        <v>116</v>
      </c>
      <c r="F38" s="88">
        <v>403.29859707226103</v>
      </c>
      <c r="G38" s="540"/>
      <c r="I38" s="154">
        <f t="shared" si="6"/>
        <v>0.91161527367147621</v>
      </c>
      <c r="J38" s="539"/>
      <c r="L38" s="162">
        <v>2.0083570432380487E-3</v>
      </c>
      <c r="M38" s="541"/>
      <c r="O38" s="84">
        <v>6.1243973001330158E-3</v>
      </c>
      <c r="P38" s="538"/>
      <c r="R38" s="154">
        <v>0.9</v>
      </c>
      <c r="S38" s="539"/>
      <c r="U38" s="154">
        <f t="shared" si="34"/>
        <v>0.34615384615384615</v>
      </c>
      <c r="V38" s="519"/>
    </row>
    <row r="39" spans="2:23">
      <c r="B39" s="525"/>
      <c r="C39" s="73"/>
      <c r="D39" s="80">
        <f t="shared" si="36"/>
        <v>46146</v>
      </c>
      <c r="E39" s="490" t="s">
        <v>117</v>
      </c>
      <c r="F39" s="88">
        <v>403.27725148386207</v>
      </c>
      <c r="G39" s="540"/>
      <c r="I39" s="154">
        <f t="shared" si="6"/>
        <v>0.91156702414977875</v>
      </c>
      <c r="J39" s="539"/>
      <c r="L39" s="162">
        <v>2.0062000029100737E-3</v>
      </c>
      <c r="M39" s="541"/>
      <c r="O39" s="84">
        <v>6.1164762603707259E-3</v>
      </c>
      <c r="P39" s="538"/>
      <c r="R39" s="154">
        <v>0.9</v>
      </c>
      <c r="S39" s="539"/>
      <c r="U39" s="154">
        <f t="shared" si="34"/>
        <v>0.34615384615384615</v>
      </c>
      <c r="V39" s="519"/>
    </row>
  </sheetData>
  <mergeCells count="52"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B12:B18"/>
    <mergeCell ref="G12:G18"/>
    <mergeCell ref="J12:J18"/>
    <mergeCell ref="M12:M18"/>
    <mergeCell ref="U3:W3"/>
    <mergeCell ref="B5:B11"/>
    <mergeCell ref="G5:G11"/>
    <mergeCell ref="J5:J11"/>
    <mergeCell ref="M5:M11"/>
    <mergeCell ref="P5:P11"/>
    <mergeCell ref="S5:S11"/>
    <mergeCell ref="V5:V11"/>
    <mergeCell ref="N6:N35"/>
    <mergeCell ref="Q6:Q35"/>
    <mergeCell ref="T6:T35"/>
    <mergeCell ref="W6:W35"/>
    <mergeCell ref="B33:B39"/>
    <mergeCell ref="G33:G39"/>
    <mergeCell ref="J33:J39"/>
    <mergeCell ref="M33:M39"/>
    <mergeCell ref="P33:P39"/>
    <mergeCell ref="C6:C35"/>
    <mergeCell ref="B26:B32"/>
    <mergeCell ref="G26:G32"/>
    <mergeCell ref="J26:J32"/>
    <mergeCell ref="M26:M32"/>
    <mergeCell ref="P12:P18"/>
    <mergeCell ref="B19:B25"/>
    <mergeCell ref="G19:G25"/>
    <mergeCell ref="J19:J25"/>
    <mergeCell ref="M19:M25"/>
    <mergeCell ref="P19:P25"/>
    <mergeCell ref="H6:H35"/>
    <mergeCell ref="K6:K35"/>
    <mergeCell ref="P26:P32"/>
    <mergeCell ref="S26:S32"/>
    <mergeCell ref="V26:V32"/>
    <mergeCell ref="S33:S39"/>
    <mergeCell ref="V33:V39"/>
    <mergeCell ref="S12:S18"/>
    <mergeCell ref="V12:V18"/>
    <mergeCell ref="S19:S25"/>
    <mergeCell ref="V19:V25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rgb="FFFFFFCC"/>
  </sheetPr>
  <dimension ref="A2:AN41"/>
  <sheetViews>
    <sheetView topLeftCell="A7" zoomScale="85" zoomScaleNormal="85" workbookViewId="0">
      <selection activeCell="H8" sqref="H8:H37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27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29" t="s">
        <v>322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9"/>
      <c r="AB2" s="529"/>
      <c r="AC2" s="529"/>
      <c r="AD2" s="529"/>
      <c r="AE2" s="529"/>
      <c r="AF2" s="529"/>
      <c r="AG2" s="529"/>
      <c r="AH2" s="529"/>
      <c r="AI2" s="529"/>
      <c r="AJ2" s="529"/>
      <c r="AK2" s="529"/>
      <c r="AL2" s="529"/>
    </row>
    <row r="3" spans="1:40" ht="25.35" customHeight="1">
      <c r="B3" s="556" t="s">
        <v>151</v>
      </c>
      <c r="C3" s="557" t="s">
        <v>144</v>
      </c>
      <c r="D3" s="558" t="s">
        <v>105</v>
      </c>
      <c r="E3" s="558"/>
      <c r="F3" s="560" t="s">
        <v>135</v>
      </c>
      <c r="G3" s="560"/>
      <c r="H3" s="560"/>
      <c r="I3" s="561" t="s">
        <v>109</v>
      </c>
      <c r="J3" s="561"/>
      <c r="K3" s="561"/>
      <c r="L3" s="561"/>
      <c r="M3" s="561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561"/>
      <c r="Z3" s="561"/>
      <c r="AA3" s="561"/>
      <c r="AB3" s="561"/>
      <c r="AC3" s="561"/>
      <c r="AD3" s="561"/>
      <c r="AE3" s="561"/>
      <c r="AF3" s="561"/>
      <c r="AG3" s="561"/>
      <c r="AH3" s="561"/>
      <c r="AI3" s="561"/>
      <c r="AJ3" s="561"/>
      <c r="AK3" s="561"/>
      <c r="AL3" s="561"/>
    </row>
    <row r="4" spans="1:40" ht="25.35" customHeight="1">
      <c r="B4" s="556"/>
      <c r="C4" s="557"/>
      <c r="D4" s="558"/>
      <c r="E4" s="558"/>
      <c r="F4" s="560"/>
      <c r="G4" s="560"/>
      <c r="H4" s="560"/>
      <c r="I4" s="554" t="s">
        <v>145</v>
      </c>
      <c r="J4" s="554"/>
      <c r="K4" s="554"/>
      <c r="L4" s="554"/>
      <c r="M4" s="554"/>
      <c r="N4" s="554"/>
      <c r="O4" s="554" t="s">
        <v>146</v>
      </c>
      <c r="P4" s="554"/>
      <c r="Q4" s="554"/>
      <c r="R4" s="554"/>
      <c r="S4" s="554"/>
      <c r="T4" s="554"/>
      <c r="U4" s="554" t="s">
        <v>147</v>
      </c>
      <c r="V4" s="554"/>
      <c r="W4" s="554" t="s">
        <v>148</v>
      </c>
      <c r="X4" s="554"/>
      <c r="Y4" s="554" t="s">
        <v>139</v>
      </c>
      <c r="Z4" s="554"/>
      <c r="AA4" s="554"/>
      <c r="AB4" s="554"/>
      <c r="AC4" s="554"/>
      <c r="AD4" s="554"/>
      <c r="AE4" s="554" t="s">
        <v>137</v>
      </c>
      <c r="AF4" s="554"/>
      <c r="AG4" s="554" t="s">
        <v>149</v>
      </c>
      <c r="AH4" s="554"/>
      <c r="AI4" s="554" t="s">
        <v>150</v>
      </c>
      <c r="AJ4" s="554"/>
      <c r="AK4" s="554" t="s">
        <v>143</v>
      </c>
      <c r="AL4" s="554"/>
    </row>
    <row r="5" spans="1:40" ht="25.35" customHeight="1">
      <c r="B5" s="556"/>
      <c r="C5" s="557"/>
      <c r="D5" s="558"/>
      <c r="E5" s="558"/>
      <c r="F5" s="562" t="s">
        <v>116</v>
      </c>
      <c r="G5" s="564" t="s">
        <v>120</v>
      </c>
      <c r="H5" s="564" t="s">
        <v>121</v>
      </c>
      <c r="I5" s="554" t="s">
        <v>133</v>
      </c>
      <c r="J5" s="554"/>
      <c r="K5" s="554" t="s">
        <v>134</v>
      </c>
      <c r="L5" s="554"/>
      <c r="M5" s="555" t="s">
        <v>152</v>
      </c>
      <c r="N5" s="554"/>
      <c r="O5" s="554" t="s">
        <v>133</v>
      </c>
      <c r="P5" s="554"/>
      <c r="Q5" s="554" t="s">
        <v>134</v>
      </c>
      <c r="R5" s="554"/>
      <c r="S5" s="555" t="s">
        <v>152</v>
      </c>
      <c r="T5" s="554"/>
      <c r="U5" s="554" t="s">
        <v>133</v>
      </c>
      <c r="V5" s="554"/>
      <c r="W5" s="554" t="s">
        <v>133</v>
      </c>
      <c r="X5" s="554"/>
      <c r="Y5" s="554" t="s">
        <v>133</v>
      </c>
      <c r="Z5" s="554"/>
      <c r="AA5" s="554" t="s">
        <v>134</v>
      </c>
      <c r="AB5" s="554"/>
      <c r="AC5" s="555" t="s">
        <v>152</v>
      </c>
      <c r="AD5" s="554"/>
      <c r="AE5" s="554" t="s">
        <v>133</v>
      </c>
      <c r="AF5" s="554"/>
      <c r="AG5" s="554" t="s">
        <v>133</v>
      </c>
      <c r="AH5" s="554"/>
      <c r="AI5" s="554" t="s">
        <v>133</v>
      </c>
      <c r="AJ5" s="554"/>
      <c r="AK5" s="554" t="s">
        <v>133</v>
      </c>
      <c r="AL5" s="554"/>
    </row>
    <row r="6" spans="1:40" s="77" customFormat="1" ht="23.45" customHeight="1">
      <c r="B6" s="556"/>
      <c r="C6" s="557"/>
      <c r="D6" s="559"/>
      <c r="E6" s="559"/>
      <c r="F6" s="563"/>
      <c r="G6" s="564"/>
      <c r="H6" s="564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46">
        <v>46120</v>
      </c>
      <c r="D7" s="171">
        <v>46112</v>
      </c>
      <c r="E7" s="171" t="s">
        <v>118</v>
      </c>
      <c r="F7" s="328">
        <f t="shared" ref="F7:F41" si="0">SUM(M7,S7,U7,W7,AC7,AE7,AG7,AI7,AK7)</f>
        <v>5566321.9800000004</v>
      </c>
      <c r="G7" s="549">
        <f t="shared" ref="G7" si="1">SUM(F7:F13)</f>
        <v>30121754.649999999</v>
      </c>
      <c r="H7" s="463"/>
      <c r="I7" s="172">
        <v>752249.45</v>
      </c>
      <c r="J7" s="173">
        <f t="shared" ref="J7:J41" si="2">I7/$F7</f>
        <v>0.13514299975870239</v>
      </c>
      <c r="K7" s="172">
        <v>1129332.2199999997</v>
      </c>
      <c r="L7" s="173">
        <f t="shared" ref="L7:L41" si="3">K7/$F7</f>
        <v>0.20288661418756082</v>
      </c>
      <c r="M7" s="172">
        <f t="shared" ref="M7:M41" si="4">I7+K7</f>
        <v>1881581.6699999997</v>
      </c>
      <c r="N7" s="173">
        <f t="shared" ref="N7" si="5">M7/$F7</f>
        <v>0.33802961394626324</v>
      </c>
      <c r="O7" s="172">
        <v>273203.44</v>
      </c>
      <c r="P7" s="173">
        <f t="shared" ref="P7:P41" si="6">O7/$F7</f>
        <v>4.9081501390259137E-2</v>
      </c>
      <c r="Q7" s="172">
        <v>158294.29</v>
      </c>
      <c r="R7" s="173">
        <f t="shared" ref="R7:R41" si="7">Q7/$F7</f>
        <v>2.8437860865533328E-2</v>
      </c>
      <c r="S7" s="172">
        <f t="shared" ref="S7:S41" si="8">O7+Q7</f>
        <v>431497.73</v>
      </c>
      <c r="T7" s="173">
        <f t="shared" ref="T7" si="9">S7/$F7</f>
        <v>7.7519362255792465E-2</v>
      </c>
      <c r="U7" s="172">
        <v>121140.07</v>
      </c>
      <c r="V7" s="173">
        <f t="shared" ref="V7" si="10">U7/$F7</f>
        <v>2.176303678358182E-2</v>
      </c>
      <c r="W7" s="172">
        <v>55570.200000000004</v>
      </c>
      <c r="X7" s="173">
        <f t="shared" ref="X7:X41" si="11">W7/$F7</f>
        <v>9.9832888215352581E-3</v>
      </c>
      <c r="Y7" s="172">
        <v>210219.31</v>
      </c>
      <c r="Z7" s="173">
        <f t="shared" ref="Z7:Z41" si="12">Y7/$F7</f>
        <v>3.776628638359867E-2</v>
      </c>
      <c r="AA7" s="172">
        <v>691696.28</v>
      </c>
      <c r="AB7" s="173">
        <f t="shared" ref="AB7:AB41" si="13">AA7/$F7</f>
        <v>0.12426451119523632</v>
      </c>
      <c r="AC7" s="172">
        <f t="shared" ref="AC7:AC41" si="14">Y7+AA7</f>
        <v>901915.59000000008</v>
      </c>
      <c r="AD7" s="173">
        <f t="shared" ref="AD7:AD41" si="15">AC7/$F7</f>
        <v>0.16203079757883498</v>
      </c>
      <c r="AE7" s="172">
        <v>2104169.5200000005</v>
      </c>
      <c r="AF7" s="173">
        <f t="shared" ref="AF7:AF41" si="16">AE7/F7</f>
        <v>0.37801793133066303</v>
      </c>
      <c r="AG7" s="172">
        <v>0</v>
      </c>
      <c r="AH7" s="173">
        <f t="shared" ref="AH7:AH41" si="17">AG7/$F7</f>
        <v>0</v>
      </c>
      <c r="AI7" s="172">
        <v>0</v>
      </c>
      <c r="AJ7" s="173">
        <f t="shared" ref="AJ7:AJ41" si="18">AI7/$F7</f>
        <v>0</v>
      </c>
      <c r="AK7" s="172">
        <v>70447.199999999997</v>
      </c>
      <c r="AL7" s="173">
        <f t="shared" ref="AL7:AL41" si="19">AK7/$F7</f>
        <v>1.2655969283329167E-2</v>
      </c>
      <c r="AN7" s="72"/>
    </row>
    <row r="8" spans="1:40" s="73" customFormat="1" ht="14.25" customHeight="1">
      <c r="B8" s="547"/>
      <c r="C8" s="550" t="s">
        <v>113</v>
      </c>
      <c r="D8" s="171">
        <v>46113</v>
      </c>
      <c r="E8" s="171" t="s">
        <v>112</v>
      </c>
      <c r="F8" s="328">
        <f t="shared" si="0"/>
        <v>4658389.7299999995</v>
      </c>
      <c r="G8" s="549"/>
      <c r="H8" s="552">
        <f>SUM(F8:F37)</f>
        <v>160648314.77000004</v>
      </c>
      <c r="I8" s="172">
        <v>719533.40999999992</v>
      </c>
      <c r="J8" s="173">
        <f t="shared" si="2"/>
        <v>0.15445968493494855</v>
      </c>
      <c r="K8" s="172">
        <v>970987.48000000021</v>
      </c>
      <c r="L8" s="173">
        <f t="shared" si="3"/>
        <v>0.20843843823260366</v>
      </c>
      <c r="M8" s="172">
        <f t="shared" si="4"/>
        <v>1690520.8900000001</v>
      </c>
      <c r="N8" s="173">
        <f t="shared" ref="N8" si="20">M8/F8</f>
        <v>0.36289812316755221</v>
      </c>
      <c r="O8" s="172">
        <v>261602.18</v>
      </c>
      <c r="P8" s="173">
        <f t="shared" si="6"/>
        <v>5.6157212075941966E-2</v>
      </c>
      <c r="Q8" s="172">
        <v>149817.69</v>
      </c>
      <c r="R8" s="173">
        <f t="shared" si="7"/>
        <v>3.2160832107965345E-2</v>
      </c>
      <c r="S8" s="172">
        <f t="shared" si="8"/>
        <v>411419.87</v>
      </c>
      <c r="T8" s="173">
        <f t="shared" ref="T8" si="21">S8/F8</f>
        <v>8.8318044183907304E-2</v>
      </c>
      <c r="U8" s="172">
        <v>107039.31999999999</v>
      </c>
      <c r="V8" s="173">
        <f t="shared" ref="V8" si="22">U8/F8</f>
        <v>2.2977751155225906E-2</v>
      </c>
      <c r="W8" s="172">
        <v>53783.390000000007</v>
      </c>
      <c r="X8" s="173">
        <f t="shared" si="11"/>
        <v>1.1545489561260907E-2</v>
      </c>
      <c r="Y8" s="172">
        <v>181153.07</v>
      </c>
      <c r="Z8" s="173">
        <f t="shared" si="12"/>
        <v>3.8887486985765794E-2</v>
      </c>
      <c r="AA8" s="172">
        <v>510626.15999999992</v>
      </c>
      <c r="AB8" s="173">
        <f t="shared" si="13"/>
        <v>0.10961430657284228</v>
      </c>
      <c r="AC8" s="172">
        <f t="shared" si="14"/>
        <v>691779.23</v>
      </c>
      <c r="AD8" s="173">
        <f t="shared" si="15"/>
        <v>0.1485017935586081</v>
      </c>
      <c r="AE8" s="172">
        <v>1631567.73</v>
      </c>
      <c r="AF8" s="173">
        <f t="shared" si="16"/>
        <v>0.35024285741759958</v>
      </c>
      <c r="AG8" s="172">
        <v>0</v>
      </c>
      <c r="AH8" s="173">
        <f t="shared" si="17"/>
        <v>0</v>
      </c>
      <c r="AI8" s="172">
        <v>0</v>
      </c>
      <c r="AJ8" s="173">
        <f t="shared" si="18"/>
        <v>0</v>
      </c>
      <c r="AK8" s="172">
        <v>72279.3</v>
      </c>
      <c r="AL8" s="173">
        <f t="shared" si="19"/>
        <v>1.5515940955846134E-2</v>
      </c>
      <c r="AN8" s="72"/>
    </row>
    <row r="9" spans="1:40" s="73" customFormat="1" ht="14.25" customHeight="1">
      <c r="B9" s="547"/>
      <c r="C9" s="551"/>
      <c r="D9" s="171">
        <v>46114</v>
      </c>
      <c r="E9" s="171" t="s">
        <v>113</v>
      </c>
      <c r="F9" s="328">
        <f t="shared" si="0"/>
        <v>3718970.84</v>
      </c>
      <c r="G9" s="549"/>
      <c r="H9" s="553"/>
      <c r="I9" s="172">
        <v>518858.25</v>
      </c>
      <c r="J9" s="173">
        <f t="shared" si="2"/>
        <v>0.13951662229220382</v>
      </c>
      <c r="K9" s="172">
        <v>839779.05999999994</v>
      </c>
      <c r="L9" s="173">
        <f t="shared" si="3"/>
        <v>0.22580953068188078</v>
      </c>
      <c r="M9" s="172">
        <f t="shared" si="4"/>
        <v>1358637.31</v>
      </c>
      <c r="N9" s="173">
        <f t="shared" ref="N9" si="23">M9/$F9</f>
        <v>0.36532615297408466</v>
      </c>
      <c r="O9" s="172">
        <v>182456.07</v>
      </c>
      <c r="P9" s="173">
        <f t="shared" si="6"/>
        <v>4.9060903634296854E-2</v>
      </c>
      <c r="Q9" s="172">
        <v>128612.81</v>
      </c>
      <c r="R9" s="173">
        <f t="shared" si="7"/>
        <v>3.4582903586305079E-2</v>
      </c>
      <c r="S9" s="172">
        <f t="shared" si="8"/>
        <v>311068.88</v>
      </c>
      <c r="T9" s="173">
        <f t="shared" ref="T9" si="24">S9/$F9</f>
        <v>8.3643807220601926E-2</v>
      </c>
      <c r="U9" s="172">
        <v>100483.61</v>
      </c>
      <c r="V9" s="173">
        <f t="shared" ref="V9" si="25">U9/$F9</f>
        <v>2.7019198139235749E-2</v>
      </c>
      <c r="W9" s="172">
        <v>56261.58</v>
      </c>
      <c r="X9" s="173">
        <f t="shared" si="11"/>
        <v>1.5128265969409969E-2</v>
      </c>
      <c r="Y9" s="172">
        <v>162305.43000000002</v>
      </c>
      <c r="Z9" s="173">
        <f t="shared" si="12"/>
        <v>4.3642565909443924E-2</v>
      </c>
      <c r="AA9" s="172">
        <v>451157.26</v>
      </c>
      <c r="AB9" s="173">
        <f t="shared" si="13"/>
        <v>0.12131239512488354</v>
      </c>
      <c r="AC9" s="172">
        <f t="shared" si="14"/>
        <v>613462.69000000006</v>
      </c>
      <c r="AD9" s="173">
        <f t="shared" si="15"/>
        <v>0.16495496103432747</v>
      </c>
      <c r="AE9" s="172">
        <v>1213869.47</v>
      </c>
      <c r="AF9" s="173">
        <f t="shared" si="16"/>
        <v>0.3263992976078296</v>
      </c>
      <c r="AG9" s="172">
        <v>0</v>
      </c>
      <c r="AH9" s="173">
        <f t="shared" si="17"/>
        <v>0</v>
      </c>
      <c r="AI9" s="172">
        <v>0</v>
      </c>
      <c r="AJ9" s="173">
        <f t="shared" si="18"/>
        <v>0</v>
      </c>
      <c r="AK9" s="172">
        <v>65187.299999999996</v>
      </c>
      <c r="AL9" s="173">
        <f t="shared" si="19"/>
        <v>1.7528317054510703E-2</v>
      </c>
      <c r="AN9" s="72"/>
    </row>
    <row r="10" spans="1:40" s="73" customFormat="1" ht="14.25" customHeight="1">
      <c r="B10" s="547"/>
      <c r="C10" s="551"/>
      <c r="D10" s="171">
        <v>46115</v>
      </c>
      <c r="E10" s="171" t="s">
        <v>114</v>
      </c>
      <c r="F10" s="328">
        <f t="shared" si="0"/>
        <v>3549995.84</v>
      </c>
      <c r="G10" s="549"/>
      <c r="H10" s="553"/>
      <c r="I10" s="172">
        <v>491564.32</v>
      </c>
      <c r="J10" s="173">
        <f t="shared" si="2"/>
        <v>0.13846898479745826</v>
      </c>
      <c r="K10" s="172">
        <v>782541.5900000002</v>
      </c>
      <c r="L10" s="173">
        <f t="shared" si="3"/>
        <v>0.22043450901621345</v>
      </c>
      <c r="M10" s="172">
        <f t="shared" si="4"/>
        <v>1274105.9100000001</v>
      </c>
      <c r="N10" s="173">
        <f t="shared" ref="N10" si="26">M10/F10</f>
        <v>0.3589034938136717</v>
      </c>
      <c r="O10" s="172">
        <v>173037.11000000004</v>
      </c>
      <c r="P10" s="173">
        <f t="shared" si="6"/>
        <v>4.8742905005770387E-2</v>
      </c>
      <c r="Q10" s="172">
        <v>126119.12000000001</v>
      </c>
      <c r="R10" s="173">
        <f t="shared" si="7"/>
        <v>3.5526554307173504E-2</v>
      </c>
      <c r="S10" s="172">
        <f t="shared" si="8"/>
        <v>299156.23000000004</v>
      </c>
      <c r="T10" s="173">
        <f t="shared" ref="T10" si="27">S10/F10</f>
        <v>8.4269459312943884E-2</v>
      </c>
      <c r="U10" s="172">
        <v>90274.5</v>
      </c>
      <c r="V10" s="173">
        <f t="shared" ref="V10" si="28">U10/F10</f>
        <v>2.5429466418755015E-2</v>
      </c>
      <c r="W10" s="172">
        <v>51525.3</v>
      </c>
      <c r="X10" s="173">
        <f t="shared" si="11"/>
        <v>1.4514186022257425E-2</v>
      </c>
      <c r="Y10" s="172">
        <v>165257.47</v>
      </c>
      <c r="Z10" s="173">
        <f t="shared" si="12"/>
        <v>4.6551454550436883E-2</v>
      </c>
      <c r="AA10" s="172">
        <v>533278.96</v>
      </c>
      <c r="AB10" s="173">
        <f t="shared" si="13"/>
        <v>0.15021960138409626</v>
      </c>
      <c r="AC10" s="172">
        <f t="shared" si="14"/>
        <v>698536.42999999993</v>
      </c>
      <c r="AD10" s="173">
        <f t="shared" si="15"/>
        <v>0.19677105593453315</v>
      </c>
      <c r="AE10" s="172">
        <v>1069673.5699999998</v>
      </c>
      <c r="AF10" s="173">
        <f t="shared" si="16"/>
        <v>0.30131685168397265</v>
      </c>
      <c r="AG10" s="172">
        <v>0</v>
      </c>
      <c r="AH10" s="173">
        <f t="shared" si="17"/>
        <v>0</v>
      </c>
      <c r="AI10" s="172">
        <v>0</v>
      </c>
      <c r="AJ10" s="173">
        <f t="shared" si="18"/>
        <v>0</v>
      </c>
      <c r="AK10" s="172">
        <v>66723.899999999994</v>
      </c>
      <c r="AL10" s="173">
        <f t="shared" si="19"/>
        <v>1.8795486813866238E-2</v>
      </c>
      <c r="AN10" s="72"/>
    </row>
    <row r="11" spans="1:40" s="73" customFormat="1" ht="14.25" customHeight="1">
      <c r="B11" s="547"/>
      <c r="C11" s="551"/>
      <c r="D11" s="171">
        <v>46116</v>
      </c>
      <c r="E11" s="171" t="s">
        <v>115</v>
      </c>
      <c r="F11" s="328">
        <f t="shared" si="0"/>
        <v>3467991.8799999994</v>
      </c>
      <c r="G11" s="549"/>
      <c r="H11" s="553"/>
      <c r="I11" s="172">
        <v>462930.57</v>
      </c>
      <c r="J11" s="173">
        <f t="shared" si="2"/>
        <v>0.13348663607597608</v>
      </c>
      <c r="K11" s="172">
        <v>745948.21000000008</v>
      </c>
      <c r="L11" s="173">
        <f t="shared" si="3"/>
        <v>0.21509514318701353</v>
      </c>
      <c r="M11" s="172">
        <f t="shared" si="4"/>
        <v>1208878.78</v>
      </c>
      <c r="N11" s="173">
        <f t="shared" ref="N11" si="29">M11/$F11</f>
        <v>0.34858177926298956</v>
      </c>
      <c r="O11" s="172">
        <v>165347.72999999998</v>
      </c>
      <c r="P11" s="173">
        <f t="shared" si="6"/>
        <v>4.7678234471529385E-2</v>
      </c>
      <c r="Q11" s="172">
        <v>120162.98000000001</v>
      </c>
      <c r="R11" s="173">
        <f t="shared" si="7"/>
        <v>3.4649152638731098E-2</v>
      </c>
      <c r="S11" s="172">
        <f t="shared" si="8"/>
        <v>285510.70999999996</v>
      </c>
      <c r="T11" s="173">
        <f t="shared" ref="T11" si="30">S11/$F11</f>
        <v>8.2327387110260483E-2</v>
      </c>
      <c r="U11" s="172">
        <v>88877.66</v>
      </c>
      <c r="V11" s="173">
        <f t="shared" ref="V11" si="31">U11/$F11</f>
        <v>2.562798964800345E-2</v>
      </c>
      <c r="W11" s="172">
        <v>54072.54</v>
      </c>
      <c r="X11" s="173">
        <f t="shared" si="11"/>
        <v>1.559188771803007E-2</v>
      </c>
      <c r="Y11" s="172">
        <v>179279.66</v>
      </c>
      <c r="Z11" s="173">
        <f t="shared" si="12"/>
        <v>5.1695524731159417E-2</v>
      </c>
      <c r="AA11" s="172">
        <v>516766.38999999996</v>
      </c>
      <c r="AB11" s="173">
        <f t="shared" si="13"/>
        <v>0.14901026527201675</v>
      </c>
      <c r="AC11" s="172">
        <f t="shared" si="14"/>
        <v>696046.04999999993</v>
      </c>
      <c r="AD11" s="173">
        <f t="shared" si="15"/>
        <v>0.20070579000317615</v>
      </c>
      <c r="AE11" s="172">
        <v>1077988.3399999999</v>
      </c>
      <c r="AF11" s="173">
        <f t="shared" si="16"/>
        <v>0.31083934948544345</v>
      </c>
      <c r="AG11" s="172">
        <v>0</v>
      </c>
      <c r="AH11" s="173">
        <f t="shared" si="17"/>
        <v>0</v>
      </c>
      <c r="AI11" s="172">
        <v>0</v>
      </c>
      <c r="AJ11" s="173">
        <f t="shared" si="18"/>
        <v>0</v>
      </c>
      <c r="AK11" s="172">
        <v>56617.799999999996</v>
      </c>
      <c r="AL11" s="173">
        <f t="shared" si="19"/>
        <v>1.6325816772096942E-2</v>
      </c>
      <c r="AN11" s="72"/>
    </row>
    <row r="12" spans="1:40" s="73" customFormat="1" ht="14.25" customHeight="1">
      <c r="B12" s="547"/>
      <c r="C12" s="551"/>
      <c r="D12" s="171">
        <v>46117</v>
      </c>
      <c r="E12" s="171" t="s">
        <v>116</v>
      </c>
      <c r="F12" s="328">
        <f t="shared" si="0"/>
        <v>3900098.7399999998</v>
      </c>
      <c r="G12" s="549"/>
      <c r="H12" s="553"/>
      <c r="I12" s="172">
        <v>479277.5</v>
      </c>
      <c r="J12" s="173">
        <f t="shared" si="2"/>
        <v>0.12288855538052353</v>
      </c>
      <c r="K12" s="172">
        <v>911676.7300000001</v>
      </c>
      <c r="L12" s="173">
        <f t="shared" si="3"/>
        <v>0.23375734584606958</v>
      </c>
      <c r="M12" s="172">
        <f t="shared" si="4"/>
        <v>1390954.23</v>
      </c>
      <c r="N12" s="173">
        <f t="shared" ref="N12" si="32">M12/F12</f>
        <v>0.35664590122659307</v>
      </c>
      <c r="O12" s="172">
        <v>173959.83</v>
      </c>
      <c r="P12" s="173">
        <f t="shared" si="6"/>
        <v>4.4603955334730834E-2</v>
      </c>
      <c r="Q12" s="172">
        <v>131401.9</v>
      </c>
      <c r="R12" s="173">
        <f t="shared" si="7"/>
        <v>3.3691941860938629E-2</v>
      </c>
      <c r="S12" s="172">
        <f t="shared" si="8"/>
        <v>305361.73</v>
      </c>
      <c r="T12" s="173">
        <f t="shared" ref="T12" si="33">S12/F12</f>
        <v>7.8295897195669456E-2</v>
      </c>
      <c r="U12" s="172">
        <v>89975.67</v>
      </c>
      <c r="V12" s="173">
        <f t="shared" ref="V12" si="34">U12/F12</f>
        <v>2.3070100527762538E-2</v>
      </c>
      <c r="W12" s="172">
        <v>44345.78</v>
      </c>
      <c r="X12" s="173">
        <f t="shared" si="11"/>
        <v>1.137042494467717E-2</v>
      </c>
      <c r="Y12" s="172">
        <v>184161.88</v>
      </c>
      <c r="Z12" s="173">
        <f t="shared" si="12"/>
        <v>4.7219799363336125E-2</v>
      </c>
      <c r="AA12" s="172">
        <v>669396.05999999994</v>
      </c>
      <c r="AB12" s="173">
        <f t="shared" si="13"/>
        <v>0.17163566992152612</v>
      </c>
      <c r="AC12" s="172">
        <f t="shared" si="14"/>
        <v>853557.94</v>
      </c>
      <c r="AD12" s="173">
        <f t="shared" si="15"/>
        <v>0.21885546928486227</v>
      </c>
      <c r="AE12" s="172">
        <v>1167677.79</v>
      </c>
      <c r="AF12" s="173">
        <f t="shared" si="16"/>
        <v>0.29939698142103965</v>
      </c>
      <c r="AG12" s="172">
        <v>0</v>
      </c>
      <c r="AH12" s="173">
        <f t="shared" si="17"/>
        <v>0</v>
      </c>
      <c r="AI12" s="172">
        <v>0</v>
      </c>
      <c r="AJ12" s="173">
        <f t="shared" si="18"/>
        <v>0</v>
      </c>
      <c r="AK12" s="172">
        <v>48225.599999999999</v>
      </c>
      <c r="AL12" s="173">
        <f t="shared" si="19"/>
        <v>1.2365225399395914E-2</v>
      </c>
      <c r="AN12" s="72"/>
    </row>
    <row r="13" spans="1:40" s="73" customFormat="1" ht="14.25" customHeight="1">
      <c r="B13" s="548"/>
      <c r="C13" s="551"/>
      <c r="D13" s="171">
        <v>46118</v>
      </c>
      <c r="E13" s="171" t="s">
        <v>117</v>
      </c>
      <c r="F13" s="328">
        <f t="shared" si="0"/>
        <v>5259985.6399999997</v>
      </c>
      <c r="G13" s="549"/>
      <c r="H13" s="553"/>
      <c r="I13" s="172">
        <v>734783.02</v>
      </c>
      <c r="J13" s="173">
        <f t="shared" si="2"/>
        <v>0.13969297072073378</v>
      </c>
      <c r="K13" s="172">
        <v>1178346.53</v>
      </c>
      <c r="L13" s="173">
        <f t="shared" si="3"/>
        <v>0.22402086443718885</v>
      </c>
      <c r="M13" s="172">
        <f t="shared" si="4"/>
        <v>1913129.55</v>
      </c>
      <c r="N13" s="173">
        <f t="shared" ref="N13:N14" si="35">M13/$F13</f>
        <v>0.3637138351579226</v>
      </c>
      <c r="O13" s="172">
        <v>244577.84999999998</v>
      </c>
      <c r="P13" s="173">
        <f t="shared" si="6"/>
        <v>4.6497817054876975E-2</v>
      </c>
      <c r="Q13" s="172">
        <v>36895.96</v>
      </c>
      <c r="R13" s="173">
        <f t="shared" si="7"/>
        <v>7.0144602143818787E-3</v>
      </c>
      <c r="S13" s="172">
        <f t="shared" si="8"/>
        <v>281473.81</v>
      </c>
      <c r="T13" s="173">
        <f t="shared" ref="T13:T14" si="36">S13/$F13</f>
        <v>5.3512277269258862E-2</v>
      </c>
      <c r="U13" s="172">
        <v>114560.81</v>
      </c>
      <c r="V13" s="173">
        <f t="shared" ref="V13:V14" si="37">U13/$F13</f>
        <v>2.1779681132361419E-2</v>
      </c>
      <c r="W13" s="172">
        <v>54753.820000000007</v>
      </c>
      <c r="X13" s="173">
        <f t="shared" si="11"/>
        <v>1.0409499901220264E-2</v>
      </c>
      <c r="Y13" s="172">
        <v>233835.63</v>
      </c>
      <c r="Z13" s="173">
        <f t="shared" si="12"/>
        <v>4.4455564331160421E-2</v>
      </c>
      <c r="AA13" s="172">
        <v>739447.82000000007</v>
      </c>
      <c r="AB13" s="173">
        <f t="shared" si="13"/>
        <v>0.14057981724832239</v>
      </c>
      <c r="AC13" s="172">
        <f t="shared" si="14"/>
        <v>973283.45000000007</v>
      </c>
      <c r="AD13" s="173">
        <f t="shared" si="15"/>
        <v>0.18503538157948282</v>
      </c>
      <c r="AE13" s="172">
        <v>1855823.8999999997</v>
      </c>
      <c r="AF13" s="173">
        <f t="shared" si="16"/>
        <v>0.35281919514898141</v>
      </c>
      <c r="AG13" s="172">
        <v>0</v>
      </c>
      <c r="AH13" s="173">
        <f t="shared" si="17"/>
        <v>0</v>
      </c>
      <c r="AI13" s="172">
        <v>0</v>
      </c>
      <c r="AJ13" s="173">
        <f t="shared" si="18"/>
        <v>0</v>
      </c>
      <c r="AK13" s="172">
        <v>66960.3</v>
      </c>
      <c r="AL13" s="173">
        <f t="shared" si="19"/>
        <v>1.2730129810772641E-2</v>
      </c>
      <c r="AN13" s="72"/>
    </row>
    <row r="14" spans="1:40" s="73" customFormat="1" ht="14.25" customHeight="1">
      <c r="B14" s="546">
        <f>D15+7</f>
        <v>46127</v>
      </c>
      <c r="C14" s="551"/>
      <c r="D14" s="171">
        <v>46119</v>
      </c>
      <c r="E14" s="171" t="s">
        <v>118</v>
      </c>
      <c r="F14" s="328">
        <f t="shared" si="0"/>
        <v>5422854.080000001</v>
      </c>
      <c r="G14" s="549">
        <f>SUM(F14:F20)</f>
        <v>35260129.75</v>
      </c>
      <c r="H14" s="553"/>
      <c r="I14" s="172">
        <v>726498.72000000009</v>
      </c>
      <c r="J14" s="173">
        <f t="shared" si="2"/>
        <v>0.13396980801666711</v>
      </c>
      <c r="K14" s="172">
        <v>1140764.9500000002</v>
      </c>
      <c r="L14" s="173">
        <f t="shared" si="3"/>
        <v>0.21036246470419503</v>
      </c>
      <c r="M14" s="172">
        <f t="shared" si="4"/>
        <v>1867263.6700000004</v>
      </c>
      <c r="N14" s="173">
        <f t="shared" si="35"/>
        <v>0.34433227272086214</v>
      </c>
      <c r="O14" s="172">
        <v>412715.15</v>
      </c>
      <c r="P14" s="173">
        <f t="shared" si="6"/>
        <v>7.6106630182459181E-2</v>
      </c>
      <c r="Q14" s="172">
        <v>36588.28</v>
      </c>
      <c r="R14" s="173">
        <f t="shared" si="7"/>
        <v>6.7470522828451231E-3</v>
      </c>
      <c r="S14" s="172">
        <f t="shared" si="8"/>
        <v>449303.43000000005</v>
      </c>
      <c r="T14" s="173">
        <f t="shared" si="36"/>
        <v>8.2853682465304321E-2</v>
      </c>
      <c r="U14" s="172">
        <v>107099.04</v>
      </c>
      <c r="V14" s="173">
        <f t="shared" si="37"/>
        <v>1.9749570691011471E-2</v>
      </c>
      <c r="W14" s="172">
        <v>299758.41000000003</v>
      </c>
      <c r="X14" s="173">
        <f t="shared" si="11"/>
        <v>5.5276871842363857E-2</v>
      </c>
      <c r="Y14" s="172">
        <v>221005.61000000002</v>
      </c>
      <c r="Z14" s="173">
        <f t="shared" si="12"/>
        <v>4.075448218588245E-2</v>
      </c>
      <c r="AA14" s="172">
        <v>703046</v>
      </c>
      <c r="AB14" s="173">
        <f t="shared" si="13"/>
        <v>0.12964501526841746</v>
      </c>
      <c r="AC14" s="172">
        <f t="shared" si="14"/>
        <v>924051.61</v>
      </c>
      <c r="AD14" s="173">
        <f t="shared" si="15"/>
        <v>0.17039949745429989</v>
      </c>
      <c r="AE14" s="172">
        <v>1709067.7200000002</v>
      </c>
      <c r="AF14" s="173">
        <f t="shared" si="16"/>
        <v>0.31516018959521769</v>
      </c>
      <c r="AG14" s="172">
        <v>0</v>
      </c>
      <c r="AH14" s="173">
        <f t="shared" si="17"/>
        <v>0</v>
      </c>
      <c r="AI14" s="172">
        <v>0</v>
      </c>
      <c r="AJ14" s="173">
        <f t="shared" si="18"/>
        <v>0</v>
      </c>
      <c r="AK14" s="172">
        <v>66310.2</v>
      </c>
      <c r="AL14" s="173">
        <f t="shared" si="19"/>
        <v>1.2227915230940528E-2</v>
      </c>
      <c r="AN14" s="72"/>
    </row>
    <row r="15" spans="1:40" s="73" customFormat="1" ht="14.25" customHeight="1">
      <c r="B15" s="547"/>
      <c r="C15" s="551"/>
      <c r="D15" s="171">
        <v>46120</v>
      </c>
      <c r="E15" s="171" t="s">
        <v>112</v>
      </c>
      <c r="F15" s="328">
        <f t="shared" si="0"/>
        <v>5000122.24</v>
      </c>
      <c r="G15" s="549"/>
      <c r="H15" s="553"/>
      <c r="I15" s="172">
        <v>715108.15000000014</v>
      </c>
      <c r="J15" s="173">
        <f t="shared" si="2"/>
        <v>0.14301813349267239</v>
      </c>
      <c r="K15" s="172">
        <v>1092771.78</v>
      </c>
      <c r="L15" s="173">
        <f t="shared" si="3"/>
        <v>0.21854901291373227</v>
      </c>
      <c r="M15" s="172">
        <f t="shared" si="4"/>
        <v>1807879.9300000002</v>
      </c>
      <c r="N15" s="173">
        <f t="shared" ref="N15" si="38">M15/F15</f>
        <v>0.36156714640640469</v>
      </c>
      <c r="O15" s="172">
        <v>284132.89</v>
      </c>
      <c r="P15" s="173">
        <f t="shared" si="6"/>
        <v>5.6825188737785741E-2</v>
      </c>
      <c r="Q15" s="172">
        <v>38434.36</v>
      </c>
      <c r="R15" s="173">
        <f t="shared" si="7"/>
        <v>7.6866840759477108E-3</v>
      </c>
      <c r="S15" s="172">
        <f t="shared" si="8"/>
        <v>322567.25</v>
      </c>
      <c r="T15" s="173">
        <f t="shared" ref="T15" si="39">S15/F15</f>
        <v>6.4511872813733454E-2</v>
      </c>
      <c r="U15" s="172">
        <v>102456.79</v>
      </c>
      <c r="V15" s="173">
        <f t="shared" ref="V15" si="40">U15/F15</f>
        <v>2.0490857039527095E-2</v>
      </c>
      <c r="W15" s="172">
        <v>189354.66999999998</v>
      </c>
      <c r="X15" s="173">
        <f t="shared" si="11"/>
        <v>3.7870008154040645E-2</v>
      </c>
      <c r="Y15" s="172">
        <v>245587.02000000002</v>
      </c>
      <c r="Z15" s="173">
        <f t="shared" si="12"/>
        <v>4.9116203207063995E-2</v>
      </c>
      <c r="AA15" s="172">
        <v>667171.61</v>
      </c>
      <c r="AB15" s="173">
        <f t="shared" si="13"/>
        <v>0.1334310598774481</v>
      </c>
      <c r="AC15" s="172">
        <f t="shared" si="14"/>
        <v>912758.63</v>
      </c>
      <c r="AD15" s="173">
        <f t="shared" si="15"/>
        <v>0.18254726308451211</v>
      </c>
      <c r="AE15" s="172">
        <v>1593830.37</v>
      </c>
      <c r="AF15" s="173">
        <f t="shared" si="16"/>
        <v>0.31875828099754616</v>
      </c>
      <c r="AG15" s="172">
        <v>0</v>
      </c>
      <c r="AH15" s="173">
        <f t="shared" si="17"/>
        <v>0</v>
      </c>
      <c r="AI15" s="172">
        <v>0</v>
      </c>
      <c r="AJ15" s="173">
        <f t="shared" si="18"/>
        <v>0</v>
      </c>
      <c r="AK15" s="172">
        <v>71274.599999999991</v>
      </c>
      <c r="AL15" s="173">
        <f t="shared" si="19"/>
        <v>1.4254571504235862E-2</v>
      </c>
      <c r="AN15" s="72"/>
    </row>
    <row r="16" spans="1:40" s="73" customFormat="1" ht="14.25" customHeight="1">
      <c r="B16" s="547"/>
      <c r="C16" s="551"/>
      <c r="D16" s="171">
        <v>46121</v>
      </c>
      <c r="E16" s="171" t="s">
        <v>113</v>
      </c>
      <c r="F16" s="328">
        <f t="shared" si="0"/>
        <v>4626484.24</v>
      </c>
      <c r="G16" s="549"/>
      <c r="H16" s="553"/>
      <c r="I16" s="172">
        <v>707984.22</v>
      </c>
      <c r="J16" s="173">
        <f t="shared" si="2"/>
        <v>0.1530285597600998</v>
      </c>
      <c r="K16" s="172">
        <v>986475.33000000007</v>
      </c>
      <c r="L16" s="173">
        <f t="shared" si="3"/>
        <v>0.21322353623752968</v>
      </c>
      <c r="M16" s="172">
        <f t="shared" si="4"/>
        <v>1694459.55</v>
      </c>
      <c r="N16" s="173">
        <f t="shared" ref="N16" si="41">M16/$F16</f>
        <v>0.36625209599762948</v>
      </c>
      <c r="O16" s="172">
        <v>284757.63</v>
      </c>
      <c r="P16" s="173">
        <f t="shared" si="6"/>
        <v>6.1549465042595709E-2</v>
      </c>
      <c r="Q16" s="172">
        <v>39126.639999999999</v>
      </c>
      <c r="R16" s="173">
        <f t="shared" si="7"/>
        <v>8.4571000289411988E-3</v>
      </c>
      <c r="S16" s="172">
        <f t="shared" si="8"/>
        <v>323884.27</v>
      </c>
      <c r="T16" s="173">
        <f t="shared" ref="T16" si="42">S16/$F16</f>
        <v>7.0006565071536908E-2</v>
      </c>
      <c r="U16" s="172">
        <v>100285.57</v>
      </c>
      <c r="V16" s="173">
        <f t="shared" ref="V16" si="43">U16/$F16</f>
        <v>2.167641016323877E-2</v>
      </c>
      <c r="W16" s="172">
        <v>179198.41999999998</v>
      </c>
      <c r="X16" s="173">
        <f t="shared" si="11"/>
        <v>3.873317419968126E-2</v>
      </c>
      <c r="Y16" s="172">
        <v>208629.75</v>
      </c>
      <c r="Z16" s="173">
        <f t="shared" si="12"/>
        <v>4.5094663501977043E-2</v>
      </c>
      <c r="AA16" s="172">
        <v>570556.21000000008</v>
      </c>
      <c r="AB16" s="173">
        <f t="shared" si="13"/>
        <v>0.12332392814981254</v>
      </c>
      <c r="AC16" s="172">
        <f t="shared" si="14"/>
        <v>779185.96000000008</v>
      </c>
      <c r="AD16" s="173">
        <f t="shared" si="15"/>
        <v>0.16841859165178957</v>
      </c>
      <c r="AE16" s="172">
        <v>1477841.2700000003</v>
      </c>
      <c r="AF16" s="173">
        <f t="shared" si="16"/>
        <v>0.319430736891476</v>
      </c>
      <c r="AG16" s="172">
        <v>0</v>
      </c>
      <c r="AH16" s="173">
        <f t="shared" si="17"/>
        <v>0</v>
      </c>
      <c r="AI16" s="172">
        <v>0</v>
      </c>
      <c r="AJ16" s="173">
        <f t="shared" si="18"/>
        <v>0</v>
      </c>
      <c r="AK16" s="172">
        <v>71629.2</v>
      </c>
      <c r="AL16" s="173">
        <f t="shared" si="19"/>
        <v>1.5482426024648038E-2</v>
      </c>
      <c r="AN16" s="72"/>
    </row>
    <row r="17" spans="2:40" s="73" customFormat="1" ht="14.25" customHeight="1">
      <c r="B17" s="547"/>
      <c r="C17" s="551"/>
      <c r="D17" s="171">
        <v>46122</v>
      </c>
      <c r="E17" s="171" t="s">
        <v>114</v>
      </c>
      <c r="F17" s="328">
        <f t="shared" si="0"/>
        <v>4119112.4899999998</v>
      </c>
      <c r="G17" s="549"/>
      <c r="H17" s="553"/>
      <c r="I17" s="172">
        <v>546375</v>
      </c>
      <c r="J17" s="173">
        <f t="shared" si="2"/>
        <v>0.13264386474669937</v>
      </c>
      <c r="K17" s="172">
        <v>932111.57</v>
      </c>
      <c r="L17" s="173">
        <f t="shared" si="3"/>
        <v>0.22628941847616305</v>
      </c>
      <c r="M17" s="172">
        <f t="shared" si="4"/>
        <v>1478486.5699999998</v>
      </c>
      <c r="N17" s="173">
        <f t="shared" ref="N17" si="44">M17/F17</f>
        <v>0.35893328322286239</v>
      </c>
      <c r="O17" s="172">
        <v>345940.9</v>
      </c>
      <c r="P17" s="173">
        <f t="shared" si="6"/>
        <v>8.3984329352462056E-2</v>
      </c>
      <c r="Q17" s="172">
        <v>30947.48</v>
      </c>
      <c r="R17" s="173">
        <f t="shared" si="7"/>
        <v>7.5131427158475102E-3</v>
      </c>
      <c r="S17" s="172">
        <f t="shared" si="8"/>
        <v>376888.38</v>
      </c>
      <c r="T17" s="173">
        <f t="shared" ref="T17" si="45">S17/F17</f>
        <v>9.1497472068309563E-2</v>
      </c>
      <c r="U17" s="172">
        <v>86602.33</v>
      </c>
      <c r="V17" s="173">
        <f t="shared" ref="V17" si="46">U17/F17</f>
        <v>2.1024512005983115E-2</v>
      </c>
      <c r="W17" s="172">
        <v>98150.12</v>
      </c>
      <c r="X17" s="173">
        <f t="shared" si="11"/>
        <v>2.3827977565138068E-2</v>
      </c>
      <c r="Y17" s="172">
        <v>186205.6</v>
      </c>
      <c r="Z17" s="173">
        <f t="shared" si="12"/>
        <v>4.5205271876418221E-2</v>
      </c>
      <c r="AA17" s="172">
        <v>584960.54</v>
      </c>
      <c r="AB17" s="173">
        <f t="shared" si="13"/>
        <v>0.14201130496438569</v>
      </c>
      <c r="AC17" s="172">
        <f t="shared" si="14"/>
        <v>771166.14</v>
      </c>
      <c r="AD17" s="173">
        <f t="shared" si="15"/>
        <v>0.18721657684080389</v>
      </c>
      <c r="AE17" s="172">
        <v>1238494.6499999999</v>
      </c>
      <c r="AF17" s="173">
        <f t="shared" si="16"/>
        <v>0.30067026647286343</v>
      </c>
      <c r="AG17" s="172">
        <v>0</v>
      </c>
      <c r="AH17" s="173">
        <f t="shared" si="17"/>
        <v>0</v>
      </c>
      <c r="AI17" s="172">
        <v>0</v>
      </c>
      <c r="AJ17" s="173">
        <f t="shared" si="18"/>
        <v>0</v>
      </c>
      <c r="AK17" s="172">
        <v>69324.3</v>
      </c>
      <c r="AL17" s="173">
        <f t="shared" si="19"/>
        <v>1.6829911824039555E-2</v>
      </c>
      <c r="AN17" s="72"/>
    </row>
    <row r="18" spans="2:40" s="73" customFormat="1" ht="14.25" customHeight="1">
      <c r="B18" s="547"/>
      <c r="C18" s="551"/>
      <c r="D18" s="171">
        <v>46123</v>
      </c>
      <c r="E18" s="171" t="s">
        <v>115</v>
      </c>
      <c r="F18" s="328">
        <f t="shared" si="0"/>
        <v>4445689.26</v>
      </c>
      <c r="G18" s="549"/>
      <c r="H18" s="553"/>
      <c r="I18" s="172">
        <v>527618.04</v>
      </c>
      <c r="J18" s="173">
        <f t="shared" si="2"/>
        <v>0.11868081846098259</v>
      </c>
      <c r="K18" s="172">
        <v>1046469.2400000001</v>
      </c>
      <c r="L18" s="173">
        <f t="shared" si="3"/>
        <v>0.23538965024289624</v>
      </c>
      <c r="M18" s="172">
        <f t="shared" si="4"/>
        <v>1574087.2800000003</v>
      </c>
      <c r="N18" s="173">
        <f t="shared" ref="N18" si="47">M18/$F18</f>
        <v>0.35407046870387887</v>
      </c>
      <c r="O18" s="172">
        <v>321897.40999999997</v>
      </c>
      <c r="P18" s="173">
        <f t="shared" si="6"/>
        <v>7.2406637345589012E-2</v>
      </c>
      <c r="Q18" s="172">
        <v>31178.240000000002</v>
      </c>
      <c r="R18" s="173">
        <f t="shared" si="7"/>
        <v>7.0131397352769555E-3</v>
      </c>
      <c r="S18" s="172">
        <f t="shared" si="8"/>
        <v>353075.64999999997</v>
      </c>
      <c r="T18" s="173">
        <f t="shared" ref="T18" si="48">S18/$F18</f>
        <v>7.9419777080865964E-2</v>
      </c>
      <c r="U18" s="172">
        <v>96924.85</v>
      </c>
      <c r="V18" s="173">
        <f t="shared" ref="V18" si="49">U18/$F18</f>
        <v>2.1801984873769609E-2</v>
      </c>
      <c r="W18" s="172">
        <v>161005.28</v>
      </c>
      <c r="X18" s="173">
        <f t="shared" si="11"/>
        <v>3.6216044483504906E-2</v>
      </c>
      <c r="Y18" s="172">
        <v>201817.35</v>
      </c>
      <c r="Z18" s="173">
        <f t="shared" si="12"/>
        <v>4.5396189026490799E-2</v>
      </c>
      <c r="AA18" s="172">
        <v>653197.6</v>
      </c>
      <c r="AB18" s="173">
        <f t="shared" si="13"/>
        <v>0.14692830780530081</v>
      </c>
      <c r="AC18" s="172">
        <f t="shared" si="14"/>
        <v>855014.95</v>
      </c>
      <c r="AD18" s="173">
        <f t="shared" si="15"/>
        <v>0.19232449683179162</v>
      </c>
      <c r="AE18" s="172">
        <v>1338680.05</v>
      </c>
      <c r="AF18" s="173">
        <f t="shared" si="16"/>
        <v>0.30111867287818495</v>
      </c>
      <c r="AG18" s="172">
        <v>0</v>
      </c>
      <c r="AH18" s="173">
        <f t="shared" si="17"/>
        <v>0</v>
      </c>
      <c r="AI18" s="172">
        <v>0</v>
      </c>
      <c r="AJ18" s="173">
        <f t="shared" si="18"/>
        <v>0</v>
      </c>
      <c r="AK18" s="172">
        <v>66901.2</v>
      </c>
      <c r="AL18" s="173">
        <f t="shared" si="19"/>
        <v>1.5048555148004204E-2</v>
      </c>
      <c r="AN18" s="72"/>
    </row>
    <row r="19" spans="2:40" s="73" customFormat="1" ht="14.25" customHeight="1">
      <c r="B19" s="547"/>
      <c r="C19" s="551"/>
      <c r="D19" s="171">
        <v>46124</v>
      </c>
      <c r="E19" s="171" t="s">
        <v>116</v>
      </c>
      <c r="F19" s="328">
        <f t="shared" si="0"/>
        <v>5887717.3999999985</v>
      </c>
      <c r="G19" s="549"/>
      <c r="H19" s="553"/>
      <c r="I19" s="172">
        <v>784944.8</v>
      </c>
      <c r="J19" s="173">
        <f t="shared" si="2"/>
        <v>0.13331903463980799</v>
      </c>
      <c r="K19" s="172">
        <v>1182563.4099999999</v>
      </c>
      <c r="L19" s="173">
        <f t="shared" si="3"/>
        <v>0.20085261055498355</v>
      </c>
      <c r="M19" s="172">
        <f t="shared" si="4"/>
        <v>1967508.21</v>
      </c>
      <c r="N19" s="173">
        <f t="shared" ref="N19" si="50">M19/F19</f>
        <v>0.33417164519479153</v>
      </c>
      <c r="O19" s="172">
        <v>468701.41</v>
      </c>
      <c r="P19" s="173">
        <f t="shared" si="6"/>
        <v>7.9606641786169982E-2</v>
      </c>
      <c r="Q19" s="172">
        <v>39331.760000000002</v>
      </c>
      <c r="R19" s="173">
        <f t="shared" si="7"/>
        <v>6.6803070405519142E-3</v>
      </c>
      <c r="S19" s="172">
        <f t="shared" si="8"/>
        <v>508033.17</v>
      </c>
      <c r="T19" s="173">
        <f t="shared" ref="T19" si="51">S19/F19</f>
        <v>8.6286948826721901E-2</v>
      </c>
      <c r="U19" s="172">
        <v>121800.06</v>
      </c>
      <c r="V19" s="173">
        <f t="shared" ref="V19" si="52">U19/F19</f>
        <v>2.0687144393173495E-2</v>
      </c>
      <c r="W19" s="172">
        <v>201043.55</v>
      </c>
      <c r="X19" s="173">
        <f t="shared" si="11"/>
        <v>3.4146263541792961E-2</v>
      </c>
      <c r="Y19" s="172">
        <v>278343.31</v>
      </c>
      <c r="Z19" s="173">
        <f t="shared" si="12"/>
        <v>4.7275249657872519E-2</v>
      </c>
      <c r="AA19" s="172">
        <v>752453.89</v>
      </c>
      <c r="AB19" s="173">
        <f t="shared" si="13"/>
        <v>0.12780061250901753</v>
      </c>
      <c r="AC19" s="172">
        <f t="shared" si="14"/>
        <v>1030797.2</v>
      </c>
      <c r="AD19" s="173">
        <f t="shared" si="15"/>
        <v>0.17507586216689006</v>
      </c>
      <c r="AE19" s="172">
        <v>1988442.6099999999</v>
      </c>
      <c r="AF19" s="173">
        <f t="shared" si="16"/>
        <v>0.33772725063196823</v>
      </c>
      <c r="AG19" s="172">
        <v>0</v>
      </c>
      <c r="AH19" s="173">
        <f t="shared" si="17"/>
        <v>0</v>
      </c>
      <c r="AI19" s="172">
        <v>0</v>
      </c>
      <c r="AJ19" s="173">
        <f t="shared" si="18"/>
        <v>0</v>
      </c>
      <c r="AK19" s="172">
        <v>70092.599999999991</v>
      </c>
      <c r="AL19" s="173">
        <f t="shared" si="19"/>
        <v>1.190488524466205E-2</v>
      </c>
      <c r="AN19" s="72"/>
    </row>
    <row r="20" spans="2:40" s="73" customFormat="1" ht="14.25" customHeight="1">
      <c r="B20" s="548"/>
      <c r="C20" s="551"/>
      <c r="D20" s="171">
        <v>46125</v>
      </c>
      <c r="E20" s="171" t="s">
        <v>117</v>
      </c>
      <c r="F20" s="328">
        <f t="shared" si="0"/>
        <v>5758150.04</v>
      </c>
      <c r="G20" s="549"/>
      <c r="H20" s="553"/>
      <c r="I20" s="172">
        <v>786274.22</v>
      </c>
      <c r="J20" s="173">
        <f t="shared" si="2"/>
        <v>0.13654979716367377</v>
      </c>
      <c r="K20" s="172">
        <v>1455401.41</v>
      </c>
      <c r="L20" s="173">
        <f t="shared" si="3"/>
        <v>0.2527550341498222</v>
      </c>
      <c r="M20" s="172">
        <f t="shared" si="4"/>
        <v>2241675.63</v>
      </c>
      <c r="N20" s="173">
        <f t="shared" ref="N20:N21" si="53">M20/$F20</f>
        <v>0.38930483131349591</v>
      </c>
      <c r="O20" s="172">
        <v>348349.76</v>
      </c>
      <c r="P20" s="173">
        <f t="shared" si="6"/>
        <v>6.0496818870666318E-2</v>
      </c>
      <c r="Q20" s="172">
        <v>0</v>
      </c>
      <c r="R20" s="173">
        <f t="shared" si="7"/>
        <v>0</v>
      </c>
      <c r="S20" s="172">
        <f t="shared" si="8"/>
        <v>348349.76</v>
      </c>
      <c r="T20" s="173">
        <f t="shared" ref="T20:T21" si="54">S20/$F20</f>
        <v>6.0496818870666318E-2</v>
      </c>
      <c r="U20" s="172">
        <v>114683.79000000001</v>
      </c>
      <c r="V20" s="173">
        <f t="shared" ref="V20:V21" si="55">U20/$F20</f>
        <v>1.9916776951508546E-2</v>
      </c>
      <c r="W20" s="172">
        <v>175473.28</v>
      </c>
      <c r="X20" s="173">
        <f t="shared" si="11"/>
        <v>3.0473898523144423E-2</v>
      </c>
      <c r="Y20" s="172">
        <v>253478.05000000002</v>
      </c>
      <c r="Z20" s="173">
        <f t="shared" si="12"/>
        <v>4.4020744204157629E-2</v>
      </c>
      <c r="AA20" s="172">
        <v>728125.52999999991</v>
      </c>
      <c r="AB20" s="173">
        <f t="shared" si="13"/>
        <v>0.12645129511074704</v>
      </c>
      <c r="AC20" s="172">
        <f t="shared" si="14"/>
        <v>981603.58</v>
      </c>
      <c r="AD20" s="173">
        <f t="shared" si="15"/>
        <v>0.17047203931490468</v>
      </c>
      <c r="AE20" s="172">
        <v>1823552.8</v>
      </c>
      <c r="AF20" s="173">
        <f t="shared" si="16"/>
        <v>0.31669074048650531</v>
      </c>
      <c r="AG20" s="172">
        <v>0</v>
      </c>
      <c r="AH20" s="173">
        <f t="shared" si="17"/>
        <v>0</v>
      </c>
      <c r="AI20" s="172">
        <v>0</v>
      </c>
      <c r="AJ20" s="173">
        <f t="shared" si="18"/>
        <v>0</v>
      </c>
      <c r="AK20" s="172">
        <v>72811.199999999997</v>
      </c>
      <c r="AL20" s="173">
        <f t="shared" si="19"/>
        <v>1.2644894539774791E-2</v>
      </c>
      <c r="AN20" s="72"/>
    </row>
    <row r="21" spans="2:40" s="73" customFormat="1" ht="14.25" customHeight="1">
      <c r="B21" s="546">
        <f>D22+7</f>
        <v>46134</v>
      </c>
      <c r="C21" s="551"/>
      <c r="D21" s="171">
        <v>46126</v>
      </c>
      <c r="E21" s="171" t="s">
        <v>118</v>
      </c>
      <c r="F21" s="328">
        <f t="shared" si="0"/>
        <v>6972503.2700000014</v>
      </c>
      <c r="G21" s="549">
        <f t="shared" ref="G21" si="56">SUM(F21:F27)</f>
        <v>42842570.840000004</v>
      </c>
      <c r="H21" s="553"/>
      <c r="I21" s="172">
        <v>1258157.1500000001</v>
      </c>
      <c r="J21" s="173">
        <f t="shared" si="2"/>
        <v>0.18044554463149071</v>
      </c>
      <c r="K21" s="172">
        <v>1524527.74</v>
      </c>
      <c r="L21" s="173">
        <f t="shared" si="3"/>
        <v>0.21864855145489229</v>
      </c>
      <c r="M21" s="172">
        <f t="shared" si="4"/>
        <v>2782684.89</v>
      </c>
      <c r="N21" s="173">
        <f t="shared" si="53"/>
        <v>0.39909409608638297</v>
      </c>
      <c r="O21" s="172">
        <v>393165.25</v>
      </c>
      <c r="P21" s="173">
        <f t="shared" si="6"/>
        <v>5.6387962081228239E-2</v>
      </c>
      <c r="Q21" s="172">
        <v>0</v>
      </c>
      <c r="R21" s="173">
        <f t="shared" si="7"/>
        <v>0</v>
      </c>
      <c r="S21" s="172">
        <f t="shared" si="8"/>
        <v>393165.25</v>
      </c>
      <c r="T21" s="173">
        <f t="shared" si="54"/>
        <v>5.6387962081228239E-2</v>
      </c>
      <c r="U21" s="172">
        <v>116867.41</v>
      </c>
      <c r="V21" s="173">
        <f t="shared" si="55"/>
        <v>1.6761183964278011E-2</v>
      </c>
      <c r="W21" s="172">
        <v>225134.61000000002</v>
      </c>
      <c r="X21" s="173">
        <f t="shared" si="11"/>
        <v>3.22889213933635E-2</v>
      </c>
      <c r="Y21" s="172">
        <v>271871.53000000003</v>
      </c>
      <c r="Z21" s="173">
        <f t="shared" si="12"/>
        <v>3.8991954463436194E-2</v>
      </c>
      <c r="AA21" s="172">
        <v>708520.84000000008</v>
      </c>
      <c r="AB21" s="173">
        <f t="shared" si="13"/>
        <v>0.10161642276289674</v>
      </c>
      <c r="AC21" s="172">
        <f t="shared" si="14"/>
        <v>980392.37000000011</v>
      </c>
      <c r="AD21" s="173">
        <f t="shared" si="15"/>
        <v>0.14060837722633293</v>
      </c>
      <c r="AE21" s="172">
        <v>1697613.3599999999</v>
      </c>
      <c r="AF21" s="173">
        <f t="shared" si="16"/>
        <v>0.24347257997055044</v>
      </c>
      <c r="AG21" s="172">
        <v>0</v>
      </c>
      <c r="AH21" s="173">
        <f t="shared" si="17"/>
        <v>0</v>
      </c>
      <c r="AI21" s="172">
        <v>700169.98</v>
      </c>
      <c r="AJ21" s="173">
        <f t="shared" si="18"/>
        <v>0.10041873813276818</v>
      </c>
      <c r="AK21" s="172">
        <v>76475.399999999994</v>
      </c>
      <c r="AL21" s="173">
        <f t="shared" si="19"/>
        <v>1.0968141145095509E-2</v>
      </c>
      <c r="AN21" s="72"/>
    </row>
    <row r="22" spans="2:40" s="73" customFormat="1" ht="14.25" customHeight="1">
      <c r="B22" s="547"/>
      <c r="C22" s="551"/>
      <c r="D22" s="171">
        <v>46127</v>
      </c>
      <c r="E22" s="171" t="s">
        <v>112</v>
      </c>
      <c r="F22" s="328">
        <f t="shared" si="0"/>
        <v>6457162.1800000006</v>
      </c>
      <c r="G22" s="549"/>
      <c r="H22" s="553"/>
      <c r="I22" s="172">
        <v>1139592.08</v>
      </c>
      <c r="J22" s="173">
        <f t="shared" si="2"/>
        <v>0.1764849709876731</v>
      </c>
      <c r="K22" s="172">
        <v>1416940.8299999998</v>
      </c>
      <c r="L22" s="173">
        <f t="shared" si="3"/>
        <v>0.21943708249867741</v>
      </c>
      <c r="M22" s="172">
        <f t="shared" si="4"/>
        <v>2556532.91</v>
      </c>
      <c r="N22" s="173">
        <f t="shared" ref="N22" si="57">M22/F22</f>
        <v>0.39592205348635057</v>
      </c>
      <c r="O22" s="172">
        <v>371236.06999999995</v>
      </c>
      <c r="P22" s="173">
        <f t="shared" si="6"/>
        <v>5.7492139681707653E-2</v>
      </c>
      <c r="Q22" s="172">
        <v>0</v>
      </c>
      <c r="R22" s="173">
        <f t="shared" si="7"/>
        <v>0</v>
      </c>
      <c r="S22" s="172">
        <f t="shared" si="8"/>
        <v>371236.06999999995</v>
      </c>
      <c r="T22" s="173">
        <f t="shared" ref="T22" si="58">S22/F22</f>
        <v>5.7492139681707653E-2</v>
      </c>
      <c r="U22" s="172">
        <v>106528.63</v>
      </c>
      <c r="V22" s="173">
        <f t="shared" ref="V22" si="59">U22/F22</f>
        <v>1.649774731227209E-2</v>
      </c>
      <c r="W22" s="172">
        <v>220203.09</v>
      </c>
      <c r="X22" s="173">
        <f t="shared" si="11"/>
        <v>3.4102146401408795E-2</v>
      </c>
      <c r="Y22" s="172">
        <v>225603.98</v>
      </c>
      <c r="Z22" s="173">
        <f t="shared" si="12"/>
        <v>3.4938564916144013E-2</v>
      </c>
      <c r="AA22" s="172">
        <v>629756.89999999991</v>
      </c>
      <c r="AB22" s="173">
        <f t="shared" si="13"/>
        <v>9.7528431599653562E-2</v>
      </c>
      <c r="AC22" s="172">
        <f t="shared" si="14"/>
        <v>855360.87999999989</v>
      </c>
      <c r="AD22" s="173">
        <f t="shared" si="15"/>
        <v>0.13246699651579757</v>
      </c>
      <c r="AE22" s="172">
        <v>1629884</v>
      </c>
      <c r="AF22" s="173">
        <f t="shared" si="16"/>
        <v>0.25241490837078523</v>
      </c>
      <c r="AG22" s="172">
        <v>0</v>
      </c>
      <c r="AH22" s="173">
        <f t="shared" si="17"/>
        <v>0</v>
      </c>
      <c r="AI22" s="172">
        <v>644487.19999999995</v>
      </c>
      <c r="AJ22" s="173">
        <f t="shared" si="18"/>
        <v>9.9809665923552796E-2</v>
      </c>
      <c r="AK22" s="172">
        <v>72929.399999999994</v>
      </c>
      <c r="AL22" s="173">
        <f t="shared" si="19"/>
        <v>1.1294342308125207E-2</v>
      </c>
      <c r="AN22" s="72"/>
    </row>
    <row r="23" spans="2:40" s="73" customFormat="1" ht="14.25" customHeight="1">
      <c r="B23" s="547"/>
      <c r="C23" s="551"/>
      <c r="D23" s="171">
        <v>46128</v>
      </c>
      <c r="E23" s="171" t="s">
        <v>113</v>
      </c>
      <c r="F23" s="328">
        <f t="shared" si="0"/>
        <v>5781414.5900000008</v>
      </c>
      <c r="G23" s="549"/>
      <c r="H23" s="553"/>
      <c r="I23" s="172">
        <v>1038888.5099999999</v>
      </c>
      <c r="J23" s="173">
        <f t="shared" si="2"/>
        <v>0.17969451832721786</v>
      </c>
      <c r="K23" s="172">
        <v>1249824.06</v>
      </c>
      <c r="L23" s="173">
        <f t="shared" si="3"/>
        <v>0.21617962879911712</v>
      </c>
      <c r="M23" s="172">
        <f t="shared" si="4"/>
        <v>2288712.5699999998</v>
      </c>
      <c r="N23" s="173">
        <f t="shared" ref="N23" si="60">M23/$F23</f>
        <v>0.39587414712633495</v>
      </c>
      <c r="O23" s="172">
        <v>372327.19999999995</v>
      </c>
      <c r="P23" s="173">
        <f t="shared" si="6"/>
        <v>6.4400709238878487E-2</v>
      </c>
      <c r="Q23" s="172">
        <v>0</v>
      </c>
      <c r="R23" s="173">
        <f t="shared" si="7"/>
        <v>0</v>
      </c>
      <c r="S23" s="172">
        <f t="shared" si="8"/>
        <v>372327.19999999995</v>
      </c>
      <c r="T23" s="173">
        <f t="shared" ref="T23" si="61">S23/$F23</f>
        <v>6.4400709238878487E-2</v>
      </c>
      <c r="U23" s="172">
        <v>104326.45999999999</v>
      </c>
      <c r="V23" s="173">
        <f t="shared" ref="V23" si="62">U23/$F23</f>
        <v>1.8045144207518248E-2</v>
      </c>
      <c r="W23" s="172">
        <v>221197.83</v>
      </c>
      <c r="X23" s="173">
        <f t="shared" si="11"/>
        <v>3.8260157018076772E-2</v>
      </c>
      <c r="Y23" s="172">
        <v>164178.84</v>
      </c>
      <c r="Z23" s="173">
        <f t="shared" si="12"/>
        <v>2.839769358246283E-2</v>
      </c>
      <c r="AA23" s="172">
        <v>517650.11</v>
      </c>
      <c r="AB23" s="173">
        <f t="shared" si="13"/>
        <v>8.953692940398518E-2</v>
      </c>
      <c r="AC23" s="172">
        <f t="shared" si="14"/>
        <v>681828.95</v>
      </c>
      <c r="AD23" s="173">
        <f t="shared" si="15"/>
        <v>0.11793462298644801</v>
      </c>
      <c r="AE23" s="172">
        <v>1462841.98</v>
      </c>
      <c r="AF23" s="173">
        <f t="shared" si="16"/>
        <v>0.25302492274645882</v>
      </c>
      <c r="AG23" s="172">
        <v>0</v>
      </c>
      <c r="AH23" s="173">
        <f t="shared" si="17"/>
        <v>0</v>
      </c>
      <c r="AI23" s="172">
        <v>580323.39999999991</v>
      </c>
      <c r="AJ23" s="173">
        <f t="shared" si="18"/>
        <v>0.10037740607701338</v>
      </c>
      <c r="AK23" s="172">
        <v>69856.2</v>
      </c>
      <c r="AL23" s="173">
        <f t="shared" si="19"/>
        <v>1.2082890599271135E-2</v>
      </c>
      <c r="AN23" s="72"/>
    </row>
    <row r="24" spans="2:40" s="73" customFormat="1" ht="14.25" customHeight="1">
      <c r="B24" s="547"/>
      <c r="C24" s="551"/>
      <c r="D24" s="171">
        <v>46129</v>
      </c>
      <c r="E24" s="171" t="s">
        <v>114</v>
      </c>
      <c r="F24" s="328">
        <f t="shared" si="0"/>
        <v>5012455.3299999991</v>
      </c>
      <c r="G24" s="549"/>
      <c r="H24" s="553"/>
      <c r="I24" s="172">
        <v>921116.98</v>
      </c>
      <c r="J24" s="173">
        <f t="shared" si="2"/>
        <v>0.18376562370282512</v>
      </c>
      <c r="K24" s="172">
        <v>1146055.96</v>
      </c>
      <c r="L24" s="173">
        <f t="shared" si="3"/>
        <v>0.22864163060780837</v>
      </c>
      <c r="M24" s="172">
        <f t="shared" si="4"/>
        <v>2067172.94</v>
      </c>
      <c r="N24" s="173">
        <f t="shared" ref="N24" si="63">M24/F24</f>
        <v>0.41240725431063346</v>
      </c>
      <c r="O24" s="172">
        <v>271252.90000000002</v>
      </c>
      <c r="P24" s="173">
        <f t="shared" si="6"/>
        <v>5.4115774035237152E-2</v>
      </c>
      <c r="Q24" s="172">
        <v>0</v>
      </c>
      <c r="R24" s="173">
        <f t="shared" si="7"/>
        <v>0</v>
      </c>
      <c r="S24" s="172">
        <f t="shared" si="8"/>
        <v>271252.90000000002</v>
      </c>
      <c r="T24" s="173">
        <f t="shared" ref="T24" si="64">S24/F24</f>
        <v>5.4115774035237152E-2</v>
      </c>
      <c r="U24" s="172">
        <v>88997.86</v>
      </c>
      <c r="V24" s="173">
        <f t="shared" ref="V24" si="65">U24/F24</f>
        <v>1.775534227055147E-2</v>
      </c>
      <c r="W24" s="172">
        <v>143139.74</v>
      </c>
      <c r="X24" s="173">
        <f t="shared" si="11"/>
        <v>2.8556811098803352E-2</v>
      </c>
      <c r="Y24" s="172">
        <v>181266.61000000002</v>
      </c>
      <c r="Z24" s="173">
        <f t="shared" si="12"/>
        <v>3.6163236989884565E-2</v>
      </c>
      <c r="AA24" s="172">
        <v>547464.20000000007</v>
      </c>
      <c r="AB24" s="173">
        <f t="shared" si="13"/>
        <v>0.10922076386863286</v>
      </c>
      <c r="AC24" s="172">
        <f t="shared" si="14"/>
        <v>728730.81</v>
      </c>
      <c r="AD24" s="173">
        <f t="shared" si="15"/>
        <v>0.14538400085851741</v>
      </c>
      <c r="AE24" s="172">
        <v>1185234.54</v>
      </c>
      <c r="AF24" s="173">
        <f t="shared" si="16"/>
        <v>0.23645787582509992</v>
      </c>
      <c r="AG24" s="172">
        <v>0</v>
      </c>
      <c r="AH24" s="173">
        <f t="shared" si="17"/>
        <v>0</v>
      </c>
      <c r="AI24" s="172">
        <v>463330.23999999993</v>
      </c>
      <c r="AJ24" s="173">
        <f t="shared" si="18"/>
        <v>9.2435784360396483E-2</v>
      </c>
      <c r="AK24" s="172">
        <v>64596.299999999996</v>
      </c>
      <c r="AL24" s="173">
        <f t="shared" si="19"/>
        <v>1.2887157240760888E-2</v>
      </c>
      <c r="AN24" s="72"/>
    </row>
    <row r="25" spans="2:40" s="73" customFormat="1" ht="14.25" customHeight="1">
      <c r="B25" s="547"/>
      <c r="C25" s="551"/>
      <c r="D25" s="171">
        <v>46130</v>
      </c>
      <c r="E25" s="171" t="s">
        <v>115</v>
      </c>
      <c r="F25" s="328">
        <f t="shared" si="0"/>
        <v>5245500.34</v>
      </c>
      <c r="G25" s="549"/>
      <c r="H25" s="553"/>
      <c r="I25" s="172">
        <v>888743.04</v>
      </c>
      <c r="J25" s="173">
        <f t="shared" si="2"/>
        <v>0.16942960297282147</v>
      </c>
      <c r="K25" s="172">
        <v>1270153.71</v>
      </c>
      <c r="L25" s="173">
        <f t="shared" si="3"/>
        <v>0.24214157423922691</v>
      </c>
      <c r="M25" s="172">
        <f t="shared" si="4"/>
        <v>2158896.75</v>
      </c>
      <c r="N25" s="173">
        <f t="shared" ref="N25" si="66">M25/$F25</f>
        <v>0.41157117721204839</v>
      </c>
      <c r="O25" s="172">
        <v>260175.2</v>
      </c>
      <c r="P25" s="173">
        <f t="shared" si="6"/>
        <v>4.9599691761720487E-2</v>
      </c>
      <c r="Q25" s="172">
        <v>0</v>
      </c>
      <c r="R25" s="173">
        <f t="shared" si="7"/>
        <v>0</v>
      </c>
      <c r="S25" s="172">
        <f t="shared" si="8"/>
        <v>260175.2</v>
      </c>
      <c r="T25" s="173">
        <f t="shared" ref="T25" si="67">S25/$F25</f>
        <v>4.9599691761720487E-2</v>
      </c>
      <c r="U25" s="172">
        <v>94890.53</v>
      </c>
      <c r="V25" s="173">
        <f t="shared" ref="V25" si="68">U25/$F25</f>
        <v>1.8089891116087508E-2</v>
      </c>
      <c r="W25" s="172">
        <v>148344.82</v>
      </c>
      <c r="X25" s="173">
        <f t="shared" si="11"/>
        <v>2.8280394697295933E-2</v>
      </c>
      <c r="Y25" s="172">
        <v>209424.53</v>
      </c>
      <c r="Z25" s="173">
        <f t="shared" si="12"/>
        <v>3.992460517121995E-2</v>
      </c>
      <c r="AA25" s="172">
        <v>568078.98</v>
      </c>
      <c r="AB25" s="173">
        <f t="shared" si="13"/>
        <v>0.10829834013508043</v>
      </c>
      <c r="AC25" s="172">
        <f t="shared" si="14"/>
        <v>777503.51</v>
      </c>
      <c r="AD25" s="173">
        <f t="shared" si="15"/>
        <v>0.14822294530630037</v>
      </c>
      <c r="AE25" s="172">
        <v>1279111.69</v>
      </c>
      <c r="AF25" s="173">
        <f t="shared" si="16"/>
        <v>0.24384931981531432</v>
      </c>
      <c r="AG25" s="172">
        <v>0</v>
      </c>
      <c r="AH25" s="173">
        <f t="shared" si="17"/>
        <v>0</v>
      </c>
      <c r="AI25" s="172">
        <v>465527.53999999992</v>
      </c>
      <c r="AJ25" s="173">
        <f t="shared" si="18"/>
        <v>8.8747976327459344E-2</v>
      </c>
      <c r="AK25" s="172">
        <v>61050.299999999996</v>
      </c>
      <c r="AL25" s="173">
        <f t="shared" si="19"/>
        <v>1.1638603763773656E-2</v>
      </c>
      <c r="AN25" s="72"/>
    </row>
    <row r="26" spans="2:40" s="73" customFormat="1" ht="14.25" customHeight="1">
      <c r="B26" s="547"/>
      <c r="C26" s="551"/>
      <c r="D26" s="171">
        <v>46131</v>
      </c>
      <c r="E26" s="171" t="s">
        <v>116</v>
      </c>
      <c r="F26" s="328">
        <f t="shared" si="0"/>
        <v>6890291.8599999994</v>
      </c>
      <c r="G26" s="549"/>
      <c r="H26" s="553"/>
      <c r="I26" s="172">
        <v>1212193.77</v>
      </c>
      <c r="J26" s="173">
        <f t="shared" si="2"/>
        <v>0.17592778283269994</v>
      </c>
      <c r="K26" s="172">
        <v>1407729.02</v>
      </c>
      <c r="L26" s="173">
        <f t="shared" si="3"/>
        <v>0.20430615256985649</v>
      </c>
      <c r="M26" s="172">
        <f t="shared" si="4"/>
        <v>2619922.79</v>
      </c>
      <c r="N26" s="173">
        <f t="shared" ref="N26" si="69">M26/F26</f>
        <v>0.3802339354025564</v>
      </c>
      <c r="O26" s="172">
        <v>348770.65</v>
      </c>
      <c r="P26" s="173">
        <f t="shared" si="6"/>
        <v>5.0617688929072452E-2</v>
      </c>
      <c r="Q26" s="172">
        <v>0</v>
      </c>
      <c r="R26" s="173">
        <f t="shared" si="7"/>
        <v>0</v>
      </c>
      <c r="S26" s="172">
        <f t="shared" si="8"/>
        <v>348770.65</v>
      </c>
      <c r="T26" s="173">
        <f t="shared" ref="T26" si="70">S26/F26</f>
        <v>5.0617688929072452E-2</v>
      </c>
      <c r="U26" s="172">
        <v>114802.47</v>
      </c>
      <c r="V26" s="173">
        <f t="shared" ref="V26" si="71">U26/F26</f>
        <v>1.6661481448479603E-2</v>
      </c>
      <c r="W26" s="172">
        <v>178802.81</v>
      </c>
      <c r="X26" s="173">
        <f t="shared" si="11"/>
        <v>2.5949961719038128E-2</v>
      </c>
      <c r="Y26" s="172">
        <v>241726.66</v>
      </c>
      <c r="Z26" s="173">
        <f t="shared" si="12"/>
        <v>3.5082209130107886E-2</v>
      </c>
      <c r="AA26" s="172">
        <v>669644.15999999992</v>
      </c>
      <c r="AB26" s="173">
        <f t="shared" si="13"/>
        <v>9.7186617578199366E-2</v>
      </c>
      <c r="AC26" s="172">
        <f t="shared" si="14"/>
        <v>911370.82</v>
      </c>
      <c r="AD26" s="173">
        <f t="shared" si="15"/>
        <v>0.13226882670830725</v>
      </c>
      <c r="AE26" s="172">
        <v>1978242.78</v>
      </c>
      <c r="AF26" s="173">
        <f t="shared" si="16"/>
        <v>0.28710580338174529</v>
      </c>
      <c r="AG26" s="172">
        <v>0</v>
      </c>
      <c r="AH26" s="173">
        <f t="shared" si="17"/>
        <v>0</v>
      </c>
      <c r="AI26" s="172">
        <v>669468.93999999994</v>
      </c>
      <c r="AJ26" s="173">
        <f t="shared" si="18"/>
        <v>9.7161187595905404E-2</v>
      </c>
      <c r="AK26" s="172">
        <v>68910.599999999991</v>
      </c>
      <c r="AL26" s="173">
        <f t="shared" si="19"/>
        <v>1.0001114814895518E-2</v>
      </c>
      <c r="AN26" s="72"/>
    </row>
    <row r="27" spans="2:40" s="73" customFormat="1" ht="14.25" customHeight="1">
      <c r="B27" s="548"/>
      <c r="C27" s="551"/>
      <c r="D27" s="171">
        <v>46132</v>
      </c>
      <c r="E27" s="171" t="s">
        <v>117</v>
      </c>
      <c r="F27" s="328">
        <f t="shared" si="0"/>
        <v>6483243.2699999996</v>
      </c>
      <c r="G27" s="549"/>
      <c r="H27" s="553"/>
      <c r="I27" s="172">
        <v>1132051.5999999999</v>
      </c>
      <c r="J27" s="173">
        <f t="shared" si="2"/>
        <v>0.17461192690984739</v>
      </c>
      <c r="K27" s="172">
        <v>1366929.5499999998</v>
      </c>
      <c r="L27" s="173">
        <f t="shared" si="3"/>
        <v>0.21084039161775892</v>
      </c>
      <c r="M27" s="172">
        <f t="shared" si="4"/>
        <v>2498981.1499999994</v>
      </c>
      <c r="N27" s="173">
        <f t="shared" ref="N27:N28" si="72">M27/$F27</f>
        <v>0.38545231852760625</v>
      </c>
      <c r="O27" s="172">
        <v>329958.05</v>
      </c>
      <c r="P27" s="173">
        <f t="shared" si="6"/>
        <v>5.0893979488139743E-2</v>
      </c>
      <c r="Q27" s="172">
        <v>0</v>
      </c>
      <c r="R27" s="173">
        <f t="shared" si="7"/>
        <v>0</v>
      </c>
      <c r="S27" s="172">
        <f t="shared" si="8"/>
        <v>329958.05</v>
      </c>
      <c r="T27" s="173">
        <f t="shared" ref="T27:T28" si="73">S27/$F27</f>
        <v>5.0893979488139743E-2</v>
      </c>
      <c r="U27" s="172">
        <v>110429.19</v>
      </c>
      <c r="V27" s="173">
        <f t="shared" ref="V27:V28" si="74">U27/$F27</f>
        <v>1.7033016563020319E-2</v>
      </c>
      <c r="W27" s="172">
        <v>134382.16</v>
      </c>
      <c r="X27" s="173">
        <f t="shared" si="11"/>
        <v>2.0727613387859192E-2</v>
      </c>
      <c r="Y27" s="172">
        <v>242351.13</v>
      </c>
      <c r="Z27" s="173">
        <f t="shared" si="12"/>
        <v>3.7381156298952209E-2</v>
      </c>
      <c r="AA27" s="172">
        <v>842782.64000000013</v>
      </c>
      <c r="AB27" s="173">
        <f t="shared" si="13"/>
        <v>0.12999398679050342</v>
      </c>
      <c r="AC27" s="172">
        <f t="shared" si="14"/>
        <v>1085133.77</v>
      </c>
      <c r="AD27" s="173">
        <f t="shared" si="15"/>
        <v>0.16737514308945561</v>
      </c>
      <c r="AE27" s="172">
        <v>1735202.83</v>
      </c>
      <c r="AF27" s="173">
        <f t="shared" si="16"/>
        <v>0.26764425731629227</v>
      </c>
      <c r="AG27" s="172">
        <v>0</v>
      </c>
      <c r="AH27" s="173">
        <f t="shared" si="17"/>
        <v>0</v>
      </c>
      <c r="AI27" s="172">
        <v>520895.62</v>
      </c>
      <c r="AJ27" s="173">
        <f t="shared" si="18"/>
        <v>8.0344913542014909E-2</v>
      </c>
      <c r="AK27" s="172">
        <v>68260.5</v>
      </c>
      <c r="AL27" s="173">
        <f t="shared" si="19"/>
        <v>1.052875808561168E-2</v>
      </c>
      <c r="AN27" s="72"/>
    </row>
    <row r="28" spans="2:40" s="73" customFormat="1" ht="14.25" customHeight="1">
      <c r="B28" s="546">
        <f>D29+7</f>
        <v>46141</v>
      </c>
      <c r="C28" s="551"/>
      <c r="D28" s="171">
        <v>46133</v>
      </c>
      <c r="E28" s="171" t="s">
        <v>118</v>
      </c>
      <c r="F28" s="328">
        <f t="shared" si="0"/>
        <v>6566952.1500000004</v>
      </c>
      <c r="G28" s="549">
        <f t="shared" ref="G28" si="75">SUM(F28:F34)</f>
        <v>41521897.800000004</v>
      </c>
      <c r="H28" s="553"/>
      <c r="I28" s="172">
        <v>1278190.0199999998</v>
      </c>
      <c r="J28" s="173">
        <f t="shared" si="2"/>
        <v>0.19463976450627857</v>
      </c>
      <c r="K28" s="172">
        <v>1285739.3699999999</v>
      </c>
      <c r="L28" s="173">
        <f t="shared" si="3"/>
        <v>0.19578936173609851</v>
      </c>
      <c r="M28" s="172">
        <f t="shared" si="4"/>
        <v>2563929.3899999997</v>
      </c>
      <c r="N28" s="173">
        <f t="shared" si="72"/>
        <v>0.39042912624237708</v>
      </c>
      <c r="O28" s="172">
        <v>317551</v>
      </c>
      <c r="P28" s="173">
        <f t="shared" si="6"/>
        <v>4.8355918049440942E-2</v>
      </c>
      <c r="Q28" s="172">
        <v>0</v>
      </c>
      <c r="R28" s="173">
        <f t="shared" si="7"/>
        <v>0</v>
      </c>
      <c r="S28" s="172">
        <f t="shared" si="8"/>
        <v>317551</v>
      </c>
      <c r="T28" s="173">
        <f t="shared" si="73"/>
        <v>4.8355918049440942E-2</v>
      </c>
      <c r="U28" s="172">
        <v>104174.16</v>
      </c>
      <c r="V28" s="173">
        <f t="shared" si="74"/>
        <v>1.5863395624102421E-2</v>
      </c>
      <c r="W28" s="172">
        <v>236777.73</v>
      </c>
      <c r="X28" s="173">
        <f t="shared" si="11"/>
        <v>3.6055954816116634E-2</v>
      </c>
      <c r="Y28" s="172">
        <v>214193.21000000002</v>
      </c>
      <c r="Z28" s="173">
        <f t="shared" si="12"/>
        <v>3.2616837325364099E-2</v>
      </c>
      <c r="AA28" s="172">
        <v>771386.98</v>
      </c>
      <c r="AB28" s="173">
        <f t="shared" si="13"/>
        <v>0.117464991731362</v>
      </c>
      <c r="AC28" s="172">
        <f t="shared" si="14"/>
        <v>985580.19</v>
      </c>
      <c r="AD28" s="173">
        <f t="shared" si="15"/>
        <v>0.1500818290567261</v>
      </c>
      <c r="AE28" s="172">
        <v>1587691.1099999999</v>
      </c>
      <c r="AF28" s="173">
        <f t="shared" si="16"/>
        <v>0.24176986122854568</v>
      </c>
      <c r="AG28" s="172">
        <v>0</v>
      </c>
      <c r="AH28" s="173">
        <f t="shared" si="17"/>
        <v>0</v>
      </c>
      <c r="AI28" s="172">
        <v>698910.16999999993</v>
      </c>
      <c r="AJ28" s="173">
        <f t="shared" si="18"/>
        <v>0.10642839387827729</v>
      </c>
      <c r="AK28" s="172">
        <v>72338.399999999994</v>
      </c>
      <c r="AL28" s="173">
        <f t="shared" si="19"/>
        <v>1.1015521104413711E-2</v>
      </c>
      <c r="AN28" s="72"/>
    </row>
    <row r="29" spans="2:40" s="73" customFormat="1" ht="14.25" customHeight="1">
      <c r="B29" s="547"/>
      <c r="C29" s="551"/>
      <c r="D29" s="171">
        <v>46134</v>
      </c>
      <c r="E29" s="171" t="s">
        <v>112</v>
      </c>
      <c r="F29" s="328">
        <f t="shared" si="0"/>
        <v>6140458.7200000007</v>
      </c>
      <c r="G29" s="549"/>
      <c r="H29" s="553"/>
      <c r="I29" s="172">
        <v>1209010.43</v>
      </c>
      <c r="J29" s="173">
        <f t="shared" si="2"/>
        <v>0.19689252629647183</v>
      </c>
      <c r="K29" s="172">
        <v>1225063.6200000001</v>
      </c>
      <c r="L29" s="173">
        <f t="shared" si="3"/>
        <v>0.19950685703819859</v>
      </c>
      <c r="M29" s="172">
        <f t="shared" si="4"/>
        <v>2434074.0499999998</v>
      </c>
      <c r="N29" s="173">
        <f t="shared" ref="N29" si="76">M29/F29</f>
        <v>0.3963993833346704</v>
      </c>
      <c r="O29" s="172">
        <v>331023.74</v>
      </c>
      <c r="P29" s="173">
        <f t="shared" si="6"/>
        <v>5.3908633718491958E-2</v>
      </c>
      <c r="Q29" s="172">
        <v>0</v>
      </c>
      <c r="R29" s="173">
        <f t="shared" si="7"/>
        <v>0</v>
      </c>
      <c r="S29" s="172">
        <f t="shared" si="8"/>
        <v>331023.74</v>
      </c>
      <c r="T29" s="173">
        <f t="shared" ref="T29" si="77">S29/F29</f>
        <v>5.3908633718491958E-2</v>
      </c>
      <c r="U29" s="172">
        <v>95765.7</v>
      </c>
      <c r="V29" s="173">
        <f t="shared" ref="V29" si="78">U29/F29</f>
        <v>1.559585437616947E-2</v>
      </c>
      <c r="W29" s="172">
        <v>223474.63</v>
      </c>
      <c r="X29" s="173">
        <f t="shared" si="11"/>
        <v>3.6393800559577735E-2</v>
      </c>
      <c r="Y29" s="172">
        <v>199546.55000000002</v>
      </c>
      <c r="Z29" s="173">
        <f t="shared" si="12"/>
        <v>3.2497010255937361E-2</v>
      </c>
      <c r="AA29" s="172">
        <v>701711.00999999989</v>
      </c>
      <c r="AB29" s="173">
        <f t="shared" si="13"/>
        <v>0.11427664316258115</v>
      </c>
      <c r="AC29" s="172">
        <f t="shared" si="14"/>
        <v>901257.55999999994</v>
      </c>
      <c r="AD29" s="173">
        <f t="shared" si="15"/>
        <v>0.14677365341851853</v>
      </c>
      <c r="AE29" s="172">
        <v>1479645.6900000002</v>
      </c>
      <c r="AF29" s="173">
        <f t="shared" si="16"/>
        <v>0.24096663742411739</v>
      </c>
      <c r="AG29" s="172">
        <v>0</v>
      </c>
      <c r="AH29" s="173">
        <f t="shared" si="17"/>
        <v>0</v>
      </c>
      <c r="AI29" s="172">
        <v>601105.94999999995</v>
      </c>
      <c r="AJ29" s="173">
        <f t="shared" si="18"/>
        <v>9.789267828511676E-2</v>
      </c>
      <c r="AK29" s="172">
        <v>74111.399999999994</v>
      </c>
      <c r="AL29" s="173">
        <f t="shared" si="19"/>
        <v>1.2069358883337626E-2</v>
      </c>
      <c r="AN29" s="72"/>
    </row>
    <row r="30" spans="2:40" s="73" customFormat="1" ht="14.25" customHeight="1">
      <c r="B30" s="547"/>
      <c r="C30" s="551"/>
      <c r="D30" s="171">
        <v>46135</v>
      </c>
      <c r="E30" s="171" t="s">
        <v>113</v>
      </c>
      <c r="F30" s="328">
        <f t="shared" si="0"/>
        <v>5473020.1600000001</v>
      </c>
      <c r="G30" s="549"/>
      <c r="H30" s="553"/>
      <c r="I30" s="172">
        <v>1154751.93</v>
      </c>
      <c r="J30" s="173">
        <f t="shared" si="2"/>
        <v>0.21098989154828912</v>
      </c>
      <c r="K30" s="172">
        <v>1093354.5900000001</v>
      </c>
      <c r="L30" s="173">
        <f t="shared" si="3"/>
        <v>0.1997717088621139</v>
      </c>
      <c r="M30" s="172">
        <f t="shared" si="4"/>
        <v>2248106.52</v>
      </c>
      <c r="N30" s="173">
        <f t="shared" ref="N30" si="79">M30/$F30</f>
        <v>0.41076160041040299</v>
      </c>
      <c r="O30" s="172">
        <v>286119.92000000004</v>
      </c>
      <c r="P30" s="173">
        <f t="shared" si="6"/>
        <v>5.2278250698056999E-2</v>
      </c>
      <c r="Q30" s="172">
        <v>0</v>
      </c>
      <c r="R30" s="173">
        <f t="shared" si="7"/>
        <v>0</v>
      </c>
      <c r="S30" s="172">
        <f t="shared" si="8"/>
        <v>286119.92000000004</v>
      </c>
      <c r="T30" s="173">
        <f t="shared" ref="T30" si="80">S30/$F30</f>
        <v>5.2278250698056999E-2</v>
      </c>
      <c r="U30" s="172">
        <v>91240.12</v>
      </c>
      <c r="V30" s="173">
        <f t="shared" ref="V30" si="81">U30/$F30</f>
        <v>1.6670890538068105E-2</v>
      </c>
      <c r="W30" s="172">
        <v>203098.51</v>
      </c>
      <c r="X30" s="173">
        <f t="shared" si="11"/>
        <v>3.7109037435009193E-2</v>
      </c>
      <c r="Y30" s="172">
        <v>183991.57</v>
      </c>
      <c r="Z30" s="173">
        <f t="shared" si="12"/>
        <v>3.3617922942202352E-2</v>
      </c>
      <c r="AA30" s="172">
        <v>550787.47</v>
      </c>
      <c r="AB30" s="173">
        <f t="shared" si="13"/>
        <v>0.10063684289443581</v>
      </c>
      <c r="AC30" s="172">
        <f t="shared" si="14"/>
        <v>734779.04</v>
      </c>
      <c r="AD30" s="173">
        <f t="shared" si="15"/>
        <v>0.13425476583663817</v>
      </c>
      <c r="AE30" s="172">
        <v>1328694.29</v>
      </c>
      <c r="AF30" s="173">
        <f t="shared" si="16"/>
        <v>0.24277167837072247</v>
      </c>
      <c r="AG30" s="172">
        <v>0</v>
      </c>
      <c r="AH30" s="173">
        <f t="shared" si="17"/>
        <v>0</v>
      </c>
      <c r="AI30" s="172">
        <v>514435.16</v>
      </c>
      <c r="AJ30" s="173">
        <f t="shared" si="18"/>
        <v>9.3994749692279583E-2</v>
      </c>
      <c r="AK30" s="172">
        <v>66546.599999999991</v>
      </c>
      <c r="AL30" s="173">
        <f t="shared" si="19"/>
        <v>1.2159027018822453E-2</v>
      </c>
      <c r="AN30" s="72"/>
    </row>
    <row r="31" spans="2:40" s="73" customFormat="1" ht="14.25" customHeight="1">
      <c r="B31" s="547"/>
      <c r="C31" s="551"/>
      <c r="D31" s="171">
        <v>46136</v>
      </c>
      <c r="E31" s="171" t="s">
        <v>114</v>
      </c>
      <c r="F31" s="328">
        <f t="shared" si="0"/>
        <v>4824961.62</v>
      </c>
      <c r="G31" s="549"/>
      <c r="H31" s="553"/>
      <c r="I31" s="172">
        <v>953322.75</v>
      </c>
      <c r="J31" s="173">
        <f t="shared" si="2"/>
        <v>0.19758141620202152</v>
      </c>
      <c r="K31" s="172">
        <v>1022775.5599999998</v>
      </c>
      <c r="L31" s="173">
        <f t="shared" si="3"/>
        <v>0.2119758954683664</v>
      </c>
      <c r="M31" s="172">
        <f t="shared" si="4"/>
        <v>1976098.3099999998</v>
      </c>
      <c r="N31" s="173">
        <f t="shared" ref="N31" si="82">M31/F31</f>
        <v>0.40955731167038789</v>
      </c>
      <c r="O31" s="172">
        <v>227864.44</v>
      </c>
      <c r="P31" s="173">
        <f t="shared" si="6"/>
        <v>4.7226166329588336E-2</v>
      </c>
      <c r="Q31" s="172">
        <v>0</v>
      </c>
      <c r="R31" s="173">
        <f t="shared" si="7"/>
        <v>0</v>
      </c>
      <c r="S31" s="172">
        <f t="shared" si="8"/>
        <v>227864.44</v>
      </c>
      <c r="T31" s="173">
        <f t="shared" ref="T31" si="83">S31/F31</f>
        <v>4.7226166329588336E-2</v>
      </c>
      <c r="U31" s="172">
        <v>84346.09</v>
      </c>
      <c r="V31" s="173">
        <f t="shared" ref="V31" si="84">U31/F31</f>
        <v>1.7481193974761604E-2</v>
      </c>
      <c r="W31" s="172">
        <v>139059.4</v>
      </c>
      <c r="X31" s="173">
        <f t="shared" si="11"/>
        <v>2.8820830288801343E-2</v>
      </c>
      <c r="Y31" s="172">
        <v>180755.68000000002</v>
      </c>
      <c r="Z31" s="173">
        <f t="shared" si="12"/>
        <v>3.7462615091226364E-2</v>
      </c>
      <c r="AA31" s="172">
        <v>561493.13</v>
      </c>
      <c r="AB31" s="173">
        <f t="shared" si="13"/>
        <v>0.11637255883498614</v>
      </c>
      <c r="AC31" s="172">
        <f t="shared" si="14"/>
        <v>742248.81</v>
      </c>
      <c r="AD31" s="173">
        <f t="shared" si="15"/>
        <v>0.15383517392621252</v>
      </c>
      <c r="AE31" s="172">
        <v>1100312.78</v>
      </c>
      <c r="AF31" s="173">
        <f t="shared" si="16"/>
        <v>0.22804591345122452</v>
      </c>
      <c r="AG31" s="172">
        <v>0</v>
      </c>
      <c r="AH31" s="173">
        <f t="shared" si="17"/>
        <v>0</v>
      </c>
      <c r="AI31" s="172">
        <v>491026.49</v>
      </c>
      <c r="AJ31" s="173">
        <f t="shared" si="18"/>
        <v>0.10176795768999297</v>
      </c>
      <c r="AK31" s="172">
        <v>64005.299999999996</v>
      </c>
      <c r="AL31" s="173">
        <f t="shared" si="19"/>
        <v>1.3265452669030764E-2</v>
      </c>
      <c r="AN31" s="72"/>
    </row>
    <row r="32" spans="2:40" s="73" customFormat="1" ht="14.25" customHeight="1">
      <c r="B32" s="547"/>
      <c r="C32" s="551"/>
      <c r="D32" s="171">
        <v>46137</v>
      </c>
      <c r="E32" s="171" t="s">
        <v>115</v>
      </c>
      <c r="F32" s="328">
        <f t="shared" si="0"/>
        <v>5186632.5600000005</v>
      </c>
      <c r="G32" s="549"/>
      <c r="H32" s="553"/>
      <c r="I32" s="172">
        <v>919782.46000000008</v>
      </c>
      <c r="J32" s="173">
        <f t="shared" si="2"/>
        <v>0.17733711601116389</v>
      </c>
      <c r="K32" s="172">
        <v>1147607.21</v>
      </c>
      <c r="L32" s="173">
        <f t="shared" si="3"/>
        <v>0.22126248519135502</v>
      </c>
      <c r="M32" s="172">
        <f t="shared" si="4"/>
        <v>2067389.67</v>
      </c>
      <c r="N32" s="173">
        <f t="shared" ref="N32" si="85">M32/$F32</f>
        <v>0.39859960120251892</v>
      </c>
      <c r="O32" s="172">
        <v>230461.09000000003</v>
      </c>
      <c r="P32" s="173">
        <f t="shared" si="6"/>
        <v>4.4433664296435145E-2</v>
      </c>
      <c r="Q32" s="172">
        <v>0</v>
      </c>
      <c r="R32" s="173">
        <f t="shared" si="7"/>
        <v>0</v>
      </c>
      <c r="S32" s="172">
        <f t="shared" si="8"/>
        <v>230461.09000000003</v>
      </c>
      <c r="T32" s="173">
        <f t="shared" ref="T32" si="86">S32/$F32</f>
        <v>4.4433664296435145E-2</v>
      </c>
      <c r="U32" s="172">
        <v>88602.05</v>
      </c>
      <c r="V32" s="173">
        <f t="shared" ref="V32" si="87">U32/$F32</f>
        <v>1.708276978849645E-2</v>
      </c>
      <c r="W32" s="172">
        <v>131301.64000000001</v>
      </c>
      <c r="X32" s="173">
        <f t="shared" si="11"/>
        <v>2.5315392690937025E-2</v>
      </c>
      <c r="Y32" s="172">
        <v>206983.42</v>
      </c>
      <c r="Z32" s="173">
        <f t="shared" si="12"/>
        <v>3.990709147131101E-2</v>
      </c>
      <c r="AA32" s="172">
        <v>646782.49</v>
      </c>
      <c r="AB32" s="173">
        <f t="shared" si="13"/>
        <v>0.12470181423455221</v>
      </c>
      <c r="AC32" s="172">
        <f t="shared" si="14"/>
        <v>853765.91</v>
      </c>
      <c r="AD32" s="173">
        <f t="shared" si="15"/>
        <v>0.16460890570586323</v>
      </c>
      <c r="AE32" s="172">
        <v>1240038.8800000004</v>
      </c>
      <c r="AF32" s="173">
        <f t="shared" si="16"/>
        <v>0.23908361844703344</v>
      </c>
      <c r="AG32" s="172">
        <v>0</v>
      </c>
      <c r="AH32" s="173">
        <f t="shared" si="17"/>
        <v>0</v>
      </c>
      <c r="AI32" s="172">
        <v>506694.61999999994</v>
      </c>
      <c r="AJ32" s="173">
        <f t="shared" si="18"/>
        <v>9.7692407190687877E-2</v>
      </c>
      <c r="AK32" s="172">
        <v>68378.7</v>
      </c>
      <c r="AL32" s="173">
        <f t="shared" si="19"/>
        <v>1.3183640678027901E-2</v>
      </c>
      <c r="AN32" s="72"/>
    </row>
    <row r="33" spans="2:40" s="73" customFormat="1" ht="14.25" customHeight="1">
      <c r="B33" s="547"/>
      <c r="C33" s="551"/>
      <c r="D33" s="171">
        <v>46138</v>
      </c>
      <c r="E33" s="171" t="s">
        <v>116</v>
      </c>
      <c r="F33" s="328">
        <f t="shared" si="0"/>
        <v>6854398.3500000006</v>
      </c>
      <c r="G33" s="549"/>
      <c r="H33" s="553"/>
      <c r="I33" s="172">
        <v>1245590.4000000001</v>
      </c>
      <c r="J33" s="173">
        <f t="shared" si="2"/>
        <v>0.18172133225959941</v>
      </c>
      <c r="K33" s="172">
        <v>1291860.0799999998</v>
      </c>
      <c r="L33" s="173">
        <f t="shared" si="3"/>
        <v>0.18847169569594679</v>
      </c>
      <c r="M33" s="172">
        <f t="shared" si="4"/>
        <v>2537450.48</v>
      </c>
      <c r="N33" s="173">
        <f t="shared" ref="N33" si="88">M33/F33</f>
        <v>0.37019302795554621</v>
      </c>
      <c r="O33" s="172">
        <v>309378.70999999996</v>
      </c>
      <c r="P33" s="173">
        <f t="shared" si="6"/>
        <v>4.5135793719955006E-2</v>
      </c>
      <c r="Q33" s="172">
        <v>0</v>
      </c>
      <c r="R33" s="173">
        <f t="shared" si="7"/>
        <v>0</v>
      </c>
      <c r="S33" s="172">
        <f t="shared" si="8"/>
        <v>309378.70999999996</v>
      </c>
      <c r="T33" s="173">
        <f t="shared" ref="T33" si="89">S33/F33</f>
        <v>4.5135793719955006E-2</v>
      </c>
      <c r="U33" s="172">
        <v>110799.76000000001</v>
      </c>
      <c r="V33" s="173">
        <f t="shared" ref="V33" si="90">U33/F33</f>
        <v>1.6164768130232758E-2</v>
      </c>
      <c r="W33" s="172">
        <v>178856.44</v>
      </c>
      <c r="X33" s="173">
        <f t="shared" si="11"/>
        <v>2.609367458195656E-2</v>
      </c>
      <c r="Y33" s="172">
        <v>234289.79</v>
      </c>
      <c r="Z33" s="173">
        <f t="shared" si="12"/>
        <v>3.4180941643112993E-2</v>
      </c>
      <c r="AA33" s="172">
        <v>746727.58000000007</v>
      </c>
      <c r="AB33" s="173">
        <f t="shared" si="13"/>
        <v>0.10894137484729058</v>
      </c>
      <c r="AC33" s="172">
        <f t="shared" si="14"/>
        <v>981017.37000000011</v>
      </c>
      <c r="AD33" s="173">
        <f t="shared" si="15"/>
        <v>0.14312231649040358</v>
      </c>
      <c r="AE33" s="172">
        <v>1939330.3000000003</v>
      </c>
      <c r="AF33" s="173">
        <f t="shared" si="16"/>
        <v>0.2829322430611288</v>
      </c>
      <c r="AG33" s="172">
        <v>0</v>
      </c>
      <c r="AH33" s="173">
        <f t="shared" si="17"/>
        <v>0</v>
      </c>
      <c r="AI33" s="172">
        <v>728300.08999999985</v>
      </c>
      <c r="AJ33" s="173">
        <f t="shared" si="18"/>
        <v>0.10625295654140086</v>
      </c>
      <c r="AK33" s="172">
        <v>69265.2</v>
      </c>
      <c r="AL33" s="173">
        <f t="shared" si="19"/>
        <v>1.0105219519376197E-2</v>
      </c>
      <c r="AN33" s="72"/>
    </row>
    <row r="34" spans="2:40" s="73" customFormat="1" ht="14.25" customHeight="1">
      <c r="B34" s="548"/>
      <c r="C34" s="551"/>
      <c r="D34" s="171">
        <v>46139</v>
      </c>
      <c r="E34" s="171" t="s">
        <v>117</v>
      </c>
      <c r="F34" s="328">
        <f t="shared" si="0"/>
        <v>6475474.2400000002</v>
      </c>
      <c r="G34" s="549"/>
      <c r="H34" s="553"/>
      <c r="I34" s="172">
        <v>1206540.4600000002</v>
      </c>
      <c r="J34" s="173">
        <f t="shared" si="2"/>
        <v>0.18632464824692133</v>
      </c>
      <c r="K34" s="172">
        <v>1322581.2200000002</v>
      </c>
      <c r="L34" s="173">
        <f t="shared" si="3"/>
        <v>0.20424468864847189</v>
      </c>
      <c r="M34" s="172">
        <f t="shared" si="4"/>
        <v>2529121.6800000006</v>
      </c>
      <c r="N34" s="173">
        <f t="shared" ref="N34:N35" si="91">M34/$F34</f>
        <v>0.39056933689539325</v>
      </c>
      <c r="O34" s="172">
        <v>294908.03000000003</v>
      </c>
      <c r="P34" s="173">
        <f t="shared" si="6"/>
        <v>4.5542306102973551E-2</v>
      </c>
      <c r="Q34" s="172">
        <v>0</v>
      </c>
      <c r="R34" s="173">
        <f t="shared" si="7"/>
        <v>0</v>
      </c>
      <c r="S34" s="172">
        <f t="shared" si="8"/>
        <v>294908.03000000003</v>
      </c>
      <c r="T34" s="173">
        <f t="shared" ref="T34:T35" si="92">S34/$F34</f>
        <v>4.5542306102973551E-2</v>
      </c>
      <c r="U34" s="172">
        <v>114603.56</v>
      </c>
      <c r="V34" s="173">
        <f t="shared" ref="V34:V35" si="93">U34/$F34</f>
        <v>1.7698095267227872E-2</v>
      </c>
      <c r="W34" s="172">
        <v>174134.12</v>
      </c>
      <c r="X34" s="173">
        <f t="shared" si="11"/>
        <v>2.689133081934706E-2</v>
      </c>
      <c r="Y34" s="172">
        <v>228896.64000000001</v>
      </c>
      <c r="Z34" s="173">
        <f t="shared" si="12"/>
        <v>3.534824346702984E-2</v>
      </c>
      <c r="AA34" s="172">
        <v>708384.77</v>
      </c>
      <c r="AB34" s="173">
        <f t="shared" si="13"/>
        <v>0.10939504100320535</v>
      </c>
      <c r="AC34" s="172">
        <f t="shared" si="14"/>
        <v>937281.41</v>
      </c>
      <c r="AD34" s="173">
        <f t="shared" si="15"/>
        <v>0.14474328447023518</v>
      </c>
      <c r="AE34" s="172">
        <v>1742809.3499999996</v>
      </c>
      <c r="AF34" s="173">
        <f t="shared" si="16"/>
        <v>0.26914003290050914</v>
      </c>
      <c r="AG34" s="172">
        <v>0</v>
      </c>
      <c r="AH34" s="173">
        <f t="shared" si="17"/>
        <v>0</v>
      </c>
      <c r="AI34" s="172">
        <v>611341.49</v>
      </c>
      <c r="AJ34" s="173">
        <f t="shared" si="18"/>
        <v>9.4408759473344761E-2</v>
      </c>
      <c r="AK34" s="172">
        <v>71274.599999999991</v>
      </c>
      <c r="AL34" s="173">
        <f t="shared" si="19"/>
        <v>1.100685407096917E-2</v>
      </c>
      <c r="AN34" s="72"/>
    </row>
    <row r="35" spans="2:40" s="73" customFormat="1" ht="14.25" customHeight="1">
      <c r="B35" s="546">
        <f>D36+7</f>
        <v>46148</v>
      </c>
      <c r="C35" s="551"/>
      <c r="D35" s="171">
        <v>46140</v>
      </c>
      <c r="E35" s="171" t="s">
        <v>118</v>
      </c>
      <c r="F35" s="328">
        <f t="shared" si="0"/>
        <v>6434818.2700000005</v>
      </c>
      <c r="G35" s="549">
        <f t="shared" ref="G35" si="94">SUM(F35:F41)</f>
        <v>37624281.149999999</v>
      </c>
      <c r="H35" s="553"/>
      <c r="I35" s="172">
        <v>1196647.98</v>
      </c>
      <c r="J35" s="173">
        <f t="shared" si="2"/>
        <v>0.18596453385155193</v>
      </c>
      <c r="K35" s="172">
        <v>1283344.1200000001</v>
      </c>
      <c r="L35" s="173">
        <f t="shared" si="3"/>
        <v>0.19943750796865939</v>
      </c>
      <c r="M35" s="172">
        <f t="shared" si="4"/>
        <v>2479992.1</v>
      </c>
      <c r="N35" s="173">
        <f t="shared" si="91"/>
        <v>0.38540204182021132</v>
      </c>
      <c r="O35" s="172">
        <v>293690.21000000002</v>
      </c>
      <c r="P35" s="173">
        <f t="shared" si="6"/>
        <v>4.5640793209222985E-2</v>
      </c>
      <c r="Q35" s="172">
        <v>0</v>
      </c>
      <c r="R35" s="173">
        <f t="shared" si="7"/>
        <v>0</v>
      </c>
      <c r="S35" s="172">
        <f t="shared" si="8"/>
        <v>293690.21000000002</v>
      </c>
      <c r="T35" s="173">
        <f t="shared" si="92"/>
        <v>4.5640793209222985E-2</v>
      </c>
      <c r="U35" s="172">
        <v>106373.61</v>
      </c>
      <c r="V35" s="173">
        <f t="shared" si="93"/>
        <v>1.653094237267403E-2</v>
      </c>
      <c r="W35" s="172">
        <v>124844.22</v>
      </c>
      <c r="X35" s="173">
        <f t="shared" si="11"/>
        <v>1.9401359100076031E-2</v>
      </c>
      <c r="Y35" s="172">
        <v>224979.51</v>
      </c>
      <c r="Z35" s="173">
        <f t="shared" si="12"/>
        <v>3.4962838196827585E-2</v>
      </c>
      <c r="AA35" s="172">
        <v>654753.21</v>
      </c>
      <c r="AB35" s="173">
        <f t="shared" si="13"/>
        <v>0.10175162413716463</v>
      </c>
      <c r="AC35" s="172">
        <f t="shared" si="14"/>
        <v>879732.72</v>
      </c>
      <c r="AD35" s="173">
        <f t="shared" si="15"/>
        <v>0.1367144623339922</v>
      </c>
      <c r="AE35" s="172">
        <v>1635891.7599999998</v>
      </c>
      <c r="AF35" s="173">
        <f t="shared" si="16"/>
        <v>0.25422501325744506</v>
      </c>
      <c r="AG35" s="172">
        <v>0</v>
      </c>
      <c r="AH35" s="173">
        <f t="shared" si="17"/>
        <v>0</v>
      </c>
      <c r="AI35" s="172">
        <v>840773.25</v>
      </c>
      <c r="AJ35" s="173">
        <f t="shared" si="18"/>
        <v>0.13065998365793785</v>
      </c>
      <c r="AK35" s="172">
        <v>73520.399999999994</v>
      </c>
      <c r="AL35" s="173">
        <f t="shared" si="19"/>
        <v>1.1425404248440412E-2</v>
      </c>
      <c r="AN35" s="72"/>
    </row>
    <row r="36" spans="2:40" s="73" customFormat="1" ht="14.25" customHeight="1">
      <c r="B36" s="547"/>
      <c r="C36" s="551"/>
      <c r="D36" s="171">
        <v>46141</v>
      </c>
      <c r="E36" s="171" t="s">
        <v>112</v>
      </c>
      <c r="F36" s="328">
        <f t="shared" si="0"/>
        <v>5586966.5599999996</v>
      </c>
      <c r="G36" s="549"/>
      <c r="H36" s="553"/>
      <c r="I36" s="172">
        <v>1152282.1399999999</v>
      </c>
      <c r="J36" s="173">
        <f t="shared" si="2"/>
        <v>0.20624468172939986</v>
      </c>
      <c r="K36" s="172">
        <v>1052758.5</v>
      </c>
      <c r="L36" s="173">
        <f t="shared" si="3"/>
        <v>0.18843114393009722</v>
      </c>
      <c r="M36" s="172">
        <f t="shared" si="4"/>
        <v>2205040.6399999997</v>
      </c>
      <c r="N36" s="173">
        <f t="shared" ref="N36" si="95">M36/F36</f>
        <v>0.39467582565949705</v>
      </c>
      <c r="O36" s="172">
        <v>273819.69</v>
      </c>
      <c r="P36" s="173">
        <f t="shared" si="6"/>
        <v>4.901044011260379E-2</v>
      </c>
      <c r="Q36" s="172">
        <v>0</v>
      </c>
      <c r="R36" s="173">
        <f t="shared" si="7"/>
        <v>0</v>
      </c>
      <c r="S36" s="172">
        <f t="shared" si="8"/>
        <v>273819.69</v>
      </c>
      <c r="T36" s="173">
        <f t="shared" ref="T36" si="96">S36/F36</f>
        <v>4.901044011260379E-2</v>
      </c>
      <c r="U36" s="172">
        <v>96518.21</v>
      </c>
      <c r="V36" s="173">
        <f t="shared" ref="V36" si="97">U36/F36</f>
        <v>1.7275601878669562E-2</v>
      </c>
      <c r="W36" s="172">
        <v>143424.39000000001</v>
      </c>
      <c r="X36" s="173">
        <f t="shared" si="11"/>
        <v>2.5671245470994912E-2</v>
      </c>
      <c r="Y36" s="172">
        <v>174567.75</v>
      </c>
      <c r="Z36" s="173">
        <f t="shared" si="12"/>
        <v>3.1245533354328867E-2</v>
      </c>
      <c r="AA36" s="172">
        <v>510976.59000000008</v>
      </c>
      <c r="AB36" s="173">
        <f t="shared" si="13"/>
        <v>9.1458680576029822E-2</v>
      </c>
      <c r="AC36" s="172">
        <f t="shared" si="14"/>
        <v>685544.34000000008</v>
      </c>
      <c r="AD36" s="173">
        <f t="shared" si="15"/>
        <v>0.12270421393035869</v>
      </c>
      <c r="AE36" s="172">
        <v>1433507.3699999999</v>
      </c>
      <c r="AF36" s="173">
        <f t="shared" si="16"/>
        <v>0.25658062467443871</v>
      </c>
      <c r="AG36" s="172">
        <v>0</v>
      </c>
      <c r="AH36" s="173">
        <f t="shared" si="17"/>
        <v>0</v>
      </c>
      <c r="AI36" s="172">
        <v>685934.0199999999</v>
      </c>
      <c r="AJ36" s="173">
        <f t="shared" si="18"/>
        <v>0.12277396197624636</v>
      </c>
      <c r="AK36" s="172">
        <v>63177.899999999994</v>
      </c>
      <c r="AL36" s="173">
        <f t="shared" si="19"/>
        <v>1.1308086297190939E-2</v>
      </c>
      <c r="AN36" s="72"/>
    </row>
    <row r="37" spans="2:40" s="73" customFormat="1" ht="14.25" customHeight="1">
      <c r="B37" s="547"/>
      <c r="C37" s="551"/>
      <c r="D37" s="171">
        <v>46142</v>
      </c>
      <c r="E37" s="171" t="s">
        <v>113</v>
      </c>
      <c r="F37" s="328">
        <f t="shared" si="0"/>
        <v>4446498.88</v>
      </c>
      <c r="G37" s="549"/>
      <c r="H37" s="553"/>
      <c r="I37" s="172">
        <v>762684.46000000008</v>
      </c>
      <c r="J37" s="173">
        <f t="shared" si="2"/>
        <v>0.17152471654282753</v>
      </c>
      <c r="K37" s="172">
        <v>930428.7</v>
      </c>
      <c r="L37" s="173">
        <f t="shared" si="3"/>
        <v>0.20924973222977625</v>
      </c>
      <c r="M37" s="172">
        <f t="shared" si="4"/>
        <v>1693113.1600000001</v>
      </c>
      <c r="N37" s="173">
        <f t="shared" ref="N37" si="98">M37/$F37</f>
        <v>0.3807744487726038</v>
      </c>
      <c r="O37" s="172">
        <v>194141.89</v>
      </c>
      <c r="P37" s="173">
        <f t="shared" si="6"/>
        <v>4.3661742696761908E-2</v>
      </c>
      <c r="Q37" s="172">
        <v>0</v>
      </c>
      <c r="R37" s="173">
        <f t="shared" si="7"/>
        <v>0</v>
      </c>
      <c r="S37" s="172">
        <f t="shared" si="8"/>
        <v>194141.89</v>
      </c>
      <c r="T37" s="173">
        <f t="shared" ref="T37" si="99">S37/$F37</f>
        <v>4.3661742696761908E-2</v>
      </c>
      <c r="U37" s="172">
        <v>84496.430000000008</v>
      </c>
      <c r="V37" s="173">
        <f t="shared" ref="V37" si="100">U37/$F37</f>
        <v>1.9002912691614127E-2</v>
      </c>
      <c r="W37" s="172">
        <v>104062.92000000001</v>
      </c>
      <c r="X37" s="173">
        <f t="shared" si="11"/>
        <v>2.3403338853421687E-2</v>
      </c>
      <c r="Y37" s="172">
        <v>149475.41</v>
      </c>
      <c r="Z37" s="173">
        <f t="shared" si="12"/>
        <v>3.3616428123332848E-2</v>
      </c>
      <c r="AA37" s="172">
        <v>454301.41999999993</v>
      </c>
      <c r="AB37" s="173">
        <f t="shared" si="13"/>
        <v>0.10217059134849032</v>
      </c>
      <c r="AC37" s="172">
        <f t="shared" si="14"/>
        <v>603776.82999999996</v>
      </c>
      <c r="AD37" s="173">
        <f t="shared" si="15"/>
        <v>0.13578701947182317</v>
      </c>
      <c r="AE37" s="172">
        <v>1085516.27</v>
      </c>
      <c r="AF37" s="173">
        <f t="shared" si="16"/>
        <v>0.24412831292560677</v>
      </c>
      <c r="AG37" s="172">
        <v>0</v>
      </c>
      <c r="AH37" s="173">
        <f t="shared" si="17"/>
        <v>0</v>
      </c>
      <c r="AI37" s="172">
        <v>613958.28</v>
      </c>
      <c r="AJ37" s="173">
        <f t="shared" si="18"/>
        <v>0.13807678728123282</v>
      </c>
      <c r="AK37" s="172">
        <v>67433.099999999991</v>
      </c>
      <c r="AL37" s="173">
        <f t="shared" si="19"/>
        <v>1.5165437306935743E-2</v>
      </c>
      <c r="AN37" s="72"/>
    </row>
    <row r="38" spans="2:40" s="73" customFormat="1" ht="14.25" customHeight="1">
      <c r="B38" s="547"/>
      <c r="C38" s="492"/>
      <c r="D38" s="171">
        <v>46143</v>
      </c>
      <c r="E38" s="171" t="s">
        <v>114</v>
      </c>
      <c r="F38" s="328">
        <f t="shared" si="0"/>
        <v>4128529.58</v>
      </c>
      <c r="G38" s="549"/>
      <c r="H38" s="463"/>
      <c r="I38" s="172">
        <v>735223.63</v>
      </c>
      <c r="J38" s="173">
        <f t="shared" si="2"/>
        <v>0.17808365321195058</v>
      </c>
      <c r="K38" s="172">
        <v>904301.05</v>
      </c>
      <c r="L38" s="173">
        <f t="shared" si="3"/>
        <v>0.21903707663395258</v>
      </c>
      <c r="M38" s="172">
        <f t="shared" si="4"/>
        <v>1639524.6800000002</v>
      </c>
      <c r="N38" s="173">
        <f t="shared" ref="N38" si="101">M38/F38</f>
        <v>0.39712072984590319</v>
      </c>
      <c r="O38" s="172">
        <v>189738.31</v>
      </c>
      <c r="P38" s="173">
        <f t="shared" si="6"/>
        <v>4.5957841968519937E-2</v>
      </c>
      <c r="Q38" s="172">
        <v>0</v>
      </c>
      <c r="R38" s="173">
        <f t="shared" si="7"/>
        <v>0</v>
      </c>
      <c r="S38" s="172">
        <f t="shared" si="8"/>
        <v>189738.31</v>
      </c>
      <c r="T38" s="173">
        <f t="shared" ref="T38" si="102">S38/F38</f>
        <v>4.5957841968519937E-2</v>
      </c>
      <c r="U38" s="172">
        <v>74886.61</v>
      </c>
      <c r="V38" s="173">
        <f t="shared" ref="V38" si="103">U38/F38</f>
        <v>1.8138809120510163E-2</v>
      </c>
      <c r="W38" s="172">
        <v>51528.840000000004</v>
      </c>
      <c r="X38" s="173">
        <f t="shared" si="11"/>
        <v>1.2481160423222644E-2</v>
      </c>
      <c r="Y38" s="172">
        <v>153506.08000000002</v>
      </c>
      <c r="Z38" s="173">
        <f t="shared" si="12"/>
        <v>3.7181780347084255E-2</v>
      </c>
      <c r="AA38" s="172">
        <v>528791.27999999991</v>
      </c>
      <c r="AB38" s="173">
        <f t="shared" si="13"/>
        <v>0.12808223115601364</v>
      </c>
      <c r="AC38" s="172">
        <f t="shared" si="14"/>
        <v>682297.35999999987</v>
      </c>
      <c r="AD38" s="173">
        <f t="shared" si="15"/>
        <v>0.16526401150309789</v>
      </c>
      <c r="AE38" s="172">
        <v>951820.67</v>
      </c>
      <c r="AF38" s="173">
        <f t="shared" si="16"/>
        <v>0.23054713586428999</v>
      </c>
      <c r="AG38" s="172">
        <v>0</v>
      </c>
      <c r="AH38" s="173">
        <f t="shared" si="17"/>
        <v>0</v>
      </c>
      <c r="AI38" s="172">
        <v>473191.21</v>
      </c>
      <c r="AJ38" s="173">
        <f t="shared" si="18"/>
        <v>0.11461494966447594</v>
      </c>
      <c r="AK38" s="172">
        <v>65541.899999999994</v>
      </c>
      <c r="AL38" s="173">
        <f t="shared" si="19"/>
        <v>1.5875361609980276E-2</v>
      </c>
      <c r="AN38" s="72"/>
    </row>
    <row r="39" spans="2:40" s="73" customFormat="1" ht="14.25" customHeight="1">
      <c r="B39" s="547"/>
      <c r="C39" s="492"/>
      <c r="D39" s="171">
        <v>46144</v>
      </c>
      <c r="E39" s="171" t="s">
        <v>115</v>
      </c>
      <c r="F39" s="328">
        <f t="shared" si="0"/>
        <v>4422738.33</v>
      </c>
      <c r="G39" s="549"/>
      <c r="H39" s="463"/>
      <c r="I39" s="172">
        <v>696928.84999999986</v>
      </c>
      <c r="J39" s="173">
        <f t="shared" si="2"/>
        <v>0.15757858548235654</v>
      </c>
      <c r="K39" s="172">
        <v>1077660.98</v>
      </c>
      <c r="L39" s="173">
        <f t="shared" si="3"/>
        <v>0.24366374395023274</v>
      </c>
      <c r="M39" s="172">
        <f t="shared" si="4"/>
        <v>1774589.8299999998</v>
      </c>
      <c r="N39" s="173">
        <f t="shared" ref="N39" si="104">M39/$F39</f>
        <v>0.40124232943258931</v>
      </c>
      <c r="O39" s="172">
        <v>185451.78999999998</v>
      </c>
      <c r="P39" s="173">
        <f t="shared" si="6"/>
        <v>4.1931440696379607E-2</v>
      </c>
      <c r="Q39" s="172">
        <v>0</v>
      </c>
      <c r="R39" s="173">
        <f t="shared" si="7"/>
        <v>0</v>
      </c>
      <c r="S39" s="172">
        <f t="shared" si="8"/>
        <v>185451.78999999998</v>
      </c>
      <c r="T39" s="173">
        <f t="shared" ref="T39" si="105">S39/$F39</f>
        <v>4.1931440696379607E-2</v>
      </c>
      <c r="U39" s="172">
        <v>77677.25</v>
      </c>
      <c r="V39" s="173">
        <f t="shared" ref="V39" si="106">U39/$F39</f>
        <v>1.7563157529150046E-2</v>
      </c>
      <c r="W39" s="172">
        <v>43769.16</v>
      </c>
      <c r="X39" s="173">
        <f t="shared" si="11"/>
        <v>9.8963937574846304E-3</v>
      </c>
      <c r="Y39" s="172">
        <v>182174.93000000002</v>
      </c>
      <c r="Z39" s="173">
        <f t="shared" si="12"/>
        <v>4.1190528674121221E-2</v>
      </c>
      <c r="AA39" s="172">
        <v>591196.37000000011</v>
      </c>
      <c r="AB39" s="173">
        <f t="shared" si="13"/>
        <v>0.13367202079079368</v>
      </c>
      <c r="AC39" s="172">
        <f t="shared" si="14"/>
        <v>773371.30000000016</v>
      </c>
      <c r="AD39" s="173">
        <f t="shared" si="15"/>
        <v>0.17486254946491492</v>
      </c>
      <c r="AE39" s="172">
        <v>1049970.06</v>
      </c>
      <c r="AF39" s="173">
        <f t="shared" si="16"/>
        <v>0.2374027088326521</v>
      </c>
      <c r="AG39" s="172">
        <v>0</v>
      </c>
      <c r="AH39" s="173">
        <f t="shared" si="17"/>
        <v>0</v>
      </c>
      <c r="AI39" s="172">
        <v>455262.94</v>
      </c>
      <c r="AJ39" s="173">
        <f t="shared" si="18"/>
        <v>0.10293689249302705</v>
      </c>
      <c r="AK39" s="172">
        <v>62646</v>
      </c>
      <c r="AL39" s="173">
        <f t="shared" si="19"/>
        <v>1.4164527793802352E-2</v>
      </c>
      <c r="AN39" s="72"/>
    </row>
    <row r="40" spans="2:40" s="73" customFormat="1" ht="14.25" customHeight="1">
      <c r="B40" s="547"/>
      <c r="C40" s="492"/>
      <c r="D40" s="171">
        <v>46145</v>
      </c>
      <c r="E40" s="171" t="s">
        <v>116</v>
      </c>
      <c r="F40" s="328">
        <f t="shared" si="0"/>
        <v>6472238.8599999994</v>
      </c>
      <c r="G40" s="549"/>
      <c r="H40" s="463"/>
      <c r="I40" s="172">
        <v>1156742.08</v>
      </c>
      <c r="J40" s="173">
        <f t="shared" si="2"/>
        <v>0.17872363876261516</v>
      </c>
      <c r="K40" s="172">
        <v>1287660.1300000001</v>
      </c>
      <c r="L40" s="173">
        <f t="shared" si="3"/>
        <v>0.19895126830964954</v>
      </c>
      <c r="M40" s="172">
        <f t="shared" si="4"/>
        <v>2444402.21</v>
      </c>
      <c r="N40" s="173">
        <f t="shared" ref="N40" si="107">M40/F40</f>
        <v>0.37767490707226464</v>
      </c>
      <c r="O40" s="172">
        <v>295800.71000000002</v>
      </c>
      <c r="P40" s="173">
        <f t="shared" si="6"/>
        <v>4.5702996505292769E-2</v>
      </c>
      <c r="Q40" s="172">
        <v>0</v>
      </c>
      <c r="R40" s="173">
        <f t="shared" si="7"/>
        <v>0</v>
      </c>
      <c r="S40" s="172">
        <f t="shared" si="8"/>
        <v>295800.71000000002</v>
      </c>
      <c r="T40" s="173">
        <f t="shared" ref="T40" si="108">S40/F40</f>
        <v>4.5702996505292769E-2</v>
      </c>
      <c r="U40" s="172">
        <v>113189.96</v>
      </c>
      <c r="V40" s="173">
        <f t="shared" ref="V40" si="109">U40/F40</f>
        <v>1.748853255394224E-2</v>
      </c>
      <c r="W40" s="172">
        <v>63000.240000000005</v>
      </c>
      <c r="X40" s="173">
        <f t="shared" si="11"/>
        <v>9.7339176385094067E-3</v>
      </c>
      <c r="Y40" s="172">
        <v>232813.77000000002</v>
      </c>
      <c r="Z40" s="173">
        <f t="shared" si="12"/>
        <v>3.5971133797123189E-2</v>
      </c>
      <c r="AA40" s="172">
        <v>696145.05</v>
      </c>
      <c r="AB40" s="173">
        <f t="shared" si="13"/>
        <v>0.10755861535060839</v>
      </c>
      <c r="AC40" s="172">
        <f t="shared" si="14"/>
        <v>928958.82000000007</v>
      </c>
      <c r="AD40" s="173">
        <f t="shared" si="15"/>
        <v>0.14352974914773156</v>
      </c>
      <c r="AE40" s="172">
        <v>1880462.73</v>
      </c>
      <c r="AF40" s="173">
        <f t="shared" si="16"/>
        <v>0.29054285088606885</v>
      </c>
      <c r="AG40" s="172">
        <v>0</v>
      </c>
      <c r="AH40" s="173">
        <f t="shared" si="17"/>
        <v>0</v>
      </c>
      <c r="AI40" s="172">
        <v>683482.69</v>
      </c>
      <c r="AJ40" s="173">
        <f t="shared" si="18"/>
        <v>0.10560220424250535</v>
      </c>
      <c r="AK40" s="172">
        <v>62941.5</v>
      </c>
      <c r="AL40" s="173">
        <f t="shared" si="19"/>
        <v>9.724841953685252E-3</v>
      </c>
      <c r="AN40" s="72"/>
    </row>
    <row r="41" spans="2:40" s="73" customFormat="1" ht="14.25" customHeight="1">
      <c r="B41" s="548"/>
      <c r="C41" s="493"/>
      <c r="D41" s="171">
        <v>46146</v>
      </c>
      <c r="E41" s="171" t="s">
        <v>117</v>
      </c>
      <c r="F41" s="328">
        <f t="shared" si="0"/>
        <v>6132490.6699999999</v>
      </c>
      <c r="G41" s="549"/>
      <c r="H41" s="497"/>
      <c r="I41" s="172">
        <v>1117910.6499999999</v>
      </c>
      <c r="J41" s="173">
        <f t="shared" si="2"/>
        <v>0.1822930861466765</v>
      </c>
      <c r="K41" s="172">
        <v>1252098.08</v>
      </c>
      <c r="L41" s="173">
        <f t="shared" si="3"/>
        <v>0.20417447777380804</v>
      </c>
      <c r="M41" s="172">
        <f t="shared" si="4"/>
        <v>2370008.73</v>
      </c>
      <c r="N41" s="173">
        <f t="shared" ref="N41" si="110">M41/$F41</f>
        <v>0.38646756392048454</v>
      </c>
      <c r="O41" s="172">
        <v>275130.65000000002</v>
      </c>
      <c r="P41" s="173">
        <f t="shared" si="6"/>
        <v>4.4864422109263481E-2</v>
      </c>
      <c r="Q41" s="172">
        <v>0</v>
      </c>
      <c r="R41" s="173">
        <f t="shared" si="7"/>
        <v>0</v>
      </c>
      <c r="S41" s="172">
        <f t="shared" si="8"/>
        <v>275130.65000000002</v>
      </c>
      <c r="T41" s="173">
        <f t="shared" ref="T41" si="111">S41/$F41</f>
        <v>4.4864422109263481E-2</v>
      </c>
      <c r="U41" s="172">
        <v>106413.37</v>
      </c>
      <c r="V41" s="173">
        <f t="shared" ref="V41" si="112">U41/$F41</f>
        <v>1.7352390036330868E-2</v>
      </c>
      <c r="W41" s="172">
        <v>63885</v>
      </c>
      <c r="X41" s="173">
        <f t="shared" si="11"/>
        <v>1.0417463871983355E-2</v>
      </c>
      <c r="Y41" s="172">
        <v>228328.94</v>
      </c>
      <c r="Z41" s="173">
        <f t="shared" si="12"/>
        <v>3.7232659988702441E-2</v>
      </c>
      <c r="AA41" s="172">
        <v>684259.9</v>
      </c>
      <c r="AB41" s="173">
        <f t="shared" si="13"/>
        <v>0.11157944411515917</v>
      </c>
      <c r="AC41" s="172">
        <f t="shared" si="14"/>
        <v>912588.84000000008</v>
      </c>
      <c r="AD41" s="173">
        <f t="shared" si="15"/>
        <v>0.14881210410386161</v>
      </c>
      <c r="AE41" s="172">
        <v>1710646.62</v>
      </c>
      <c r="AF41" s="173">
        <f t="shared" si="16"/>
        <v>0.27894809989168728</v>
      </c>
      <c r="AG41" s="172">
        <v>0</v>
      </c>
      <c r="AH41" s="173">
        <f t="shared" si="17"/>
        <v>0</v>
      </c>
      <c r="AI41" s="172">
        <v>623429.36</v>
      </c>
      <c r="AJ41" s="173">
        <f t="shared" si="18"/>
        <v>0.10166005845712929</v>
      </c>
      <c r="AK41" s="172">
        <v>70388.099999999991</v>
      </c>
      <c r="AL41" s="173">
        <f t="shared" si="19"/>
        <v>1.1477897609259631E-2</v>
      </c>
      <c r="AN41" s="72"/>
    </row>
  </sheetData>
  <mergeCells count="45"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B35:B41"/>
    <mergeCell ref="G35:G41"/>
    <mergeCell ref="C8:C37"/>
    <mergeCell ref="H8:H37"/>
    <mergeCell ref="B21:B27"/>
    <mergeCell ref="G21:G27"/>
    <mergeCell ref="B28:B34"/>
    <mergeCell ref="G28:G34"/>
    <mergeCell ref="B14:B20"/>
    <mergeCell ref="G14:G20"/>
    <mergeCell ref="B7:B13"/>
    <mergeCell ref="G7:G13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rgb="FFFFFFCC"/>
  </sheetPr>
  <dimension ref="A2:AL41"/>
  <sheetViews>
    <sheetView topLeftCell="A13" zoomScale="85" zoomScaleNormal="85" workbookViewId="0">
      <selection activeCell="H8" sqref="H8:H37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29" t="s">
        <v>323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9"/>
      <c r="AB2" s="529"/>
      <c r="AC2" s="529"/>
      <c r="AD2" s="529"/>
      <c r="AE2" s="529"/>
      <c r="AF2" s="529"/>
      <c r="AG2" s="529"/>
      <c r="AH2" s="529"/>
      <c r="AI2" s="529"/>
      <c r="AJ2" s="529"/>
      <c r="AK2" s="529"/>
      <c r="AL2" s="529"/>
    </row>
    <row r="3" spans="1:38" ht="25.35" customHeight="1">
      <c r="B3" s="556" t="s">
        <v>421</v>
      </c>
      <c r="C3" s="557" t="s">
        <v>422</v>
      </c>
      <c r="D3" s="558" t="s">
        <v>105</v>
      </c>
      <c r="E3" s="558"/>
      <c r="F3" s="573" t="s">
        <v>153</v>
      </c>
      <c r="G3" s="573"/>
      <c r="H3" s="573"/>
      <c r="I3" s="571" t="s">
        <v>321</v>
      </c>
      <c r="J3" s="571"/>
      <c r="K3" s="571"/>
      <c r="L3" s="571"/>
      <c r="M3" s="571"/>
      <c r="N3" s="571"/>
      <c r="O3" s="571"/>
      <c r="P3" s="571"/>
      <c r="Q3" s="571"/>
      <c r="R3" s="571"/>
      <c r="S3" s="571"/>
      <c r="T3" s="571"/>
      <c r="U3" s="571"/>
      <c r="V3" s="571"/>
      <c r="W3" s="571"/>
      <c r="X3" s="571"/>
      <c r="Y3" s="571"/>
      <c r="Z3" s="571"/>
      <c r="AA3" s="571"/>
      <c r="AB3" s="571"/>
      <c r="AC3" s="571"/>
      <c r="AD3" s="571"/>
      <c r="AE3" s="571"/>
      <c r="AF3" s="571"/>
      <c r="AG3" s="571"/>
      <c r="AH3" s="571"/>
      <c r="AI3" s="571"/>
      <c r="AJ3" s="571"/>
      <c r="AK3" s="571"/>
      <c r="AL3" s="571"/>
    </row>
    <row r="4" spans="1:38" ht="25.35" customHeight="1">
      <c r="B4" s="556"/>
      <c r="C4" s="557"/>
      <c r="D4" s="558"/>
      <c r="E4" s="558"/>
      <c r="F4" s="573"/>
      <c r="G4" s="573"/>
      <c r="H4" s="573"/>
      <c r="I4" s="565" t="s">
        <v>423</v>
      </c>
      <c r="J4" s="565"/>
      <c r="K4" s="565"/>
      <c r="L4" s="565"/>
      <c r="M4" s="565"/>
      <c r="N4" s="565"/>
      <c r="O4" s="565" t="s">
        <v>424</v>
      </c>
      <c r="P4" s="565"/>
      <c r="Q4" s="565"/>
      <c r="R4" s="565"/>
      <c r="S4" s="565"/>
      <c r="T4" s="565"/>
      <c r="U4" s="565" t="s">
        <v>425</v>
      </c>
      <c r="V4" s="565"/>
      <c r="W4" s="565" t="s">
        <v>426</v>
      </c>
      <c r="X4" s="565"/>
      <c r="Y4" s="565" t="s">
        <v>139</v>
      </c>
      <c r="Z4" s="565"/>
      <c r="AA4" s="565"/>
      <c r="AB4" s="565"/>
      <c r="AC4" s="565"/>
      <c r="AD4" s="565"/>
      <c r="AE4" s="565" t="s">
        <v>137</v>
      </c>
      <c r="AF4" s="565"/>
      <c r="AG4" s="565" t="s">
        <v>427</v>
      </c>
      <c r="AH4" s="565"/>
      <c r="AI4" s="565" t="s">
        <v>428</v>
      </c>
      <c r="AJ4" s="565"/>
      <c r="AK4" s="565" t="s">
        <v>143</v>
      </c>
      <c r="AL4" s="565"/>
    </row>
    <row r="5" spans="1:38" ht="25.35" customHeight="1">
      <c r="B5" s="556"/>
      <c r="C5" s="557"/>
      <c r="D5" s="558"/>
      <c r="E5" s="558"/>
      <c r="F5" s="570" t="s">
        <v>116</v>
      </c>
      <c r="G5" s="570" t="s">
        <v>120</v>
      </c>
      <c r="H5" s="570" t="s">
        <v>121</v>
      </c>
      <c r="I5" s="565" t="s">
        <v>133</v>
      </c>
      <c r="J5" s="565"/>
      <c r="K5" s="565" t="s">
        <v>134</v>
      </c>
      <c r="L5" s="565"/>
      <c r="M5" s="565" t="s">
        <v>152</v>
      </c>
      <c r="N5" s="565"/>
      <c r="O5" s="565" t="s">
        <v>133</v>
      </c>
      <c r="P5" s="565"/>
      <c r="Q5" s="565" t="s">
        <v>134</v>
      </c>
      <c r="R5" s="565"/>
      <c r="S5" s="565" t="s">
        <v>152</v>
      </c>
      <c r="T5" s="565"/>
      <c r="U5" s="565" t="s">
        <v>133</v>
      </c>
      <c r="V5" s="565"/>
      <c r="W5" s="565" t="s">
        <v>133</v>
      </c>
      <c r="X5" s="565"/>
      <c r="Y5" s="565" t="s">
        <v>133</v>
      </c>
      <c r="Z5" s="565"/>
      <c r="AA5" s="565" t="s">
        <v>134</v>
      </c>
      <c r="AB5" s="565"/>
      <c r="AC5" s="565" t="s">
        <v>152</v>
      </c>
      <c r="AD5" s="565"/>
      <c r="AE5" s="565" t="s">
        <v>133</v>
      </c>
      <c r="AF5" s="565"/>
      <c r="AG5" s="565" t="s">
        <v>133</v>
      </c>
      <c r="AH5" s="565"/>
      <c r="AI5" s="565" t="s">
        <v>133</v>
      </c>
      <c r="AJ5" s="565"/>
      <c r="AK5" s="565" t="s">
        <v>133</v>
      </c>
      <c r="AL5" s="565"/>
    </row>
    <row r="6" spans="1:38" s="77" customFormat="1" ht="23.45" customHeight="1">
      <c r="B6" s="556"/>
      <c r="C6" s="569"/>
      <c r="D6" s="559"/>
      <c r="E6" s="559"/>
      <c r="F6" s="572"/>
      <c r="G6" s="570"/>
      <c r="H6" s="570"/>
      <c r="I6" s="215" t="s">
        <v>154</v>
      </c>
      <c r="J6" s="174" t="s">
        <v>111</v>
      </c>
      <c r="K6" s="215" t="s">
        <v>154</v>
      </c>
      <c r="L6" s="174" t="s">
        <v>111</v>
      </c>
      <c r="M6" s="215" t="s">
        <v>154</v>
      </c>
      <c r="N6" s="174" t="s">
        <v>111</v>
      </c>
      <c r="O6" s="215" t="s">
        <v>154</v>
      </c>
      <c r="P6" s="174" t="s">
        <v>111</v>
      </c>
      <c r="Q6" s="215" t="s">
        <v>154</v>
      </c>
      <c r="R6" s="174" t="s">
        <v>111</v>
      </c>
      <c r="S6" s="215" t="s">
        <v>154</v>
      </c>
      <c r="T6" s="174" t="s">
        <v>111</v>
      </c>
      <c r="U6" s="215" t="s">
        <v>154</v>
      </c>
      <c r="V6" s="174" t="s">
        <v>111</v>
      </c>
      <c r="W6" s="215" t="s">
        <v>154</v>
      </c>
      <c r="X6" s="174" t="s">
        <v>111</v>
      </c>
      <c r="Y6" s="215" t="s">
        <v>154</v>
      </c>
      <c r="Z6" s="174" t="s">
        <v>111</v>
      </c>
      <c r="AA6" s="215" t="s">
        <v>154</v>
      </c>
      <c r="AB6" s="174" t="s">
        <v>111</v>
      </c>
      <c r="AC6" s="215" t="s">
        <v>154</v>
      </c>
      <c r="AD6" s="174" t="s">
        <v>111</v>
      </c>
      <c r="AE6" s="215" t="s">
        <v>154</v>
      </c>
      <c r="AF6" s="174" t="s">
        <v>111</v>
      </c>
      <c r="AG6" s="215" t="s">
        <v>154</v>
      </c>
      <c r="AH6" s="174" t="s">
        <v>111</v>
      </c>
      <c r="AI6" s="215" t="s">
        <v>154</v>
      </c>
      <c r="AJ6" s="174" t="s">
        <v>111</v>
      </c>
      <c r="AK6" s="215" t="s">
        <v>154</v>
      </c>
      <c r="AL6" s="174" t="s">
        <v>111</v>
      </c>
    </row>
    <row r="7" spans="1:38" s="73" customFormat="1" ht="14.25" customHeight="1">
      <c r="B7" s="546">
        <v>46120</v>
      </c>
      <c r="C7" s="494"/>
      <c r="D7" s="171">
        <v>46112</v>
      </c>
      <c r="E7" s="171" t="s">
        <v>118</v>
      </c>
      <c r="F7" s="329">
        <f t="shared" ref="F7:F41" si="0">SUM(M7,S7,U7,W7,AC7,AE7,AG7,AI7,AK7)</f>
        <v>179182</v>
      </c>
      <c r="G7" s="566">
        <f t="shared" ref="G7" si="1">SUM(F7:F13)</f>
        <v>995977</v>
      </c>
      <c r="H7" s="464"/>
      <c r="I7" s="316">
        <v>39563</v>
      </c>
      <c r="J7" s="237">
        <f t="shared" ref="J7:J41" si="2">I7/$F7</f>
        <v>0.22079784799812482</v>
      </c>
      <c r="K7" s="316">
        <v>61872</v>
      </c>
      <c r="L7" s="237">
        <f t="shared" ref="L7:L41" si="3">K7/$F7</f>
        <v>0.34530254154993245</v>
      </c>
      <c r="M7" s="316">
        <f t="shared" ref="M7:M41" si="4">I7+K7</f>
        <v>101435</v>
      </c>
      <c r="N7" s="237">
        <f t="shared" ref="N7:N41" si="5">M7/$F7</f>
        <v>0.5661003895480573</v>
      </c>
      <c r="O7" s="316">
        <v>11990</v>
      </c>
      <c r="P7" s="237">
        <f t="shared" ref="P7:P41" si="6">O7/$F7</f>
        <v>6.6915203536069473E-2</v>
      </c>
      <c r="Q7" s="316">
        <v>5532</v>
      </c>
      <c r="R7" s="237">
        <f t="shared" ref="R7:R41" si="7">Q7/$F7</f>
        <v>3.0873636860845398E-2</v>
      </c>
      <c r="S7" s="316">
        <f t="shared" ref="S7:S41" si="8">O7+Q7</f>
        <v>17522</v>
      </c>
      <c r="T7" s="237">
        <f t="shared" ref="T7:T41" si="9">S7/$F7</f>
        <v>9.7788840396914864E-2</v>
      </c>
      <c r="U7" s="316">
        <v>4406</v>
      </c>
      <c r="V7" s="237">
        <f t="shared" ref="V7:V41" si="10">U7/$F7</f>
        <v>2.4589523501244544E-2</v>
      </c>
      <c r="W7" s="316">
        <v>2100</v>
      </c>
      <c r="X7" s="237">
        <f t="shared" ref="X7:X41" si="11">W7/$F7</f>
        <v>1.1719927224832852E-2</v>
      </c>
      <c r="Y7" s="316">
        <v>3703</v>
      </c>
      <c r="Z7" s="237">
        <f t="shared" ref="Z7:Z41" si="12">Y7/$F7</f>
        <v>2.0666138339788594E-2</v>
      </c>
      <c r="AA7" s="316">
        <v>13360</v>
      </c>
      <c r="AB7" s="237">
        <f t="shared" ref="AB7:AB41" si="13">AA7/$F7</f>
        <v>7.4561060820841379E-2</v>
      </c>
      <c r="AC7" s="316">
        <f t="shared" ref="AC7:AC41" si="14">Y7+AA7</f>
        <v>17063</v>
      </c>
      <c r="AD7" s="237">
        <f t="shared" ref="AD7:AD41" si="15">AC7/$F7</f>
        <v>9.522719916062998E-2</v>
      </c>
      <c r="AE7" s="316">
        <v>33080</v>
      </c>
      <c r="AF7" s="237">
        <f t="shared" ref="AF7:AF41" si="16">AE7/$F7</f>
        <v>0.18461675837974797</v>
      </c>
      <c r="AG7" s="316">
        <v>0</v>
      </c>
      <c r="AH7" s="237">
        <f t="shared" ref="AH7:AH41" si="17">AG7/$F7</f>
        <v>0</v>
      </c>
      <c r="AI7" s="316">
        <v>0</v>
      </c>
      <c r="AJ7" s="237">
        <f t="shared" ref="AJ7:AJ41" si="18">AI7/$F7</f>
        <v>0</v>
      </c>
      <c r="AK7" s="316">
        <v>3576</v>
      </c>
      <c r="AL7" s="237">
        <f t="shared" ref="AL7:AL41" si="19">AK7/$F7</f>
        <v>1.9957361788572513E-2</v>
      </c>
    </row>
    <row r="8" spans="1:38" s="73" customFormat="1" ht="14.25" customHeight="1">
      <c r="B8" s="547"/>
      <c r="C8" s="550" t="s">
        <v>113</v>
      </c>
      <c r="D8" s="171">
        <v>46113</v>
      </c>
      <c r="E8" s="171" t="s">
        <v>112</v>
      </c>
      <c r="F8" s="329">
        <f t="shared" si="0"/>
        <v>156110</v>
      </c>
      <c r="G8" s="566"/>
      <c r="H8" s="567">
        <f>SUM(F8:F37)</f>
        <v>5396292</v>
      </c>
      <c r="I8" s="316">
        <v>37671</v>
      </c>
      <c r="J8" s="237">
        <f t="shared" si="2"/>
        <v>0.24131061431042214</v>
      </c>
      <c r="K8" s="316">
        <v>53228</v>
      </c>
      <c r="L8" s="237">
        <f t="shared" si="3"/>
        <v>0.34096470437512011</v>
      </c>
      <c r="M8" s="316">
        <f t="shared" si="4"/>
        <v>90899</v>
      </c>
      <c r="N8" s="237">
        <f t="shared" si="5"/>
        <v>0.58227531868554228</v>
      </c>
      <c r="O8" s="316">
        <v>11422</v>
      </c>
      <c r="P8" s="237">
        <f t="shared" si="6"/>
        <v>7.3166357055922102E-2</v>
      </c>
      <c r="Q8" s="316">
        <v>5248</v>
      </c>
      <c r="R8" s="237">
        <f t="shared" si="7"/>
        <v>3.3617321119723272E-2</v>
      </c>
      <c r="S8" s="316">
        <f t="shared" si="8"/>
        <v>16670</v>
      </c>
      <c r="T8" s="237">
        <f t="shared" si="9"/>
        <v>0.10678367817564538</v>
      </c>
      <c r="U8" s="316">
        <v>3921</v>
      </c>
      <c r="V8" s="237">
        <f t="shared" si="10"/>
        <v>2.5116904746653002E-2</v>
      </c>
      <c r="W8" s="316">
        <v>2035</v>
      </c>
      <c r="X8" s="237">
        <f t="shared" si="11"/>
        <v>1.3035679969252451E-2</v>
      </c>
      <c r="Y8" s="316">
        <v>3191</v>
      </c>
      <c r="Z8" s="237">
        <f t="shared" si="12"/>
        <v>2.0440714880532958E-2</v>
      </c>
      <c r="AA8" s="316">
        <v>9792</v>
      </c>
      <c r="AB8" s="237">
        <f t="shared" si="13"/>
        <v>6.272500160143489E-2</v>
      </c>
      <c r="AC8" s="316">
        <f t="shared" si="14"/>
        <v>12983</v>
      </c>
      <c r="AD8" s="237">
        <f t="shared" si="15"/>
        <v>8.3165716481967841E-2</v>
      </c>
      <c r="AE8" s="316">
        <v>25933</v>
      </c>
      <c r="AF8" s="237">
        <f t="shared" si="16"/>
        <v>0.1661200435590289</v>
      </c>
      <c r="AG8" s="316">
        <v>0</v>
      </c>
      <c r="AH8" s="237">
        <f t="shared" si="17"/>
        <v>0</v>
      </c>
      <c r="AI8" s="316">
        <v>0</v>
      </c>
      <c r="AJ8" s="237">
        <f t="shared" si="18"/>
        <v>0</v>
      </c>
      <c r="AK8" s="316">
        <v>3669</v>
      </c>
      <c r="AL8" s="237">
        <f t="shared" si="19"/>
        <v>2.350265838191019E-2</v>
      </c>
    </row>
    <row r="9" spans="1:38" s="73" customFormat="1" ht="14.25" customHeight="1">
      <c r="B9" s="547"/>
      <c r="C9" s="551"/>
      <c r="D9" s="171">
        <v>46114</v>
      </c>
      <c r="E9" s="171" t="s">
        <v>113</v>
      </c>
      <c r="F9" s="329">
        <f t="shared" si="0"/>
        <v>125387</v>
      </c>
      <c r="G9" s="566"/>
      <c r="H9" s="568"/>
      <c r="I9" s="316">
        <v>27133</v>
      </c>
      <c r="J9" s="237">
        <f t="shared" si="2"/>
        <v>0.21639404403965323</v>
      </c>
      <c r="K9" s="316">
        <v>46135</v>
      </c>
      <c r="L9" s="237">
        <f t="shared" si="3"/>
        <v>0.36794085511257146</v>
      </c>
      <c r="M9" s="316">
        <f t="shared" si="4"/>
        <v>73268</v>
      </c>
      <c r="N9" s="237">
        <f t="shared" si="5"/>
        <v>0.5843348991522247</v>
      </c>
      <c r="O9" s="316">
        <v>7731</v>
      </c>
      <c r="P9" s="237">
        <f t="shared" si="6"/>
        <v>6.1657109588713344E-2</v>
      </c>
      <c r="Q9" s="316">
        <v>4501</v>
      </c>
      <c r="R9" s="237">
        <f t="shared" si="7"/>
        <v>3.5896863311188562E-2</v>
      </c>
      <c r="S9" s="316">
        <f t="shared" si="8"/>
        <v>12232</v>
      </c>
      <c r="T9" s="237">
        <f t="shared" si="9"/>
        <v>9.7553972899901906E-2</v>
      </c>
      <c r="U9" s="316">
        <v>3648</v>
      </c>
      <c r="V9" s="237">
        <f t="shared" si="10"/>
        <v>2.9093925207557401E-2</v>
      </c>
      <c r="W9" s="316">
        <v>2130</v>
      </c>
      <c r="X9" s="237">
        <f t="shared" si="11"/>
        <v>1.6987406987965258E-2</v>
      </c>
      <c r="Y9" s="316">
        <v>2859</v>
      </c>
      <c r="Z9" s="237">
        <f t="shared" si="12"/>
        <v>2.2801406844409709E-2</v>
      </c>
      <c r="AA9" s="316">
        <v>8660</v>
      </c>
      <c r="AB9" s="237">
        <f t="shared" si="13"/>
        <v>6.9066171134168616E-2</v>
      </c>
      <c r="AC9" s="316">
        <f t="shared" si="14"/>
        <v>11519</v>
      </c>
      <c r="AD9" s="237">
        <f t="shared" si="15"/>
        <v>9.1867577978578321E-2</v>
      </c>
      <c r="AE9" s="316">
        <v>19281</v>
      </c>
      <c r="AF9" s="237">
        <f t="shared" si="16"/>
        <v>0.15377192212908833</v>
      </c>
      <c r="AG9" s="316">
        <v>0</v>
      </c>
      <c r="AH9" s="237">
        <f t="shared" si="17"/>
        <v>0</v>
      </c>
      <c r="AI9" s="316">
        <v>0</v>
      </c>
      <c r="AJ9" s="237">
        <f t="shared" si="18"/>
        <v>0</v>
      </c>
      <c r="AK9" s="316">
        <v>3309</v>
      </c>
      <c r="AL9" s="237">
        <f t="shared" si="19"/>
        <v>2.6390295644684057E-2</v>
      </c>
    </row>
    <row r="10" spans="1:38" s="73" customFormat="1" ht="14.25" customHeight="1">
      <c r="B10" s="547"/>
      <c r="C10" s="551"/>
      <c r="D10" s="171">
        <v>46115</v>
      </c>
      <c r="E10" s="171" t="s">
        <v>114</v>
      </c>
      <c r="F10" s="329">
        <f t="shared" si="0"/>
        <v>119195</v>
      </c>
      <c r="G10" s="566"/>
      <c r="H10" s="568"/>
      <c r="I10" s="316">
        <v>25747</v>
      </c>
      <c r="J10" s="237">
        <f t="shared" si="2"/>
        <v>0.2160073828600193</v>
      </c>
      <c r="K10" s="316">
        <v>43064</v>
      </c>
      <c r="L10" s="237">
        <f t="shared" si="3"/>
        <v>0.36129032258064514</v>
      </c>
      <c r="M10" s="316">
        <f t="shared" si="4"/>
        <v>68811</v>
      </c>
      <c r="N10" s="237">
        <f t="shared" si="5"/>
        <v>0.5772977054406645</v>
      </c>
      <c r="O10" s="316">
        <v>7237</v>
      </c>
      <c r="P10" s="237">
        <f t="shared" si="6"/>
        <v>6.0715634045052223E-2</v>
      </c>
      <c r="Q10" s="316">
        <v>4414</v>
      </c>
      <c r="R10" s="237">
        <f t="shared" si="7"/>
        <v>3.7031754687696629E-2</v>
      </c>
      <c r="S10" s="316">
        <f t="shared" si="8"/>
        <v>11651</v>
      </c>
      <c r="T10" s="237">
        <f t="shared" si="9"/>
        <v>9.7747388732748852E-2</v>
      </c>
      <c r="U10" s="316">
        <v>3295</v>
      </c>
      <c r="V10" s="237">
        <f t="shared" si="10"/>
        <v>2.7643777004068962E-2</v>
      </c>
      <c r="W10" s="316">
        <v>1950</v>
      </c>
      <c r="X10" s="237">
        <f t="shared" si="11"/>
        <v>1.6359746633667519E-2</v>
      </c>
      <c r="Y10" s="316">
        <v>2911</v>
      </c>
      <c r="Z10" s="237">
        <f t="shared" si="12"/>
        <v>2.4422165359285205E-2</v>
      </c>
      <c r="AA10" s="316">
        <v>10214</v>
      </c>
      <c r="AB10" s="237">
        <f t="shared" si="13"/>
        <v>8.5691513905784639E-2</v>
      </c>
      <c r="AC10" s="316">
        <f t="shared" si="14"/>
        <v>13125</v>
      </c>
      <c r="AD10" s="237">
        <f t="shared" si="15"/>
        <v>0.11011367926506985</v>
      </c>
      <c r="AE10" s="316">
        <v>16976</v>
      </c>
      <c r="AF10" s="237">
        <f t="shared" si="16"/>
        <v>0.14242208146314861</v>
      </c>
      <c r="AG10" s="316">
        <v>0</v>
      </c>
      <c r="AH10" s="237">
        <f t="shared" si="17"/>
        <v>0</v>
      </c>
      <c r="AI10" s="316">
        <v>0</v>
      </c>
      <c r="AJ10" s="237">
        <f t="shared" si="18"/>
        <v>0</v>
      </c>
      <c r="AK10" s="316">
        <v>3387</v>
      </c>
      <c r="AL10" s="237">
        <f t="shared" si="19"/>
        <v>2.841562146063174E-2</v>
      </c>
    </row>
    <row r="11" spans="1:38" s="73" customFormat="1" ht="14.25" customHeight="1">
      <c r="B11" s="547"/>
      <c r="C11" s="551"/>
      <c r="D11" s="171">
        <v>46116</v>
      </c>
      <c r="E11" s="171" t="s">
        <v>115</v>
      </c>
      <c r="F11" s="329">
        <f t="shared" si="0"/>
        <v>114970</v>
      </c>
      <c r="G11" s="566"/>
      <c r="H11" s="568"/>
      <c r="I11" s="316">
        <v>24260</v>
      </c>
      <c r="J11" s="237">
        <f t="shared" si="2"/>
        <v>0.21101156823519179</v>
      </c>
      <c r="K11" s="316">
        <v>41153</v>
      </c>
      <c r="L11" s="237">
        <f t="shared" si="3"/>
        <v>0.35794555101330783</v>
      </c>
      <c r="M11" s="316">
        <f t="shared" si="4"/>
        <v>65413</v>
      </c>
      <c r="N11" s="237">
        <f t="shared" si="5"/>
        <v>0.56895711924849957</v>
      </c>
      <c r="O11" s="316">
        <v>6856</v>
      </c>
      <c r="P11" s="237">
        <f t="shared" si="6"/>
        <v>5.9632947725493608E-2</v>
      </c>
      <c r="Q11" s="316">
        <v>4201</v>
      </c>
      <c r="R11" s="237">
        <f t="shared" si="7"/>
        <v>3.6539966947899453E-2</v>
      </c>
      <c r="S11" s="316">
        <f t="shared" si="8"/>
        <v>11057</v>
      </c>
      <c r="T11" s="237">
        <f t="shared" si="9"/>
        <v>9.6172914673393062E-2</v>
      </c>
      <c r="U11" s="316">
        <v>3268</v>
      </c>
      <c r="V11" s="237">
        <f t="shared" si="10"/>
        <v>2.842480647125337E-2</v>
      </c>
      <c r="W11" s="316">
        <v>2046</v>
      </c>
      <c r="X11" s="237">
        <f t="shared" si="11"/>
        <v>1.7795946768722277E-2</v>
      </c>
      <c r="Y11" s="316">
        <v>3158</v>
      </c>
      <c r="Z11" s="237">
        <f t="shared" si="12"/>
        <v>2.7468035139601634E-2</v>
      </c>
      <c r="AA11" s="316">
        <v>9944</v>
      </c>
      <c r="AB11" s="237">
        <f t="shared" si="13"/>
        <v>8.6492128381316868E-2</v>
      </c>
      <c r="AC11" s="316">
        <f t="shared" si="14"/>
        <v>13102</v>
      </c>
      <c r="AD11" s="237">
        <f t="shared" si="15"/>
        <v>0.11396016352091851</v>
      </c>
      <c r="AE11" s="316">
        <v>17210</v>
      </c>
      <c r="AF11" s="237">
        <f t="shared" si="16"/>
        <v>0.1496912237975124</v>
      </c>
      <c r="AG11" s="316">
        <v>0</v>
      </c>
      <c r="AH11" s="237">
        <f t="shared" si="17"/>
        <v>0</v>
      </c>
      <c r="AI11" s="316">
        <v>0</v>
      </c>
      <c r="AJ11" s="237">
        <f t="shared" si="18"/>
        <v>0</v>
      </c>
      <c r="AK11" s="316">
        <v>2874</v>
      </c>
      <c r="AL11" s="237">
        <f t="shared" si="19"/>
        <v>2.4997825519700791E-2</v>
      </c>
    </row>
    <row r="12" spans="1:38" s="73" customFormat="1" ht="14.25" customHeight="1">
      <c r="B12" s="547"/>
      <c r="C12" s="551"/>
      <c r="D12" s="171">
        <v>46117</v>
      </c>
      <c r="E12" s="171" t="s">
        <v>116</v>
      </c>
      <c r="F12" s="329">
        <f t="shared" si="0"/>
        <v>129122</v>
      </c>
      <c r="G12" s="566"/>
      <c r="H12" s="568"/>
      <c r="I12" s="316">
        <v>25018</v>
      </c>
      <c r="J12" s="237">
        <f t="shared" si="2"/>
        <v>0.19375474357584299</v>
      </c>
      <c r="K12" s="316">
        <v>50126</v>
      </c>
      <c r="L12" s="237">
        <f t="shared" si="3"/>
        <v>0.38820650237759641</v>
      </c>
      <c r="M12" s="316">
        <f t="shared" si="4"/>
        <v>75144</v>
      </c>
      <c r="N12" s="237">
        <f t="shared" si="5"/>
        <v>0.58196124595343934</v>
      </c>
      <c r="O12" s="316">
        <v>7276</v>
      </c>
      <c r="P12" s="237">
        <f t="shared" si="6"/>
        <v>5.6349808708043556E-2</v>
      </c>
      <c r="Q12" s="316">
        <v>4599</v>
      </c>
      <c r="R12" s="237">
        <f t="shared" si="7"/>
        <v>3.5617478044020386E-2</v>
      </c>
      <c r="S12" s="316">
        <f t="shared" si="8"/>
        <v>11875</v>
      </c>
      <c r="T12" s="237">
        <f t="shared" si="9"/>
        <v>9.1967286752063934E-2</v>
      </c>
      <c r="U12" s="316">
        <v>3281</v>
      </c>
      <c r="V12" s="237">
        <f t="shared" si="10"/>
        <v>2.5410077291243938E-2</v>
      </c>
      <c r="W12" s="316">
        <v>1678</v>
      </c>
      <c r="X12" s="237">
        <f t="shared" si="11"/>
        <v>1.2995461656417961E-2</v>
      </c>
      <c r="Y12" s="316">
        <v>3244</v>
      </c>
      <c r="Z12" s="237">
        <f t="shared" si="12"/>
        <v>2.5123526587258561E-2</v>
      </c>
      <c r="AA12" s="316">
        <v>12878</v>
      </c>
      <c r="AB12" s="237">
        <f t="shared" si="13"/>
        <v>9.9735134214154059E-2</v>
      </c>
      <c r="AC12" s="316">
        <f t="shared" si="14"/>
        <v>16122</v>
      </c>
      <c r="AD12" s="237">
        <f t="shared" si="15"/>
        <v>0.12485866080141261</v>
      </c>
      <c r="AE12" s="316">
        <v>18574</v>
      </c>
      <c r="AF12" s="237">
        <f t="shared" si="16"/>
        <v>0.14384845340065985</v>
      </c>
      <c r="AG12" s="316">
        <v>0</v>
      </c>
      <c r="AH12" s="237">
        <f t="shared" si="17"/>
        <v>0</v>
      </c>
      <c r="AI12" s="316">
        <v>0</v>
      </c>
      <c r="AJ12" s="237">
        <f t="shared" si="18"/>
        <v>0</v>
      </c>
      <c r="AK12" s="316">
        <v>2448</v>
      </c>
      <c r="AL12" s="237">
        <f t="shared" si="19"/>
        <v>1.8958814144762318E-2</v>
      </c>
    </row>
    <row r="13" spans="1:38" s="73" customFormat="1" ht="14.25" customHeight="1">
      <c r="B13" s="548"/>
      <c r="C13" s="551"/>
      <c r="D13" s="171">
        <v>46118</v>
      </c>
      <c r="E13" s="171" t="s">
        <v>117</v>
      </c>
      <c r="F13" s="329">
        <f t="shared" si="0"/>
        <v>172011</v>
      </c>
      <c r="G13" s="566"/>
      <c r="H13" s="568"/>
      <c r="I13" s="316">
        <v>38598</v>
      </c>
      <c r="J13" s="237">
        <f t="shared" si="2"/>
        <v>0.22439262605298499</v>
      </c>
      <c r="K13" s="316">
        <v>63604</v>
      </c>
      <c r="L13" s="237">
        <f t="shared" si="3"/>
        <v>0.3697670497817</v>
      </c>
      <c r="M13" s="316">
        <f t="shared" si="4"/>
        <v>102202</v>
      </c>
      <c r="N13" s="237">
        <f t="shared" si="5"/>
        <v>0.59415967583468499</v>
      </c>
      <c r="O13" s="316">
        <v>10406</v>
      </c>
      <c r="P13" s="237">
        <f t="shared" si="6"/>
        <v>6.0496131061385607E-2</v>
      </c>
      <c r="Q13" s="316">
        <v>1439</v>
      </c>
      <c r="R13" s="237">
        <f t="shared" si="7"/>
        <v>8.3657440512525365E-3</v>
      </c>
      <c r="S13" s="316">
        <f t="shared" si="8"/>
        <v>11845</v>
      </c>
      <c r="T13" s="237">
        <f t="shared" si="9"/>
        <v>6.8861875112638152E-2</v>
      </c>
      <c r="U13" s="316">
        <v>4158</v>
      </c>
      <c r="V13" s="237">
        <f t="shared" si="10"/>
        <v>2.4172872665120256E-2</v>
      </c>
      <c r="W13" s="316">
        <v>2066</v>
      </c>
      <c r="X13" s="237">
        <f t="shared" si="11"/>
        <v>1.2010859770596067E-2</v>
      </c>
      <c r="Y13" s="316">
        <v>4119</v>
      </c>
      <c r="Z13" s="237">
        <f t="shared" si="12"/>
        <v>2.3946142979228074E-2</v>
      </c>
      <c r="AA13" s="316">
        <v>14276</v>
      </c>
      <c r="AB13" s="237">
        <f t="shared" si="13"/>
        <v>8.2994692199917453E-2</v>
      </c>
      <c r="AC13" s="316">
        <f t="shared" si="14"/>
        <v>18395</v>
      </c>
      <c r="AD13" s="237">
        <f t="shared" si="15"/>
        <v>0.10694083517914552</v>
      </c>
      <c r="AE13" s="316">
        <v>29946</v>
      </c>
      <c r="AF13" s="237">
        <f t="shared" si="16"/>
        <v>0.17409351727505798</v>
      </c>
      <c r="AG13" s="316">
        <v>0</v>
      </c>
      <c r="AH13" s="237">
        <f t="shared" si="17"/>
        <v>0</v>
      </c>
      <c r="AI13" s="316">
        <v>0</v>
      </c>
      <c r="AJ13" s="237">
        <f t="shared" si="18"/>
        <v>0</v>
      </c>
      <c r="AK13" s="316">
        <v>3399</v>
      </c>
      <c r="AL13" s="237">
        <f t="shared" si="19"/>
        <v>1.9760364162757033E-2</v>
      </c>
    </row>
    <row r="14" spans="1:38" s="73" customFormat="1" ht="14.25" customHeight="1">
      <c r="B14" s="546">
        <f>B7+7</f>
        <v>46127</v>
      </c>
      <c r="C14" s="551"/>
      <c r="D14" s="171">
        <v>46119</v>
      </c>
      <c r="E14" s="171" t="s">
        <v>118</v>
      </c>
      <c r="F14" s="329">
        <f t="shared" si="0"/>
        <v>179797</v>
      </c>
      <c r="G14" s="566">
        <f t="shared" ref="G14" si="20">SUM(F14:F20)</f>
        <v>1171613</v>
      </c>
      <c r="H14" s="568"/>
      <c r="I14" s="316">
        <v>38175</v>
      </c>
      <c r="J14" s="237">
        <f t="shared" si="2"/>
        <v>0.21232278625338577</v>
      </c>
      <c r="K14" s="316">
        <v>61850</v>
      </c>
      <c r="L14" s="237">
        <f t="shared" si="3"/>
        <v>0.34399906561288562</v>
      </c>
      <c r="M14" s="316">
        <f t="shared" si="4"/>
        <v>100025</v>
      </c>
      <c r="N14" s="237">
        <f t="shared" si="5"/>
        <v>0.55632185186627137</v>
      </c>
      <c r="O14" s="316">
        <v>15937</v>
      </c>
      <c r="P14" s="237">
        <f t="shared" si="6"/>
        <v>8.8638853818473057E-2</v>
      </c>
      <c r="Q14" s="316">
        <v>1427</v>
      </c>
      <c r="R14" s="237">
        <f t="shared" si="7"/>
        <v>7.9367286439707002E-3</v>
      </c>
      <c r="S14" s="316">
        <f t="shared" si="8"/>
        <v>17364</v>
      </c>
      <c r="T14" s="237">
        <f t="shared" si="9"/>
        <v>9.6575582462443757E-2</v>
      </c>
      <c r="U14" s="316">
        <v>3887</v>
      </c>
      <c r="V14" s="237">
        <f t="shared" si="10"/>
        <v>2.1618825675623062E-2</v>
      </c>
      <c r="W14" s="316">
        <v>10076</v>
      </c>
      <c r="X14" s="237">
        <f t="shared" si="11"/>
        <v>5.6040979549158217E-2</v>
      </c>
      <c r="Y14" s="316">
        <v>3893</v>
      </c>
      <c r="Z14" s="237">
        <f t="shared" si="12"/>
        <v>2.1652196643992948E-2</v>
      </c>
      <c r="AA14" s="316">
        <v>13527</v>
      </c>
      <c r="AB14" s="237">
        <f t="shared" si="13"/>
        <v>7.5234848189903059E-2</v>
      </c>
      <c r="AC14" s="316">
        <f t="shared" si="14"/>
        <v>17420</v>
      </c>
      <c r="AD14" s="237">
        <f t="shared" si="15"/>
        <v>9.6887044833895999E-2</v>
      </c>
      <c r="AE14" s="316">
        <v>27659</v>
      </c>
      <c r="AF14" s="237">
        <f t="shared" si="16"/>
        <v>0.15383460235710272</v>
      </c>
      <c r="AG14" s="316">
        <v>0</v>
      </c>
      <c r="AH14" s="237">
        <f t="shared" si="17"/>
        <v>0</v>
      </c>
      <c r="AI14" s="316">
        <v>0</v>
      </c>
      <c r="AJ14" s="237">
        <f t="shared" si="18"/>
        <v>0</v>
      </c>
      <c r="AK14" s="316">
        <v>3366</v>
      </c>
      <c r="AL14" s="237">
        <f t="shared" si="19"/>
        <v>1.872111325550482E-2</v>
      </c>
    </row>
    <row r="15" spans="1:38" s="73" customFormat="1" ht="14.25" customHeight="1">
      <c r="B15" s="547"/>
      <c r="C15" s="551"/>
      <c r="D15" s="171">
        <v>46120</v>
      </c>
      <c r="E15" s="171" t="s">
        <v>112</v>
      </c>
      <c r="F15" s="329">
        <f t="shared" si="0"/>
        <v>166150</v>
      </c>
      <c r="G15" s="566"/>
      <c r="H15" s="568"/>
      <c r="I15" s="316">
        <v>37405</v>
      </c>
      <c r="J15" s="237">
        <f t="shared" si="2"/>
        <v>0.22512789647908515</v>
      </c>
      <c r="K15" s="316">
        <v>59075</v>
      </c>
      <c r="L15" s="237">
        <f t="shared" si="3"/>
        <v>0.35555221185675595</v>
      </c>
      <c r="M15" s="316">
        <f t="shared" si="4"/>
        <v>96480</v>
      </c>
      <c r="N15" s="237">
        <f t="shared" si="5"/>
        <v>0.58068010833584116</v>
      </c>
      <c r="O15" s="316">
        <v>11557</v>
      </c>
      <c r="P15" s="237">
        <f t="shared" si="6"/>
        <v>6.955762864881132E-2</v>
      </c>
      <c r="Q15" s="316">
        <v>1499</v>
      </c>
      <c r="R15" s="237">
        <f t="shared" si="7"/>
        <v>9.0219681011134509E-3</v>
      </c>
      <c r="S15" s="316">
        <f t="shared" si="8"/>
        <v>13056</v>
      </c>
      <c r="T15" s="237">
        <f t="shared" si="9"/>
        <v>7.8579596749924763E-2</v>
      </c>
      <c r="U15" s="316">
        <v>3727</v>
      </c>
      <c r="V15" s="237">
        <f t="shared" si="10"/>
        <v>2.2431537767077941E-2</v>
      </c>
      <c r="W15" s="316">
        <v>6442</v>
      </c>
      <c r="X15" s="237">
        <f t="shared" si="11"/>
        <v>3.8772193800782423E-2</v>
      </c>
      <c r="Y15" s="316">
        <v>4326</v>
      </c>
      <c r="Z15" s="237">
        <f t="shared" si="12"/>
        <v>2.6036713812819742E-2</v>
      </c>
      <c r="AA15" s="316">
        <v>12822</v>
      </c>
      <c r="AB15" s="237">
        <f t="shared" si="13"/>
        <v>7.7171230815528138E-2</v>
      </c>
      <c r="AC15" s="316">
        <f t="shared" si="14"/>
        <v>17148</v>
      </c>
      <c r="AD15" s="237">
        <f t="shared" si="15"/>
        <v>0.10320794462834788</v>
      </c>
      <c r="AE15" s="316">
        <v>25679</v>
      </c>
      <c r="AF15" s="237">
        <f t="shared" si="16"/>
        <v>0.15455311465543184</v>
      </c>
      <c r="AG15" s="316">
        <v>0</v>
      </c>
      <c r="AH15" s="237">
        <f t="shared" si="17"/>
        <v>0</v>
      </c>
      <c r="AI15" s="316">
        <v>0</v>
      </c>
      <c r="AJ15" s="237">
        <f t="shared" si="18"/>
        <v>0</v>
      </c>
      <c r="AK15" s="316">
        <v>3618</v>
      </c>
      <c r="AL15" s="237">
        <f t="shared" si="19"/>
        <v>2.1775504062594042E-2</v>
      </c>
    </row>
    <row r="16" spans="1:38" s="73" customFormat="1" ht="14.25" customHeight="1">
      <c r="B16" s="547"/>
      <c r="C16" s="551"/>
      <c r="D16" s="171">
        <v>46121</v>
      </c>
      <c r="E16" s="171" t="s">
        <v>113</v>
      </c>
      <c r="F16" s="329">
        <f t="shared" si="0"/>
        <v>155377</v>
      </c>
      <c r="G16" s="566"/>
      <c r="H16" s="568"/>
      <c r="I16" s="316">
        <v>37021</v>
      </c>
      <c r="J16" s="237">
        <f t="shared" si="2"/>
        <v>0.23826563777135612</v>
      </c>
      <c r="K16" s="316">
        <v>53369</v>
      </c>
      <c r="L16" s="237">
        <f t="shared" si="3"/>
        <v>0.34348069534100928</v>
      </c>
      <c r="M16" s="316">
        <f t="shared" si="4"/>
        <v>90390</v>
      </c>
      <c r="N16" s="237">
        <f t="shared" si="5"/>
        <v>0.58174633311236545</v>
      </c>
      <c r="O16" s="316">
        <v>11585</v>
      </c>
      <c r="P16" s="237">
        <f t="shared" si="6"/>
        <v>7.4560584899953014E-2</v>
      </c>
      <c r="Q16" s="316">
        <v>1526</v>
      </c>
      <c r="R16" s="237">
        <f t="shared" si="7"/>
        <v>9.8212734188457759E-3</v>
      </c>
      <c r="S16" s="316">
        <f t="shared" si="8"/>
        <v>13111</v>
      </c>
      <c r="T16" s="237">
        <f t="shared" si="9"/>
        <v>8.4381858318798797E-2</v>
      </c>
      <c r="U16" s="316">
        <v>3661</v>
      </c>
      <c r="V16" s="237">
        <f t="shared" si="10"/>
        <v>2.3562045862643762E-2</v>
      </c>
      <c r="W16" s="316">
        <v>6152</v>
      </c>
      <c r="X16" s="237">
        <f t="shared" si="11"/>
        <v>3.959401970690643E-2</v>
      </c>
      <c r="Y16" s="316">
        <v>3675</v>
      </c>
      <c r="Z16" s="237">
        <f t="shared" si="12"/>
        <v>2.3652149288504735E-2</v>
      </c>
      <c r="AA16" s="316">
        <v>10970</v>
      </c>
      <c r="AB16" s="237">
        <f t="shared" si="13"/>
        <v>7.0602470121060384E-2</v>
      </c>
      <c r="AC16" s="316">
        <f t="shared" si="14"/>
        <v>14645</v>
      </c>
      <c r="AD16" s="237">
        <f t="shared" si="15"/>
        <v>9.4254619409565116E-2</v>
      </c>
      <c r="AE16" s="316">
        <v>23782</v>
      </c>
      <c r="AF16" s="237">
        <f t="shared" si="16"/>
        <v>0.15305997670182844</v>
      </c>
      <c r="AG16" s="316">
        <v>0</v>
      </c>
      <c r="AH16" s="237">
        <f t="shared" si="17"/>
        <v>0</v>
      </c>
      <c r="AI16" s="316">
        <v>0</v>
      </c>
      <c r="AJ16" s="237">
        <f t="shared" si="18"/>
        <v>0</v>
      </c>
      <c r="AK16" s="316">
        <v>3636</v>
      </c>
      <c r="AL16" s="237">
        <f t="shared" si="19"/>
        <v>2.3401146887892032E-2</v>
      </c>
    </row>
    <row r="17" spans="2:38" s="73" customFormat="1" ht="14.25" customHeight="1">
      <c r="B17" s="547"/>
      <c r="C17" s="551"/>
      <c r="D17" s="171">
        <v>46122</v>
      </c>
      <c r="E17" s="171" t="s">
        <v>114</v>
      </c>
      <c r="F17" s="329">
        <f t="shared" si="0"/>
        <v>137940</v>
      </c>
      <c r="G17" s="566"/>
      <c r="H17" s="568"/>
      <c r="I17" s="316">
        <v>28594</v>
      </c>
      <c r="J17" s="237">
        <f t="shared" si="2"/>
        <v>0.20729302595331303</v>
      </c>
      <c r="K17" s="316">
        <v>50493</v>
      </c>
      <c r="L17" s="237">
        <f t="shared" si="3"/>
        <v>0.36605045672031317</v>
      </c>
      <c r="M17" s="316">
        <f t="shared" si="4"/>
        <v>79087</v>
      </c>
      <c r="N17" s="237">
        <f t="shared" si="5"/>
        <v>0.57334348267362623</v>
      </c>
      <c r="O17" s="316">
        <v>13148</v>
      </c>
      <c r="P17" s="237">
        <f t="shared" si="6"/>
        <v>9.5316804407713493E-2</v>
      </c>
      <c r="Q17" s="316">
        <v>1207</v>
      </c>
      <c r="R17" s="237">
        <f t="shared" si="7"/>
        <v>8.7501812382195163E-3</v>
      </c>
      <c r="S17" s="316">
        <f t="shared" si="8"/>
        <v>14355</v>
      </c>
      <c r="T17" s="237">
        <f t="shared" si="9"/>
        <v>0.10406698564593302</v>
      </c>
      <c r="U17" s="316">
        <v>3144</v>
      </c>
      <c r="V17" s="237">
        <f t="shared" si="10"/>
        <v>2.2792518486298392E-2</v>
      </c>
      <c r="W17" s="316">
        <v>3411</v>
      </c>
      <c r="X17" s="237">
        <f t="shared" si="11"/>
        <v>2.4728142670726403E-2</v>
      </c>
      <c r="Y17" s="316">
        <v>3280</v>
      </c>
      <c r="Z17" s="237">
        <f t="shared" si="12"/>
        <v>2.3778454400463968E-2</v>
      </c>
      <c r="AA17" s="316">
        <v>11226</v>
      </c>
      <c r="AB17" s="237">
        <f t="shared" si="13"/>
        <v>8.1383210091344069E-2</v>
      </c>
      <c r="AC17" s="316">
        <f t="shared" si="14"/>
        <v>14506</v>
      </c>
      <c r="AD17" s="237">
        <f t="shared" si="15"/>
        <v>0.10516166449180803</v>
      </c>
      <c r="AE17" s="316">
        <v>19918</v>
      </c>
      <c r="AF17" s="237">
        <f t="shared" si="16"/>
        <v>0.14439611425257359</v>
      </c>
      <c r="AG17" s="316">
        <v>0</v>
      </c>
      <c r="AH17" s="237">
        <f t="shared" si="17"/>
        <v>0</v>
      </c>
      <c r="AI17" s="316">
        <v>0</v>
      </c>
      <c r="AJ17" s="237">
        <f t="shared" si="18"/>
        <v>0</v>
      </c>
      <c r="AK17" s="316">
        <v>3519</v>
      </c>
      <c r="AL17" s="237">
        <f t="shared" si="19"/>
        <v>2.5511091779034364E-2</v>
      </c>
    </row>
    <row r="18" spans="2:38" s="73" customFormat="1" ht="14.25" customHeight="1">
      <c r="B18" s="547"/>
      <c r="C18" s="551"/>
      <c r="D18" s="171">
        <v>46123</v>
      </c>
      <c r="E18" s="171" t="s">
        <v>115</v>
      </c>
      <c r="F18" s="329">
        <f t="shared" si="0"/>
        <v>148324</v>
      </c>
      <c r="G18" s="566"/>
      <c r="H18" s="568"/>
      <c r="I18" s="316">
        <v>27633</v>
      </c>
      <c r="J18" s="237">
        <f t="shared" si="2"/>
        <v>0.18630160998894313</v>
      </c>
      <c r="K18" s="316">
        <v>57067</v>
      </c>
      <c r="L18" s="237">
        <f t="shared" si="3"/>
        <v>0.38474555702381275</v>
      </c>
      <c r="M18" s="316">
        <f t="shared" si="4"/>
        <v>84700</v>
      </c>
      <c r="N18" s="237">
        <f t="shared" si="5"/>
        <v>0.57104716701275582</v>
      </c>
      <c r="O18" s="316">
        <v>12199</v>
      </c>
      <c r="P18" s="237">
        <f t="shared" si="6"/>
        <v>8.224562444378522E-2</v>
      </c>
      <c r="Q18" s="316">
        <v>1216</v>
      </c>
      <c r="R18" s="237">
        <f t="shared" si="7"/>
        <v>8.1982686551063891E-3</v>
      </c>
      <c r="S18" s="316">
        <f t="shared" si="8"/>
        <v>13415</v>
      </c>
      <c r="T18" s="237">
        <f t="shared" si="9"/>
        <v>9.0443893098891615E-2</v>
      </c>
      <c r="U18" s="316">
        <v>3540</v>
      </c>
      <c r="V18" s="237">
        <f t="shared" si="10"/>
        <v>2.3866670262398533E-2</v>
      </c>
      <c r="W18" s="316">
        <v>5532</v>
      </c>
      <c r="X18" s="237">
        <f t="shared" si="11"/>
        <v>3.7296728782934656E-2</v>
      </c>
      <c r="Y18" s="316">
        <v>3555</v>
      </c>
      <c r="Z18" s="237">
        <f t="shared" si="12"/>
        <v>2.3967800221137509E-2</v>
      </c>
      <c r="AA18" s="316">
        <v>12588</v>
      </c>
      <c r="AB18" s="237">
        <f t="shared" si="13"/>
        <v>8.4868261373749365E-2</v>
      </c>
      <c r="AC18" s="316">
        <f t="shared" si="14"/>
        <v>16143</v>
      </c>
      <c r="AD18" s="237">
        <f t="shared" si="15"/>
        <v>0.10883606159488687</v>
      </c>
      <c r="AE18" s="316">
        <v>21598</v>
      </c>
      <c r="AF18" s="237">
        <f t="shared" si="16"/>
        <v>0.1456136565896281</v>
      </c>
      <c r="AG18" s="316">
        <v>0</v>
      </c>
      <c r="AH18" s="237">
        <f t="shared" si="17"/>
        <v>0</v>
      </c>
      <c r="AI18" s="316">
        <v>0</v>
      </c>
      <c r="AJ18" s="237">
        <f t="shared" si="18"/>
        <v>0</v>
      </c>
      <c r="AK18" s="316">
        <v>3396</v>
      </c>
      <c r="AL18" s="237">
        <f t="shared" si="19"/>
        <v>2.2895822658504355E-2</v>
      </c>
    </row>
    <row r="19" spans="2:38" s="73" customFormat="1" ht="14.25" customHeight="1">
      <c r="B19" s="547"/>
      <c r="C19" s="551"/>
      <c r="D19" s="171">
        <v>46124</v>
      </c>
      <c r="E19" s="171" t="s">
        <v>116</v>
      </c>
      <c r="F19" s="329">
        <f t="shared" si="0"/>
        <v>191499</v>
      </c>
      <c r="G19" s="566"/>
      <c r="H19" s="568"/>
      <c r="I19" s="316">
        <v>41219</v>
      </c>
      <c r="J19" s="237">
        <f t="shared" si="2"/>
        <v>0.21524394383260487</v>
      </c>
      <c r="K19" s="316">
        <v>64586</v>
      </c>
      <c r="L19" s="237">
        <f t="shared" si="3"/>
        <v>0.33726546874918406</v>
      </c>
      <c r="M19" s="316">
        <f t="shared" si="4"/>
        <v>105805</v>
      </c>
      <c r="N19" s="237">
        <f t="shared" si="5"/>
        <v>0.55250941258178898</v>
      </c>
      <c r="O19" s="316">
        <v>17972</v>
      </c>
      <c r="P19" s="237">
        <f t="shared" si="6"/>
        <v>9.3849054042057664E-2</v>
      </c>
      <c r="Q19" s="316">
        <v>1534</v>
      </c>
      <c r="R19" s="237">
        <f t="shared" si="7"/>
        <v>8.0104856944422688E-3</v>
      </c>
      <c r="S19" s="316">
        <f t="shared" si="8"/>
        <v>19506</v>
      </c>
      <c r="T19" s="237">
        <f t="shared" si="9"/>
        <v>0.10185953973649993</v>
      </c>
      <c r="U19" s="316">
        <v>4388</v>
      </c>
      <c r="V19" s="237">
        <f t="shared" si="10"/>
        <v>2.2913957775236426E-2</v>
      </c>
      <c r="W19" s="316">
        <v>6826</v>
      </c>
      <c r="X19" s="237">
        <f t="shared" si="11"/>
        <v>3.5645094752453019E-2</v>
      </c>
      <c r="Y19" s="316">
        <v>4903</v>
      </c>
      <c r="Z19" s="237">
        <f t="shared" si="12"/>
        <v>2.560326685779038E-2</v>
      </c>
      <c r="AA19" s="316">
        <v>14479</v>
      </c>
      <c r="AB19" s="237">
        <f t="shared" si="13"/>
        <v>7.5608749915143159E-2</v>
      </c>
      <c r="AC19" s="316">
        <f t="shared" si="14"/>
        <v>19382</v>
      </c>
      <c r="AD19" s="237">
        <f t="shared" si="15"/>
        <v>0.10121201677293354</v>
      </c>
      <c r="AE19" s="316">
        <v>32034</v>
      </c>
      <c r="AF19" s="237">
        <f t="shared" si="16"/>
        <v>0.16728024689423965</v>
      </c>
      <c r="AG19" s="316">
        <v>0</v>
      </c>
      <c r="AH19" s="237">
        <f t="shared" si="17"/>
        <v>0</v>
      </c>
      <c r="AI19" s="316">
        <v>0</v>
      </c>
      <c r="AJ19" s="237">
        <f t="shared" si="18"/>
        <v>0</v>
      </c>
      <c r="AK19" s="316">
        <v>3558</v>
      </c>
      <c r="AL19" s="237">
        <f t="shared" si="19"/>
        <v>1.8579731486848494E-2</v>
      </c>
    </row>
    <row r="20" spans="2:38" s="73" customFormat="1" ht="14.25" customHeight="1">
      <c r="B20" s="548"/>
      <c r="C20" s="551"/>
      <c r="D20" s="171">
        <v>46125</v>
      </c>
      <c r="E20" s="171" t="s">
        <v>117</v>
      </c>
      <c r="F20" s="329">
        <f t="shared" si="0"/>
        <v>192526</v>
      </c>
      <c r="G20" s="566"/>
      <c r="H20" s="568"/>
      <c r="I20" s="316">
        <v>41374</v>
      </c>
      <c r="J20" s="237">
        <f t="shared" si="2"/>
        <v>0.21490084456125405</v>
      </c>
      <c r="K20" s="316">
        <v>75818</v>
      </c>
      <c r="L20" s="237">
        <f t="shared" si="3"/>
        <v>0.39380655080352783</v>
      </c>
      <c r="M20" s="316">
        <f t="shared" si="4"/>
        <v>117192</v>
      </c>
      <c r="N20" s="237">
        <f t="shared" si="5"/>
        <v>0.60870739536478191</v>
      </c>
      <c r="O20" s="316">
        <v>13637</v>
      </c>
      <c r="P20" s="237">
        <f t="shared" si="6"/>
        <v>7.0831991523222837E-2</v>
      </c>
      <c r="Q20" s="316">
        <v>0</v>
      </c>
      <c r="R20" s="237">
        <f t="shared" si="7"/>
        <v>0</v>
      </c>
      <c r="S20" s="316">
        <f t="shared" si="8"/>
        <v>13637</v>
      </c>
      <c r="T20" s="237">
        <f t="shared" si="9"/>
        <v>7.0831991523222837E-2</v>
      </c>
      <c r="U20" s="316">
        <v>4157</v>
      </c>
      <c r="V20" s="237">
        <f t="shared" si="10"/>
        <v>2.1591888887734643E-2</v>
      </c>
      <c r="W20" s="316">
        <v>6021</v>
      </c>
      <c r="X20" s="237">
        <f t="shared" si="11"/>
        <v>3.1273698097919245E-2</v>
      </c>
      <c r="Y20" s="316">
        <v>4465</v>
      </c>
      <c r="Z20" s="237">
        <f t="shared" si="12"/>
        <v>2.3191672813022656E-2</v>
      </c>
      <c r="AA20" s="316">
        <v>14008</v>
      </c>
      <c r="AB20" s="237">
        <f t="shared" si="13"/>
        <v>7.2759003978683401E-2</v>
      </c>
      <c r="AC20" s="316">
        <f t="shared" si="14"/>
        <v>18473</v>
      </c>
      <c r="AD20" s="237">
        <f t="shared" si="15"/>
        <v>9.595067679170606E-2</v>
      </c>
      <c r="AE20" s="316">
        <v>29350</v>
      </c>
      <c r="AF20" s="237">
        <f t="shared" si="16"/>
        <v>0.15244694223117916</v>
      </c>
      <c r="AG20" s="316">
        <v>0</v>
      </c>
      <c r="AH20" s="237">
        <f t="shared" si="17"/>
        <v>0</v>
      </c>
      <c r="AI20" s="316">
        <v>0</v>
      </c>
      <c r="AJ20" s="237">
        <f t="shared" si="18"/>
        <v>0</v>
      </c>
      <c r="AK20" s="316">
        <v>3696</v>
      </c>
      <c r="AL20" s="237">
        <f t="shared" si="19"/>
        <v>1.9197407103456157E-2</v>
      </c>
    </row>
    <row r="21" spans="2:38" s="73" customFormat="1" ht="14.25" customHeight="1">
      <c r="B21" s="546">
        <f>B14+7</f>
        <v>46134</v>
      </c>
      <c r="C21" s="551"/>
      <c r="D21" s="171">
        <v>46126</v>
      </c>
      <c r="E21" s="171" t="s">
        <v>118</v>
      </c>
      <c r="F21" s="329">
        <f t="shared" si="0"/>
        <v>236038</v>
      </c>
      <c r="G21" s="566">
        <f t="shared" ref="G21" si="21">SUM(F21:F27)</f>
        <v>1445720</v>
      </c>
      <c r="H21" s="568"/>
      <c r="I21" s="316">
        <v>60029</v>
      </c>
      <c r="J21" s="237">
        <f t="shared" si="2"/>
        <v>0.25431921978664451</v>
      </c>
      <c r="K21" s="316">
        <v>78738</v>
      </c>
      <c r="L21" s="237">
        <f t="shared" si="3"/>
        <v>0.33358188088358653</v>
      </c>
      <c r="M21" s="316">
        <f t="shared" si="4"/>
        <v>138767</v>
      </c>
      <c r="N21" s="237">
        <f t="shared" si="5"/>
        <v>0.58790110067023105</v>
      </c>
      <c r="O21" s="316">
        <v>14737</v>
      </c>
      <c r="P21" s="237">
        <f t="shared" si="6"/>
        <v>6.243486218320779E-2</v>
      </c>
      <c r="Q21" s="316">
        <v>0</v>
      </c>
      <c r="R21" s="237">
        <f t="shared" si="7"/>
        <v>0</v>
      </c>
      <c r="S21" s="316">
        <f t="shared" si="8"/>
        <v>14737</v>
      </c>
      <c r="T21" s="237">
        <f t="shared" si="9"/>
        <v>6.243486218320779E-2</v>
      </c>
      <c r="U21" s="316">
        <v>4203</v>
      </c>
      <c r="V21" s="237">
        <f t="shared" si="10"/>
        <v>1.7806454892856236E-2</v>
      </c>
      <c r="W21" s="316">
        <v>8764</v>
      </c>
      <c r="X21" s="237">
        <f t="shared" si="11"/>
        <v>3.7129614723053067E-2</v>
      </c>
      <c r="Y21" s="316">
        <v>4789</v>
      </c>
      <c r="Z21" s="237">
        <f t="shared" si="12"/>
        <v>2.0289105991408162E-2</v>
      </c>
      <c r="AA21" s="316">
        <v>13636</v>
      </c>
      <c r="AB21" s="237">
        <f t="shared" si="13"/>
        <v>5.7770359009989919E-2</v>
      </c>
      <c r="AC21" s="316">
        <f t="shared" si="14"/>
        <v>18425</v>
      </c>
      <c r="AD21" s="237">
        <f t="shared" si="15"/>
        <v>7.8059465001398085E-2</v>
      </c>
      <c r="AE21" s="316">
        <v>27391</v>
      </c>
      <c r="AF21" s="237">
        <f t="shared" si="16"/>
        <v>0.11604487413043663</v>
      </c>
      <c r="AG21" s="316">
        <v>0</v>
      </c>
      <c r="AH21" s="237">
        <f t="shared" si="17"/>
        <v>0</v>
      </c>
      <c r="AI21" s="316">
        <v>19869</v>
      </c>
      <c r="AJ21" s="237">
        <f t="shared" si="18"/>
        <v>8.4177124022403169E-2</v>
      </c>
      <c r="AK21" s="316">
        <v>3882</v>
      </c>
      <c r="AL21" s="237">
        <f t="shared" si="19"/>
        <v>1.6446504376413967E-2</v>
      </c>
    </row>
    <row r="22" spans="2:38" s="73" customFormat="1" ht="14.25" customHeight="1">
      <c r="B22" s="547"/>
      <c r="C22" s="551"/>
      <c r="D22" s="171">
        <v>46127</v>
      </c>
      <c r="E22" s="171" t="s">
        <v>112</v>
      </c>
      <c r="F22" s="329">
        <f t="shared" si="0"/>
        <v>218111</v>
      </c>
      <c r="G22" s="566"/>
      <c r="H22" s="568"/>
      <c r="I22" s="316">
        <v>54647</v>
      </c>
      <c r="J22" s="237">
        <f t="shared" si="2"/>
        <v>0.25054673996267957</v>
      </c>
      <c r="K22" s="316">
        <v>73167</v>
      </c>
      <c r="L22" s="237">
        <f t="shared" si="3"/>
        <v>0.33545763395702188</v>
      </c>
      <c r="M22" s="316">
        <f t="shared" si="4"/>
        <v>127814</v>
      </c>
      <c r="N22" s="237">
        <f t="shared" si="5"/>
        <v>0.58600437391970139</v>
      </c>
      <c r="O22" s="316">
        <v>13964</v>
      </c>
      <c r="P22" s="237">
        <f t="shared" si="6"/>
        <v>6.4022447286014916E-2</v>
      </c>
      <c r="Q22" s="316">
        <v>0</v>
      </c>
      <c r="R22" s="237">
        <f t="shared" si="7"/>
        <v>0</v>
      </c>
      <c r="S22" s="316">
        <f t="shared" si="8"/>
        <v>13964</v>
      </c>
      <c r="T22" s="237">
        <f t="shared" si="9"/>
        <v>6.4022447286014916E-2</v>
      </c>
      <c r="U22" s="316">
        <v>3854</v>
      </c>
      <c r="V22" s="237">
        <f t="shared" si="10"/>
        <v>1.7669902022364761E-2</v>
      </c>
      <c r="W22" s="316">
        <v>8361</v>
      </c>
      <c r="X22" s="237">
        <f t="shared" si="11"/>
        <v>3.8333692477683382E-2</v>
      </c>
      <c r="Y22" s="316">
        <v>3974</v>
      </c>
      <c r="Z22" s="237">
        <f t="shared" si="12"/>
        <v>1.8220080601161794E-2</v>
      </c>
      <c r="AA22" s="316">
        <v>12123</v>
      </c>
      <c r="AB22" s="237">
        <f t="shared" si="13"/>
        <v>5.5581790922970414E-2</v>
      </c>
      <c r="AC22" s="316">
        <f t="shared" si="14"/>
        <v>16097</v>
      </c>
      <c r="AD22" s="237">
        <f t="shared" si="15"/>
        <v>7.3801871524132201E-2</v>
      </c>
      <c r="AE22" s="316">
        <v>26126</v>
      </c>
      <c r="AF22" s="237">
        <f t="shared" si="16"/>
        <v>0.11978304624709436</v>
      </c>
      <c r="AG22" s="316">
        <v>0</v>
      </c>
      <c r="AH22" s="237">
        <f t="shared" si="17"/>
        <v>0</v>
      </c>
      <c r="AI22" s="316">
        <v>18193</v>
      </c>
      <c r="AJ22" s="237">
        <f t="shared" si="18"/>
        <v>8.3411657367120418E-2</v>
      </c>
      <c r="AK22" s="316">
        <v>3702</v>
      </c>
      <c r="AL22" s="237">
        <f t="shared" si="19"/>
        <v>1.6973009155888515E-2</v>
      </c>
    </row>
    <row r="23" spans="2:38" s="73" customFormat="1" ht="14.25" customHeight="1">
      <c r="B23" s="547"/>
      <c r="C23" s="551"/>
      <c r="D23" s="171">
        <v>46128</v>
      </c>
      <c r="E23" s="171" t="s">
        <v>113</v>
      </c>
      <c r="F23" s="329">
        <f t="shared" si="0"/>
        <v>197163</v>
      </c>
      <c r="G23" s="566"/>
      <c r="H23" s="568"/>
      <c r="I23" s="316">
        <v>50325</v>
      </c>
      <c r="J23" s="237">
        <f t="shared" si="2"/>
        <v>0.25524565968259766</v>
      </c>
      <c r="K23" s="316">
        <v>64613</v>
      </c>
      <c r="L23" s="237">
        <f t="shared" si="3"/>
        <v>0.32771361766660073</v>
      </c>
      <c r="M23" s="316">
        <f t="shared" si="4"/>
        <v>114938</v>
      </c>
      <c r="N23" s="237">
        <f t="shared" si="5"/>
        <v>0.58295927734919839</v>
      </c>
      <c r="O23" s="316">
        <v>13923</v>
      </c>
      <c r="P23" s="237">
        <f t="shared" si="6"/>
        <v>7.0616697859131786E-2</v>
      </c>
      <c r="Q23" s="316">
        <v>0</v>
      </c>
      <c r="R23" s="237">
        <f t="shared" si="7"/>
        <v>0</v>
      </c>
      <c r="S23" s="316">
        <f t="shared" si="8"/>
        <v>13923</v>
      </c>
      <c r="T23" s="237">
        <f t="shared" si="9"/>
        <v>7.0616697859131786E-2</v>
      </c>
      <c r="U23" s="316">
        <v>3773</v>
      </c>
      <c r="V23" s="237">
        <f t="shared" si="10"/>
        <v>1.9136450551066882E-2</v>
      </c>
      <c r="W23" s="316">
        <v>8273</v>
      </c>
      <c r="X23" s="237">
        <f t="shared" si="11"/>
        <v>4.1960205515233585E-2</v>
      </c>
      <c r="Y23" s="316">
        <v>2892</v>
      </c>
      <c r="Z23" s="237">
        <f t="shared" si="12"/>
        <v>1.4668066523637802E-2</v>
      </c>
      <c r="AA23" s="316">
        <v>9948</v>
      </c>
      <c r="AB23" s="237">
        <f t="shared" si="13"/>
        <v>5.0455714307451195E-2</v>
      </c>
      <c r="AC23" s="316">
        <f t="shared" si="14"/>
        <v>12840</v>
      </c>
      <c r="AD23" s="237">
        <f t="shared" si="15"/>
        <v>6.5123780831088995E-2</v>
      </c>
      <c r="AE23" s="316">
        <v>23539</v>
      </c>
      <c r="AF23" s="237">
        <f t="shared" si="16"/>
        <v>0.11938852624478223</v>
      </c>
      <c r="AG23" s="316">
        <v>0</v>
      </c>
      <c r="AH23" s="237">
        <f t="shared" si="17"/>
        <v>0</v>
      </c>
      <c r="AI23" s="316">
        <v>16331</v>
      </c>
      <c r="AJ23" s="237">
        <f t="shared" si="18"/>
        <v>8.2829942737734766E-2</v>
      </c>
      <c r="AK23" s="316">
        <v>3546</v>
      </c>
      <c r="AL23" s="237">
        <f t="shared" si="19"/>
        <v>1.7985118911763364E-2</v>
      </c>
    </row>
    <row r="24" spans="2:38" s="73" customFormat="1" ht="14.25" customHeight="1">
      <c r="B24" s="547"/>
      <c r="C24" s="551"/>
      <c r="D24" s="171">
        <v>46129</v>
      </c>
      <c r="E24" s="171" t="s">
        <v>114</v>
      </c>
      <c r="F24" s="329">
        <f t="shared" si="0"/>
        <v>171515</v>
      </c>
      <c r="G24" s="566"/>
      <c r="H24" s="568"/>
      <c r="I24" s="316">
        <v>44038</v>
      </c>
      <c r="J24" s="237">
        <f t="shared" si="2"/>
        <v>0.25675888406261843</v>
      </c>
      <c r="K24" s="316">
        <v>59919</v>
      </c>
      <c r="L24" s="237">
        <f t="shared" si="3"/>
        <v>0.34935136868495464</v>
      </c>
      <c r="M24" s="316">
        <f t="shared" si="4"/>
        <v>103957</v>
      </c>
      <c r="N24" s="237">
        <f t="shared" si="5"/>
        <v>0.60611025274757313</v>
      </c>
      <c r="O24" s="316">
        <v>10144</v>
      </c>
      <c r="P24" s="237">
        <f t="shared" si="6"/>
        <v>5.914351514444801E-2</v>
      </c>
      <c r="Q24" s="316">
        <v>0</v>
      </c>
      <c r="R24" s="237">
        <f t="shared" si="7"/>
        <v>0</v>
      </c>
      <c r="S24" s="316">
        <f t="shared" si="8"/>
        <v>10144</v>
      </c>
      <c r="T24" s="237">
        <f t="shared" si="9"/>
        <v>5.914351514444801E-2</v>
      </c>
      <c r="U24" s="316">
        <v>3178</v>
      </c>
      <c r="V24" s="237">
        <f t="shared" si="10"/>
        <v>1.8528991633384836E-2</v>
      </c>
      <c r="W24" s="316">
        <v>5236</v>
      </c>
      <c r="X24" s="237">
        <f t="shared" si="11"/>
        <v>3.0527942162493077E-2</v>
      </c>
      <c r="Y24" s="316">
        <v>3193</v>
      </c>
      <c r="Z24" s="237">
        <f t="shared" si="12"/>
        <v>1.8616447541031398E-2</v>
      </c>
      <c r="AA24" s="316">
        <v>10505</v>
      </c>
      <c r="AB24" s="237">
        <f t="shared" si="13"/>
        <v>6.1248287321808585E-2</v>
      </c>
      <c r="AC24" s="316">
        <f t="shared" si="14"/>
        <v>13698</v>
      </c>
      <c r="AD24" s="237">
        <f t="shared" si="15"/>
        <v>7.9864734862839987E-2</v>
      </c>
      <c r="AE24" s="316">
        <v>19053</v>
      </c>
      <c r="AF24" s="237">
        <f t="shared" si="16"/>
        <v>0.11108649389266245</v>
      </c>
      <c r="AG24" s="316">
        <v>0</v>
      </c>
      <c r="AH24" s="237">
        <f t="shared" si="17"/>
        <v>0</v>
      </c>
      <c r="AI24" s="316">
        <v>12970</v>
      </c>
      <c r="AJ24" s="237">
        <f t="shared" si="18"/>
        <v>7.5620208145060194E-2</v>
      </c>
      <c r="AK24" s="316">
        <v>3279</v>
      </c>
      <c r="AL24" s="237">
        <f t="shared" si="19"/>
        <v>1.9117861411538348E-2</v>
      </c>
    </row>
    <row r="25" spans="2:38" s="73" customFormat="1" ht="14.25" customHeight="1">
      <c r="B25" s="547"/>
      <c r="C25" s="551"/>
      <c r="D25" s="171">
        <v>46130</v>
      </c>
      <c r="E25" s="171" t="s">
        <v>115</v>
      </c>
      <c r="F25" s="329">
        <f t="shared" si="0"/>
        <v>179200</v>
      </c>
      <c r="G25" s="566"/>
      <c r="H25" s="568"/>
      <c r="I25" s="316">
        <v>42479</v>
      </c>
      <c r="J25" s="237">
        <f t="shared" si="2"/>
        <v>0.23704799107142857</v>
      </c>
      <c r="K25" s="316">
        <v>66732</v>
      </c>
      <c r="L25" s="237">
        <f t="shared" si="3"/>
        <v>0.37238839285714287</v>
      </c>
      <c r="M25" s="316">
        <f t="shared" si="4"/>
        <v>109211</v>
      </c>
      <c r="N25" s="237">
        <f t="shared" si="5"/>
        <v>0.60943638392857147</v>
      </c>
      <c r="O25" s="316">
        <v>9694</v>
      </c>
      <c r="P25" s="237">
        <f t="shared" si="6"/>
        <v>5.4095982142857144E-2</v>
      </c>
      <c r="Q25" s="316">
        <v>0</v>
      </c>
      <c r="R25" s="237">
        <f t="shared" si="7"/>
        <v>0</v>
      </c>
      <c r="S25" s="316">
        <f t="shared" si="8"/>
        <v>9694</v>
      </c>
      <c r="T25" s="237">
        <f t="shared" si="9"/>
        <v>5.4095982142857144E-2</v>
      </c>
      <c r="U25" s="316">
        <v>3409</v>
      </c>
      <c r="V25" s="237">
        <f t="shared" si="10"/>
        <v>1.90234375E-2</v>
      </c>
      <c r="W25" s="316">
        <v>5549</v>
      </c>
      <c r="X25" s="237">
        <f t="shared" si="11"/>
        <v>3.0965401785714285E-2</v>
      </c>
      <c r="Y25" s="316">
        <v>3689</v>
      </c>
      <c r="Z25" s="237">
        <f t="shared" si="12"/>
        <v>2.0585937499999998E-2</v>
      </c>
      <c r="AA25" s="316">
        <v>10934</v>
      </c>
      <c r="AB25" s="237">
        <f t="shared" si="13"/>
        <v>6.1015624999999997E-2</v>
      </c>
      <c r="AC25" s="316">
        <f t="shared" si="14"/>
        <v>14623</v>
      </c>
      <c r="AD25" s="237">
        <f t="shared" si="15"/>
        <v>8.1601562500000002E-2</v>
      </c>
      <c r="AE25" s="316">
        <v>20659</v>
      </c>
      <c r="AF25" s="237">
        <f t="shared" si="16"/>
        <v>0.11528459821428572</v>
      </c>
      <c r="AG25" s="316">
        <v>0</v>
      </c>
      <c r="AH25" s="237">
        <f t="shared" si="17"/>
        <v>0</v>
      </c>
      <c r="AI25" s="316">
        <v>12956</v>
      </c>
      <c r="AJ25" s="237">
        <f t="shared" si="18"/>
        <v>7.2299107142857144E-2</v>
      </c>
      <c r="AK25" s="316">
        <v>3099</v>
      </c>
      <c r="AL25" s="237">
        <f t="shared" si="19"/>
        <v>1.7293526785714285E-2</v>
      </c>
    </row>
    <row r="26" spans="2:38" s="73" customFormat="1" ht="14.25" customHeight="1">
      <c r="B26" s="547"/>
      <c r="C26" s="551"/>
      <c r="D26" s="171">
        <v>46131</v>
      </c>
      <c r="E26" s="171" t="s">
        <v>116</v>
      </c>
      <c r="F26" s="329">
        <f t="shared" si="0"/>
        <v>227448</v>
      </c>
      <c r="G26" s="566"/>
      <c r="H26" s="568"/>
      <c r="I26" s="316">
        <v>58368</v>
      </c>
      <c r="J26" s="237">
        <f t="shared" si="2"/>
        <v>0.2566212936583307</v>
      </c>
      <c r="K26" s="316">
        <v>74095</v>
      </c>
      <c r="L26" s="237">
        <f t="shared" si="3"/>
        <v>0.32576676866800325</v>
      </c>
      <c r="M26" s="316">
        <f t="shared" si="4"/>
        <v>132463</v>
      </c>
      <c r="N26" s="237">
        <f t="shared" si="5"/>
        <v>0.58238806232633389</v>
      </c>
      <c r="O26" s="316">
        <v>13136</v>
      </c>
      <c r="P26" s="237">
        <f t="shared" si="6"/>
        <v>5.7753860222996029E-2</v>
      </c>
      <c r="Q26" s="316">
        <v>0</v>
      </c>
      <c r="R26" s="237">
        <f t="shared" si="7"/>
        <v>0</v>
      </c>
      <c r="S26" s="316">
        <f t="shared" si="8"/>
        <v>13136</v>
      </c>
      <c r="T26" s="237">
        <f t="shared" si="9"/>
        <v>5.7753860222996029E-2</v>
      </c>
      <c r="U26" s="316">
        <v>4111</v>
      </c>
      <c r="V26" s="237">
        <f t="shared" si="10"/>
        <v>1.8074460975695542E-2</v>
      </c>
      <c r="W26" s="316">
        <v>6827</v>
      </c>
      <c r="X26" s="237">
        <f t="shared" si="11"/>
        <v>3.0015651929232175E-2</v>
      </c>
      <c r="Y26" s="316">
        <v>4258</v>
      </c>
      <c r="Z26" s="237">
        <f t="shared" si="12"/>
        <v>1.8720762547923042E-2</v>
      </c>
      <c r="AA26" s="316">
        <v>12845</v>
      </c>
      <c r="AB26" s="237">
        <f t="shared" si="13"/>
        <v>5.6474446906545669E-2</v>
      </c>
      <c r="AC26" s="316">
        <f t="shared" si="14"/>
        <v>17103</v>
      </c>
      <c r="AD26" s="237">
        <f t="shared" si="15"/>
        <v>7.5195209454468712E-2</v>
      </c>
      <c r="AE26" s="316">
        <v>31723</v>
      </c>
      <c r="AF26" s="237">
        <f t="shared" si="16"/>
        <v>0.13947363793042805</v>
      </c>
      <c r="AG26" s="316">
        <v>0</v>
      </c>
      <c r="AH26" s="237">
        <f t="shared" si="17"/>
        <v>0</v>
      </c>
      <c r="AI26" s="316">
        <v>18587</v>
      </c>
      <c r="AJ26" s="237">
        <f t="shared" si="18"/>
        <v>8.1719777707432023E-2</v>
      </c>
      <c r="AK26" s="316">
        <v>3498</v>
      </c>
      <c r="AL26" s="237">
        <f t="shared" si="19"/>
        <v>1.5379339453413528E-2</v>
      </c>
    </row>
    <row r="27" spans="2:38" s="73" customFormat="1" ht="14.25" customHeight="1">
      <c r="B27" s="548"/>
      <c r="C27" s="551"/>
      <c r="D27" s="171">
        <v>46132</v>
      </c>
      <c r="E27" s="171" t="s">
        <v>117</v>
      </c>
      <c r="F27" s="329">
        <f t="shared" si="0"/>
        <v>216245</v>
      </c>
      <c r="G27" s="566"/>
      <c r="H27" s="568"/>
      <c r="I27" s="316">
        <v>54983</v>
      </c>
      <c r="J27" s="237">
        <f t="shared" si="2"/>
        <v>0.25426252630118618</v>
      </c>
      <c r="K27" s="316">
        <v>72194</v>
      </c>
      <c r="L27" s="237">
        <f t="shared" si="3"/>
        <v>0.33385280584522187</v>
      </c>
      <c r="M27" s="316">
        <f t="shared" si="4"/>
        <v>127177</v>
      </c>
      <c r="N27" s="237">
        <f t="shared" si="5"/>
        <v>0.58811533214640799</v>
      </c>
      <c r="O27" s="316">
        <v>12454</v>
      </c>
      <c r="P27" s="237">
        <f t="shared" si="6"/>
        <v>5.7592083053943442E-2</v>
      </c>
      <c r="Q27" s="316">
        <v>0</v>
      </c>
      <c r="R27" s="237">
        <f t="shared" si="7"/>
        <v>0</v>
      </c>
      <c r="S27" s="316">
        <f t="shared" si="8"/>
        <v>12454</v>
      </c>
      <c r="T27" s="237">
        <f t="shared" si="9"/>
        <v>5.7592083053943442E-2</v>
      </c>
      <c r="U27" s="316">
        <v>3982</v>
      </c>
      <c r="V27" s="237">
        <f t="shared" si="10"/>
        <v>1.8414298596499342E-2</v>
      </c>
      <c r="W27" s="316">
        <v>5053</v>
      </c>
      <c r="X27" s="237">
        <f t="shared" si="11"/>
        <v>2.3367014266225807E-2</v>
      </c>
      <c r="Y27" s="316">
        <v>4269</v>
      </c>
      <c r="Z27" s="237">
        <f t="shared" si="12"/>
        <v>1.9741496913223428E-2</v>
      </c>
      <c r="AA27" s="316">
        <v>17611</v>
      </c>
      <c r="AB27" s="237">
        <f t="shared" si="13"/>
        <v>8.1440033295567524E-2</v>
      </c>
      <c r="AC27" s="316">
        <f t="shared" si="14"/>
        <v>21880</v>
      </c>
      <c r="AD27" s="237">
        <f t="shared" si="15"/>
        <v>0.10118153020879095</v>
      </c>
      <c r="AE27" s="316">
        <v>27810</v>
      </c>
      <c r="AF27" s="237">
        <f t="shared" si="16"/>
        <v>0.1286041295752503</v>
      </c>
      <c r="AG27" s="316">
        <v>0</v>
      </c>
      <c r="AH27" s="237">
        <f t="shared" si="17"/>
        <v>0</v>
      </c>
      <c r="AI27" s="316">
        <v>14424</v>
      </c>
      <c r="AJ27" s="237">
        <f t="shared" si="18"/>
        <v>6.6702120280237698E-2</v>
      </c>
      <c r="AK27" s="316">
        <v>3465</v>
      </c>
      <c r="AL27" s="237">
        <f t="shared" si="19"/>
        <v>1.6023491872644454E-2</v>
      </c>
    </row>
    <row r="28" spans="2:38" s="73" customFormat="1" ht="14.25" customHeight="1">
      <c r="B28" s="546">
        <f>B21+7</f>
        <v>46141</v>
      </c>
      <c r="C28" s="551"/>
      <c r="D28" s="171">
        <v>46133</v>
      </c>
      <c r="E28" s="171" t="s">
        <v>118</v>
      </c>
      <c r="F28" s="329">
        <f t="shared" si="0"/>
        <v>222749</v>
      </c>
      <c r="G28" s="566">
        <f t="shared" ref="G28" si="22">SUM(F28:F34)</f>
        <v>1407149</v>
      </c>
      <c r="H28" s="568"/>
      <c r="I28" s="316">
        <v>60748</v>
      </c>
      <c r="J28" s="237">
        <f t="shared" si="2"/>
        <v>0.27271951838167624</v>
      </c>
      <c r="K28" s="316">
        <v>68189</v>
      </c>
      <c r="L28" s="237">
        <f t="shared" si="3"/>
        <v>0.30612483108790611</v>
      </c>
      <c r="M28" s="316">
        <f t="shared" si="4"/>
        <v>128937</v>
      </c>
      <c r="N28" s="237">
        <f t="shared" si="5"/>
        <v>0.57884434946958241</v>
      </c>
      <c r="O28" s="316">
        <v>11895</v>
      </c>
      <c r="P28" s="237">
        <f t="shared" si="6"/>
        <v>5.3400913135412502E-2</v>
      </c>
      <c r="Q28" s="316">
        <v>0</v>
      </c>
      <c r="R28" s="237">
        <f t="shared" si="7"/>
        <v>0</v>
      </c>
      <c r="S28" s="316">
        <f t="shared" si="8"/>
        <v>11895</v>
      </c>
      <c r="T28" s="237">
        <f t="shared" si="9"/>
        <v>5.3400913135412502E-2</v>
      </c>
      <c r="U28" s="316">
        <v>3733</v>
      </c>
      <c r="V28" s="237">
        <f t="shared" si="10"/>
        <v>1.6758773327826389E-2</v>
      </c>
      <c r="W28" s="316">
        <v>9425</v>
      </c>
      <c r="X28" s="237">
        <f t="shared" si="11"/>
        <v>4.231219893243067E-2</v>
      </c>
      <c r="Y28" s="316">
        <v>3773</v>
      </c>
      <c r="Z28" s="237">
        <f t="shared" si="12"/>
        <v>1.6938347646903017E-2</v>
      </c>
      <c r="AA28" s="316">
        <v>16037</v>
      </c>
      <c r="AB28" s="237">
        <f t="shared" si="13"/>
        <v>7.1995833875797416E-2</v>
      </c>
      <c r="AC28" s="316">
        <f t="shared" si="14"/>
        <v>19810</v>
      </c>
      <c r="AD28" s="237">
        <f t="shared" si="15"/>
        <v>8.893418152270044E-2</v>
      </c>
      <c r="AE28" s="316">
        <v>25516</v>
      </c>
      <c r="AF28" s="237">
        <f t="shared" si="16"/>
        <v>0.11455045813898154</v>
      </c>
      <c r="AG28" s="316">
        <v>0</v>
      </c>
      <c r="AH28" s="237">
        <f t="shared" si="17"/>
        <v>0</v>
      </c>
      <c r="AI28" s="316">
        <v>19761</v>
      </c>
      <c r="AJ28" s="237">
        <f t="shared" si="18"/>
        <v>8.8714202981831566E-2</v>
      </c>
      <c r="AK28" s="316">
        <v>3672</v>
      </c>
      <c r="AL28" s="237">
        <f t="shared" si="19"/>
        <v>1.6484922491234528E-2</v>
      </c>
    </row>
    <row r="29" spans="2:38" s="73" customFormat="1" ht="14.25" customHeight="1">
      <c r="B29" s="547"/>
      <c r="C29" s="551"/>
      <c r="D29" s="171">
        <v>46134</v>
      </c>
      <c r="E29" s="171" t="s">
        <v>112</v>
      </c>
      <c r="F29" s="329">
        <f t="shared" si="0"/>
        <v>209305</v>
      </c>
      <c r="G29" s="566"/>
      <c r="H29" s="568"/>
      <c r="I29" s="316">
        <v>57342</v>
      </c>
      <c r="J29" s="237">
        <f t="shared" si="2"/>
        <v>0.27396383268436014</v>
      </c>
      <c r="K29" s="316">
        <v>64846</v>
      </c>
      <c r="L29" s="237">
        <f t="shared" si="3"/>
        <v>0.30981581902009031</v>
      </c>
      <c r="M29" s="316">
        <f t="shared" si="4"/>
        <v>122188</v>
      </c>
      <c r="N29" s="237">
        <f t="shared" si="5"/>
        <v>0.58377965170445045</v>
      </c>
      <c r="O29" s="316">
        <v>12408</v>
      </c>
      <c r="P29" s="237">
        <f t="shared" si="6"/>
        <v>5.9281909175604976E-2</v>
      </c>
      <c r="Q29" s="316">
        <v>0</v>
      </c>
      <c r="R29" s="237">
        <f t="shared" si="7"/>
        <v>0</v>
      </c>
      <c r="S29" s="316">
        <f t="shared" si="8"/>
        <v>12408</v>
      </c>
      <c r="T29" s="237">
        <f t="shared" si="9"/>
        <v>5.9281909175604976E-2</v>
      </c>
      <c r="U29" s="316">
        <v>3475</v>
      </c>
      <c r="V29" s="237">
        <f t="shared" si="10"/>
        <v>1.6602565633883567E-2</v>
      </c>
      <c r="W29" s="316">
        <v>8576</v>
      </c>
      <c r="X29" s="237">
        <f t="shared" si="11"/>
        <v>4.0973698669405888E-2</v>
      </c>
      <c r="Y29" s="316">
        <v>3515</v>
      </c>
      <c r="Z29" s="237">
        <f t="shared" si="12"/>
        <v>1.6793674303050572E-2</v>
      </c>
      <c r="AA29" s="316">
        <v>14543</v>
      </c>
      <c r="AB29" s="237">
        <f t="shared" si="13"/>
        <v>6.9482334392393874E-2</v>
      </c>
      <c r="AC29" s="316">
        <f t="shared" si="14"/>
        <v>18058</v>
      </c>
      <c r="AD29" s="237">
        <f t="shared" si="15"/>
        <v>8.6276008695444453E-2</v>
      </c>
      <c r="AE29" s="316">
        <v>23758</v>
      </c>
      <c r="AF29" s="237">
        <f t="shared" si="16"/>
        <v>0.11350899405174267</v>
      </c>
      <c r="AG29" s="316">
        <v>0</v>
      </c>
      <c r="AH29" s="237">
        <f t="shared" si="17"/>
        <v>0</v>
      </c>
      <c r="AI29" s="316">
        <v>17080</v>
      </c>
      <c r="AJ29" s="237">
        <f t="shared" si="18"/>
        <v>8.1603401734311173E-2</v>
      </c>
      <c r="AK29" s="316">
        <v>3762</v>
      </c>
      <c r="AL29" s="237">
        <f t="shared" si="19"/>
        <v>1.7973770335156829E-2</v>
      </c>
    </row>
    <row r="30" spans="2:38" s="73" customFormat="1" ht="14.25" customHeight="1">
      <c r="B30" s="547"/>
      <c r="C30" s="551"/>
      <c r="D30" s="171">
        <v>46135</v>
      </c>
      <c r="E30" s="171" t="s">
        <v>113</v>
      </c>
      <c r="F30" s="329">
        <f t="shared" si="0"/>
        <v>188863</v>
      </c>
      <c r="G30" s="566"/>
      <c r="H30" s="568"/>
      <c r="I30" s="316">
        <v>54860</v>
      </c>
      <c r="J30" s="237">
        <f t="shared" si="2"/>
        <v>0.29047510629398027</v>
      </c>
      <c r="K30" s="316">
        <v>57907</v>
      </c>
      <c r="L30" s="237">
        <f t="shared" si="3"/>
        <v>0.3066084939877054</v>
      </c>
      <c r="M30" s="316">
        <f t="shared" si="4"/>
        <v>112767</v>
      </c>
      <c r="N30" s="237">
        <f t="shared" si="5"/>
        <v>0.59708360028168561</v>
      </c>
      <c r="O30" s="316">
        <v>10827</v>
      </c>
      <c r="P30" s="237">
        <f t="shared" si="6"/>
        <v>5.7327268972747439E-2</v>
      </c>
      <c r="Q30" s="316">
        <v>0</v>
      </c>
      <c r="R30" s="237">
        <f t="shared" si="7"/>
        <v>0</v>
      </c>
      <c r="S30" s="316">
        <f t="shared" si="8"/>
        <v>10827</v>
      </c>
      <c r="T30" s="237">
        <f t="shared" si="9"/>
        <v>5.7327268972747439E-2</v>
      </c>
      <c r="U30" s="316">
        <v>3306</v>
      </c>
      <c r="V30" s="237">
        <f t="shared" si="10"/>
        <v>1.7504752121908475E-2</v>
      </c>
      <c r="W30" s="316">
        <v>7950</v>
      </c>
      <c r="X30" s="237">
        <f t="shared" si="11"/>
        <v>4.209400464887246E-2</v>
      </c>
      <c r="Y30" s="316">
        <v>3241</v>
      </c>
      <c r="Z30" s="237">
        <f t="shared" si="12"/>
        <v>1.7160587304024609E-2</v>
      </c>
      <c r="AA30" s="316">
        <v>11412</v>
      </c>
      <c r="AB30" s="237">
        <f t="shared" si="13"/>
        <v>6.042475233370221E-2</v>
      </c>
      <c r="AC30" s="316">
        <f t="shared" si="14"/>
        <v>14653</v>
      </c>
      <c r="AD30" s="237">
        <f t="shared" si="15"/>
        <v>7.7585339637726819E-2</v>
      </c>
      <c r="AE30" s="316">
        <v>21307</v>
      </c>
      <c r="AF30" s="237">
        <f t="shared" si="16"/>
        <v>0.11281722730233026</v>
      </c>
      <c r="AG30" s="316">
        <v>0</v>
      </c>
      <c r="AH30" s="237">
        <f t="shared" si="17"/>
        <v>0</v>
      </c>
      <c r="AI30" s="316">
        <v>14675</v>
      </c>
      <c r="AJ30" s="237">
        <f t="shared" si="18"/>
        <v>7.7701826191472131E-2</v>
      </c>
      <c r="AK30" s="316">
        <v>3378</v>
      </c>
      <c r="AL30" s="237">
        <f t="shared" si="19"/>
        <v>1.7885980843256752E-2</v>
      </c>
    </row>
    <row r="31" spans="2:38" s="73" customFormat="1" ht="14.25" customHeight="1">
      <c r="B31" s="547"/>
      <c r="C31" s="551"/>
      <c r="D31" s="171">
        <v>46136</v>
      </c>
      <c r="E31" s="171" t="s">
        <v>114</v>
      </c>
      <c r="F31" s="329">
        <f t="shared" si="0"/>
        <v>166555</v>
      </c>
      <c r="G31" s="566"/>
      <c r="H31" s="568"/>
      <c r="I31" s="316">
        <v>45092</v>
      </c>
      <c r="J31" s="237">
        <f t="shared" si="2"/>
        <v>0.27073339137221941</v>
      </c>
      <c r="K31" s="316">
        <v>54548</v>
      </c>
      <c r="L31" s="237">
        <f t="shared" si="3"/>
        <v>0.3275074299780853</v>
      </c>
      <c r="M31" s="316">
        <f t="shared" si="4"/>
        <v>99640</v>
      </c>
      <c r="N31" s="237">
        <f t="shared" si="5"/>
        <v>0.59824082135030465</v>
      </c>
      <c r="O31" s="316">
        <v>8555</v>
      </c>
      <c r="P31" s="237">
        <f t="shared" si="6"/>
        <v>5.1364414157485515E-2</v>
      </c>
      <c r="Q31" s="316">
        <v>0</v>
      </c>
      <c r="R31" s="237">
        <f t="shared" si="7"/>
        <v>0</v>
      </c>
      <c r="S31" s="316">
        <f t="shared" si="8"/>
        <v>8555</v>
      </c>
      <c r="T31" s="237">
        <f t="shared" si="9"/>
        <v>5.1364414157485515E-2</v>
      </c>
      <c r="U31" s="316">
        <v>2997</v>
      </c>
      <c r="V31" s="237">
        <f t="shared" si="10"/>
        <v>1.7994056017531745E-2</v>
      </c>
      <c r="W31" s="316">
        <v>5407</v>
      </c>
      <c r="X31" s="237">
        <f t="shared" si="11"/>
        <v>3.2463750712977697E-2</v>
      </c>
      <c r="Y31" s="316">
        <v>3184</v>
      </c>
      <c r="Z31" s="237">
        <f t="shared" si="12"/>
        <v>1.911680826153523E-2</v>
      </c>
      <c r="AA31" s="316">
        <v>11567</v>
      </c>
      <c r="AB31" s="237">
        <f t="shared" si="13"/>
        <v>6.9448530515445347E-2</v>
      </c>
      <c r="AC31" s="316">
        <f t="shared" si="14"/>
        <v>14751</v>
      </c>
      <c r="AD31" s="237">
        <f t="shared" si="15"/>
        <v>8.8565338776980571E-2</v>
      </c>
      <c r="AE31" s="316">
        <v>17734</v>
      </c>
      <c r="AF31" s="237">
        <f t="shared" si="16"/>
        <v>0.10647533847677944</v>
      </c>
      <c r="AG31" s="316">
        <v>0</v>
      </c>
      <c r="AH31" s="237">
        <f t="shared" si="17"/>
        <v>0</v>
      </c>
      <c r="AI31" s="316">
        <v>14222</v>
      </c>
      <c r="AJ31" s="237">
        <f t="shared" si="18"/>
        <v>8.5389210771216709E-2</v>
      </c>
      <c r="AK31" s="316">
        <v>3249</v>
      </c>
      <c r="AL31" s="237">
        <f t="shared" si="19"/>
        <v>1.9507069736723604E-2</v>
      </c>
    </row>
    <row r="32" spans="2:38" s="73" customFormat="1" ht="14.25" customHeight="1">
      <c r="B32" s="547"/>
      <c r="C32" s="551"/>
      <c r="D32" s="171">
        <v>46137</v>
      </c>
      <c r="E32" s="171" t="s">
        <v>115</v>
      </c>
      <c r="F32" s="329">
        <f t="shared" si="0"/>
        <v>176739</v>
      </c>
      <c r="G32" s="566"/>
      <c r="H32" s="568"/>
      <c r="I32" s="316">
        <v>43383</v>
      </c>
      <c r="J32" s="237">
        <f t="shared" si="2"/>
        <v>0.24546364978867144</v>
      </c>
      <c r="K32" s="316">
        <v>61471</v>
      </c>
      <c r="L32" s="237">
        <f t="shared" si="3"/>
        <v>0.34780665274783723</v>
      </c>
      <c r="M32" s="316">
        <f t="shared" si="4"/>
        <v>104854</v>
      </c>
      <c r="N32" s="237">
        <f t="shared" si="5"/>
        <v>0.59327030253650859</v>
      </c>
      <c r="O32" s="316">
        <v>8598</v>
      </c>
      <c r="P32" s="237">
        <f t="shared" si="6"/>
        <v>4.8648006382292532E-2</v>
      </c>
      <c r="Q32" s="316">
        <v>0</v>
      </c>
      <c r="R32" s="237">
        <f t="shared" si="7"/>
        <v>0</v>
      </c>
      <c r="S32" s="316">
        <f t="shared" si="8"/>
        <v>8598</v>
      </c>
      <c r="T32" s="237">
        <f t="shared" si="9"/>
        <v>4.8648006382292532E-2</v>
      </c>
      <c r="U32" s="316">
        <v>3175</v>
      </c>
      <c r="V32" s="237">
        <f t="shared" si="10"/>
        <v>1.7964342901114073E-2</v>
      </c>
      <c r="W32" s="316">
        <v>5156</v>
      </c>
      <c r="X32" s="237">
        <f t="shared" si="11"/>
        <v>2.9172961259258001E-2</v>
      </c>
      <c r="Y32" s="316">
        <v>3646</v>
      </c>
      <c r="Z32" s="237">
        <f t="shared" si="12"/>
        <v>2.0629289517310839E-2</v>
      </c>
      <c r="AA32" s="316">
        <v>13401</v>
      </c>
      <c r="AB32" s="237">
        <f t="shared" si="13"/>
        <v>7.5823672194592032E-2</v>
      </c>
      <c r="AC32" s="316">
        <f t="shared" si="14"/>
        <v>17047</v>
      </c>
      <c r="AD32" s="237">
        <f t="shared" si="15"/>
        <v>9.645296171190286E-2</v>
      </c>
      <c r="AE32" s="316">
        <v>19996</v>
      </c>
      <c r="AF32" s="237">
        <f t="shared" si="16"/>
        <v>0.11313858288210299</v>
      </c>
      <c r="AG32" s="316">
        <v>0</v>
      </c>
      <c r="AH32" s="237">
        <f t="shared" si="17"/>
        <v>0</v>
      </c>
      <c r="AI32" s="316">
        <v>14442</v>
      </c>
      <c r="AJ32" s="237">
        <f t="shared" si="18"/>
        <v>8.1713713441854935E-2</v>
      </c>
      <c r="AK32" s="316">
        <v>3471</v>
      </c>
      <c r="AL32" s="237">
        <f t="shared" si="19"/>
        <v>1.9639128884965967E-2</v>
      </c>
    </row>
    <row r="33" spans="2:38" s="73" customFormat="1" ht="14.25" customHeight="1">
      <c r="B33" s="547"/>
      <c r="C33" s="551"/>
      <c r="D33" s="171">
        <v>46138</v>
      </c>
      <c r="E33" s="171" t="s">
        <v>116</v>
      </c>
      <c r="F33" s="329">
        <f t="shared" si="0"/>
        <v>225993</v>
      </c>
      <c r="G33" s="566"/>
      <c r="H33" s="568"/>
      <c r="I33" s="316">
        <v>59438</v>
      </c>
      <c r="J33" s="237">
        <f t="shared" si="2"/>
        <v>0.26300814627001723</v>
      </c>
      <c r="K33" s="316">
        <v>69127</v>
      </c>
      <c r="L33" s="237">
        <f t="shared" si="3"/>
        <v>0.30588115561101448</v>
      </c>
      <c r="M33" s="316">
        <f t="shared" si="4"/>
        <v>128565</v>
      </c>
      <c r="N33" s="237">
        <f t="shared" si="5"/>
        <v>0.56888930188103171</v>
      </c>
      <c r="O33" s="316">
        <v>11650</v>
      </c>
      <c r="P33" s="237">
        <f t="shared" si="6"/>
        <v>5.15502692561274E-2</v>
      </c>
      <c r="Q33" s="316">
        <v>0</v>
      </c>
      <c r="R33" s="237">
        <f t="shared" si="7"/>
        <v>0</v>
      </c>
      <c r="S33" s="316">
        <f t="shared" si="8"/>
        <v>11650</v>
      </c>
      <c r="T33" s="237">
        <f t="shared" si="9"/>
        <v>5.15502692561274E-2</v>
      </c>
      <c r="U33" s="316">
        <v>3953</v>
      </c>
      <c r="V33" s="237">
        <f t="shared" si="10"/>
        <v>1.7491692220555504E-2</v>
      </c>
      <c r="W33" s="316">
        <v>7009</v>
      </c>
      <c r="X33" s="237">
        <f t="shared" si="11"/>
        <v>3.1014234954179997E-2</v>
      </c>
      <c r="Y33" s="316">
        <v>4127</v>
      </c>
      <c r="Z33" s="237">
        <f t="shared" si="12"/>
        <v>1.8261627572535431E-2</v>
      </c>
      <c r="AA33" s="316">
        <v>15404</v>
      </c>
      <c r="AB33" s="237">
        <f t="shared" si="13"/>
        <v>6.8161403229303558E-2</v>
      </c>
      <c r="AC33" s="316">
        <f t="shared" si="14"/>
        <v>19531</v>
      </c>
      <c r="AD33" s="237">
        <f t="shared" si="15"/>
        <v>8.6423030801838996E-2</v>
      </c>
      <c r="AE33" s="316">
        <v>31134</v>
      </c>
      <c r="AF33" s="237">
        <f t="shared" si="16"/>
        <v>0.1377653290146155</v>
      </c>
      <c r="AG33" s="316">
        <v>0</v>
      </c>
      <c r="AH33" s="237">
        <f t="shared" si="17"/>
        <v>0</v>
      </c>
      <c r="AI33" s="316">
        <v>20635</v>
      </c>
      <c r="AJ33" s="237">
        <f t="shared" si="18"/>
        <v>9.1308137862677163E-2</v>
      </c>
      <c r="AK33" s="316">
        <v>3516</v>
      </c>
      <c r="AL33" s="237">
        <f t="shared" si="19"/>
        <v>1.555800400897373E-2</v>
      </c>
    </row>
    <row r="34" spans="2:38" s="73" customFormat="1" ht="14.25" customHeight="1">
      <c r="B34" s="548"/>
      <c r="C34" s="551"/>
      <c r="D34" s="171">
        <v>46139</v>
      </c>
      <c r="E34" s="171" t="s">
        <v>117</v>
      </c>
      <c r="F34" s="329">
        <f t="shared" si="0"/>
        <v>216945</v>
      </c>
      <c r="G34" s="566"/>
      <c r="H34" s="568"/>
      <c r="I34" s="316">
        <v>57571</v>
      </c>
      <c r="J34" s="237">
        <f t="shared" si="2"/>
        <v>0.26537140749959665</v>
      </c>
      <c r="K34" s="316">
        <v>69919</v>
      </c>
      <c r="L34" s="237">
        <f t="shared" si="3"/>
        <v>0.3222890594390283</v>
      </c>
      <c r="M34" s="316">
        <f t="shared" si="4"/>
        <v>127490</v>
      </c>
      <c r="N34" s="237">
        <f t="shared" si="5"/>
        <v>0.58766046693862495</v>
      </c>
      <c r="O34" s="316">
        <v>11119</v>
      </c>
      <c r="P34" s="237">
        <f t="shared" si="6"/>
        <v>5.1252621632210928E-2</v>
      </c>
      <c r="Q34" s="316">
        <v>0</v>
      </c>
      <c r="R34" s="237">
        <f t="shared" si="7"/>
        <v>0</v>
      </c>
      <c r="S34" s="316">
        <f t="shared" si="8"/>
        <v>11119</v>
      </c>
      <c r="T34" s="237">
        <f t="shared" si="9"/>
        <v>5.1252621632210928E-2</v>
      </c>
      <c r="U34" s="316">
        <v>4128</v>
      </c>
      <c r="V34" s="237">
        <f t="shared" si="10"/>
        <v>1.9027864205213303E-2</v>
      </c>
      <c r="W34" s="316">
        <v>6721</v>
      </c>
      <c r="X34" s="237">
        <f t="shared" si="11"/>
        <v>3.098020235543571E-2</v>
      </c>
      <c r="Y34" s="316">
        <v>4032</v>
      </c>
      <c r="Z34" s="237">
        <f t="shared" si="12"/>
        <v>1.8585355735324622E-2</v>
      </c>
      <c r="AA34" s="316">
        <v>14610</v>
      </c>
      <c r="AB34" s="237">
        <f t="shared" si="13"/>
        <v>6.7344257761183704E-2</v>
      </c>
      <c r="AC34" s="316">
        <f t="shared" si="14"/>
        <v>18642</v>
      </c>
      <c r="AD34" s="237">
        <f t="shared" si="15"/>
        <v>8.5929613496508336E-2</v>
      </c>
      <c r="AE34" s="316">
        <v>28001</v>
      </c>
      <c r="AF34" s="237">
        <f t="shared" si="16"/>
        <v>0.12906957984742676</v>
      </c>
      <c r="AG34" s="316">
        <v>0</v>
      </c>
      <c r="AH34" s="237">
        <f t="shared" si="17"/>
        <v>0</v>
      </c>
      <c r="AI34" s="316">
        <v>17226</v>
      </c>
      <c r="AJ34" s="237">
        <f t="shared" si="18"/>
        <v>7.9402613565650274E-2</v>
      </c>
      <c r="AK34" s="316">
        <v>3618</v>
      </c>
      <c r="AL34" s="237">
        <f t="shared" si="19"/>
        <v>1.6677037958929681E-2</v>
      </c>
    </row>
    <row r="35" spans="2:38" s="73" customFormat="1" ht="14.25" customHeight="1">
      <c r="B35" s="546">
        <f>B28+7</f>
        <v>46148</v>
      </c>
      <c r="C35" s="551"/>
      <c r="D35" s="171">
        <v>46140</v>
      </c>
      <c r="E35" s="171" t="s">
        <v>118</v>
      </c>
      <c r="F35" s="329">
        <f t="shared" si="0"/>
        <v>214895</v>
      </c>
      <c r="G35" s="566">
        <f t="shared" ref="G35" si="23">SUM(F35:F41)</f>
        <v>1262288</v>
      </c>
      <c r="H35" s="568"/>
      <c r="I35" s="316">
        <v>56898</v>
      </c>
      <c r="J35" s="237">
        <f t="shared" si="2"/>
        <v>0.26477116731426975</v>
      </c>
      <c r="K35" s="316">
        <v>67514</v>
      </c>
      <c r="L35" s="237">
        <f t="shared" si="3"/>
        <v>0.31417203750668932</v>
      </c>
      <c r="M35" s="316">
        <f t="shared" si="4"/>
        <v>124412</v>
      </c>
      <c r="N35" s="237">
        <f t="shared" si="5"/>
        <v>0.57894320482095907</v>
      </c>
      <c r="O35" s="316">
        <v>11239</v>
      </c>
      <c r="P35" s="237">
        <f t="shared" si="6"/>
        <v>5.2299960445799112E-2</v>
      </c>
      <c r="Q35" s="316">
        <v>0</v>
      </c>
      <c r="R35" s="237">
        <f t="shared" si="7"/>
        <v>0</v>
      </c>
      <c r="S35" s="316">
        <f t="shared" si="8"/>
        <v>11239</v>
      </c>
      <c r="T35" s="237">
        <f t="shared" si="9"/>
        <v>5.2299960445799112E-2</v>
      </c>
      <c r="U35" s="316">
        <v>3808</v>
      </c>
      <c r="V35" s="237">
        <f t="shared" si="10"/>
        <v>1.772028199818516E-2</v>
      </c>
      <c r="W35" s="316">
        <v>4795</v>
      </c>
      <c r="X35" s="237">
        <f t="shared" si="11"/>
        <v>2.2313222736685359E-2</v>
      </c>
      <c r="Y35" s="316">
        <v>3963</v>
      </c>
      <c r="Z35" s="237">
        <f t="shared" si="12"/>
        <v>1.8441564484981039E-2</v>
      </c>
      <c r="AA35" s="316">
        <v>13498</v>
      </c>
      <c r="AB35" s="237">
        <f t="shared" si="13"/>
        <v>6.2812071011424178E-2</v>
      </c>
      <c r="AC35" s="316">
        <f t="shared" si="14"/>
        <v>17461</v>
      </c>
      <c r="AD35" s="237">
        <f t="shared" si="15"/>
        <v>8.1253635496405227E-2</v>
      </c>
      <c r="AE35" s="316">
        <v>26331</v>
      </c>
      <c r="AF35" s="237">
        <f t="shared" si="16"/>
        <v>0.12252960748272412</v>
      </c>
      <c r="AG35" s="316">
        <v>0</v>
      </c>
      <c r="AH35" s="237">
        <f t="shared" si="17"/>
        <v>0</v>
      </c>
      <c r="AI35" s="316">
        <v>23117</v>
      </c>
      <c r="AJ35" s="237">
        <f t="shared" si="18"/>
        <v>0.10757346611135671</v>
      </c>
      <c r="AK35" s="316">
        <v>3732</v>
      </c>
      <c r="AL35" s="237">
        <f t="shared" si="19"/>
        <v>1.7366620907885245E-2</v>
      </c>
    </row>
    <row r="36" spans="2:38" s="73" customFormat="1" ht="14.25" customHeight="1">
      <c r="B36" s="547"/>
      <c r="C36" s="551"/>
      <c r="D36" s="171">
        <v>46141</v>
      </c>
      <c r="E36" s="171" t="s">
        <v>112</v>
      </c>
      <c r="F36" s="329">
        <f t="shared" si="0"/>
        <v>189446</v>
      </c>
      <c r="G36" s="566"/>
      <c r="H36" s="568"/>
      <c r="I36" s="316">
        <v>54628</v>
      </c>
      <c r="J36" s="237">
        <f t="shared" si="2"/>
        <v>0.28835657654423952</v>
      </c>
      <c r="K36" s="316">
        <v>56301</v>
      </c>
      <c r="L36" s="237">
        <f t="shared" si="3"/>
        <v>0.2971875890755149</v>
      </c>
      <c r="M36" s="316">
        <f t="shared" si="4"/>
        <v>110929</v>
      </c>
      <c r="N36" s="237">
        <f t="shared" si="5"/>
        <v>0.58554416561975442</v>
      </c>
      <c r="O36" s="316">
        <v>10410</v>
      </c>
      <c r="P36" s="237">
        <f t="shared" si="6"/>
        <v>5.4949695427720831E-2</v>
      </c>
      <c r="Q36" s="316">
        <v>0</v>
      </c>
      <c r="R36" s="237">
        <f t="shared" si="7"/>
        <v>0</v>
      </c>
      <c r="S36" s="316">
        <f t="shared" si="8"/>
        <v>10410</v>
      </c>
      <c r="T36" s="237">
        <f t="shared" si="9"/>
        <v>5.4949695427720831E-2</v>
      </c>
      <c r="U36" s="316">
        <v>3448</v>
      </c>
      <c r="V36" s="237">
        <f t="shared" si="10"/>
        <v>1.8200437063859886E-2</v>
      </c>
      <c r="W36" s="316">
        <v>5590</v>
      </c>
      <c r="X36" s="237">
        <f t="shared" si="11"/>
        <v>2.950708909135057E-2</v>
      </c>
      <c r="Y36" s="316">
        <v>3075</v>
      </c>
      <c r="Z36" s="237">
        <f t="shared" si="12"/>
        <v>1.6231538274759035E-2</v>
      </c>
      <c r="AA36" s="316">
        <v>10603</v>
      </c>
      <c r="AB36" s="237">
        <f t="shared" si="13"/>
        <v>5.5968455390982129E-2</v>
      </c>
      <c r="AC36" s="316">
        <f t="shared" si="14"/>
        <v>13678</v>
      </c>
      <c r="AD36" s="237">
        <f t="shared" si="15"/>
        <v>7.2199993665741161E-2</v>
      </c>
      <c r="AE36" s="316">
        <v>23123</v>
      </c>
      <c r="AF36" s="237">
        <f t="shared" si="16"/>
        <v>0.12205588927715549</v>
      </c>
      <c r="AG36" s="316">
        <v>0</v>
      </c>
      <c r="AH36" s="237">
        <f t="shared" si="17"/>
        <v>0</v>
      </c>
      <c r="AI36" s="316">
        <v>19061</v>
      </c>
      <c r="AJ36" s="237">
        <f t="shared" si="18"/>
        <v>0.10061442310737624</v>
      </c>
      <c r="AK36" s="316">
        <v>3207</v>
      </c>
      <c r="AL36" s="237">
        <f t="shared" si="19"/>
        <v>1.6928306747041374E-2</v>
      </c>
    </row>
    <row r="37" spans="2:38" s="73" customFormat="1" ht="14.25" customHeight="1">
      <c r="B37" s="547"/>
      <c r="C37" s="551"/>
      <c r="D37" s="171">
        <v>46142</v>
      </c>
      <c r="E37" s="171" t="s">
        <v>113</v>
      </c>
      <c r="F37" s="329">
        <f t="shared" si="0"/>
        <v>150674</v>
      </c>
      <c r="G37" s="566"/>
      <c r="H37" s="568"/>
      <c r="I37" s="316">
        <v>36437</v>
      </c>
      <c r="J37" s="237">
        <f t="shared" si="2"/>
        <v>0.24182672524788618</v>
      </c>
      <c r="K37" s="316">
        <v>49687</v>
      </c>
      <c r="L37" s="237">
        <f t="shared" si="3"/>
        <v>0.32976492294622828</v>
      </c>
      <c r="M37" s="316">
        <f t="shared" si="4"/>
        <v>86124</v>
      </c>
      <c r="N37" s="237">
        <f t="shared" si="5"/>
        <v>0.57159164819411445</v>
      </c>
      <c r="O37" s="316">
        <v>7319</v>
      </c>
      <c r="P37" s="237">
        <f t="shared" si="6"/>
        <v>4.8575069355031392E-2</v>
      </c>
      <c r="Q37" s="316">
        <v>0</v>
      </c>
      <c r="R37" s="237">
        <f t="shared" si="7"/>
        <v>0</v>
      </c>
      <c r="S37" s="316">
        <f t="shared" si="8"/>
        <v>7319</v>
      </c>
      <c r="T37" s="237">
        <f t="shared" si="9"/>
        <v>4.8575069355031392E-2</v>
      </c>
      <c r="U37" s="316">
        <v>3009</v>
      </c>
      <c r="V37" s="237">
        <f t="shared" si="10"/>
        <v>1.9970266933910297E-2</v>
      </c>
      <c r="W37" s="316">
        <v>4105</v>
      </c>
      <c r="X37" s="237">
        <f t="shared" si="11"/>
        <v>2.7244249173712785E-2</v>
      </c>
      <c r="Y37" s="316">
        <v>2633</v>
      </c>
      <c r="Z37" s="237">
        <f t="shared" si="12"/>
        <v>1.7474813172810175E-2</v>
      </c>
      <c r="AA37" s="316">
        <v>9415</v>
      </c>
      <c r="AB37" s="237">
        <f t="shared" si="13"/>
        <v>6.2485896704142715E-2</v>
      </c>
      <c r="AC37" s="316">
        <f t="shared" si="14"/>
        <v>12048</v>
      </c>
      <c r="AD37" s="237">
        <f t="shared" si="15"/>
        <v>7.996070987695289E-2</v>
      </c>
      <c r="AE37" s="316">
        <v>17526</v>
      </c>
      <c r="AF37" s="237">
        <f t="shared" si="16"/>
        <v>0.11631734738574671</v>
      </c>
      <c r="AG37" s="316">
        <v>0</v>
      </c>
      <c r="AH37" s="237">
        <f t="shared" si="17"/>
        <v>0</v>
      </c>
      <c r="AI37" s="316">
        <v>17120</v>
      </c>
      <c r="AJ37" s="237">
        <f t="shared" si="18"/>
        <v>0.11362278827136732</v>
      </c>
      <c r="AK37" s="316">
        <v>3423</v>
      </c>
      <c r="AL37" s="237">
        <f t="shared" si="19"/>
        <v>2.2717920809164155E-2</v>
      </c>
    </row>
    <row r="38" spans="2:38" s="73" customFormat="1" ht="14.25" customHeight="1">
      <c r="B38" s="547"/>
      <c r="C38" s="498"/>
      <c r="D38" s="171">
        <v>46143</v>
      </c>
      <c r="E38" s="171" t="s">
        <v>114</v>
      </c>
      <c r="F38" s="329">
        <f t="shared" si="0"/>
        <v>140738</v>
      </c>
      <c r="G38" s="566"/>
      <c r="H38" s="501"/>
      <c r="I38" s="316">
        <v>35108</v>
      </c>
      <c r="J38" s="237">
        <f t="shared" si="2"/>
        <v>0.24945643678324261</v>
      </c>
      <c r="K38" s="316">
        <v>47984</v>
      </c>
      <c r="L38" s="237">
        <f t="shared" si="3"/>
        <v>0.34094558683511206</v>
      </c>
      <c r="M38" s="316">
        <f t="shared" si="4"/>
        <v>83092</v>
      </c>
      <c r="N38" s="237">
        <f t="shared" si="5"/>
        <v>0.5904020236183547</v>
      </c>
      <c r="O38" s="316">
        <v>7180</v>
      </c>
      <c r="P38" s="237">
        <f t="shared" si="6"/>
        <v>5.1016782958404977E-2</v>
      </c>
      <c r="Q38" s="316">
        <v>0</v>
      </c>
      <c r="R38" s="237">
        <f t="shared" si="7"/>
        <v>0</v>
      </c>
      <c r="S38" s="316">
        <f t="shared" si="8"/>
        <v>7180</v>
      </c>
      <c r="T38" s="237">
        <f t="shared" si="9"/>
        <v>5.1016782958404977E-2</v>
      </c>
      <c r="U38" s="316">
        <v>2658</v>
      </c>
      <c r="V38" s="237">
        <f t="shared" si="10"/>
        <v>1.8886157256746579E-2</v>
      </c>
      <c r="W38" s="316">
        <v>2200</v>
      </c>
      <c r="X38" s="237">
        <f t="shared" si="11"/>
        <v>1.5631883357728544E-2</v>
      </c>
      <c r="Y38" s="316">
        <v>2704</v>
      </c>
      <c r="Z38" s="237">
        <f t="shared" si="12"/>
        <v>1.9213005726953631E-2</v>
      </c>
      <c r="AA38" s="316">
        <v>10892</v>
      </c>
      <c r="AB38" s="237">
        <f t="shared" si="13"/>
        <v>7.7392033423808779E-2</v>
      </c>
      <c r="AC38" s="316">
        <f t="shared" si="14"/>
        <v>13596</v>
      </c>
      <c r="AD38" s="237">
        <f t="shared" si="15"/>
        <v>9.6605039150762406E-2</v>
      </c>
      <c r="AE38" s="316">
        <v>15422</v>
      </c>
      <c r="AF38" s="237">
        <f t="shared" si="16"/>
        <v>0.1095795023376771</v>
      </c>
      <c r="AG38" s="316">
        <v>0</v>
      </c>
      <c r="AH38" s="237">
        <f t="shared" si="17"/>
        <v>0</v>
      </c>
      <c r="AI38" s="316">
        <v>13263</v>
      </c>
      <c r="AJ38" s="237">
        <f t="shared" si="18"/>
        <v>9.4238940442524413E-2</v>
      </c>
      <c r="AK38" s="316">
        <v>3327</v>
      </c>
      <c r="AL38" s="237">
        <f t="shared" si="19"/>
        <v>2.3639670877801305E-2</v>
      </c>
    </row>
    <row r="39" spans="2:38" s="73" customFormat="1" ht="14.25" customHeight="1">
      <c r="B39" s="547"/>
      <c r="C39" s="499"/>
      <c r="D39" s="171">
        <v>46144</v>
      </c>
      <c r="E39" s="171" t="s">
        <v>115</v>
      </c>
      <c r="F39" s="329">
        <f t="shared" si="0"/>
        <v>150228</v>
      </c>
      <c r="G39" s="566"/>
      <c r="H39" s="502"/>
      <c r="I39" s="316">
        <v>33372</v>
      </c>
      <c r="J39" s="237">
        <f t="shared" si="2"/>
        <v>0.22214234363767074</v>
      </c>
      <c r="K39" s="316">
        <v>56972</v>
      </c>
      <c r="L39" s="237">
        <f t="shared" si="3"/>
        <v>0.37923689325558485</v>
      </c>
      <c r="M39" s="316">
        <f t="shared" si="4"/>
        <v>90344</v>
      </c>
      <c r="N39" s="237">
        <f t="shared" si="5"/>
        <v>0.60137923689325556</v>
      </c>
      <c r="O39" s="316">
        <v>6959</v>
      </c>
      <c r="P39" s="237">
        <f t="shared" si="6"/>
        <v>4.6322922491146792E-2</v>
      </c>
      <c r="Q39" s="316">
        <v>0</v>
      </c>
      <c r="R39" s="237">
        <f t="shared" si="7"/>
        <v>0</v>
      </c>
      <c r="S39" s="316">
        <f t="shared" si="8"/>
        <v>6959</v>
      </c>
      <c r="T39" s="237">
        <f t="shared" si="9"/>
        <v>4.6322922491146792E-2</v>
      </c>
      <c r="U39" s="316">
        <v>2800</v>
      </c>
      <c r="V39" s="237">
        <f t="shared" si="10"/>
        <v>1.8638336395345741E-2</v>
      </c>
      <c r="W39" s="316">
        <v>1872</v>
      </c>
      <c r="X39" s="237">
        <f t="shared" si="11"/>
        <v>1.2461059190031152E-2</v>
      </c>
      <c r="Y39" s="316">
        <v>3209</v>
      </c>
      <c r="Z39" s="237">
        <f t="shared" si="12"/>
        <v>2.1360864818808743E-2</v>
      </c>
      <c r="AA39" s="316">
        <v>12056</v>
      </c>
      <c r="AB39" s="237">
        <f t="shared" si="13"/>
        <v>8.0251351279388664E-2</v>
      </c>
      <c r="AC39" s="316">
        <f t="shared" si="14"/>
        <v>15265</v>
      </c>
      <c r="AD39" s="237">
        <f t="shared" si="15"/>
        <v>0.1016122160981974</v>
      </c>
      <c r="AE39" s="316">
        <v>17040</v>
      </c>
      <c r="AF39" s="237">
        <f t="shared" si="16"/>
        <v>0.11342759006310409</v>
      </c>
      <c r="AG39" s="316">
        <v>0</v>
      </c>
      <c r="AH39" s="237">
        <f t="shared" si="17"/>
        <v>0</v>
      </c>
      <c r="AI39" s="316">
        <v>12768</v>
      </c>
      <c r="AJ39" s="237">
        <f t="shared" si="18"/>
        <v>8.4990813962776579E-2</v>
      </c>
      <c r="AK39" s="316">
        <v>3180</v>
      </c>
      <c r="AL39" s="237">
        <f t="shared" si="19"/>
        <v>2.1167824906142663E-2</v>
      </c>
    </row>
    <row r="40" spans="2:38" s="73" customFormat="1" ht="14.25" customHeight="1">
      <c r="B40" s="547"/>
      <c r="C40" s="499"/>
      <c r="D40" s="171">
        <v>46145</v>
      </c>
      <c r="E40" s="171" t="s">
        <v>116</v>
      </c>
      <c r="F40" s="329">
        <f t="shared" si="0"/>
        <v>212432</v>
      </c>
      <c r="G40" s="566"/>
      <c r="H40" s="502"/>
      <c r="I40" s="316">
        <v>55360</v>
      </c>
      <c r="J40" s="237">
        <f t="shared" si="2"/>
        <v>0.26060103939142881</v>
      </c>
      <c r="K40" s="316">
        <v>68288</v>
      </c>
      <c r="L40" s="237">
        <f t="shared" si="3"/>
        <v>0.32145816072908034</v>
      </c>
      <c r="M40" s="316">
        <f t="shared" si="4"/>
        <v>123648</v>
      </c>
      <c r="N40" s="237">
        <f t="shared" si="5"/>
        <v>0.58205920012050916</v>
      </c>
      <c r="O40" s="316">
        <v>11280</v>
      </c>
      <c r="P40" s="237">
        <f t="shared" si="6"/>
        <v>5.3099344731490548E-2</v>
      </c>
      <c r="Q40" s="316">
        <v>0</v>
      </c>
      <c r="R40" s="237">
        <f t="shared" si="7"/>
        <v>0</v>
      </c>
      <c r="S40" s="316">
        <f t="shared" si="8"/>
        <v>11280</v>
      </c>
      <c r="T40" s="237">
        <f t="shared" si="9"/>
        <v>5.3099344731490548E-2</v>
      </c>
      <c r="U40" s="316">
        <v>3993</v>
      </c>
      <c r="V40" s="237">
        <f t="shared" si="10"/>
        <v>1.8796603148301574E-2</v>
      </c>
      <c r="W40" s="316">
        <v>2692</v>
      </c>
      <c r="X40" s="237">
        <f t="shared" si="11"/>
        <v>1.2672290427054304E-2</v>
      </c>
      <c r="Y40" s="316">
        <v>4101</v>
      </c>
      <c r="Z40" s="237">
        <f t="shared" si="12"/>
        <v>1.9305001129773292E-2</v>
      </c>
      <c r="AA40" s="316">
        <v>14261</v>
      </c>
      <c r="AB40" s="237">
        <f t="shared" si="13"/>
        <v>6.7132070497853427E-2</v>
      </c>
      <c r="AC40" s="316">
        <f t="shared" si="14"/>
        <v>18362</v>
      </c>
      <c r="AD40" s="237">
        <f t="shared" si="15"/>
        <v>8.6437071627626719E-2</v>
      </c>
      <c r="AE40" s="316">
        <v>30259</v>
      </c>
      <c r="AF40" s="237">
        <f t="shared" si="16"/>
        <v>0.14244087519771031</v>
      </c>
      <c r="AG40" s="316">
        <v>0</v>
      </c>
      <c r="AH40" s="237">
        <f t="shared" si="17"/>
        <v>0</v>
      </c>
      <c r="AI40" s="316">
        <v>19003</v>
      </c>
      <c r="AJ40" s="237">
        <f t="shared" si="18"/>
        <v>8.945450779543572E-2</v>
      </c>
      <c r="AK40" s="316">
        <v>3195</v>
      </c>
      <c r="AL40" s="237">
        <f t="shared" si="19"/>
        <v>1.5040106951871657E-2</v>
      </c>
    </row>
    <row r="41" spans="2:38" s="73" customFormat="1" ht="14.25" customHeight="1">
      <c r="B41" s="548"/>
      <c r="C41" s="500"/>
      <c r="D41" s="171">
        <v>46146</v>
      </c>
      <c r="E41" s="171" t="s">
        <v>117</v>
      </c>
      <c r="F41" s="329">
        <f t="shared" si="0"/>
        <v>203875</v>
      </c>
      <c r="G41" s="566"/>
      <c r="H41" s="503"/>
      <c r="I41" s="316">
        <v>53553</v>
      </c>
      <c r="J41" s="237">
        <f t="shared" si="2"/>
        <v>0.26267565910484364</v>
      </c>
      <c r="K41" s="316">
        <v>66674</v>
      </c>
      <c r="L41" s="237">
        <f t="shared" si="3"/>
        <v>0.32703372164316369</v>
      </c>
      <c r="M41" s="316">
        <f t="shared" si="4"/>
        <v>120227</v>
      </c>
      <c r="N41" s="237">
        <f t="shared" si="5"/>
        <v>0.58970938074800738</v>
      </c>
      <c r="O41" s="316">
        <v>10449</v>
      </c>
      <c r="P41" s="237">
        <f t="shared" si="6"/>
        <v>5.1251992642550585E-2</v>
      </c>
      <c r="Q41" s="316">
        <v>0</v>
      </c>
      <c r="R41" s="237">
        <f t="shared" si="7"/>
        <v>0</v>
      </c>
      <c r="S41" s="316">
        <f t="shared" si="8"/>
        <v>10449</v>
      </c>
      <c r="T41" s="237">
        <f t="shared" si="9"/>
        <v>5.1251992642550585E-2</v>
      </c>
      <c r="U41" s="316">
        <v>3801</v>
      </c>
      <c r="V41" s="237">
        <f t="shared" si="10"/>
        <v>1.8643776824034335E-2</v>
      </c>
      <c r="W41" s="316">
        <v>2732</v>
      </c>
      <c r="X41" s="237">
        <f t="shared" si="11"/>
        <v>1.3400367872470877E-2</v>
      </c>
      <c r="Y41" s="316">
        <v>4022</v>
      </c>
      <c r="Z41" s="237">
        <f t="shared" si="12"/>
        <v>1.9727774371551196E-2</v>
      </c>
      <c r="AA41" s="316">
        <v>14040</v>
      </c>
      <c r="AB41" s="237">
        <f t="shared" si="13"/>
        <v>6.8865726548129988E-2</v>
      </c>
      <c r="AC41" s="316">
        <f t="shared" si="14"/>
        <v>18062</v>
      </c>
      <c r="AD41" s="237">
        <f t="shared" si="15"/>
        <v>8.8593500919681184E-2</v>
      </c>
      <c r="AE41" s="316">
        <v>27589</v>
      </c>
      <c r="AF41" s="237">
        <f t="shared" si="16"/>
        <v>0.13532311465358676</v>
      </c>
      <c r="AG41" s="316">
        <v>0</v>
      </c>
      <c r="AH41" s="237">
        <f t="shared" si="17"/>
        <v>0</v>
      </c>
      <c r="AI41" s="316">
        <v>17442</v>
      </c>
      <c r="AJ41" s="237">
        <f t="shared" si="18"/>
        <v>8.5552421827099934E-2</v>
      </c>
      <c r="AK41" s="316">
        <v>3573</v>
      </c>
      <c r="AL41" s="237">
        <f t="shared" si="19"/>
        <v>1.7525444512568975E-2</v>
      </c>
    </row>
  </sheetData>
  <mergeCells count="45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H5:H6"/>
    <mergeCell ref="B3:B6"/>
    <mergeCell ref="O4:T4"/>
    <mergeCell ref="I4:N4"/>
    <mergeCell ref="Y4:AD4"/>
    <mergeCell ref="C3:C6"/>
    <mergeCell ref="D3:E6"/>
    <mergeCell ref="G5:G6"/>
    <mergeCell ref="M5:N5"/>
    <mergeCell ref="I3:AL3"/>
    <mergeCell ref="AI4:AJ4"/>
    <mergeCell ref="O5:P5"/>
    <mergeCell ref="I5:J5"/>
    <mergeCell ref="Q5:R5"/>
    <mergeCell ref="AA5:AB5"/>
    <mergeCell ref="F5:F6"/>
    <mergeCell ref="AK4:AL4"/>
    <mergeCell ref="F3:H4"/>
    <mergeCell ref="AI5:AJ5"/>
    <mergeCell ref="K5:L5"/>
    <mergeCell ref="S5:T5"/>
    <mergeCell ref="B35:B41"/>
    <mergeCell ref="G35:G41"/>
    <mergeCell ref="H8:H37"/>
    <mergeCell ref="C8:C37"/>
    <mergeCell ref="B14:B20"/>
    <mergeCell ref="G14:G20"/>
    <mergeCell ref="B21:B27"/>
    <mergeCell ref="G21:G27"/>
    <mergeCell ref="B28:B34"/>
    <mergeCell ref="G28:G34"/>
    <mergeCell ref="B7:B13"/>
    <mergeCell ref="G7:G13"/>
  </mergeCells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>
    <tabColor rgb="FFFFFFCC"/>
  </sheetPr>
  <dimension ref="A1:AX197"/>
  <sheetViews>
    <sheetView zoomScale="85" zoomScaleNormal="85" workbookViewId="0">
      <pane xSplit="13" ySplit="1" topLeftCell="N164" activePane="bottomRight" state="frozen"/>
      <selection activeCell="E31" sqref="E31"/>
      <selection pane="topRight" activeCell="E31" sqref="E31"/>
      <selection pane="bottomLeft" activeCell="E31" sqref="E31"/>
      <selection pane="bottomRight" activeCell="L163" sqref="L163:L19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8" customWidth="1"/>
    <col min="15" max="15" width="7.140625" style="178" customWidth="1" collapsed="1"/>
    <col min="16" max="16" width="7.7109375" style="178" customWidth="1"/>
    <col min="17" max="18" width="8.7109375" style="178" customWidth="1"/>
    <col min="19" max="19" width="5.42578125" style="178" customWidth="1"/>
    <col min="20" max="20" width="10.7109375" style="178" customWidth="1"/>
    <col min="21" max="21" width="7.7109375" style="179" customWidth="1"/>
    <col min="22" max="23" width="8.7109375" style="179" customWidth="1"/>
    <col min="24" max="24" width="5.42578125" style="178" customWidth="1"/>
    <col min="25" max="25" width="10.7109375" style="179" customWidth="1"/>
    <col min="26" max="26" width="7.7109375" style="179" customWidth="1"/>
    <col min="27" max="28" width="8.7109375" style="179" customWidth="1"/>
    <col min="29" max="29" width="5.42578125" style="178" customWidth="1"/>
    <col min="30" max="30" width="10.7109375" style="179" customWidth="1"/>
    <col min="31" max="31" width="7.7109375" style="179" customWidth="1"/>
    <col min="32" max="33" width="8.7109375" style="179" customWidth="1"/>
    <col min="34" max="34" width="5.42578125" style="178" customWidth="1"/>
    <col min="35" max="35" width="10.7109375" style="179" customWidth="1"/>
    <col min="36" max="36" width="7.7109375" style="179" customWidth="1"/>
    <col min="37" max="38" width="8.7109375" style="179" customWidth="1"/>
    <col min="39" max="39" width="5.42578125" style="178" customWidth="1"/>
    <col min="40" max="40" width="10.7109375" style="179" customWidth="1"/>
    <col min="41" max="41" width="7.7109375" style="179" customWidth="1"/>
    <col min="42" max="43" width="8.7109375" style="179" customWidth="1"/>
    <col min="44" max="44" width="5.42578125" style="179" customWidth="1"/>
    <col min="45" max="45" width="10.7109375" style="179" customWidth="1"/>
    <col min="46" max="46" width="7.7109375" style="179" customWidth="1"/>
    <col min="47" max="48" width="8.7109375" style="179" customWidth="1"/>
    <col min="49" max="49" width="5.42578125" style="179" customWidth="1"/>
    <col min="50" max="50" width="10.7109375" style="179" customWidth="1"/>
    <col min="51" max="16384" width="8.85546875" style="78"/>
  </cols>
  <sheetData>
    <row r="1" spans="1:50" ht="24">
      <c r="A1" s="74"/>
      <c r="B1" s="364" t="s">
        <v>653</v>
      </c>
      <c r="C1" s="175">
        <f>AVERAGE(L7,L45,L83,L123)</f>
        <v>740.76981301731939</v>
      </c>
    </row>
    <row r="2" spans="1:50" ht="14.25" customHeight="1">
      <c r="B2" s="589" t="s">
        <v>539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600"/>
      <c r="N2" s="593" t="s">
        <v>374</v>
      </c>
      <c r="O2" s="593" t="s">
        <v>105</v>
      </c>
      <c r="P2" s="580">
        <v>46112</v>
      </c>
      <c r="Q2" s="581"/>
      <c r="R2" s="581"/>
      <c r="S2" s="581"/>
      <c r="T2" s="582"/>
      <c r="U2" s="603">
        <v>46113</v>
      </c>
      <c r="V2" s="604"/>
      <c r="W2" s="604"/>
      <c r="X2" s="604"/>
      <c r="Y2" s="605"/>
      <c r="Z2" s="580">
        <v>46114</v>
      </c>
      <c r="AA2" s="581"/>
      <c r="AB2" s="581"/>
      <c r="AC2" s="581"/>
      <c r="AD2" s="582"/>
      <c r="AE2" s="603">
        <v>46115</v>
      </c>
      <c r="AF2" s="604"/>
      <c r="AG2" s="604"/>
      <c r="AH2" s="604"/>
      <c r="AI2" s="605"/>
      <c r="AJ2" s="580">
        <v>46116</v>
      </c>
      <c r="AK2" s="581"/>
      <c r="AL2" s="581"/>
      <c r="AM2" s="581"/>
      <c r="AN2" s="582"/>
      <c r="AO2" s="603">
        <v>46117</v>
      </c>
      <c r="AP2" s="604"/>
      <c r="AQ2" s="604"/>
      <c r="AR2" s="604"/>
      <c r="AS2" s="605"/>
      <c r="AT2" s="580">
        <v>46118</v>
      </c>
      <c r="AU2" s="581"/>
      <c r="AV2" s="581"/>
      <c r="AW2" s="581"/>
      <c r="AX2" s="582"/>
    </row>
    <row r="3" spans="1:50" ht="14.25" customHeight="1"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2"/>
      <c r="N3" s="594"/>
      <c r="O3" s="594"/>
      <c r="P3" s="585">
        <v>46112</v>
      </c>
      <c r="Q3" s="586"/>
      <c r="R3" s="586"/>
      <c r="S3" s="586"/>
      <c r="T3" s="587"/>
      <c r="U3" s="606">
        <v>46113</v>
      </c>
      <c r="V3" s="607"/>
      <c r="W3" s="607"/>
      <c r="X3" s="607"/>
      <c r="Y3" s="608"/>
      <c r="Z3" s="585">
        <v>46114</v>
      </c>
      <c r="AA3" s="586"/>
      <c r="AB3" s="586"/>
      <c r="AC3" s="586"/>
      <c r="AD3" s="587"/>
      <c r="AE3" s="606">
        <v>46115</v>
      </c>
      <c r="AF3" s="607"/>
      <c r="AG3" s="607"/>
      <c r="AH3" s="607"/>
      <c r="AI3" s="608"/>
      <c r="AJ3" s="585">
        <v>46116</v>
      </c>
      <c r="AK3" s="586"/>
      <c r="AL3" s="586"/>
      <c r="AM3" s="586"/>
      <c r="AN3" s="587"/>
      <c r="AO3" s="606">
        <v>46117</v>
      </c>
      <c r="AP3" s="607"/>
      <c r="AQ3" s="607"/>
      <c r="AR3" s="607"/>
      <c r="AS3" s="608"/>
      <c r="AT3" s="585">
        <v>46118</v>
      </c>
      <c r="AU3" s="586"/>
      <c r="AV3" s="586"/>
      <c r="AW3" s="586"/>
      <c r="AX3" s="587"/>
    </row>
    <row r="4" spans="1:50">
      <c r="B4" s="609" t="s">
        <v>162</v>
      </c>
      <c r="C4" s="612" t="s">
        <v>157</v>
      </c>
      <c r="D4" s="613"/>
      <c r="E4" s="618" t="s">
        <v>158</v>
      </c>
      <c r="F4" s="619"/>
      <c r="G4" s="620"/>
      <c r="H4" s="609" t="s">
        <v>163</v>
      </c>
      <c r="I4" s="621" t="s">
        <v>375</v>
      </c>
      <c r="J4" s="622"/>
      <c r="K4" s="623"/>
      <c r="L4" s="624" t="s">
        <v>163</v>
      </c>
      <c r="M4" s="624" t="s">
        <v>165</v>
      </c>
      <c r="N4" s="627"/>
      <c r="O4" s="593" t="s">
        <v>164</v>
      </c>
      <c r="P4" s="631" t="s">
        <v>160</v>
      </c>
      <c r="Q4" s="632"/>
      <c r="R4" s="632"/>
      <c r="S4" s="633"/>
      <c r="T4" s="593" t="s">
        <v>163</v>
      </c>
      <c r="U4" s="631" t="s">
        <v>160</v>
      </c>
      <c r="V4" s="632"/>
      <c r="W4" s="632"/>
      <c r="X4" s="633"/>
      <c r="Y4" s="593" t="s">
        <v>163</v>
      </c>
      <c r="Z4" s="631" t="s">
        <v>160</v>
      </c>
      <c r="AA4" s="632"/>
      <c r="AB4" s="632"/>
      <c r="AC4" s="633"/>
      <c r="AD4" s="593" t="s">
        <v>163</v>
      </c>
      <c r="AE4" s="631" t="s">
        <v>160</v>
      </c>
      <c r="AF4" s="632"/>
      <c r="AG4" s="632"/>
      <c r="AH4" s="633"/>
      <c r="AI4" s="593" t="s">
        <v>163</v>
      </c>
      <c r="AJ4" s="631" t="s">
        <v>160</v>
      </c>
      <c r="AK4" s="632"/>
      <c r="AL4" s="632"/>
      <c r="AM4" s="633"/>
      <c r="AN4" s="593" t="s">
        <v>163</v>
      </c>
      <c r="AO4" s="631" t="s">
        <v>160</v>
      </c>
      <c r="AP4" s="632"/>
      <c r="AQ4" s="632"/>
      <c r="AR4" s="633"/>
      <c r="AS4" s="593" t="s">
        <v>163</v>
      </c>
      <c r="AT4" s="631" t="s">
        <v>160</v>
      </c>
      <c r="AU4" s="632"/>
      <c r="AV4" s="632"/>
      <c r="AW4" s="633"/>
      <c r="AX4" s="593" t="s">
        <v>163</v>
      </c>
    </row>
    <row r="5" spans="1:50">
      <c r="B5" s="610"/>
      <c r="C5" s="614"/>
      <c r="D5" s="615"/>
      <c r="E5" s="618" t="s">
        <v>376</v>
      </c>
      <c r="F5" s="619"/>
      <c r="G5" s="620"/>
      <c r="H5" s="610"/>
      <c r="I5" s="621" t="s">
        <v>376</v>
      </c>
      <c r="J5" s="622"/>
      <c r="K5" s="623"/>
      <c r="L5" s="625"/>
      <c r="M5" s="625"/>
      <c r="N5" s="628"/>
      <c r="O5" s="630"/>
      <c r="P5" s="631" t="s">
        <v>377</v>
      </c>
      <c r="Q5" s="632"/>
      <c r="R5" s="632"/>
      <c r="S5" s="633"/>
      <c r="T5" s="630"/>
      <c r="U5" s="631" t="s">
        <v>377</v>
      </c>
      <c r="V5" s="632"/>
      <c r="W5" s="632"/>
      <c r="X5" s="633"/>
      <c r="Y5" s="630"/>
      <c r="Z5" s="631" t="s">
        <v>377</v>
      </c>
      <c r="AA5" s="632"/>
      <c r="AB5" s="632"/>
      <c r="AC5" s="633"/>
      <c r="AD5" s="630"/>
      <c r="AE5" s="631" t="s">
        <v>377</v>
      </c>
      <c r="AF5" s="632"/>
      <c r="AG5" s="632"/>
      <c r="AH5" s="633"/>
      <c r="AI5" s="630"/>
      <c r="AJ5" s="631" t="s">
        <v>377</v>
      </c>
      <c r="AK5" s="632"/>
      <c r="AL5" s="632"/>
      <c r="AM5" s="633"/>
      <c r="AN5" s="630"/>
      <c r="AO5" s="631" t="s">
        <v>377</v>
      </c>
      <c r="AP5" s="632"/>
      <c r="AQ5" s="632"/>
      <c r="AR5" s="633"/>
      <c r="AS5" s="630"/>
      <c r="AT5" s="631" t="s">
        <v>377</v>
      </c>
      <c r="AU5" s="632"/>
      <c r="AV5" s="632"/>
      <c r="AW5" s="633"/>
      <c r="AX5" s="630"/>
    </row>
    <row r="6" spans="1:50">
      <c r="A6" s="177"/>
      <c r="B6" s="611"/>
      <c r="C6" s="616"/>
      <c r="D6" s="617"/>
      <c r="E6" s="180" t="s">
        <v>159</v>
      </c>
      <c r="F6" s="180" t="s">
        <v>378</v>
      </c>
      <c r="G6" s="180" t="s">
        <v>161</v>
      </c>
      <c r="H6" s="611"/>
      <c r="I6" s="181" t="s">
        <v>159</v>
      </c>
      <c r="J6" s="181" t="s">
        <v>378</v>
      </c>
      <c r="K6" s="181" t="s">
        <v>161</v>
      </c>
      <c r="L6" s="626"/>
      <c r="M6" s="626"/>
      <c r="N6" s="628"/>
      <c r="O6" s="630"/>
      <c r="P6" s="182" t="s">
        <v>159</v>
      </c>
      <c r="Q6" s="182" t="s">
        <v>378</v>
      </c>
      <c r="R6" s="182" t="s">
        <v>161</v>
      </c>
      <c r="S6" s="182" t="s">
        <v>165</v>
      </c>
      <c r="T6" s="594"/>
      <c r="U6" s="182" t="s">
        <v>159</v>
      </c>
      <c r="V6" s="182" t="s">
        <v>378</v>
      </c>
      <c r="W6" s="182" t="s">
        <v>161</v>
      </c>
      <c r="X6" s="182" t="s">
        <v>165</v>
      </c>
      <c r="Y6" s="594"/>
      <c r="Z6" s="182" t="s">
        <v>159</v>
      </c>
      <c r="AA6" s="182" t="s">
        <v>378</v>
      </c>
      <c r="AB6" s="182" t="s">
        <v>161</v>
      </c>
      <c r="AC6" s="182" t="s">
        <v>165</v>
      </c>
      <c r="AD6" s="594"/>
      <c r="AE6" s="182" t="s">
        <v>159</v>
      </c>
      <c r="AF6" s="182" t="s">
        <v>378</v>
      </c>
      <c r="AG6" s="182" t="s">
        <v>161</v>
      </c>
      <c r="AH6" s="182" t="s">
        <v>165</v>
      </c>
      <c r="AI6" s="594"/>
      <c r="AJ6" s="182" t="s">
        <v>159</v>
      </c>
      <c r="AK6" s="182" t="s">
        <v>378</v>
      </c>
      <c r="AL6" s="182" t="s">
        <v>161</v>
      </c>
      <c r="AM6" s="182" t="s">
        <v>165</v>
      </c>
      <c r="AN6" s="594"/>
      <c r="AO6" s="182" t="s">
        <v>159</v>
      </c>
      <c r="AP6" s="182" t="s">
        <v>378</v>
      </c>
      <c r="AQ6" s="182" t="s">
        <v>161</v>
      </c>
      <c r="AR6" s="182" t="s">
        <v>165</v>
      </c>
      <c r="AS6" s="594"/>
      <c r="AT6" s="182" t="s">
        <v>159</v>
      </c>
      <c r="AU6" s="182" t="s">
        <v>378</v>
      </c>
      <c r="AV6" s="182" t="s">
        <v>161</v>
      </c>
      <c r="AW6" s="182" t="s">
        <v>165</v>
      </c>
      <c r="AX6" s="594"/>
    </row>
    <row r="7" spans="1:50">
      <c r="B7" s="609" t="s">
        <v>379</v>
      </c>
      <c r="C7" s="180">
        <v>1</v>
      </c>
      <c r="D7" s="183" t="s">
        <v>404</v>
      </c>
      <c r="E7" s="184">
        <v>4</v>
      </c>
      <c r="F7" s="180">
        <v>3600</v>
      </c>
      <c r="G7" s="185">
        <f>F7/E7</f>
        <v>900</v>
      </c>
      <c r="H7" s="637">
        <f>AVERAGE(G7:G39)</f>
        <v>832.6426799007445</v>
      </c>
      <c r="I7" s="186">
        <f>AVERAGE(P7,U7,Z7,AE7,AJ7,AO7,AT7)</f>
        <v>4</v>
      </c>
      <c r="J7" s="186">
        <f>AVERAGE(Q7,V7,AA7,AF7,AK7,AP7,AU7)</f>
        <v>3173.5385980639976</v>
      </c>
      <c r="K7" s="187">
        <f>AVERAGE(R7,W7,AB7,AG7,AL7,AQ7,AV7)</f>
        <v>793.3846495159994</v>
      </c>
      <c r="L7" s="640">
        <f>IFERROR(AVERAGE(K7:K39),"-")</f>
        <v>738.89977406999492</v>
      </c>
      <c r="M7" s="186">
        <f>RANK(K7, K$7:$K$39)</f>
        <v>13</v>
      </c>
      <c r="N7" s="628"/>
      <c r="O7" s="630"/>
      <c r="P7" s="188">
        <v>4</v>
      </c>
      <c r="Q7" s="188">
        <v>3172.5175006481741</v>
      </c>
      <c r="R7" s="185">
        <f t="shared" ref="R7:R36" si="0">IFERROR(Q7/P7,"")</f>
        <v>793.12937516204352</v>
      </c>
      <c r="S7" s="182">
        <f>RANK(R7, R$7:R$39)</f>
        <v>13</v>
      </c>
      <c r="T7" s="634">
        <f>AVERAGE(R7:R39)</f>
        <v>746.59492506559945</v>
      </c>
      <c r="U7" s="188">
        <v>4</v>
      </c>
      <c r="V7" s="188">
        <v>3172.7986995394217</v>
      </c>
      <c r="W7" s="185">
        <f t="shared" ref="W7:W36" si="1">IFERROR(V7/U7,"")</f>
        <v>793.19967488485543</v>
      </c>
      <c r="X7" s="182">
        <f>RANK(W7, W$7:W$39)</f>
        <v>13</v>
      </c>
      <c r="Y7" s="634">
        <f>AVERAGE(W7:W39)</f>
        <v>746.82007932415434</v>
      </c>
      <c r="Z7" s="188">
        <v>4</v>
      </c>
      <c r="AA7" s="188">
        <v>3172.3032069970841</v>
      </c>
      <c r="AB7" s="185">
        <f>IFERROR(AA7/Z7,"")</f>
        <v>793.07580174927102</v>
      </c>
      <c r="AC7" s="182">
        <f>RANK(AB7, AB$7:AB$39)</f>
        <v>13</v>
      </c>
      <c r="AD7" s="634">
        <f>AVERAGE(AB7:AB39)</f>
        <v>747.00784282999359</v>
      </c>
      <c r="AE7" s="188">
        <v>4</v>
      </c>
      <c r="AF7" s="188">
        <v>3173.499610288387</v>
      </c>
      <c r="AG7" s="185">
        <f>IFERROR(AF7/AE7,"")</f>
        <v>793.37490257209674</v>
      </c>
      <c r="AH7" s="182">
        <f>RANK(AG7, AG$7:AG$39)</f>
        <v>13</v>
      </c>
      <c r="AI7" s="634">
        <f>AVERAGE(AG7:AG39)</f>
        <v>747.12715061221832</v>
      </c>
      <c r="AJ7" s="188">
        <v>4</v>
      </c>
      <c r="AK7" s="188">
        <v>3174.1007194244635</v>
      </c>
      <c r="AL7" s="185">
        <f>IFERROR(AK7/AJ7,"")</f>
        <v>793.52517985611587</v>
      </c>
      <c r="AM7" s="182">
        <f>RANK(AL7, AL$7:AL$39)</f>
        <v>13</v>
      </c>
      <c r="AN7" s="634">
        <f>AVERAGE(AL7:AL39)</f>
        <v>747.3417135779672</v>
      </c>
      <c r="AO7" s="188">
        <v>4</v>
      </c>
      <c r="AP7" s="188">
        <v>3174.7252747252783</v>
      </c>
      <c r="AQ7" s="185">
        <f>IFERROR(AP7/AO7,"")</f>
        <v>793.68131868131957</v>
      </c>
      <c r="AR7" s="182">
        <f>RANK(AQ7, AQ$7:AQ$39)</f>
        <v>13</v>
      </c>
      <c r="AS7" s="634">
        <f>AVERAGE(AQ7:AQ39)</f>
        <v>747.48751780360715</v>
      </c>
      <c r="AT7" s="188">
        <v>4</v>
      </c>
      <c r="AU7" s="188">
        <v>3174.8251748251751</v>
      </c>
      <c r="AV7" s="185">
        <f>IFERROR(AU7/AT7,"")</f>
        <v>793.70629370629376</v>
      </c>
      <c r="AW7" s="182">
        <f>RANK(AV7, AV$7:AV$39)</f>
        <v>13</v>
      </c>
      <c r="AX7" s="634">
        <f>AVERAGE(AV7:AV39)</f>
        <v>739.16591394370437</v>
      </c>
    </row>
    <row r="8" spans="1:50">
      <c r="B8" s="610"/>
      <c r="C8" s="180">
        <v>2</v>
      </c>
      <c r="D8" s="183" t="s">
        <v>402</v>
      </c>
      <c r="E8" s="184">
        <v>3</v>
      </c>
      <c r="F8" s="180">
        <v>3600</v>
      </c>
      <c r="G8" s="185">
        <f t="shared" ref="G8:G27" si="2">F8/E8</f>
        <v>1200</v>
      </c>
      <c r="H8" s="638"/>
      <c r="I8" s="186">
        <f t="shared" ref="I8:K37" si="3">AVERAGE(P8,U8,Z8,AE8,AJ8,AO8,AT8)</f>
        <v>3</v>
      </c>
      <c r="J8" s="186">
        <f t="shared" si="3"/>
        <v>3173.772564635347</v>
      </c>
      <c r="K8" s="187">
        <f t="shared" si="3"/>
        <v>1057.9241882117824</v>
      </c>
      <c r="L8" s="641"/>
      <c r="M8" s="186">
        <f>RANK(K8, K$7:$K$39)</f>
        <v>7</v>
      </c>
      <c r="N8" s="628"/>
      <c r="O8" s="630"/>
      <c r="P8" s="188">
        <v>3</v>
      </c>
      <c r="Q8" s="188">
        <v>3173.069796170475</v>
      </c>
      <c r="R8" s="185">
        <f t="shared" si="0"/>
        <v>1057.689932056825</v>
      </c>
      <c r="S8" s="182">
        <f t="shared" ref="S8:S36" si="4">RANK(R8, R$7:R$39)</f>
        <v>7</v>
      </c>
      <c r="T8" s="635"/>
      <c r="U8" s="188">
        <v>3</v>
      </c>
      <c r="V8" s="188">
        <v>3173.1861198738152</v>
      </c>
      <c r="W8" s="185">
        <f t="shared" si="1"/>
        <v>1057.7287066246051</v>
      </c>
      <c r="X8" s="182">
        <f t="shared" ref="X8:X36" si="5">RANK(W8, W$7:W$39)</f>
        <v>7</v>
      </c>
      <c r="Y8" s="635"/>
      <c r="Z8" s="188">
        <v>3</v>
      </c>
      <c r="AA8" s="188">
        <v>3173.4533183352082</v>
      </c>
      <c r="AB8" s="185">
        <f t="shared" ref="AB8:AB36" si="6">IFERROR(AA8/Z8,"")</f>
        <v>1057.8177727784027</v>
      </c>
      <c r="AC8" s="182">
        <f t="shared" ref="AC8:AC36" si="7">RANK(AB8, AB$7:AB$39)</f>
        <v>7</v>
      </c>
      <c r="AD8" s="635"/>
      <c r="AE8" s="188">
        <v>3</v>
      </c>
      <c r="AF8" s="188">
        <v>3173.9062500000014</v>
      </c>
      <c r="AG8" s="185">
        <f t="shared" ref="AG8:AG36" si="8">IFERROR(AF8/AE8,"")</f>
        <v>1057.9687500000005</v>
      </c>
      <c r="AH8" s="182">
        <f t="shared" ref="AH8:AH36" si="9">RANK(AG8, AG$7:AG$39)</f>
        <v>7</v>
      </c>
      <c r="AI8" s="635"/>
      <c r="AJ8" s="188">
        <v>3</v>
      </c>
      <c r="AK8" s="188">
        <v>3174.1610738255044</v>
      </c>
      <c r="AL8" s="185">
        <f t="shared" ref="AL8:AL36" si="10">IFERROR(AK8/AJ8,"")</f>
        <v>1058.0536912751681</v>
      </c>
      <c r="AM8" s="182">
        <f t="shared" ref="AM8:AM36" si="11">RANK(AL8, AL$7:AL$39)</f>
        <v>7</v>
      </c>
      <c r="AN8" s="635"/>
      <c r="AO8" s="188">
        <v>3</v>
      </c>
      <c r="AP8" s="188">
        <v>3174.3547044129891</v>
      </c>
      <c r="AQ8" s="185">
        <f t="shared" ref="AQ8:AQ36" si="12">IFERROR(AP8/AO8,"")</f>
        <v>1058.1182348043296</v>
      </c>
      <c r="AR8" s="182">
        <f t="shared" ref="AR8:AR36" si="13">RANK(AQ8, AQ$7:AQ$39)</f>
        <v>7</v>
      </c>
      <c r="AS8" s="635"/>
      <c r="AT8" s="188">
        <v>3</v>
      </c>
      <c r="AU8" s="188">
        <v>3174.2766898294376</v>
      </c>
      <c r="AV8" s="185">
        <f t="shared" ref="AV8:AV37" si="14">IFERROR(AU8/AT8,"")</f>
        <v>1058.0922299431459</v>
      </c>
      <c r="AW8" s="182">
        <f t="shared" ref="AW8:AW37" si="15">RANK(AV8, AV$7:AV$39)</f>
        <v>7</v>
      </c>
      <c r="AX8" s="635"/>
    </row>
    <row r="9" spans="1:50">
      <c r="B9" s="610"/>
      <c r="C9" s="180">
        <v>3</v>
      </c>
      <c r="D9" s="183" t="s">
        <v>403</v>
      </c>
      <c r="E9" s="184">
        <v>5</v>
      </c>
      <c r="F9" s="180">
        <v>3600</v>
      </c>
      <c r="G9" s="185">
        <f t="shared" si="2"/>
        <v>720</v>
      </c>
      <c r="H9" s="638"/>
      <c r="I9" s="186">
        <f t="shared" si="3"/>
        <v>5</v>
      </c>
      <c r="J9" s="186">
        <f t="shared" si="3"/>
        <v>3173.8657293623828</v>
      </c>
      <c r="K9" s="187">
        <f t="shared" si="3"/>
        <v>634.77314587247645</v>
      </c>
      <c r="L9" s="641"/>
      <c r="M9" s="186">
        <f>RANK(K9, K$7:$K$39)</f>
        <v>23</v>
      </c>
      <c r="N9" s="628"/>
      <c r="O9" s="630"/>
      <c r="P9" s="188">
        <v>5</v>
      </c>
      <c r="Q9" s="188">
        <v>3173.2457449985045</v>
      </c>
      <c r="R9" s="185">
        <f t="shared" si="0"/>
        <v>634.64914899970086</v>
      </c>
      <c r="S9" s="182">
        <f t="shared" si="4"/>
        <v>22</v>
      </c>
      <c r="T9" s="635"/>
      <c r="U9" s="188">
        <v>5</v>
      </c>
      <c r="V9" s="188">
        <v>3173.7819393747004</v>
      </c>
      <c r="W9" s="185">
        <f t="shared" si="1"/>
        <v>634.75638787494006</v>
      </c>
      <c r="X9" s="182">
        <f t="shared" si="5"/>
        <v>22</v>
      </c>
      <c r="Y9" s="635"/>
      <c r="Z9" s="188">
        <v>5</v>
      </c>
      <c r="AA9" s="188">
        <v>3173.8317757009331</v>
      </c>
      <c r="AB9" s="185">
        <f t="shared" si="6"/>
        <v>634.76635514018665</v>
      </c>
      <c r="AC9" s="182">
        <f t="shared" si="7"/>
        <v>22</v>
      </c>
      <c r="AD9" s="635"/>
      <c r="AE9" s="188">
        <v>5</v>
      </c>
      <c r="AF9" s="188">
        <v>3174.1575644898917</v>
      </c>
      <c r="AG9" s="185">
        <f t="shared" si="8"/>
        <v>634.83151289797831</v>
      </c>
      <c r="AH9" s="182">
        <f t="shared" si="9"/>
        <v>23</v>
      </c>
      <c r="AI9" s="635"/>
      <c r="AJ9" s="188">
        <v>5</v>
      </c>
      <c r="AK9" s="188">
        <v>3174.0285785911269</v>
      </c>
      <c r="AL9" s="185">
        <f t="shared" si="10"/>
        <v>634.80571571822543</v>
      </c>
      <c r="AM9" s="182">
        <f t="shared" si="11"/>
        <v>23</v>
      </c>
      <c r="AN9" s="635"/>
      <c r="AO9" s="188">
        <v>5</v>
      </c>
      <c r="AP9" s="188">
        <v>3174.1550695825072</v>
      </c>
      <c r="AQ9" s="185">
        <f t="shared" si="12"/>
        <v>634.83101391650143</v>
      </c>
      <c r="AR9" s="182">
        <f t="shared" si="13"/>
        <v>23</v>
      </c>
      <c r="AS9" s="635"/>
      <c r="AT9" s="188">
        <v>5</v>
      </c>
      <c r="AU9" s="188">
        <v>3173.8594327990136</v>
      </c>
      <c r="AV9" s="185">
        <f t="shared" si="14"/>
        <v>634.77188655980274</v>
      </c>
      <c r="AW9" s="182">
        <f t="shared" si="15"/>
        <v>22</v>
      </c>
      <c r="AX9" s="635"/>
    </row>
    <row r="10" spans="1:50">
      <c r="B10" s="610"/>
      <c r="C10" s="180">
        <v>4</v>
      </c>
      <c r="D10" s="183" t="s">
        <v>229</v>
      </c>
      <c r="E10" s="184">
        <v>5</v>
      </c>
      <c r="F10" s="180">
        <v>3300</v>
      </c>
      <c r="G10" s="185">
        <f t="shared" si="2"/>
        <v>660</v>
      </c>
      <c r="H10" s="638"/>
      <c r="I10" s="186">
        <f t="shared" si="3"/>
        <v>5</v>
      </c>
      <c r="J10" s="186">
        <f t="shared" si="3"/>
        <v>2947.5098539384066</v>
      </c>
      <c r="K10" s="187">
        <f t="shared" si="3"/>
        <v>589.50197078768144</v>
      </c>
      <c r="L10" s="641"/>
      <c r="M10" s="186">
        <f>RANK(K10, K$7:$K$39)</f>
        <v>24</v>
      </c>
      <c r="N10" s="628"/>
      <c r="O10" s="630"/>
      <c r="P10" s="188">
        <v>5</v>
      </c>
      <c r="Q10" s="188">
        <v>2947.7272727272757</v>
      </c>
      <c r="R10" s="185">
        <f t="shared" si="0"/>
        <v>589.54545454545519</v>
      </c>
      <c r="S10" s="182">
        <f t="shared" si="4"/>
        <v>24</v>
      </c>
      <c r="T10" s="635"/>
      <c r="U10" s="188">
        <v>5</v>
      </c>
      <c r="V10" s="188">
        <v>2946.9127943984736</v>
      </c>
      <c r="W10" s="185">
        <f t="shared" si="1"/>
        <v>589.38255887969467</v>
      </c>
      <c r="X10" s="182">
        <f t="shared" si="5"/>
        <v>24</v>
      </c>
      <c r="Y10" s="635"/>
      <c r="Z10" s="188">
        <v>5</v>
      </c>
      <c r="AA10" s="188">
        <v>2948.3304042179211</v>
      </c>
      <c r="AB10" s="185">
        <f t="shared" si="6"/>
        <v>589.66608084358427</v>
      </c>
      <c r="AC10" s="182">
        <f t="shared" si="7"/>
        <v>24</v>
      </c>
      <c r="AD10" s="635"/>
      <c r="AE10" s="188">
        <v>5</v>
      </c>
      <c r="AF10" s="188">
        <v>2947.8991596638666</v>
      </c>
      <c r="AG10" s="185">
        <f t="shared" si="8"/>
        <v>589.57983193277335</v>
      </c>
      <c r="AH10" s="182">
        <f t="shared" si="9"/>
        <v>24</v>
      </c>
      <c r="AI10" s="635"/>
      <c r="AJ10" s="188">
        <v>5</v>
      </c>
      <c r="AK10" s="188">
        <v>2947.4103585657458</v>
      </c>
      <c r="AL10" s="185">
        <f t="shared" si="10"/>
        <v>589.48207171314914</v>
      </c>
      <c r="AM10" s="182">
        <f t="shared" si="11"/>
        <v>24</v>
      </c>
      <c r="AN10" s="635"/>
      <c r="AO10" s="188">
        <v>5</v>
      </c>
      <c r="AP10" s="188">
        <v>2947.6056338028206</v>
      </c>
      <c r="AQ10" s="185">
        <f t="shared" si="12"/>
        <v>589.52112676056413</v>
      </c>
      <c r="AR10" s="182">
        <f t="shared" si="13"/>
        <v>24</v>
      </c>
      <c r="AS10" s="635"/>
      <c r="AT10" s="188">
        <v>5</v>
      </c>
      <c r="AU10" s="188">
        <v>2946.6833541927431</v>
      </c>
      <c r="AV10" s="185">
        <f t="shared" si="14"/>
        <v>589.33667083854857</v>
      </c>
      <c r="AW10" s="182">
        <f t="shared" si="15"/>
        <v>23</v>
      </c>
      <c r="AX10" s="635"/>
    </row>
    <row r="11" spans="1:50">
      <c r="B11" s="610"/>
      <c r="C11" s="180">
        <v>5</v>
      </c>
      <c r="D11" s="183" t="s">
        <v>399</v>
      </c>
      <c r="E11" s="184">
        <v>3</v>
      </c>
      <c r="F11" s="180">
        <v>3600</v>
      </c>
      <c r="G11" s="185">
        <f t="shared" si="2"/>
        <v>1200</v>
      </c>
      <c r="H11" s="638"/>
      <c r="I11" s="186">
        <f t="shared" si="3"/>
        <v>3</v>
      </c>
      <c r="J11" s="186">
        <f t="shared" si="3"/>
        <v>3175.3093339119396</v>
      </c>
      <c r="K11" s="187">
        <f t="shared" si="3"/>
        <v>1058.4364446373131</v>
      </c>
      <c r="L11" s="641"/>
      <c r="M11" s="186">
        <f>RANK(K11, K$7:$K$39)</f>
        <v>6</v>
      </c>
      <c r="N11" s="628"/>
      <c r="O11" s="630"/>
      <c r="P11" s="188">
        <v>3</v>
      </c>
      <c r="Q11" s="188">
        <v>3175.2175426383556</v>
      </c>
      <c r="R11" s="185">
        <f t="shared" si="0"/>
        <v>1058.4058475461186</v>
      </c>
      <c r="S11" s="182">
        <f t="shared" si="4"/>
        <v>6</v>
      </c>
      <c r="T11" s="635"/>
      <c r="U11" s="188">
        <v>3</v>
      </c>
      <c r="V11" s="188">
        <v>3175.3385602280837</v>
      </c>
      <c r="W11" s="185">
        <f t="shared" si="1"/>
        <v>1058.4461867426946</v>
      </c>
      <c r="X11" s="182">
        <f t="shared" si="5"/>
        <v>6</v>
      </c>
      <c r="Y11" s="635"/>
      <c r="Z11" s="188">
        <v>3</v>
      </c>
      <c r="AA11" s="188">
        <v>3174.9521988527754</v>
      </c>
      <c r="AB11" s="185">
        <f t="shared" si="6"/>
        <v>1058.3173996175917</v>
      </c>
      <c r="AC11" s="182">
        <f t="shared" si="7"/>
        <v>5</v>
      </c>
      <c r="AD11" s="635"/>
      <c r="AE11" s="188">
        <v>3</v>
      </c>
      <c r="AF11" s="188">
        <v>3174.5287824758002</v>
      </c>
      <c r="AG11" s="185">
        <f t="shared" si="8"/>
        <v>1058.1762608252668</v>
      </c>
      <c r="AH11" s="182">
        <f t="shared" si="9"/>
        <v>5</v>
      </c>
      <c r="AI11" s="635"/>
      <c r="AJ11" s="188">
        <v>3</v>
      </c>
      <c r="AK11" s="188">
        <v>3175.9112519809773</v>
      </c>
      <c r="AL11" s="185">
        <f t="shared" si="10"/>
        <v>1058.6370839936592</v>
      </c>
      <c r="AM11" s="182">
        <f t="shared" si="11"/>
        <v>4</v>
      </c>
      <c r="AN11" s="635"/>
      <c r="AO11" s="188">
        <v>3</v>
      </c>
      <c r="AP11" s="188">
        <v>3175.4891864057622</v>
      </c>
      <c r="AQ11" s="185">
        <f t="shared" si="12"/>
        <v>1058.4963954685875</v>
      </c>
      <c r="AR11" s="182">
        <f t="shared" si="13"/>
        <v>6</v>
      </c>
      <c r="AS11" s="635"/>
      <c r="AT11" s="188">
        <v>3</v>
      </c>
      <c r="AU11" s="188">
        <v>3175.7278148018227</v>
      </c>
      <c r="AV11" s="185">
        <f t="shared" si="14"/>
        <v>1058.5759382672743</v>
      </c>
      <c r="AW11" s="182">
        <f t="shared" si="15"/>
        <v>6</v>
      </c>
      <c r="AX11" s="635"/>
    </row>
    <row r="12" spans="1:50">
      <c r="B12" s="610"/>
      <c r="C12" s="180">
        <v>6</v>
      </c>
      <c r="D12" s="183" t="s">
        <v>341</v>
      </c>
      <c r="E12" s="184">
        <v>3</v>
      </c>
      <c r="F12" s="180">
        <v>3000</v>
      </c>
      <c r="G12" s="185">
        <f t="shared" si="2"/>
        <v>1000</v>
      </c>
      <c r="H12" s="638"/>
      <c r="I12" s="186">
        <f t="shared" si="3"/>
        <v>3</v>
      </c>
      <c r="J12" s="186">
        <f t="shared" si="3"/>
        <v>2700.2760856700074</v>
      </c>
      <c r="K12" s="187">
        <f t="shared" si="3"/>
        <v>900.09202855666911</v>
      </c>
      <c r="L12" s="641"/>
      <c r="M12" s="186">
        <f>RANK(K12, K$7:$K$39)</f>
        <v>9</v>
      </c>
      <c r="N12" s="628"/>
      <c r="O12" s="630"/>
      <c r="P12" s="188">
        <v>3</v>
      </c>
      <c r="Q12" s="188">
        <v>2700.1992472880233</v>
      </c>
      <c r="R12" s="185">
        <f t="shared" si="0"/>
        <v>900.06641576267441</v>
      </c>
      <c r="S12" s="182">
        <f t="shared" si="4"/>
        <v>9</v>
      </c>
      <c r="T12" s="635"/>
      <c r="U12" s="188">
        <v>3</v>
      </c>
      <c r="V12" s="188">
        <v>2700.4126547455321</v>
      </c>
      <c r="W12" s="185">
        <f t="shared" si="1"/>
        <v>900.13755158184404</v>
      </c>
      <c r="X12" s="182">
        <f t="shared" si="5"/>
        <v>9</v>
      </c>
      <c r="Y12" s="635"/>
      <c r="Z12" s="188">
        <v>3</v>
      </c>
      <c r="AA12" s="188">
        <v>2700.2894821485979</v>
      </c>
      <c r="AB12" s="185">
        <f t="shared" si="6"/>
        <v>900.09649404953268</v>
      </c>
      <c r="AC12" s="182">
        <f t="shared" si="7"/>
        <v>9</v>
      </c>
      <c r="AD12" s="635"/>
      <c r="AE12" s="188">
        <v>3</v>
      </c>
      <c r="AF12" s="188">
        <v>2700.3068530514861</v>
      </c>
      <c r="AG12" s="185">
        <f t="shared" si="8"/>
        <v>900.10228435049532</v>
      </c>
      <c r="AH12" s="182">
        <f t="shared" si="9"/>
        <v>9</v>
      </c>
      <c r="AI12" s="635"/>
      <c r="AJ12" s="188">
        <v>3</v>
      </c>
      <c r="AK12" s="188">
        <v>2699.9999999999991</v>
      </c>
      <c r="AL12" s="185">
        <f t="shared" si="10"/>
        <v>899.99999999999966</v>
      </c>
      <c r="AM12" s="182">
        <f t="shared" si="11"/>
        <v>10</v>
      </c>
      <c r="AN12" s="635"/>
      <c r="AO12" s="188">
        <v>3</v>
      </c>
      <c r="AP12" s="188">
        <v>2700.3154574132495</v>
      </c>
      <c r="AQ12" s="185">
        <f t="shared" si="12"/>
        <v>900.10515247108322</v>
      </c>
      <c r="AR12" s="182">
        <f t="shared" si="13"/>
        <v>10</v>
      </c>
      <c r="AS12" s="635"/>
      <c r="AT12" s="188">
        <v>3</v>
      </c>
      <c r="AU12" s="188">
        <v>2700.408905043163</v>
      </c>
      <c r="AV12" s="185">
        <f t="shared" si="14"/>
        <v>900.13630168105431</v>
      </c>
      <c r="AW12" s="182">
        <f t="shared" si="15"/>
        <v>10</v>
      </c>
      <c r="AX12" s="635"/>
    </row>
    <row r="13" spans="1:50">
      <c r="B13" s="610"/>
      <c r="C13" s="180">
        <v>7</v>
      </c>
      <c r="D13" s="183" t="s">
        <v>401</v>
      </c>
      <c r="E13" s="184">
        <v>3</v>
      </c>
      <c r="F13" s="180">
        <v>3600</v>
      </c>
      <c r="G13" s="185">
        <f t="shared" si="2"/>
        <v>1200</v>
      </c>
      <c r="H13" s="638"/>
      <c r="I13" s="186">
        <f t="shared" si="3"/>
        <v>3</v>
      </c>
      <c r="J13" s="186">
        <f t="shared" si="3"/>
        <v>3178.836210245116</v>
      </c>
      <c r="K13" s="187">
        <f t="shared" si="3"/>
        <v>1059.612070081705</v>
      </c>
      <c r="L13" s="641"/>
      <c r="M13" s="186">
        <f>RANK(K13, K$7:$K$39)</f>
        <v>2</v>
      </c>
      <c r="N13" s="628"/>
      <c r="O13" s="630"/>
      <c r="P13" s="188">
        <v>3</v>
      </c>
      <c r="Q13" s="188">
        <v>3178.5480706344069</v>
      </c>
      <c r="R13" s="185">
        <f t="shared" si="0"/>
        <v>1059.5160235448022</v>
      </c>
      <c r="S13" s="182">
        <f t="shared" si="4"/>
        <v>1</v>
      </c>
      <c r="T13" s="635"/>
      <c r="U13" s="188">
        <v>3</v>
      </c>
      <c r="V13" s="188">
        <v>3179.6833773087101</v>
      </c>
      <c r="W13" s="185">
        <f t="shared" si="1"/>
        <v>1059.8944591029033</v>
      </c>
      <c r="X13" s="182">
        <f t="shared" si="5"/>
        <v>2</v>
      </c>
      <c r="Y13" s="635"/>
      <c r="Z13" s="188">
        <v>3</v>
      </c>
      <c r="AA13" s="188">
        <v>3179.4392523364404</v>
      </c>
      <c r="AB13" s="185">
        <f t="shared" si="6"/>
        <v>1059.8130841121467</v>
      </c>
      <c r="AC13" s="182">
        <f t="shared" si="7"/>
        <v>2</v>
      </c>
      <c r="AD13" s="635"/>
      <c r="AE13" s="188">
        <v>3</v>
      </c>
      <c r="AF13" s="188">
        <v>3178.3155856727976</v>
      </c>
      <c r="AG13" s="185">
        <f t="shared" si="8"/>
        <v>1059.4385285575993</v>
      </c>
      <c r="AH13" s="182">
        <f t="shared" si="9"/>
        <v>2</v>
      </c>
      <c r="AI13" s="635"/>
      <c r="AJ13" s="188">
        <v>3</v>
      </c>
      <c r="AK13" s="188">
        <v>3178.8526434195674</v>
      </c>
      <c r="AL13" s="185">
        <f t="shared" si="10"/>
        <v>1059.6175478065225</v>
      </c>
      <c r="AM13" s="182">
        <f t="shared" si="11"/>
        <v>2</v>
      </c>
      <c r="AN13" s="635"/>
      <c r="AO13" s="188">
        <v>3</v>
      </c>
      <c r="AP13" s="188">
        <v>3178.5714285714307</v>
      </c>
      <c r="AQ13" s="185">
        <f t="shared" si="12"/>
        <v>1059.5238095238103</v>
      </c>
      <c r="AR13" s="182">
        <f t="shared" si="13"/>
        <v>2</v>
      </c>
      <c r="AS13" s="635"/>
      <c r="AT13" s="188">
        <v>3</v>
      </c>
      <c r="AU13" s="188">
        <v>3178.4431137724555</v>
      </c>
      <c r="AV13" s="185">
        <f t="shared" si="14"/>
        <v>1059.4810379241519</v>
      </c>
      <c r="AW13" s="182">
        <f t="shared" si="15"/>
        <v>3</v>
      </c>
      <c r="AX13" s="635"/>
    </row>
    <row r="14" spans="1:50">
      <c r="B14" s="610"/>
      <c r="C14" s="180">
        <v>8</v>
      </c>
      <c r="D14" s="183" t="s">
        <v>400</v>
      </c>
      <c r="E14" s="184">
        <v>4</v>
      </c>
      <c r="F14" s="180">
        <v>3300</v>
      </c>
      <c r="G14" s="185">
        <f t="shared" si="2"/>
        <v>825</v>
      </c>
      <c r="H14" s="638"/>
      <c r="I14" s="186">
        <f t="shared" si="3"/>
        <v>4</v>
      </c>
      <c r="J14" s="186">
        <f t="shared" si="3"/>
        <v>2943.6951790548251</v>
      </c>
      <c r="K14" s="187">
        <f t="shared" si="3"/>
        <v>735.92379476370627</v>
      </c>
      <c r="L14" s="641"/>
      <c r="M14" s="186">
        <f>RANK(K14, K$7:$K$39)</f>
        <v>17</v>
      </c>
      <c r="N14" s="628"/>
      <c r="O14" s="630"/>
      <c r="P14" s="188">
        <v>4</v>
      </c>
      <c r="Q14" s="188">
        <v>2941.2915851272019</v>
      </c>
      <c r="R14" s="185">
        <f t="shared" si="0"/>
        <v>735.32289628180047</v>
      </c>
      <c r="S14" s="182">
        <f t="shared" si="4"/>
        <v>17</v>
      </c>
      <c r="T14" s="635"/>
      <c r="U14" s="188">
        <v>4</v>
      </c>
      <c r="V14" s="188">
        <v>2941.550695825048</v>
      </c>
      <c r="W14" s="185">
        <f t="shared" si="1"/>
        <v>735.38767395626201</v>
      </c>
      <c r="X14" s="182">
        <f t="shared" si="5"/>
        <v>17</v>
      </c>
      <c r="Y14" s="635"/>
      <c r="Z14" s="188">
        <v>4</v>
      </c>
      <c r="AA14" s="188">
        <v>2943.7359339834984</v>
      </c>
      <c r="AB14" s="185">
        <f t="shared" si="6"/>
        <v>735.9339834958746</v>
      </c>
      <c r="AC14" s="182">
        <f t="shared" si="7"/>
        <v>16</v>
      </c>
      <c r="AD14" s="635"/>
      <c r="AE14" s="188">
        <v>4</v>
      </c>
      <c r="AF14" s="188">
        <v>2943.3414043583489</v>
      </c>
      <c r="AG14" s="185">
        <f t="shared" si="8"/>
        <v>735.83535108958722</v>
      </c>
      <c r="AH14" s="182">
        <f t="shared" si="9"/>
        <v>17</v>
      </c>
      <c r="AI14" s="635"/>
      <c r="AJ14" s="188">
        <v>4</v>
      </c>
      <c r="AK14" s="188">
        <v>2944.8763250883362</v>
      </c>
      <c r="AL14" s="185">
        <f t="shared" si="10"/>
        <v>736.21908127208405</v>
      </c>
      <c r="AM14" s="182">
        <f t="shared" si="11"/>
        <v>15</v>
      </c>
      <c r="AN14" s="635"/>
      <c r="AO14" s="188">
        <v>4</v>
      </c>
      <c r="AP14" s="188">
        <v>2945.4545454545464</v>
      </c>
      <c r="AQ14" s="185">
        <f t="shared" si="12"/>
        <v>736.3636363636366</v>
      </c>
      <c r="AR14" s="182">
        <f t="shared" si="13"/>
        <v>15</v>
      </c>
      <c r="AS14" s="635"/>
      <c r="AT14" s="188">
        <v>4</v>
      </c>
      <c r="AU14" s="188">
        <v>2945.6157635467921</v>
      </c>
      <c r="AV14" s="185">
        <f t="shared" si="14"/>
        <v>736.40394088669802</v>
      </c>
      <c r="AW14" s="182">
        <f t="shared" si="15"/>
        <v>16</v>
      </c>
      <c r="AX14" s="635"/>
    </row>
    <row r="15" spans="1:50">
      <c r="B15" s="610"/>
      <c r="C15" s="180">
        <v>9</v>
      </c>
      <c r="D15" s="183" t="s">
        <v>398</v>
      </c>
      <c r="E15" s="184">
        <v>4</v>
      </c>
      <c r="F15" s="180">
        <v>3300</v>
      </c>
      <c r="G15" s="185">
        <f t="shared" si="2"/>
        <v>825</v>
      </c>
      <c r="H15" s="638"/>
      <c r="I15" s="186">
        <f t="shared" si="3"/>
        <v>4</v>
      </c>
      <c r="J15" s="186">
        <f t="shared" si="3"/>
        <v>2942.6570474907448</v>
      </c>
      <c r="K15" s="187">
        <f t="shared" si="3"/>
        <v>735.66426187268621</v>
      </c>
      <c r="L15" s="641"/>
      <c r="M15" s="186">
        <f>RANK(K15, K$7:$K$39)</f>
        <v>18</v>
      </c>
      <c r="N15" s="628"/>
      <c r="O15" s="630"/>
      <c r="P15" s="188">
        <v>4</v>
      </c>
      <c r="Q15" s="188">
        <v>2941.1293552262732</v>
      </c>
      <c r="R15" s="185">
        <f t="shared" si="0"/>
        <v>735.2823388065683</v>
      </c>
      <c r="S15" s="182">
        <f t="shared" si="4"/>
        <v>18</v>
      </c>
      <c r="T15" s="635"/>
      <c r="U15" s="188">
        <v>4</v>
      </c>
      <c r="V15" s="188">
        <v>2940.8659793814409</v>
      </c>
      <c r="W15" s="185">
        <f t="shared" si="1"/>
        <v>735.21649484536022</v>
      </c>
      <c r="X15" s="182">
        <f t="shared" si="5"/>
        <v>18</v>
      </c>
      <c r="Y15" s="635"/>
      <c r="Z15" s="188">
        <v>4</v>
      </c>
      <c r="AA15" s="188">
        <v>2942.6086956521722</v>
      </c>
      <c r="AB15" s="185">
        <f t="shared" si="6"/>
        <v>735.65217391304304</v>
      </c>
      <c r="AC15" s="182">
        <f t="shared" si="7"/>
        <v>18</v>
      </c>
      <c r="AD15" s="635"/>
      <c r="AE15" s="188">
        <v>4</v>
      </c>
      <c r="AF15" s="188">
        <v>2942.4354243542434</v>
      </c>
      <c r="AG15" s="185">
        <f t="shared" si="8"/>
        <v>735.60885608856086</v>
      </c>
      <c r="AH15" s="182">
        <f t="shared" si="9"/>
        <v>18</v>
      </c>
      <c r="AI15" s="635"/>
      <c r="AJ15" s="188">
        <v>4</v>
      </c>
      <c r="AK15" s="188">
        <v>2942.9483088704587</v>
      </c>
      <c r="AL15" s="185">
        <f t="shared" si="10"/>
        <v>735.73707721761468</v>
      </c>
      <c r="AM15" s="182">
        <f t="shared" si="11"/>
        <v>17</v>
      </c>
      <c r="AN15" s="635"/>
      <c r="AO15" s="188">
        <v>4</v>
      </c>
      <c r="AP15" s="188">
        <v>2944.0860215053717</v>
      </c>
      <c r="AQ15" s="185">
        <f t="shared" si="12"/>
        <v>736.02150537634293</v>
      </c>
      <c r="AR15" s="182">
        <f t="shared" si="13"/>
        <v>18</v>
      </c>
      <c r="AS15" s="635"/>
      <c r="AT15" s="188">
        <v>4</v>
      </c>
      <c r="AU15" s="188">
        <v>2944.5255474452533</v>
      </c>
      <c r="AV15" s="185">
        <f t="shared" si="14"/>
        <v>736.13138686131333</v>
      </c>
      <c r="AW15" s="182">
        <f t="shared" si="15"/>
        <v>17</v>
      </c>
      <c r="AX15" s="635"/>
    </row>
    <row r="16" spans="1:50">
      <c r="B16" s="610"/>
      <c r="C16" s="180">
        <v>10</v>
      </c>
      <c r="D16" s="183" t="s">
        <v>228</v>
      </c>
      <c r="E16" s="184">
        <v>3</v>
      </c>
      <c r="F16" s="180">
        <v>3000</v>
      </c>
      <c r="G16" s="185">
        <f t="shared" si="2"/>
        <v>1000</v>
      </c>
      <c r="H16" s="638"/>
      <c r="I16" s="186">
        <f t="shared" si="3"/>
        <v>3</v>
      </c>
      <c r="J16" s="186">
        <f t="shared" si="3"/>
        <v>2700.0011236945111</v>
      </c>
      <c r="K16" s="187">
        <f t="shared" si="3"/>
        <v>900.0003745648371</v>
      </c>
      <c r="L16" s="641"/>
      <c r="M16" s="186">
        <f>RANK(K16, K$7:$K$39)</f>
        <v>10</v>
      </c>
      <c r="N16" s="628"/>
      <c r="O16" s="630"/>
      <c r="P16" s="188">
        <v>3</v>
      </c>
      <c r="Q16" s="188">
        <v>2699.0918264379407</v>
      </c>
      <c r="R16" s="185">
        <f t="shared" si="0"/>
        <v>899.69727547931359</v>
      </c>
      <c r="S16" s="182">
        <f t="shared" si="4"/>
        <v>11</v>
      </c>
      <c r="T16" s="635"/>
      <c r="U16" s="188">
        <v>3</v>
      </c>
      <c r="V16" s="188">
        <v>2699.430018999366</v>
      </c>
      <c r="W16" s="185">
        <f t="shared" si="1"/>
        <v>899.81000633312203</v>
      </c>
      <c r="X16" s="182">
        <f t="shared" si="5"/>
        <v>11</v>
      </c>
      <c r="Y16" s="635"/>
      <c r="Z16" s="188">
        <v>3</v>
      </c>
      <c r="AA16" s="188">
        <v>2699.6036988110964</v>
      </c>
      <c r="AB16" s="185">
        <f t="shared" si="6"/>
        <v>899.86789960369879</v>
      </c>
      <c r="AC16" s="182">
        <f t="shared" si="7"/>
        <v>11</v>
      </c>
      <c r="AD16" s="635"/>
      <c r="AE16" s="188">
        <v>3</v>
      </c>
      <c r="AF16" s="188">
        <v>2699.791811242193</v>
      </c>
      <c r="AG16" s="185">
        <f t="shared" si="8"/>
        <v>899.93060374739764</v>
      </c>
      <c r="AH16" s="182">
        <f t="shared" si="9"/>
        <v>10</v>
      </c>
      <c r="AI16" s="635"/>
      <c r="AJ16" s="188">
        <v>3</v>
      </c>
      <c r="AK16" s="188">
        <v>2700.2158791077013</v>
      </c>
      <c r="AL16" s="185">
        <f t="shared" si="10"/>
        <v>900.07195970256714</v>
      </c>
      <c r="AM16" s="182">
        <f t="shared" si="11"/>
        <v>9</v>
      </c>
      <c r="AN16" s="635"/>
      <c r="AO16" s="188">
        <v>3</v>
      </c>
      <c r="AP16" s="188">
        <v>2701.049195616692</v>
      </c>
      <c r="AQ16" s="185">
        <f t="shared" si="12"/>
        <v>900.34973187223068</v>
      </c>
      <c r="AR16" s="182">
        <f t="shared" si="13"/>
        <v>9</v>
      </c>
      <c r="AS16" s="635"/>
      <c r="AT16" s="188">
        <v>3</v>
      </c>
      <c r="AU16" s="188">
        <v>2700.8254356465895</v>
      </c>
      <c r="AV16" s="185">
        <f t="shared" si="14"/>
        <v>900.27514521552985</v>
      </c>
      <c r="AW16" s="182">
        <f t="shared" si="15"/>
        <v>9</v>
      </c>
      <c r="AX16" s="635"/>
    </row>
    <row r="17" spans="2:50">
      <c r="B17" s="610"/>
      <c r="C17" s="180">
        <v>11</v>
      </c>
      <c r="D17" s="183" t="s">
        <v>471</v>
      </c>
      <c r="E17" s="184">
        <v>12</v>
      </c>
      <c r="F17" s="180">
        <v>3600</v>
      </c>
      <c r="G17" s="185">
        <f t="shared" si="2"/>
        <v>300</v>
      </c>
      <c r="H17" s="638"/>
      <c r="I17" s="186">
        <f t="shared" si="3"/>
        <v>12</v>
      </c>
      <c r="J17" s="186">
        <f t="shared" si="3"/>
        <v>3125.1402780743629</v>
      </c>
      <c r="K17" s="187">
        <f t="shared" si="3"/>
        <v>260.42835650619696</v>
      </c>
      <c r="L17" s="641"/>
      <c r="M17" s="186">
        <f>RANK(K17, K$7:$K$39)</f>
        <v>29</v>
      </c>
      <c r="N17" s="628"/>
      <c r="O17" s="630"/>
      <c r="P17" s="188">
        <v>12</v>
      </c>
      <c r="Q17" s="188">
        <v>3125.5328403653743</v>
      </c>
      <c r="R17" s="185">
        <f t="shared" si="0"/>
        <v>260.46107003044784</v>
      </c>
      <c r="S17" s="182">
        <f t="shared" si="4"/>
        <v>28</v>
      </c>
      <c r="T17" s="635"/>
      <c r="U17" s="188">
        <v>12</v>
      </c>
      <c r="V17" s="188">
        <v>3126.1894175188972</v>
      </c>
      <c r="W17" s="185">
        <f t="shared" si="1"/>
        <v>260.51578479324144</v>
      </c>
      <c r="X17" s="182">
        <f t="shared" si="5"/>
        <v>28</v>
      </c>
      <c r="Y17" s="635"/>
      <c r="Z17" s="188">
        <v>12</v>
      </c>
      <c r="AA17" s="188">
        <v>3125.1152073732701</v>
      </c>
      <c r="AB17" s="185">
        <f t="shared" si="6"/>
        <v>260.42626728110582</v>
      </c>
      <c r="AC17" s="182">
        <f t="shared" si="7"/>
        <v>28</v>
      </c>
      <c r="AD17" s="635"/>
      <c r="AE17" s="188">
        <v>12</v>
      </c>
      <c r="AF17" s="188">
        <v>3124.4036697247684</v>
      </c>
      <c r="AG17" s="185">
        <f t="shared" si="8"/>
        <v>260.36697247706405</v>
      </c>
      <c r="AH17" s="182">
        <f t="shared" si="9"/>
        <v>28</v>
      </c>
      <c r="AI17" s="635"/>
      <c r="AJ17" s="188">
        <v>12</v>
      </c>
      <c r="AK17" s="188">
        <v>3125.2747252747249</v>
      </c>
      <c r="AL17" s="185">
        <f t="shared" si="10"/>
        <v>260.43956043956041</v>
      </c>
      <c r="AM17" s="182">
        <f t="shared" si="11"/>
        <v>28</v>
      </c>
      <c r="AN17" s="635"/>
      <c r="AO17" s="188">
        <v>12</v>
      </c>
      <c r="AP17" s="188">
        <v>3124.9070631970208</v>
      </c>
      <c r="AQ17" s="185">
        <f t="shared" si="12"/>
        <v>260.40892193308508</v>
      </c>
      <c r="AR17" s="182">
        <f t="shared" si="13"/>
        <v>29</v>
      </c>
      <c r="AS17" s="635"/>
      <c r="AT17" s="188">
        <v>12</v>
      </c>
      <c r="AU17" s="188">
        <v>3124.5590230664848</v>
      </c>
      <c r="AV17" s="185">
        <f t="shared" si="14"/>
        <v>260.37991858887375</v>
      </c>
      <c r="AW17" s="182">
        <f t="shared" si="15"/>
        <v>29</v>
      </c>
      <c r="AX17" s="635"/>
    </row>
    <row r="18" spans="2:50">
      <c r="B18" s="610"/>
      <c r="C18" s="180">
        <v>12</v>
      </c>
      <c r="D18" s="183" t="s">
        <v>499</v>
      </c>
      <c r="E18" s="184">
        <v>3</v>
      </c>
      <c r="F18" s="180">
        <v>3300</v>
      </c>
      <c r="G18" s="185">
        <f t="shared" si="2"/>
        <v>1100</v>
      </c>
      <c r="H18" s="638"/>
      <c r="I18" s="186">
        <f t="shared" si="3"/>
        <v>3</v>
      </c>
      <c r="J18" s="186">
        <f t="shared" si="3"/>
        <v>2971.5361060997557</v>
      </c>
      <c r="K18" s="187">
        <f t="shared" si="3"/>
        <v>990.51203536658511</v>
      </c>
      <c r="L18" s="641"/>
      <c r="M18" s="186">
        <f>RANK(K18, K$7:$K$39)</f>
        <v>8</v>
      </c>
      <c r="N18" s="628"/>
      <c r="O18" s="630"/>
      <c r="P18" s="188">
        <v>3</v>
      </c>
      <c r="Q18" s="188">
        <v>2971.3639448088679</v>
      </c>
      <c r="R18" s="185">
        <f t="shared" si="0"/>
        <v>990.45464826962268</v>
      </c>
      <c r="S18" s="182">
        <f t="shared" si="4"/>
        <v>8</v>
      </c>
      <c r="T18" s="635"/>
      <c r="U18" s="188">
        <v>3</v>
      </c>
      <c r="V18" s="188">
        <v>2971.6052318668262</v>
      </c>
      <c r="W18" s="185">
        <f t="shared" si="1"/>
        <v>990.53507728894203</v>
      </c>
      <c r="X18" s="182">
        <f t="shared" si="5"/>
        <v>8</v>
      </c>
      <c r="Y18" s="635"/>
      <c r="Z18" s="188">
        <v>3</v>
      </c>
      <c r="AA18" s="188">
        <v>2971.0635579687014</v>
      </c>
      <c r="AB18" s="185">
        <f t="shared" si="6"/>
        <v>990.3545193229005</v>
      </c>
      <c r="AC18" s="182">
        <f t="shared" si="7"/>
        <v>8</v>
      </c>
      <c r="AD18" s="635"/>
      <c r="AE18" s="188">
        <v>3</v>
      </c>
      <c r="AF18" s="188">
        <v>2971.5438950555003</v>
      </c>
      <c r="AG18" s="185">
        <f t="shared" si="8"/>
        <v>990.51463168516682</v>
      </c>
      <c r="AH18" s="182">
        <f t="shared" si="9"/>
        <v>8</v>
      </c>
      <c r="AI18" s="635"/>
      <c r="AJ18" s="188">
        <v>3</v>
      </c>
      <c r="AK18" s="188">
        <v>2970.6382978723409</v>
      </c>
      <c r="AL18" s="185">
        <f t="shared" si="10"/>
        <v>990.212765957447</v>
      </c>
      <c r="AM18" s="182">
        <f t="shared" si="11"/>
        <v>8</v>
      </c>
      <c r="AN18" s="635"/>
      <c r="AO18" s="188">
        <v>3</v>
      </c>
      <c r="AP18" s="188">
        <v>2972.2689075630246</v>
      </c>
      <c r="AQ18" s="185">
        <f t="shared" si="12"/>
        <v>990.75630252100825</v>
      </c>
      <c r="AR18" s="182">
        <f t="shared" si="13"/>
        <v>8</v>
      </c>
      <c r="AS18" s="635"/>
      <c r="AT18" s="188">
        <v>3</v>
      </c>
      <c r="AU18" s="188">
        <v>2972.268907563026</v>
      </c>
      <c r="AV18" s="185">
        <f t="shared" si="14"/>
        <v>990.75630252100871</v>
      </c>
      <c r="AW18" s="182">
        <f t="shared" si="15"/>
        <v>8</v>
      </c>
      <c r="AX18" s="635"/>
    </row>
    <row r="19" spans="2:50">
      <c r="B19" s="610"/>
      <c r="C19" s="180">
        <v>13</v>
      </c>
      <c r="D19" s="183" t="s">
        <v>412</v>
      </c>
      <c r="E19" s="184">
        <v>5</v>
      </c>
      <c r="F19" s="180">
        <v>3600</v>
      </c>
      <c r="G19" s="185">
        <f t="shared" si="2"/>
        <v>720</v>
      </c>
      <c r="H19" s="638"/>
      <c r="I19" s="186">
        <f t="shared" si="3"/>
        <v>5</v>
      </c>
      <c r="J19" s="186">
        <f t="shared" si="3"/>
        <v>3174.3570264774967</v>
      </c>
      <c r="K19" s="187">
        <f t="shared" si="3"/>
        <v>634.87140529549936</v>
      </c>
      <c r="L19" s="641"/>
      <c r="M19" s="186">
        <f>RANK(K19, K$7:$K$39)</f>
        <v>22</v>
      </c>
      <c r="N19" s="628"/>
      <c r="O19" s="630"/>
      <c r="P19" s="188">
        <v>5</v>
      </c>
      <c r="Q19" s="188">
        <v>3173.0407899180591</v>
      </c>
      <c r="R19" s="185">
        <f t="shared" si="0"/>
        <v>634.60815798361182</v>
      </c>
      <c r="S19" s="182">
        <f t="shared" si="4"/>
        <v>23</v>
      </c>
      <c r="T19" s="635"/>
      <c r="U19" s="188">
        <v>5</v>
      </c>
      <c r="V19" s="188">
        <v>3173.2392739398247</v>
      </c>
      <c r="W19" s="185">
        <f t="shared" si="1"/>
        <v>634.64785478796489</v>
      </c>
      <c r="X19" s="182">
        <f t="shared" si="5"/>
        <v>23</v>
      </c>
      <c r="Y19" s="635"/>
      <c r="Z19" s="188">
        <v>5</v>
      </c>
      <c r="AA19" s="188">
        <v>3173.6454333776492</v>
      </c>
      <c r="AB19" s="185">
        <f t="shared" si="6"/>
        <v>634.72908667552986</v>
      </c>
      <c r="AC19" s="182">
        <f t="shared" si="7"/>
        <v>23</v>
      </c>
      <c r="AD19" s="635"/>
      <c r="AE19" s="188">
        <v>5</v>
      </c>
      <c r="AF19" s="188">
        <v>3174.1630048148281</v>
      </c>
      <c r="AG19" s="185">
        <f t="shared" si="8"/>
        <v>634.83260096296567</v>
      </c>
      <c r="AH19" s="182">
        <f t="shared" si="9"/>
        <v>22</v>
      </c>
      <c r="AI19" s="635"/>
      <c r="AJ19" s="188">
        <v>5</v>
      </c>
      <c r="AK19" s="188">
        <v>3174.6403022265076</v>
      </c>
      <c r="AL19" s="185">
        <f t="shared" si="10"/>
        <v>634.92806044530153</v>
      </c>
      <c r="AM19" s="182">
        <f t="shared" si="11"/>
        <v>22</v>
      </c>
      <c r="AN19" s="635"/>
      <c r="AO19" s="188">
        <v>5</v>
      </c>
      <c r="AP19" s="188">
        <v>3175.6054344532313</v>
      </c>
      <c r="AQ19" s="185">
        <f t="shared" si="12"/>
        <v>635.12108689064621</v>
      </c>
      <c r="AR19" s="182">
        <f t="shared" si="13"/>
        <v>22</v>
      </c>
      <c r="AS19" s="635"/>
      <c r="AT19" s="188">
        <v>5</v>
      </c>
      <c r="AU19" s="188">
        <v>3176.1649466123758</v>
      </c>
      <c r="AV19" s="185">
        <f t="shared" si="14"/>
        <v>635.23298932247519</v>
      </c>
      <c r="AW19" s="182">
        <f t="shared" si="15"/>
        <v>21</v>
      </c>
      <c r="AX19" s="635"/>
    </row>
    <row r="20" spans="2:50">
      <c r="B20" s="610"/>
      <c r="C20" s="180">
        <v>14</v>
      </c>
      <c r="D20" s="183" t="s">
        <v>411</v>
      </c>
      <c r="E20" s="184">
        <v>3</v>
      </c>
      <c r="F20" s="180">
        <v>3600</v>
      </c>
      <c r="G20" s="185">
        <f t="shared" si="2"/>
        <v>1200</v>
      </c>
      <c r="H20" s="638"/>
      <c r="I20" s="186">
        <f t="shared" si="3"/>
        <v>3</v>
      </c>
      <c r="J20" s="186">
        <f t="shared" si="3"/>
        <v>3177.4049349391148</v>
      </c>
      <c r="K20" s="187">
        <f t="shared" si="3"/>
        <v>1059.1349783130386</v>
      </c>
      <c r="L20" s="641"/>
      <c r="M20" s="186">
        <f>RANK(K20, K$7:$K$39)</f>
        <v>3</v>
      </c>
      <c r="N20" s="628"/>
      <c r="O20" s="630"/>
      <c r="P20" s="188">
        <v>3</v>
      </c>
      <c r="Q20" s="188">
        <v>3175.3075570618348</v>
      </c>
      <c r="R20" s="185">
        <f t="shared" si="0"/>
        <v>1058.4358523539449</v>
      </c>
      <c r="S20" s="182">
        <f t="shared" si="4"/>
        <v>4</v>
      </c>
      <c r="T20" s="635"/>
      <c r="U20" s="188">
        <v>3</v>
      </c>
      <c r="V20" s="188">
        <v>3176.0005289597384</v>
      </c>
      <c r="W20" s="185">
        <f t="shared" si="1"/>
        <v>1058.6668429865795</v>
      </c>
      <c r="X20" s="182">
        <f t="shared" si="5"/>
        <v>4</v>
      </c>
      <c r="Y20" s="635"/>
      <c r="Z20" s="188">
        <v>3</v>
      </c>
      <c r="AA20" s="188">
        <v>3177.1109484837866</v>
      </c>
      <c r="AB20" s="185">
        <f t="shared" si="6"/>
        <v>1059.0369828279288</v>
      </c>
      <c r="AC20" s="182">
        <f t="shared" si="7"/>
        <v>3</v>
      </c>
      <c r="AD20" s="635"/>
      <c r="AE20" s="188">
        <v>3</v>
      </c>
      <c r="AF20" s="188">
        <v>3178.1200408696313</v>
      </c>
      <c r="AG20" s="185">
        <f t="shared" si="8"/>
        <v>1059.3733469565439</v>
      </c>
      <c r="AH20" s="182">
        <f t="shared" si="9"/>
        <v>3</v>
      </c>
      <c r="AI20" s="635"/>
      <c r="AJ20" s="188">
        <v>3</v>
      </c>
      <c r="AK20" s="188">
        <v>3178.0927988692092</v>
      </c>
      <c r="AL20" s="185">
        <f t="shared" si="10"/>
        <v>1059.3642662897364</v>
      </c>
      <c r="AM20" s="182">
        <f t="shared" si="11"/>
        <v>3</v>
      </c>
      <c r="AN20" s="635"/>
      <c r="AO20" s="188">
        <v>3</v>
      </c>
      <c r="AP20" s="188">
        <v>3178.4398339698273</v>
      </c>
      <c r="AQ20" s="185">
        <f t="shared" si="12"/>
        <v>1059.4799446566092</v>
      </c>
      <c r="AR20" s="182">
        <f t="shared" si="13"/>
        <v>3</v>
      </c>
      <c r="AS20" s="635"/>
      <c r="AT20" s="188">
        <v>3</v>
      </c>
      <c r="AU20" s="188">
        <v>3178.7628363597796</v>
      </c>
      <c r="AV20" s="185">
        <f t="shared" si="14"/>
        <v>1059.5876121199265</v>
      </c>
      <c r="AW20" s="182">
        <f t="shared" si="15"/>
        <v>2</v>
      </c>
      <c r="AX20" s="635"/>
    </row>
    <row r="21" spans="2:50">
      <c r="B21" s="610"/>
      <c r="C21" s="180">
        <v>15</v>
      </c>
      <c r="D21" s="183" t="s">
        <v>413</v>
      </c>
      <c r="E21" s="184">
        <v>4</v>
      </c>
      <c r="F21" s="180">
        <v>3600</v>
      </c>
      <c r="G21" s="185">
        <f t="shared" si="2"/>
        <v>900</v>
      </c>
      <c r="H21" s="638"/>
      <c r="I21" s="186">
        <f t="shared" si="3"/>
        <v>4</v>
      </c>
      <c r="J21" s="186">
        <f t="shared" si="3"/>
        <v>3176.1009984431485</v>
      </c>
      <c r="K21" s="187">
        <f t="shared" si="3"/>
        <v>794.02524961078711</v>
      </c>
      <c r="L21" s="641"/>
      <c r="M21" s="186">
        <f>RANK(K21, K$7:$K$39)</f>
        <v>12</v>
      </c>
      <c r="N21" s="628"/>
      <c r="O21" s="630"/>
      <c r="P21" s="188">
        <v>4</v>
      </c>
      <c r="Q21" s="188">
        <v>3176.6634528564591</v>
      </c>
      <c r="R21" s="185">
        <f t="shared" si="0"/>
        <v>794.16586321411478</v>
      </c>
      <c r="S21" s="182">
        <f t="shared" si="4"/>
        <v>12</v>
      </c>
      <c r="T21" s="635"/>
      <c r="U21" s="188">
        <v>4</v>
      </c>
      <c r="V21" s="188">
        <v>3176.7403898706561</v>
      </c>
      <c r="W21" s="185">
        <f t="shared" si="1"/>
        <v>794.18509746766404</v>
      </c>
      <c r="X21" s="182">
        <f t="shared" si="5"/>
        <v>12</v>
      </c>
      <c r="Y21" s="635"/>
      <c r="Z21" s="188">
        <v>4</v>
      </c>
      <c r="AA21" s="188">
        <v>3176.2055452178683</v>
      </c>
      <c r="AB21" s="185">
        <f t="shared" si="6"/>
        <v>794.05138630446709</v>
      </c>
      <c r="AC21" s="182">
        <f t="shared" si="7"/>
        <v>12</v>
      </c>
      <c r="AD21" s="635"/>
      <c r="AE21" s="188">
        <v>4</v>
      </c>
      <c r="AF21" s="188">
        <v>3175.9893356102057</v>
      </c>
      <c r="AG21" s="185">
        <f t="shared" si="8"/>
        <v>793.99733390255142</v>
      </c>
      <c r="AH21" s="182">
        <f t="shared" si="9"/>
        <v>12</v>
      </c>
      <c r="AI21" s="635"/>
      <c r="AJ21" s="188">
        <v>4</v>
      </c>
      <c r="AK21" s="188">
        <v>3175.7148090020828</v>
      </c>
      <c r="AL21" s="185">
        <f t="shared" si="10"/>
        <v>793.9287022505207</v>
      </c>
      <c r="AM21" s="182">
        <f t="shared" si="11"/>
        <v>12</v>
      </c>
      <c r="AN21" s="635"/>
      <c r="AO21" s="188">
        <v>4</v>
      </c>
      <c r="AP21" s="188">
        <v>3175.7254239062731</v>
      </c>
      <c r="AQ21" s="185">
        <f t="shared" si="12"/>
        <v>793.93135597656828</v>
      </c>
      <c r="AR21" s="182">
        <f t="shared" si="13"/>
        <v>12</v>
      </c>
      <c r="AS21" s="635"/>
      <c r="AT21" s="188">
        <v>4</v>
      </c>
      <c r="AU21" s="188">
        <v>3175.6680326384921</v>
      </c>
      <c r="AV21" s="185">
        <f t="shared" si="14"/>
        <v>793.91700815962304</v>
      </c>
      <c r="AW21" s="182">
        <f t="shared" si="15"/>
        <v>12</v>
      </c>
      <c r="AX21" s="635"/>
    </row>
    <row r="22" spans="2:50">
      <c r="B22" s="610"/>
      <c r="C22" s="180">
        <v>16</v>
      </c>
      <c r="D22" s="183" t="s">
        <v>346</v>
      </c>
      <c r="E22" s="184">
        <v>5</v>
      </c>
      <c r="F22" s="180">
        <v>3300</v>
      </c>
      <c r="G22" s="185">
        <f t="shared" si="2"/>
        <v>660</v>
      </c>
      <c r="H22" s="638"/>
      <c r="I22" s="186">
        <f t="shared" si="3"/>
        <v>5</v>
      </c>
      <c r="J22" s="186">
        <f t="shared" si="3"/>
        <v>2943.1906045348082</v>
      </c>
      <c r="K22" s="187">
        <f t="shared" si="3"/>
        <v>588.6381209069616</v>
      </c>
      <c r="L22" s="641"/>
      <c r="M22" s="186">
        <f>RANK(K22, K$7:$K$39)</f>
        <v>25</v>
      </c>
      <c r="N22" s="628"/>
      <c r="O22" s="630"/>
      <c r="P22" s="188">
        <v>5</v>
      </c>
      <c r="Q22" s="188">
        <v>2941.849766222289</v>
      </c>
      <c r="R22" s="185">
        <f t="shared" si="0"/>
        <v>588.36995324445775</v>
      </c>
      <c r="S22" s="182">
        <f t="shared" si="4"/>
        <v>25</v>
      </c>
      <c r="T22" s="635"/>
      <c r="U22" s="188">
        <v>5</v>
      </c>
      <c r="V22" s="188">
        <v>2940.5247813411142</v>
      </c>
      <c r="W22" s="185">
        <f t="shared" si="1"/>
        <v>588.10495626822285</v>
      </c>
      <c r="X22" s="182">
        <f t="shared" si="5"/>
        <v>25</v>
      </c>
      <c r="Y22" s="635"/>
      <c r="Z22" s="188">
        <v>5</v>
      </c>
      <c r="AA22" s="188">
        <v>2943.0238726790544</v>
      </c>
      <c r="AB22" s="185">
        <f t="shared" si="6"/>
        <v>588.60477453581086</v>
      </c>
      <c r="AC22" s="182">
        <f t="shared" si="7"/>
        <v>25</v>
      </c>
      <c r="AD22" s="635"/>
      <c r="AE22" s="188">
        <v>5</v>
      </c>
      <c r="AF22" s="188">
        <v>2943.6353529738799</v>
      </c>
      <c r="AG22" s="185">
        <f t="shared" si="8"/>
        <v>588.72707059477602</v>
      </c>
      <c r="AH22" s="182">
        <f t="shared" si="9"/>
        <v>25</v>
      </c>
      <c r="AI22" s="635"/>
      <c r="AJ22" s="188">
        <v>5</v>
      </c>
      <c r="AK22" s="188">
        <v>2944.1368494000162</v>
      </c>
      <c r="AL22" s="185">
        <f t="shared" si="10"/>
        <v>588.82736988000329</v>
      </c>
      <c r="AM22" s="182">
        <f t="shared" si="11"/>
        <v>25</v>
      </c>
      <c r="AN22" s="635"/>
      <c r="AO22" s="188">
        <v>5</v>
      </c>
      <c r="AP22" s="188">
        <v>2944.8813883139665</v>
      </c>
      <c r="AQ22" s="185">
        <f t="shared" si="12"/>
        <v>588.97627766279334</v>
      </c>
      <c r="AR22" s="182">
        <f t="shared" si="13"/>
        <v>25</v>
      </c>
      <c r="AS22" s="635"/>
      <c r="AT22" s="188">
        <v>5</v>
      </c>
      <c r="AU22" s="188">
        <v>2944.2822208133366</v>
      </c>
      <c r="AV22" s="185">
        <f t="shared" si="14"/>
        <v>588.85644416266734</v>
      </c>
      <c r="AW22" s="182">
        <f t="shared" si="15"/>
        <v>24</v>
      </c>
      <c r="AX22" s="635"/>
    </row>
    <row r="23" spans="2:50">
      <c r="B23" s="610"/>
      <c r="C23" s="180">
        <v>17</v>
      </c>
      <c r="D23" s="183" t="s">
        <v>406</v>
      </c>
      <c r="E23" s="184">
        <v>3</v>
      </c>
      <c r="F23" s="180">
        <v>3600</v>
      </c>
      <c r="G23" s="185">
        <f t="shared" si="2"/>
        <v>1200</v>
      </c>
      <c r="H23" s="638"/>
      <c r="I23" s="186">
        <f t="shared" si="3"/>
        <v>3</v>
      </c>
      <c r="J23" s="186">
        <f t="shared" si="3"/>
        <v>3176.4997092153685</v>
      </c>
      <c r="K23" s="187">
        <f t="shared" si="3"/>
        <v>1058.8332364051228</v>
      </c>
      <c r="L23" s="641"/>
      <c r="M23" s="186">
        <f>RANK(K23, K$7:$K$39)</f>
        <v>4</v>
      </c>
      <c r="N23" s="628"/>
      <c r="O23" s="630"/>
      <c r="P23" s="188">
        <v>3</v>
      </c>
      <c r="Q23" s="188">
        <v>3177.1205755871679</v>
      </c>
      <c r="R23" s="185">
        <f t="shared" si="0"/>
        <v>1059.0401918623893</v>
      </c>
      <c r="S23" s="182">
        <f t="shared" si="4"/>
        <v>3</v>
      </c>
      <c r="T23" s="635"/>
      <c r="U23" s="188">
        <v>3</v>
      </c>
      <c r="V23" s="188">
        <v>3177.3266416436391</v>
      </c>
      <c r="W23" s="185">
        <f t="shared" si="1"/>
        <v>1059.1088805478796</v>
      </c>
      <c r="X23" s="182">
        <f t="shared" si="5"/>
        <v>3</v>
      </c>
      <c r="Y23" s="635"/>
      <c r="Z23" s="188">
        <v>3</v>
      </c>
      <c r="AA23" s="188">
        <v>3175.6821026282864</v>
      </c>
      <c r="AB23" s="185">
        <f t="shared" si="6"/>
        <v>1058.5607008760956</v>
      </c>
      <c r="AC23" s="182">
        <f t="shared" si="7"/>
        <v>4</v>
      </c>
      <c r="AD23" s="635"/>
      <c r="AE23" s="188">
        <v>3</v>
      </c>
      <c r="AF23" s="188">
        <v>3174.9425584097135</v>
      </c>
      <c r="AG23" s="185">
        <f t="shared" si="8"/>
        <v>1058.3141861365712</v>
      </c>
      <c r="AH23" s="182">
        <f t="shared" si="9"/>
        <v>4</v>
      </c>
      <c r="AI23" s="635"/>
      <c r="AJ23" s="188">
        <v>3</v>
      </c>
      <c r="AK23" s="188">
        <v>3175.2364933358244</v>
      </c>
      <c r="AL23" s="185">
        <f t="shared" si="10"/>
        <v>1058.4121644452748</v>
      </c>
      <c r="AM23" s="182">
        <f t="shared" si="11"/>
        <v>6</v>
      </c>
      <c r="AN23" s="635"/>
      <c r="AO23" s="188">
        <v>3</v>
      </c>
      <c r="AP23" s="188">
        <v>3176.9133184886759</v>
      </c>
      <c r="AQ23" s="185">
        <f t="shared" si="12"/>
        <v>1058.9711061628921</v>
      </c>
      <c r="AR23" s="182">
        <f t="shared" si="13"/>
        <v>4</v>
      </c>
      <c r="AS23" s="635"/>
      <c r="AT23" s="188">
        <v>3</v>
      </c>
      <c r="AU23" s="188">
        <v>3178.2762744142733</v>
      </c>
      <c r="AV23" s="185">
        <f t="shared" si="14"/>
        <v>1059.4254248047578</v>
      </c>
      <c r="AW23" s="182">
        <f t="shared" si="15"/>
        <v>4</v>
      </c>
      <c r="AX23" s="635"/>
    </row>
    <row r="24" spans="2:50">
      <c r="B24" s="610"/>
      <c r="C24" s="180">
        <v>18</v>
      </c>
      <c r="D24" s="183" t="s">
        <v>410</v>
      </c>
      <c r="E24" s="184">
        <v>3</v>
      </c>
      <c r="F24" s="180">
        <v>3600</v>
      </c>
      <c r="G24" s="185">
        <f t="shared" si="2"/>
        <v>1200</v>
      </c>
      <c r="H24" s="638"/>
      <c r="I24" s="186">
        <f t="shared" si="3"/>
        <v>3</v>
      </c>
      <c r="J24" s="186">
        <f t="shared" si="3"/>
        <v>3175.6429731826256</v>
      </c>
      <c r="K24" s="187">
        <f t="shared" si="3"/>
        <v>1058.5476577275419</v>
      </c>
      <c r="L24" s="641"/>
      <c r="M24" s="186">
        <f>RANK(K24, K$7:$K$39)</f>
        <v>5</v>
      </c>
      <c r="N24" s="628"/>
      <c r="O24" s="630"/>
      <c r="P24" s="188">
        <v>3</v>
      </c>
      <c r="Q24" s="188">
        <v>3175.2551020407991</v>
      </c>
      <c r="R24" s="185">
        <f t="shared" si="0"/>
        <v>1058.4183673469331</v>
      </c>
      <c r="S24" s="182">
        <f t="shared" si="4"/>
        <v>5</v>
      </c>
      <c r="T24" s="635"/>
      <c r="U24" s="188">
        <v>3</v>
      </c>
      <c r="V24" s="188">
        <v>3175.695461200587</v>
      </c>
      <c r="W24" s="185">
        <f t="shared" si="1"/>
        <v>1058.5651537335291</v>
      </c>
      <c r="X24" s="182">
        <f t="shared" si="5"/>
        <v>5</v>
      </c>
      <c r="Y24" s="635"/>
      <c r="Z24" s="188">
        <v>3</v>
      </c>
      <c r="AA24" s="188">
        <v>3174.8743718593105</v>
      </c>
      <c r="AB24" s="185">
        <f t="shared" si="6"/>
        <v>1058.2914572864368</v>
      </c>
      <c r="AC24" s="182">
        <f t="shared" si="7"/>
        <v>6</v>
      </c>
      <c r="AD24" s="635"/>
      <c r="AE24" s="188">
        <v>3</v>
      </c>
      <c r="AF24" s="188">
        <v>3174.045801526725</v>
      </c>
      <c r="AG24" s="185">
        <f t="shared" si="8"/>
        <v>1058.015267175575</v>
      </c>
      <c r="AH24" s="182">
        <f t="shared" si="9"/>
        <v>6</v>
      </c>
      <c r="AI24" s="635"/>
      <c r="AJ24" s="188">
        <v>3</v>
      </c>
      <c r="AK24" s="188">
        <v>3175.6906077348149</v>
      </c>
      <c r="AL24" s="185">
        <f t="shared" si="10"/>
        <v>1058.563535911605</v>
      </c>
      <c r="AM24" s="182">
        <f t="shared" si="11"/>
        <v>5</v>
      </c>
      <c r="AN24" s="635"/>
      <c r="AO24" s="188">
        <v>3</v>
      </c>
      <c r="AP24" s="188">
        <v>3176.7817781043236</v>
      </c>
      <c r="AQ24" s="185">
        <f t="shared" si="12"/>
        <v>1058.9272593681078</v>
      </c>
      <c r="AR24" s="182">
        <f t="shared" si="13"/>
        <v>5</v>
      </c>
      <c r="AS24" s="635"/>
      <c r="AT24" s="188">
        <v>3</v>
      </c>
      <c r="AU24" s="188">
        <v>3177.1576898118215</v>
      </c>
      <c r="AV24" s="185">
        <f t="shared" si="14"/>
        <v>1059.0525632706072</v>
      </c>
      <c r="AW24" s="182">
        <f t="shared" si="15"/>
        <v>5</v>
      </c>
      <c r="AX24" s="635"/>
    </row>
    <row r="25" spans="2:50">
      <c r="B25" s="610"/>
      <c r="C25" s="180">
        <v>19</v>
      </c>
      <c r="D25" s="183" t="s">
        <v>409</v>
      </c>
      <c r="E25" s="184">
        <v>4</v>
      </c>
      <c r="F25" s="180">
        <v>3300</v>
      </c>
      <c r="G25" s="185">
        <f t="shared" si="2"/>
        <v>825</v>
      </c>
      <c r="H25" s="638"/>
      <c r="I25" s="186">
        <f t="shared" si="3"/>
        <v>4</v>
      </c>
      <c r="J25" s="186">
        <f t="shared" si="3"/>
        <v>2943.9912487394099</v>
      </c>
      <c r="K25" s="187">
        <f t="shared" si="3"/>
        <v>735.99781218485248</v>
      </c>
      <c r="L25" s="641"/>
      <c r="M25" s="186">
        <f>RANK(K25, K$7:$K$39)</f>
        <v>16</v>
      </c>
      <c r="N25" s="628"/>
      <c r="O25" s="630"/>
      <c r="P25" s="188">
        <v>4</v>
      </c>
      <c r="Q25" s="188">
        <v>2943.5896703273934</v>
      </c>
      <c r="R25" s="185">
        <f t="shared" si="0"/>
        <v>735.89741758184834</v>
      </c>
      <c r="S25" s="182">
        <f t="shared" si="4"/>
        <v>16</v>
      </c>
      <c r="T25" s="635"/>
      <c r="U25" s="188">
        <v>4</v>
      </c>
      <c r="V25" s="188">
        <v>2943.704183186333</v>
      </c>
      <c r="W25" s="185">
        <f t="shared" si="1"/>
        <v>735.92604579658325</v>
      </c>
      <c r="X25" s="182">
        <f t="shared" si="5"/>
        <v>16</v>
      </c>
      <c r="Y25" s="635"/>
      <c r="Z25" s="188">
        <v>4</v>
      </c>
      <c r="AA25" s="188">
        <v>2943.7068381855038</v>
      </c>
      <c r="AB25" s="185">
        <f t="shared" si="6"/>
        <v>735.92670954637595</v>
      </c>
      <c r="AC25" s="182">
        <f t="shared" si="7"/>
        <v>17</v>
      </c>
      <c r="AD25" s="635"/>
      <c r="AE25" s="188">
        <v>4</v>
      </c>
      <c r="AF25" s="188">
        <v>2943.3472217478866</v>
      </c>
      <c r="AG25" s="185">
        <f t="shared" si="8"/>
        <v>735.83680543697164</v>
      </c>
      <c r="AH25" s="182">
        <f t="shared" si="9"/>
        <v>16</v>
      </c>
      <c r="AI25" s="635"/>
      <c r="AJ25" s="188">
        <v>4</v>
      </c>
      <c r="AK25" s="188">
        <v>2942.5210084033597</v>
      </c>
      <c r="AL25" s="185">
        <f t="shared" si="10"/>
        <v>735.63025210083993</v>
      </c>
      <c r="AM25" s="182">
        <f t="shared" si="11"/>
        <v>18</v>
      </c>
      <c r="AN25" s="635"/>
      <c r="AO25" s="188">
        <v>4</v>
      </c>
      <c r="AP25" s="188">
        <v>2944.396095495702</v>
      </c>
      <c r="AQ25" s="185">
        <f t="shared" si="12"/>
        <v>736.09902387392549</v>
      </c>
      <c r="AR25" s="182">
        <f t="shared" si="13"/>
        <v>17</v>
      </c>
      <c r="AS25" s="635"/>
      <c r="AT25" s="188">
        <v>4</v>
      </c>
      <c r="AU25" s="188">
        <v>2946.6737238296896</v>
      </c>
      <c r="AV25" s="185">
        <f t="shared" si="14"/>
        <v>736.6684309574224</v>
      </c>
      <c r="AW25" s="182">
        <f t="shared" si="15"/>
        <v>14</v>
      </c>
      <c r="AX25" s="635"/>
    </row>
    <row r="26" spans="2:50">
      <c r="B26" s="610"/>
      <c r="C26" s="180">
        <v>20</v>
      </c>
      <c r="D26" s="183" t="s">
        <v>405</v>
      </c>
      <c r="E26" s="184">
        <v>4</v>
      </c>
      <c r="F26" s="180">
        <v>3300</v>
      </c>
      <c r="G26" s="185">
        <f t="shared" si="2"/>
        <v>825</v>
      </c>
      <c r="H26" s="638"/>
      <c r="I26" s="186">
        <f t="shared" si="3"/>
        <v>4</v>
      </c>
      <c r="J26" s="186">
        <f t="shared" si="3"/>
        <v>2944.6478821117294</v>
      </c>
      <c r="K26" s="187">
        <f t="shared" si="3"/>
        <v>736.16197052793234</v>
      </c>
      <c r="L26" s="641"/>
      <c r="M26" s="186">
        <f>RANK(K26, K$7:$K$39)</f>
        <v>15</v>
      </c>
      <c r="N26" s="628"/>
      <c r="O26" s="630"/>
      <c r="P26" s="188">
        <v>4</v>
      </c>
      <c r="Q26" s="188">
        <v>2944.79831994289</v>
      </c>
      <c r="R26" s="185">
        <f t="shared" si="0"/>
        <v>736.19957998572249</v>
      </c>
      <c r="S26" s="182">
        <f t="shared" si="4"/>
        <v>15</v>
      </c>
      <c r="T26" s="635"/>
      <c r="U26" s="188">
        <v>4</v>
      </c>
      <c r="V26" s="188">
        <v>2944.2267677658169</v>
      </c>
      <c r="W26" s="185">
        <f t="shared" si="1"/>
        <v>736.05669194145423</v>
      </c>
      <c r="X26" s="182">
        <f t="shared" si="5"/>
        <v>15</v>
      </c>
      <c r="Y26" s="635"/>
      <c r="Z26" s="188">
        <v>4</v>
      </c>
      <c r="AA26" s="188">
        <v>2944.0545042204712</v>
      </c>
      <c r="AB26" s="185">
        <f t="shared" si="6"/>
        <v>736.01362605511781</v>
      </c>
      <c r="AC26" s="182">
        <f t="shared" si="7"/>
        <v>15</v>
      </c>
      <c r="AD26" s="635"/>
      <c r="AE26" s="188">
        <v>4</v>
      </c>
      <c r="AF26" s="188">
        <v>2944.1026365688776</v>
      </c>
      <c r="AG26" s="185">
        <f t="shared" si="8"/>
        <v>736.02565914221941</v>
      </c>
      <c r="AH26" s="182">
        <f t="shared" si="9"/>
        <v>15</v>
      </c>
      <c r="AI26" s="635"/>
      <c r="AJ26" s="188">
        <v>4</v>
      </c>
      <c r="AK26" s="188">
        <v>2944.2062300404341</v>
      </c>
      <c r="AL26" s="185">
        <f t="shared" si="10"/>
        <v>736.05155751010852</v>
      </c>
      <c r="AM26" s="182">
        <f t="shared" si="11"/>
        <v>16</v>
      </c>
      <c r="AN26" s="635"/>
      <c r="AO26" s="188">
        <v>4</v>
      </c>
      <c r="AP26" s="188">
        <v>2945.1522149905559</v>
      </c>
      <c r="AQ26" s="185">
        <f t="shared" si="12"/>
        <v>736.28805374763897</v>
      </c>
      <c r="AR26" s="182">
        <f t="shared" si="13"/>
        <v>16</v>
      </c>
      <c r="AS26" s="635"/>
      <c r="AT26" s="188">
        <v>4</v>
      </c>
      <c r="AU26" s="188">
        <v>2945.9945012530588</v>
      </c>
      <c r="AV26" s="185">
        <f t="shared" si="14"/>
        <v>736.49862531326471</v>
      </c>
      <c r="AW26" s="182">
        <f t="shared" si="15"/>
        <v>15</v>
      </c>
      <c r="AX26" s="635"/>
    </row>
    <row r="27" spans="2:50">
      <c r="B27" s="610"/>
      <c r="C27" s="180">
        <v>21</v>
      </c>
      <c r="D27" s="183" t="s">
        <v>408</v>
      </c>
      <c r="E27" s="184">
        <v>4</v>
      </c>
      <c r="F27" s="180">
        <v>3000</v>
      </c>
      <c r="G27" s="185">
        <f t="shared" si="2"/>
        <v>750</v>
      </c>
      <c r="H27" s="638"/>
      <c r="I27" s="186">
        <f t="shared" si="3"/>
        <v>4</v>
      </c>
      <c r="J27" s="186">
        <f t="shared" si="3"/>
        <v>2700.9420940418017</v>
      </c>
      <c r="K27" s="187">
        <f t="shared" si="3"/>
        <v>675.23552351045043</v>
      </c>
      <c r="L27" s="641"/>
      <c r="M27" s="186">
        <f>RANK(K27, K$7:$K$39)</f>
        <v>19</v>
      </c>
      <c r="N27" s="628"/>
      <c r="O27" s="630"/>
      <c r="P27" s="188">
        <v>4</v>
      </c>
      <c r="Q27" s="188">
        <v>2700.7531496130869</v>
      </c>
      <c r="R27" s="185">
        <f t="shared" si="0"/>
        <v>675.18828740327172</v>
      </c>
      <c r="S27" s="182">
        <f t="shared" si="4"/>
        <v>19</v>
      </c>
      <c r="T27" s="635"/>
      <c r="U27" s="188">
        <v>4</v>
      </c>
      <c r="V27" s="188">
        <v>2701.1765027537181</v>
      </c>
      <c r="W27" s="185">
        <f t="shared" si="1"/>
        <v>675.29412568842952</v>
      </c>
      <c r="X27" s="182">
        <f t="shared" si="5"/>
        <v>19</v>
      </c>
      <c r="Y27" s="635"/>
      <c r="Z27" s="188">
        <v>4</v>
      </c>
      <c r="AA27" s="188">
        <v>2701.3506753376787</v>
      </c>
      <c r="AB27" s="185">
        <f t="shared" si="6"/>
        <v>675.33766883441967</v>
      </c>
      <c r="AC27" s="182">
        <f t="shared" si="7"/>
        <v>19</v>
      </c>
      <c r="AD27" s="635"/>
      <c r="AE27" s="188">
        <v>4</v>
      </c>
      <c r="AF27" s="188">
        <v>2700.9443861490072</v>
      </c>
      <c r="AG27" s="185">
        <f t="shared" si="8"/>
        <v>675.2360965372518</v>
      </c>
      <c r="AH27" s="182">
        <f t="shared" si="9"/>
        <v>19</v>
      </c>
      <c r="AI27" s="635"/>
      <c r="AJ27" s="188">
        <v>4</v>
      </c>
      <c r="AK27" s="188">
        <v>2701.4523937600916</v>
      </c>
      <c r="AL27" s="185">
        <f t="shared" si="10"/>
        <v>675.3630984400229</v>
      </c>
      <c r="AM27" s="182">
        <f t="shared" si="11"/>
        <v>19</v>
      </c>
      <c r="AN27" s="635"/>
      <c r="AO27" s="188">
        <v>4</v>
      </c>
      <c r="AP27" s="188">
        <v>2700.3786285233441</v>
      </c>
      <c r="AQ27" s="185">
        <f t="shared" si="12"/>
        <v>675.09465713083603</v>
      </c>
      <c r="AR27" s="182">
        <f t="shared" si="13"/>
        <v>19</v>
      </c>
      <c r="AS27" s="635"/>
      <c r="AT27" s="188">
        <v>4</v>
      </c>
      <c r="AU27" s="188">
        <v>2700.5389221556852</v>
      </c>
      <c r="AV27" s="185">
        <f t="shared" si="14"/>
        <v>675.1347305389213</v>
      </c>
      <c r="AW27" s="182">
        <f t="shared" si="15"/>
        <v>18</v>
      </c>
      <c r="AX27" s="635"/>
    </row>
    <row r="28" spans="2:50">
      <c r="B28" s="610"/>
      <c r="C28" s="180">
        <v>22</v>
      </c>
      <c r="D28" s="183" t="s">
        <v>407</v>
      </c>
      <c r="E28" s="184">
        <v>4</v>
      </c>
      <c r="F28" s="180">
        <v>3300</v>
      </c>
      <c r="G28" s="185">
        <f>F28/E28</f>
        <v>825</v>
      </c>
      <c r="H28" s="638"/>
      <c r="I28" s="186">
        <f t="shared" si="3"/>
        <v>4</v>
      </c>
      <c r="J28" s="186">
        <f t="shared" si="3"/>
        <v>2971.1757656437908</v>
      </c>
      <c r="K28" s="187">
        <f t="shared" si="3"/>
        <v>742.7939414109477</v>
      </c>
      <c r="L28" s="641"/>
      <c r="M28" s="186">
        <f>RANK(K28, K$7:$K$39)</f>
        <v>14</v>
      </c>
      <c r="N28" s="628"/>
      <c r="O28" s="630"/>
      <c r="P28" s="188">
        <v>4</v>
      </c>
      <c r="Q28" s="188">
        <v>2971.2676056337932</v>
      </c>
      <c r="R28" s="185">
        <f t="shared" si="0"/>
        <v>742.8169014084483</v>
      </c>
      <c r="S28" s="182">
        <f t="shared" si="4"/>
        <v>14</v>
      </c>
      <c r="T28" s="635"/>
      <c r="U28" s="188">
        <v>4</v>
      </c>
      <c r="V28" s="188">
        <v>2970.9563164108799</v>
      </c>
      <c r="W28" s="185">
        <f t="shared" si="1"/>
        <v>742.73907910271998</v>
      </c>
      <c r="X28" s="182">
        <f t="shared" si="5"/>
        <v>14</v>
      </c>
      <c r="Y28" s="635"/>
      <c r="Z28" s="188">
        <v>4</v>
      </c>
      <c r="AA28" s="188">
        <v>2970.7736389684933</v>
      </c>
      <c r="AB28" s="185">
        <f t="shared" si="6"/>
        <v>742.69340974212332</v>
      </c>
      <c r="AC28" s="182">
        <f t="shared" si="7"/>
        <v>14</v>
      </c>
      <c r="AD28" s="635"/>
      <c r="AE28" s="188">
        <v>4</v>
      </c>
      <c r="AF28" s="188">
        <v>2970.1444622793174</v>
      </c>
      <c r="AG28" s="185">
        <f t="shared" si="8"/>
        <v>742.53611556982935</v>
      </c>
      <c r="AH28" s="182">
        <f t="shared" si="9"/>
        <v>14</v>
      </c>
      <c r="AI28" s="635"/>
      <c r="AJ28" s="188">
        <v>4</v>
      </c>
      <c r="AK28" s="188">
        <v>2969.3023255813728</v>
      </c>
      <c r="AL28" s="185">
        <f t="shared" si="10"/>
        <v>742.32558139534319</v>
      </c>
      <c r="AM28" s="182">
        <f t="shared" si="11"/>
        <v>14</v>
      </c>
      <c r="AN28" s="635"/>
      <c r="AO28" s="188">
        <v>4</v>
      </c>
      <c r="AP28" s="188">
        <v>2974.6102449888863</v>
      </c>
      <c r="AQ28" s="185">
        <f t="shared" si="12"/>
        <v>743.65256124722157</v>
      </c>
      <c r="AR28" s="182">
        <f t="shared" si="13"/>
        <v>14</v>
      </c>
      <c r="AS28" s="635"/>
      <c r="AT28" s="188"/>
      <c r="AU28" s="188"/>
      <c r="AV28" s="185"/>
      <c r="AW28" s="182"/>
      <c r="AX28" s="635"/>
    </row>
    <row r="29" spans="2:50">
      <c r="B29" s="610"/>
      <c r="C29" s="180">
        <v>23</v>
      </c>
      <c r="D29" s="183" t="s">
        <v>463</v>
      </c>
      <c r="E29" s="184">
        <v>3</v>
      </c>
      <c r="F29" s="180">
        <v>3600</v>
      </c>
      <c r="G29" s="185">
        <f t="shared" ref="G29:G37" si="16">F29/E29</f>
        <v>1200</v>
      </c>
      <c r="H29" s="638"/>
      <c r="I29" s="186">
        <f t="shared" si="3"/>
        <v>3</v>
      </c>
      <c r="J29" s="186">
        <f t="shared" si="3"/>
        <v>3180.9857471046348</v>
      </c>
      <c r="K29" s="187">
        <f t="shared" si="3"/>
        <v>1060.3285823682113</v>
      </c>
      <c r="L29" s="641"/>
      <c r="M29" s="186">
        <f>RANK(K29, K$7:$K$39)</f>
        <v>1</v>
      </c>
      <c r="N29" s="628"/>
      <c r="O29" s="630"/>
      <c r="P29" s="188">
        <v>3</v>
      </c>
      <c r="Q29" s="188">
        <v>3177.8456837280319</v>
      </c>
      <c r="R29" s="185">
        <f t="shared" si="0"/>
        <v>1059.2818945760107</v>
      </c>
      <c r="S29" s="182">
        <f t="shared" si="4"/>
        <v>2</v>
      </c>
      <c r="T29" s="635"/>
      <c r="U29" s="188">
        <v>3</v>
      </c>
      <c r="V29" s="188">
        <v>3180.2914642609271</v>
      </c>
      <c r="W29" s="185">
        <f t="shared" si="1"/>
        <v>1060.0971547536424</v>
      </c>
      <c r="X29" s="182">
        <f t="shared" si="5"/>
        <v>1</v>
      </c>
      <c r="Y29" s="635"/>
      <c r="Z29" s="188">
        <v>3</v>
      </c>
      <c r="AA29" s="188">
        <v>3180.440097799511</v>
      </c>
      <c r="AB29" s="185">
        <f t="shared" si="6"/>
        <v>1060.1466992665037</v>
      </c>
      <c r="AC29" s="182">
        <f t="shared" si="7"/>
        <v>1</v>
      </c>
      <c r="AD29" s="635"/>
      <c r="AE29" s="188">
        <v>3</v>
      </c>
      <c r="AF29" s="188">
        <v>3180.7355516637494</v>
      </c>
      <c r="AG29" s="185">
        <f t="shared" si="8"/>
        <v>1060.2451838879165</v>
      </c>
      <c r="AH29" s="182">
        <f t="shared" si="9"/>
        <v>1</v>
      </c>
      <c r="AI29" s="635"/>
      <c r="AJ29" s="188">
        <v>3</v>
      </c>
      <c r="AK29" s="188">
        <v>3182.3204419889589</v>
      </c>
      <c r="AL29" s="185">
        <f t="shared" si="10"/>
        <v>1060.7734806629862</v>
      </c>
      <c r="AM29" s="182">
        <f t="shared" si="11"/>
        <v>1</v>
      </c>
      <c r="AN29" s="635"/>
      <c r="AO29" s="188">
        <v>3</v>
      </c>
      <c r="AP29" s="188">
        <v>3182.5000000000114</v>
      </c>
      <c r="AQ29" s="185">
        <f t="shared" si="12"/>
        <v>1060.8333333333371</v>
      </c>
      <c r="AR29" s="182">
        <f t="shared" si="13"/>
        <v>1</v>
      </c>
      <c r="AS29" s="635"/>
      <c r="AT29" s="188">
        <v>3</v>
      </c>
      <c r="AU29" s="188">
        <v>3182.7669902912521</v>
      </c>
      <c r="AV29" s="185">
        <f t="shared" si="14"/>
        <v>1060.9223300970841</v>
      </c>
      <c r="AW29" s="182">
        <f t="shared" si="15"/>
        <v>1</v>
      </c>
      <c r="AX29" s="635"/>
    </row>
    <row r="30" spans="2:50">
      <c r="B30" s="610"/>
      <c r="C30" s="180">
        <v>24</v>
      </c>
      <c r="D30" s="183" t="s">
        <v>472</v>
      </c>
      <c r="E30" s="184">
        <v>4</v>
      </c>
      <c r="F30" s="180">
        <v>3000</v>
      </c>
      <c r="G30" s="185">
        <f t="shared" si="16"/>
        <v>750</v>
      </c>
      <c r="H30" s="638"/>
      <c r="I30" s="186">
        <f t="shared" si="3"/>
        <v>4</v>
      </c>
      <c r="J30" s="186">
        <f t="shared" si="3"/>
        <v>2682.7255607841616</v>
      </c>
      <c r="K30" s="187">
        <f t="shared" si="3"/>
        <v>670.68139019604041</v>
      </c>
      <c r="L30" s="641"/>
      <c r="M30" s="186">
        <f>RANK(K30, K$7:$K$39)</f>
        <v>20</v>
      </c>
      <c r="N30" s="628"/>
      <c r="O30" s="630"/>
      <c r="P30" s="188">
        <v>4</v>
      </c>
      <c r="Q30" s="188">
        <v>2682.7178729689763</v>
      </c>
      <c r="R30" s="185">
        <f t="shared" si="0"/>
        <v>670.67946824224407</v>
      </c>
      <c r="S30" s="182">
        <f t="shared" si="4"/>
        <v>21</v>
      </c>
      <c r="T30" s="635"/>
      <c r="U30" s="188">
        <v>4</v>
      </c>
      <c r="V30" s="188">
        <v>2683.361344537821</v>
      </c>
      <c r="W30" s="185">
        <f t="shared" si="1"/>
        <v>670.84033613445524</v>
      </c>
      <c r="X30" s="182">
        <f t="shared" si="5"/>
        <v>20</v>
      </c>
      <c r="Y30" s="635"/>
      <c r="Z30" s="188">
        <v>4</v>
      </c>
      <c r="AA30" s="188">
        <v>2682.5531914893563</v>
      </c>
      <c r="AB30" s="185">
        <f t="shared" si="6"/>
        <v>670.63829787233908</v>
      </c>
      <c r="AC30" s="182">
        <f t="shared" si="7"/>
        <v>21</v>
      </c>
      <c r="AD30" s="635"/>
      <c r="AE30" s="188">
        <v>4</v>
      </c>
      <c r="AF30" s="188">
        <v>2682.1736922295613</v>
      </c>
      <c r="AG30" s="185">
        <f t="shared" si="8"/>
        <v>670.54342305739033</v>
      </c>
      <c r="AH30" s="182">
        <f t="shared" si="9"/>
        <v>21</v>
      </c>
      <c r="AI30" s="635"/>
      <c r="AJ30" s="188">
        <v>4</v>
      </c>
      <c r="AK30" s="188">
        <v>2682.8261990716833</v>
      </c>
      <c r="AL30" s="185">
        <f t="shared" si="10"/>
        <v>670.70654976792082</v>
      </c>
      <c r="AM30" s="182">
        <f t="shared" si="11"/>
        <v>21</v>
      </c>
      <c r="AN30" s="635"/>
      <c r="AO30" s="188">
        <v>4</v>
      </c>
      <c r="AP30" s="188">
        <v>2682.7144686299598</v>
      </c>
      <c r="AQ30" s="185">
        <f t="shared" si="12"/>
        <v>670.67861715748995</v>
      </c>
      <c r="AR30" s="182">
        <f t="shared" si="13"/>
        <v>20</v>
      </c>
      <c r="AS30" s="635"/>
      <c r="AT30" s="188">
        <v>4</v>
      </c>
      <c r="AU30" s="188">
        <v>2682.7321565617726</v>
      </c>
      <c r="AV30" s="185">
        <f t="shared" si="14"/>
        <v>670.68303914044316</v>
      </c>
      <c r="AW30" s="182">
        <f t="shared" si="15"/>
        <v>19</v>
      </c>
      <c r="AX30" s="635"/>
    </row>
    <row r="31" spans="2:50">
      <c r="B31" s="610"/>
      <c r="C31" s="180">
        <v>25</v>
      </c>
      <c r="D31" s="183" t="s">
        <v>492</v>
      </c>
      <c r="E31" s="184">
        <v>5</v>
      </c>
      <c r="F31" s="180">
        <v>3000</v>
      </c>
      <c r="G31" s="185">
        <f t="shared" si="16"/>
        <v>600</v>
      </c>
      <c r="H31" s="638"/>
      <c r="I31" s="186">
        <f t="shared" si="3"/>
        <v>5</v>
      </c>
      <c r="J31" s="186">
        <f t="shared" si="3"/>
        <v>2682.0995140174914</v>
      </c>
      <c r="K31" s="187">
        <f t="shared" si="3"/>
        <v>536.4199028034983</v>
      </c>
      <c r="L31" s="641"/>
      <c r="M31" s="186">
        <f>RANK(K31, K$7:$K$39)</f>
        <v>26</v>
      </c>
      <c r="N31" s="628"/>
      <c r="O31" s="630"/>
      <c r="P31" s="188">
        <v>5</v>
      </c>
      <c r="Q31" s="188">
        <v>2682.5297432686339</v>
      </c>
      <c r="R31" s="185">
        <f t="shared" si="0"/>
        <v>536.50594865372682</v>
      </c>
      <c r="S31" s="182">
        <f t="shared" si="4"/>
        <v>26</v>
      </c>
      <c r="T31" s="635"/>
      <c r="U31" s="188">
        <v>5</v>
      </c>
      <c r="V31" s="188">
        <v>2681.9866567827958</v>
      </c>
      <c r="W31" s="185">
        <f t="shared" si="1"/>
        <v>536.39733135655911</v>
      </c>
      <c r="X31" s="182">
        <f t="shared" si="5"/>
        <v>26</v>
      </c>
      <c r="Y31" s="635"/>
      <c r="Z31" s="188">
        <v>5</v>
      </c>
      <c r="AA31" s="188">
        <v>2683.3333333333426</v>
      </c>
      <c r="AB31" s="185">
        <f t="shared" si="6"/>
        <v>536.66666666666856</v>
      </c>
      <c r="AC31" s="182">
        <f t="shared" si="7"/>
        <v>26</v>
      </c>
      <c r="AD31" s="635"/>
      <c r="AE31" s="188">
        <v>5</v>
      </c>
      <c r="AF31" s="188">
        <v>2682.1428571428464</v>
      </c>
      <c r="AG31" s="185">
        <f t="shared" si="8"/>
        <v>536.42857142856928</v>
      </c>
      <c r="AH31" s="182">
        <f t="shared" si="9"/>
        <v>26</v>
      </c>
      <c r="AI31" s="635"/>
      <c r="AJ31" s="188">
        <v>5</v>
      </c>
      <c r="AK31" s="188">
        <v>2681.4524043179599</v>
      </c>
      <c r="AL31" s="185">
        <f t="shared" si="10"/>
        <v>536.29048086359194</v>
      </c>
      <c r="AM31" s="182">
        <f t="shared" si="11"/>
        <v>26</v>
      </c>
      <c r="AN31" s="635"/>
      <c r="AO31" s="188">
        <v>5</v>
      </c>
      <c r="AP31" s="188">
        <v>2680.8510638297912</v>
      </c>
      <c r="AQ31" s="185">
        <f t="shared" si="12"/>
        <v>536.17021276595824</v>
      </c>
      <c r="AR31" s="182">
        <f t="shared" si="13"/>
        <v>26</v>
      </c>
      <c r="AS31" s="635"/>
      <c r="AT31" s="188">
        <v>5</v>
      </c>
      <c r="AU31" s="188">
        <v>2682.4005394470696</v>
      </c>
      <c r="AV31" s="185">
        <f t="shared" si="14"/>
        <v>536.48010788941394</v>
      </c>
      <c r="AW31" s="182">
        <f t="shared" si="15"/>
        <v>25</v>
      </c>
      <c r="AX31" s="635"/>
    </row>
    <row r="32" spans="2:50">
      <c r="B32" s="610"/>
      <c r="C32" s="180">
        <v>26</v>
      </c>
      <c r="D32" s="183" t="s">
        <v>530</v>
      </c>
      <c r="E32" s="184">
        <v>4</v>
      </c>
      <c r="F32" s="180">
        <v>3000</v>
      </c>
      <c r="G32" s="185">
        <f t="shared" si="16"/>
        <v>750</v>
      </c>
      <c r="H32" s="638"/>
      <c r="I32" s="186">
        <f t="shared" si="3"/>
        <v>4</v>
      </c>
      <c r="J32" s="186">
        <f t="shared" si="3"/>
        <v>2682.71317070235</v>
      </c>
      <c r="K32" s="187">
        <f t="shared" si="3"/>
        <v>670.6782926755875</v>
      </c>
      <c r="L32" s="641"/>
      <c r="M32" s="186">
        <f>RANK(K32, K$7:$K$39)</f>
        <v>21</v>
      </c>
      <c r="N32" s="628"/>
      <c r="O32" s="630"/>
      <c r="P32" s="188">
        <v>4</v>
      </c>
      <c r="Q32" s="188">
        <v>2683.0319353597538</v>
      </c>
      <c r="R32" s="185">
        <f t="shared" si="0"/>
        <v>670.75798383993845</v>
      </c>
      <c r="S32" s="182">
        <f t="shared" si="4"/>
        <v>20</v>
      </c>
      <c r="T32" s="635"/>
      <c r="U32" s="188">
        <v>4</v>
      </c>
      <c r="V32" s="188">
        <v>2682.7098078867552</v>
      </c>
      <c r="W32" s="185">
        <f t="shared" si="1"/>
        <v>670.67745197168881</v>
      </c>
      <c r="X32" s="182">
        <f t="shared" si="5"/>
        <v>21</v>
      </c>
      <c r="Y32" s="635"/>
      <c r="Z32" s="188">
        <v>4</v>
      </c>
      <c r="AA32" s="188">
        <v>2682.772277227728</v>
      </c>
      <c r="AB32" s="185">
        <f t="shared" si="6"/>
        <v>670.69306930693199</v>
      </c>
      <c r="AC32" s="182">
        <f t="shared" si="7"/>
        <v>20</v>
      </c>
      <c r="AD32" s="635"/>
      <c r="AE32" s="188">
        <v>4</v>
      </c>
      <c r="AF32" s="188">
        <v>2683.0425680390667</v>
      </c>
      <c r="AG32" s="185">
        <f t="shared" si="8"/>
        <v>670.76064200976668</v>
      </c>
      <c r="AH32" s="182">
        <f t="shared" si="9"/>
        <v>20</v>
      </c>
      <c r="AI32" s="635"/>
      <c r="AJ32" s="188">
        <v>4</v>
      </c>
      <c r="AK32" s="188">
        <v>2682.8993666432002</v>
      </c>
      <c r="AL32" s="185">
        <f t="shared" si="10"/>
        <v>670.72484166080005</v>
      </c>
      <c r="AM32" s="182">
        <f t="shared" si="11"/>
        <v>20</v>
      </c>
      <c r="AN32" s="635"/>
      <c r="AO32" s="188">
        <v>4</v>
      </c>
      <c r="AP32" s="188">
        <v>2682.2134387351739</v>
      </c>
      <c r="AQ32" s="185">
        <f t="shared" si="12"/>
        <v>670.55335968379347</v>
      </c>
      <c r="AR32" s="182">
        <f t="shared" si="13"/>
        <v>21</v>
      </c>
      <c r="AS32" s="635"/>
      <c r="AT32" s="188">
        <v>4</v>
      </c>
      <c r="AU32" s="188">
        <v>2682.3228010247708</v>
      </c>
      <c r="AV32" s="185">
        <f t="shared" si="14"/>
        <v>670.5807002561927</v>
      </c>
      <c r="AW32" s="182">
        <f t="shared" si="15"/>
        <v>20</v>
      </c>
      <c r="AX32" s="635"/>
    </row>
    <row r="33" spans="1:50">
      <c r="B33" s="610"/>
      <c r="C33" s="180">
        <v>27</v>
      </c>
      <c r="D33" s="183" t="s">
        <v>551</v>
      </c>
      <c r="E33" s="184">
        <v>12</v>
      </c>
      <c r="F33" s="180">
        <v>3600</v>
      </c>
      <c r="G33" s="185">
        <f t="shared" si="16"/>
        <v>300</v>
      </c>
      <c r="H33" s="638"/>
      <c r="I33" s="186">
        <f t="shared" si="3"/>
        <v>12</v>
      </c>
      <c r="J33" s="186">
        <f t="shared" si="3"/>
        <v>3252.2426521270168</v>
      </c>
      <c r="K33" s="187">
        <f t="shared" si="3"/>
        <v>271.02022101058475</v>
      </c>
      <c r="L33" s="641"/>
      <c r="M33" s="186">
        <f>RANK(K33, K$7:$K$39)</f>
        <v>28</v>
      </c>
      <c r="N33" s="628"/>
      <c r="O33" s="630"/>
      <c r="P33" s="188">
        <v>12</v>
      </c>
      <c r="Q33" s="188">
        <v>3250.1079913606995</v>
      </c>
      <c r="R33" s="185">
        <f t="shared" si="0"/>
        <v>270.84233261339165</v>
      </c>
      <c r="S33" s="182">
        <f t="shared" si="4"/>
        <v>27</v>
      </c>
      <c r="T33" s="635"/>
      <c r="U33" s="188">
        <v>12</v>
      </c>
      <c r="V33" s="188">
        <v>3249.901768172911</v>
      </c>
      <c r="W33" s="185">
        <f t="shared" si="1"/>
        <v>270.82514734774259</v>
      </c>
      <c r="X33" s="182">
        <f t="shared" si="5"/>
        <v>27</v>
      </c>
      <c r="Y33" s="635"/>
      <c r="Z33" s="188">
        <v>12</v>
      </c>
      <c r="AA33" s="188">
        <v>3249.7005988024316</v>
      </c>
      <c r="AB33" s="185">
        <f t="shared" si="6"/>
        <v>270.80838323353595</v>
      </c>
      <c r="AC33" s="182">
        <f t="shared" si="7"/>
        <v>27</v>
      </c>
      <c r="AD33" s="635"/>
      <c r="AE33" s="188">
        <v>12</v>
      </c>
      <c r="AF33" s="188">
        <v>3253.1791907514175</v>
      </c>
      <c r="AG33" s="185">
        <f t="shared" si="8"/>
        <v>271.09826589595144</v>
      </c>
      <c r="AH33" s="182">
        <f t="shared" si="9"/>
        <v>27</v>
      </c>
      <c r="AI33" s="635"/>
      <c r="AJ33" s="188">
        <v>12</v>
      </c>
      <c r="AK33" s="188">
        <v>3253.8461538461024</v>
      </c>
      <c r="AL33" s="185">
        <f t="shared" si="10"/>
        <v>271.15384615384187</v>
      </c>
      <c r="AM33" s="182">
        <f t="shared" si="11"/>
        <v>27</v>
      </c>
      <c r="AN33" s="635"/>
      <c r="AO33" s="188">
        <v>12</v>
      </c>
      <c r="AP33" s="188">
        <v>3253.1386861313945</v>
      </c>
      <c r="AQ33" s="185">
        <f t="shared" si="12"/>
        <v>271.09489051094954</v>
      </c>
      <c r="AR33" s="182">
        <f t="shared" si="13"/>
        <v>27</v>
      </c>
      <c r="AS33" s="635"/>
      <c r="AT33" s="188">
        <v>12</v>
      </c>
      <c r="AU33" s="188">
        <v>3255.8241758241588</v>
      </c>
      <c r="AV33" s="185">
        <f t="shared" si="14"/>
        <v>271.31868131867992</v>
      </c>
      <c r="AW33" s="182">
        <f t="shared" si="15"/>
        <v>27</v>
      </c>
      <c r="AX33" s="635"/>
    </row>
    <row r="34" spans="1:50">
      <c r="B34" s="610"/>
      <c r="C34" s="180">
        <v>28</v>
      </c>
      <c r="D34" s="183" t="s">
        <v>584</v>
      </c>
      <c r="E34" s="184">
        <v>13</v>
      </c>
      <c r="F34" s="180">
        <v>3600</v>
      </c>
      <c r="G34" s="185">
        <f t="shared" si="16"/>
        <v>276.92307692307691</v>
      </c>
      <c r="H34" s="638"/>
      <c r="I34" s="186">
        <f t="shared" si="3"/>
        <v>13</v>
      </c>
      <c r="J34" s="186">
        <f t="shared" si="3"/>
        <v>3172.7093415088698</v>
      </c>
      <c r="K34" s="187">
        <f t="shared" si="3"/>
        <v>244.05456473145145</v>
      </c>
      <c r="L34" s="641"/>
      <c r="M34" s="186">
        <f>RANK(K34, K$7:$K$39)</f>
        <v>31</v>
      </c>
      <c r="N34" s="628"/>
      <c r="O34" s="630"/>
      <c r="P34" s="188">
        <v>13</v>
      </c>
      <c r="Q34" s="188">
        <v>3019.0757855822558</v>
      </c>
      <c r="R34" s="185">
        <f t="shared" si="0"/>
        <v>232.23659889094276</v>
      </c>
      <c r="S34" s="182">
        <f t="shared" si="4"/>
        <v>30</v>
      </c>
      <c r="T34" s="635"/>
      <c r="U34" s="188">
        <v>13</v>
      </c>
      <c r="V34" s="188">
        <v>3083.9160839160845</v>
      </c>
      <c r="W34" s="185">
        <f t="shared" si="1"/>
        <v>237.22431414739111</v>
      </c>
      <c r="X34" s="182">
        <f t="shared" si="5"/>
        <v>30</v>
      </c>
      <c r="Y34" s="635"/>
      <c r="Z34" s="188">
        <v>13</v>
      </c>
      <c r="AA34" s="188">
        <v>3145.4416961130801</v>
      </c>
      <c r="AB34" s="185">
        <f t="shared" si="6"/>
        <v>241.95705354716</v>
      </c>
      <c r="AC34" s="182">
        <f t="shared" si="7"/>
        <v>30</v>
      </c>
      <c r="AD34" s="635"/>
      <c r="AE34" s="188">
        <v>13</v>
      </c>
      <c r="AF34" s="188">
        <v>3197.4545454545473</v>
      </c>
      <c r="AG34" s="185">
        <f t="shared" si="8"/>
        <v>245.95804195804209</v>
      </c>
      <c r="AH34" s="182">
        <f t="shared" si="9"/>
        <v>30</v>
      </c>
      <c r="AI34" s="635"/>
      <c r="AJ34" s="188">
        <v>13</v>
      </c>
      <c r="AK34" s="188">
        <v>3253.9114043355439</v>
      </c>
      <c r="AL34" s="185">
        <f t="shared" si="10"/>
        <v>250.30087725658029</v>
      </c>
      <c r="AM34" s="182">
        <f t="shared" si="11"/>
        <v>30</v>
      </c>
      <c r="AN34" s="635"/>
      <c r="AO34" s="188">
        <v>13</v>
      </c>
      <c r="AP34" s="188">
        <v>3254.6021840873627</v>
      </c>
      <c r="AQ34" s="185">
        <f t="shared" si="12"/>
        <v>250.35401416056635</v>
      </c>
      <c r="AR34" s="182">
        <f t="shared" si="13"/>
        <v>30</v>
      </c>
      <c r="AS34" s="635"/>
      <c r="AT34" s="188">
        <v>13</v>
      </c>
      <c r="AU34" s="188">
        <v>3254.5636910732119</v>
      </c>
      <c r="AV34" s="185">
        <f t="shared" si="14"/>
        <v>250.35105315947783</v>
      </c>
      <c r="AW34" s="182">
        <f t="shared" si="15"/>
        <v>30</v>
      </c>
      <c r="AX34" s="635"/>
    </row>
    <row r="35" spans="1:50">
      <c r="B35" s="610"/>
      <c r="C35" s="180">
        <v>29</v>
      </c>
      <c r="D35" s="183" t="s">
        <v>347</v>
      </c>
      <c r="E35" s="184">
        <v>3</v>
      </c>
      <c r="F35" s="180">
        <v>3000</v>
      </c>
      <c r="G35" s="185">
        <f t="shared" si="16"/>
        <v>1000</v>
      </c>
      <c r="H35" s="638"/>
      <c r="I35" s="186">
        <f t="shared" si="3"/>
        <v>3</v>
      </c>
      <c r="J35" s="186">
        <f t="shared" si="3"/>
        <v>2699.4703605622817</v>
      </c>
      <c r="K35" s="187">
        <f t="shared" si="3"/>
        <v>899.82345352076061</v>
      </c>
      <c r="L35" s="641"/>
      <c r="M35" s="186">
        <f>RANK(K35, K$7:$K$39)</f>
        <v>11</v>
      </c>
      <c r="N35" s="628"/>
      <c r="O35" s="630"/>
      <c r="P35" s="188">
        <v>3</v>
      </c>
      <c r="Q35" s="188">
        <v>2699.4725508493048</v>
      </c>
      <c r="R35" s="185">
        <f t="shared" si="0"/>
        <v>899.82418361643488</v>
      </c>
      <c r="S35" s="182">
        <f t="shared" si="4"/>
        <v>10</v>
      </c>
      <c r="T35" s="635"/>
      <c r="U35" s="188">
        <v>3</v>
      </c>
      <c r="V35" s="188">
        <v>2699.5514465394435</v>
      </c>
      <c r="W35" s="185">
        <f t="shared" si="1"/>
        <v>899.85048217981455</v>
      </c>
      <c r="X35" s="182">
        <f t="shared" si="5"/>
        <v>10</v>
      </c>
      <c r="Y35" s="635"/>
      <c r="Z35" s="188">
        <v>3</v>
      </c>
      <c r="AA35" s="188">
        <v>2699.6527217880584</v>
      </c>
      <c r="AB35" s="185">
        <f t="shared" si="6"/>
        <v>899.88424059601948</v>
      </c>
      <c r="AC35" s="182">
        <f t="shared" si="7"/>
        <v>10</v>
      </c>
      <c r="AD35" s="635"/>
      <c r="AE35" s="188">
        <v>3</v>
      </c>
      <c r="AF35" s="188">
        <v>2699.4377817104132</v>
      </c>
      <c r="AG35" s="185">
        <f t="shared" si="8"/>
        <v>899.81259390347111</v>
      </c>
      <c r="AH35" s="182">
        <f t="shared" si="9"/>
        <v>11</v>
      </c>
      <c r="AI35" s="635"/>
      <c r="AJ35" s="188">
        <v>3</v>
      </c>
      <c r="AK35" s="188">
        <v>2699.3546176764748</v>
      </c>
      <c r="AL35" s="185">
        <f t="shared" si="10"/>
        <v>899.78487255882499</v>
      </c>
      <c r="AM35" s="182">
        <f t="shared" si="11"/>
        <v>11</v>
      </c>
      <c r="AN35" s="635"/>
      <c r="AO35" s="188">
        <v>3</v>
      </c>
      <c r="AP35" s="188">
        <v>2699.3758310397734</v>
      </c>
      <c r="AQ35" s="185">
        <f t="shared" si="12"/>
        <v>899.79194367992443</v>
      </c>
      <c r="AR35" s="182">
        <f t="shared" si="13"/>
        <v>11</v>
      </c>
      <c r="AS35" s="635"/>
      <c r="AT35" s="188">
        <v>3</v>
      </c>
      <c r="AU35" s="188">
        <v>2699.4475743325047</v>
      </c>
      <c r="AV35" s="185">
        <f t="shared" si="14"/>
        <v>899.81585811083494</v>
      </c>
      <c r="AW35" s="182">
        <f t="shared" si="15"/>
        <v>11</v>
      </c>
      <c r="AX35" s="635"/>
    </row>
    <row r="36" spans="1:50">
      <c r="B36" s="610"/>
      <c r="C36" s="180">
        <v>30</v>
      </c>
      <c r="D36" s="183" t="s">
        <v>468</v>
      </c>
      <c r="E36" s="184">
        <v>12</v>
      </c>
      <c r="F36" s="180">
        <v>3600</v>
      </c>
      <c r="G36" s="185">
        <f t="shared" si="16"/>
        <v>300</v>
      </c>
      <c r="H36" s="638"/>
      <c r="I36" s="186">
        <f t="shared" si="3"/>
        <v>12</v>
      </c>
      <c r="J36" s="186">
        <f t="shared" si="3"/>
        <v>3124.514992674005</v>
      </c>
      <c r="K36" s="187">
        <f t="shared" si="3"/>
        <v>260.3762493895004</v>
      </c>
      <c r="L36" s="641"/>
      <c r="M36" s="186">
        <f>RANK(K36, K$7:$K$39)</f>
        <v>30</v>
      </c>
      <c r="N36" s="628"/>
      <c r="O36" s="630"/>
      <c r="P36" s="188">
        <v>12</v>
      </c>
      <c r="Q36" s="188">
        <v>3124.3001119820869</v>
      </c>
      <c r="R36" s="185">
        <f t="shared" si="0"/>
        <v>260.35834266517389</v>
      </c>
      <c r="S36" s="182">
        <f t="shared" si="4"/>
        <v>29</v>
      </c>
      <c r="T36" s="635"/>
      <c r="U36" s="188">
        <v>12</v>
      </c>
      <c r="V36" s="188">
        <v>3124.61844724618</v>
      </c>
      <c r="W36" s="185">
        <f t="shared" si="1"/>
        <v>260.38487060384836</v>
      </c>
      <c r="X36" s="182">
        <f t="shared" si="5"/>
        <v>29</v>
      </c>
      <c r="Y36" s="635"/>
      <c r="Z36" s="188">
        <v>12</v>
      </c>
      <c r="AA36" s="188">
        <v>3124.886877828063</v>
      </c>
      <c r="AB36" s="185">
        <f t="shared" si="6"/>
        <v>260.40723981900527</v>
      </c>
      <c r="AC36" s="182">
        <f t="shared" si="7"/>
        <v>29</v>
      </c>
      <c r="AD36" s="635"/>
      <c r="AE36" s="188">
        <v>12</v>
      </c>
      <c r="AF36" s="188">
        <v>3124.1379310344869</v>
      </c>
      <c r="AG36" s="185">
        <f t="shared" si="8"/>
        <v>260.34482758620726</v>
      </c>
      <c r="AH36" s="182">
        <f t="shared" si="9"/>
        <v>29</v>
      </c>
      <c r="AI36" s="635"/>
      <c r="AJ36" s="188">
        <v>12</v>
      </c>
      <c r="AK36" s="188">
        <v>3123.8416175231755</v>
      </c>
      <c r="AL36" s="185">
        <f t="shared" si="10"/>
        <v>260.32013479359796</v>
      </c>
      <c r="AM36" s="182">
        <f t="shared" si="11"/>
        <v>29</v>
      </c>
      <c r="AN36" s="635"/>
      <c r="AO36" s="188">
        <v>12</v>
      </c>
      <c r="AP36" s="188">
        <v>3125.1682368775059</v>
      </c>
      <c r="AQ36" s="185">
        <f t="shared" si="12"/>
        <v>260.43068640645885</v>
      </c>
      <c r="AR36" s="182">
        <f t="shared" si="13"/>
        <v>28</v>
      </c>
      <c r="AS36" s="635"/>
      <c r="AT36" s="188">
        <v>12</v>
      </c>
      <c r="AU36" s="188">
        <v>3124.651726226537</v>
      </c>
      <c r="AV36" s="185">
        <f t="shared" si="14"/>
        <v>260.3876438522114</v>
      </c>
      <c r="AW36" s="182">
        <f t="shared" si="15"/>
        <v>28</v>
      </c>
      <c r="AX36" s="635"/>
    </row>
    <row r="37" spans="1:50">
      <c r="B37" s="610"/>
      <c r="C37" s="180">
        <v>31</v>
      </c>
      <c r="D37" s="183" t="s">
        <v>617</v>
      </c>
      <c r="E37" s="180">
        <v>5</v>
      </c>
      <c r="F37" s="180">
        <v>3000</v>
      </c>
      <c r="G37" s="185">
        <f t="shared" si="16"/>
        <v>600</v>
      </c>
      <c r="H37" s="638"/>
      <c r="I37" s="186">
        <f t="shared" si="3"/>
        <v>5</v>
      </c>
      <c r="J37" s="186">
        <f t="shared" si="3"/>
        <v>2460.0856142171519</v>
      </c>
      <c r="K37" s="187">
        <f t="shared" si="3"/>
        <v>492.0171228434304</v>
      </c>
      <c r="L37" s="641"/>
      <c r="M37" s="186">
        <f>RANK(K37, K$7:$K$39)</f>
        <v>27</v>
      </c>
      <c r="N37" s="628"/>
      <c r="O37" s="630"/>
      <c r="P37" s="188"/>
      <c r="Q37" s="188"/>
      <c r="R37" s="185"/>
      <c r="S37" s="182"/>
      <c r="T37" s="635"/>
      <c r="U37" s="188"/>
      <c r="V37" s="188"/>
      <c r="W37" s="185"/>
      <c r="X37" s="182"/>
      <c r="Y37" s="635"/>
      <c r="Z37" s="188"/>
      <c r="AA37" s="188"/>
      <c r="AB37" s="185"/>
      <c r="AC37" s="182"/>
      <c r="AD37" s="635"/>
      <c r="AE37" s="188"/>
      <c r="AF37" s="188"/>
      <c r="AG37" s="185"/>
      <c r="AH37" s="182"/>
      <c r="AI37" s="635"/>
      <c r="AJ37" s="188"/>
      <c r="AK37" s="188"/>
      <c r="AL37" s="185"/>
      <c r="AM37" s="182"/>
      <c r="AN37" s="635"/>
      <c r="AO37" s="188"/>
      <c r="AP37" s="188"/>
      <c r="AQ37" s="185"/>
      <c r="AR37" s="182"/>
      <c r="AS37" s="635"/>
      <c r="AT37" s="188">
        <v>5</v>
      </c>
      <c r="AU37" s="188">
        <v>2460.0856142171519</v>
      </c>
      <c r="AV37" s="185">
        <f t="shared" si="14"/>
        <v>492.0171228434304</v>
      </c>
      <c r="AW37" s="182">
        <f t="shared" si="15"/>
        <v>26</v>
      </c>
      <c r="AX37" s="635"/>
    </row>
    <row r="38" spans="1:50">
      <c r="B38" s="610"/>
      <c r="C38" s="180">
        <v>32</v>
      </c>
      <c r="D38" s="183"/>
      <c r="E38" s="180"/>
      <c r="F38" s="180"/>
      <c r="G38" s="185"/>
      <c r="H38" s="638"/>
      <c r="I38" s="186"/>
      <c r="J38" s="186"/>
      <c r="K38" s="187"/>
      <c r="L38" s="641"/>
      <c r="M38" s="186"/>
      <c r="N38" s="628"/>
      <c r="O38" s="630"/>
      <c r="P38" s="188"/>
      <c r="Q38" s="188"/>
      <c r="R38" s="185"/>
      <c r="S38" s="182"/>
      <c r="T38" s="635"/>
      <c r="U38" s="188"/>
      <c r="V38" s="188"/>
      <c r="W38" s="185"/>
      <c r="X38" s="182"/>
      <c r="Y38" s="635"/>
      <c r="Z38" s="188"/>
      <c r="AA38" s="188"/>
      <c r="AB38" s="185"/>
      <c r="AC38" s="182"/>
      <c r="AD38" s="635"/>
      <c r="AE38" s="188"/>
      <c r="AF38" s="188"/>
      <c r="AG38" s="185"/>
      <c r="AH38" s="182"/>
      <c r="AI38" s="635"/>
      <c r="AJ38" s="188"/>
      <c r="AK38" s="188"/>
      <c r="AL38" s="185"/>
      <c r="AM38" s="182"/>
      <c r="AN38" s="635"/>
      <c r="AO38" s="188"/>
      <c r="AP38" s="188"/>
      <c r="AQ38" s="185"/>
      <c r="AR38" s="182"/>
      <c r="AS38" s="635"/>
      <c r="AT38" s="188"/>
      <c r="AU38" s="188"/>
      <c r="AV38" s="185"/>
      <c r="AW38" s="182"/>
      <c r="AX38" s="635"/>
    </row>
    <row r="39" spans="1:50">
      <c r="B39" s="611"/>
      <c r="C39" s="180">
        <v>33</v>
      </c>
      <c r="D39" s="183"/>
      <c r="E39" s="180"/>
      <c r="F39" s="180"/>
      <c r="G39" s="185"/>
      <c r="H39" s="639"/>
      <c r="I39" s="186"/>
      <c r="J39" s="186"/>
      <c r="K39" s="187"/>
      <c r="L39" s="642"/>
      <c r="M39" s="186"/>
      <c r="N39" s="629"/>
      <c r="O39" s="594"/>
      <c r="P39" s="188"/>
      <c r="Q39" s="188"/>
      <c r="R39" s="185"/>
      <c r="S39" s="182"/>
      <c r="T39" s="636"/>
      <c r="U39" s="188"/>
      <c r="V39" s="188"/>
      <c r="W39" s="185"/>
      <c r="X39" s="182"/>
      <c r="Y39" s="636"/>
      <c r="Z39" s="188"/>
      <c r="AA39" s="188"/>
      <c r="AB39" s="185"/>
      <c r="AC39" s="182"/>
      <c r="AD39" s="636"/>
      <c r="AE39" s="188"/>
      <c r="AF39" s="188"/>
      <c r="AG39" s="185"/>
      <c r="AH39" s="182"/>
      <c r="AI39" s="636"/>
      <c r="AJ39" s="188"/>
      <c r="AK39" s="188"/>
      <c r="AL39" s="185"/>
      <c r="AM39" s="182"/>
      <c r="AN39" s="636"/>
      <c r="AO39" s="188"/>
      <c r="AP39" s="188"/>
      <c r="AQ39" s="185"/>
      <c r="AR39" s="182"/>
      <c r="AS39" s="636"/>
      <c r="AT39" s="188"/>
      <c r="AU39" s="188"/>
      <c r="AV39" s="185"/>
      <c r="AW39" s="182"/>
      <c r="AX39" s="636"/>
    </row>
    <row r="40" spans="1:50" ht="14.25" customHeight="1">
      <c r="B40" s="589" t="s">
        <v>657</v>
      </c>
      <c r="C40" s="589"/>
      <c r="D40" s="589"/>
      <c r="E40" s="589"/>
      <c r="F40" s="589"/>
      <c r="G40" s="589"/>
      <c r="H40" s="589"/>
      <c r="I40" s="589"/>
      <c r="J40" s="589"/>
      <c r="K40" s="589"/>
      <c r="L40" s="589"/>
      <c r="M40" s="590"/>
      <c r="N40" s="593" t="s">
        <v>374</v>
      </c>
      <c r="O40" s="593" t="s">
        <v>105</v>
      </c>
      <c r="P40" s="595">
        <v>46119</v>
      </c>
      <c r="Q40" s="596"/>
      <c r="R40" s="596"/>
      <c r="S40" s="596"/>
      <c r="T40" s="596"/>
      <c r="U40" s="597">
        <v>46120</v>
      </c>
      <c r="V40" s="598"/>
      <c r="W40" s="598"/>
      <c r="X40" s="598"/>
      <c r="Y40" s="598"/>
      <c r="Z40" s="595">
        <v>46121</v>
      </c>
      <c r="AA40" s="596"/>
      <c r="AB40" s="596"/>
      <c r="AC40" s="596"/>
      <c r="AD40" s="596"/>
      <c r="AE40" s="597">
        <v>46122</v>
      </c>
      <c r="AF40" s="598"/>
      <c r="AG40" s="598"/>
      <c r="AH40" s="598"/>
      <c r="AI40" s="598"/>
      <c r="AJ40" s="580">
        <v>46123</v>
      </c>
      <c r="AK40" s="581"/>
      <c r="AL40" s="581"/>
      <c r="AM40" s="581"/>
      <c r="AN40" s="582"/>
      <c r="AO40" s="597">
        <v>46124</v>
      </c>
      <c r="AP40" s="598"/>
      <c r="AQ40" s="598"/>
      <c r="AR40" s="598"/>
      <c r="AS40" s="598"/>
      <c r="AT40" s="580">
        <v>46125</v>
      </c>
      <c r="AU40" s="581"/>
      <c r="AV40" s="581"/>
      <c r="AW40" s="581"/>
      <c r="AX40" s="582"/>
    </row>
    <row r="41" spans="1:50" ht="14.25" customHeight="1">
      <c r="B41" s="591"/>
      <c r="C41" s="591"/>
      <c r="D41" s="591"/>
      <c r="E41" s="591"/>
      <c r="F41" s="591"/>
      <c r="G41" s="591"/>
      <c r="H41" s="591"/>
      <c r="I41" s="591"/>
      <c r="J41" s="591"/>
      <c r="K41" s="591"/>
      <c r="L41" s="591"/>
      <c r="M41" s="592"/>
      <c r="N41" s="594"/>
      <c r="O41" s="594"/>
      <c r="P41" s="583">
        <v>46119</v>
      </c>
      <c r="Q41" s="583"/>
      <c r="R41" s="583"/>
      <c r="S41" s="583"/>
      <c r="T41" s="583"/>
      <c r="U41" s="584">
        <v>46120</v>
      </c>
      <c r="V41" s="584"/>
      <c r="W41" s="584"/>
      <c r="X41" s="584"/>
      <c r="Y41" s="584"/>
      <c r="Z41" s="583">
        <v>46121</v>
      </c>
      <c r="AA41" s="583"/>
      <c r="AB41" s="583"/>
      <c r="AC41" s="583"/>
      <c r="AD41" s="583"/>
      <c r="AE41" s="584">
        <v>46122</v>
      </c>
      <c r="AF41" s="584"/>
      <c r="AG41" s="584"/>
      <c r="AH41" s="584"/>
      <c r="AI41" s="584"/>
      <c r="AJ41" s="585">
        <v>46123</v>
      </c>
      <c r="AK41" s="586"/>
      <c r="AL41" s="586"/>
      <c r="AM41" s="586"/>
      <c r="AN41" s="587"/>
      <c r="AO41" s="584">
        <v>46124</v>
      </c>
      <c r="AP41" s="584"/>
      <c r="AQ41" s="584"/>
      <c r="AR41" s="584"/>
      <c r="AS41" s="584"/>
      <c r="AT41" s="585">
        <v>46125</v>
      </c>
      <c r="AU41" s="586"/>
      <c r="AV41" s="586"/>
      <c r="AW41" s="586"/>
      <c r="AX41" s="587"/>
    </row>
    <row r="42" spans="1:50">
      <c r="B42" s="575" t="s">
        <v>162</v>
      </c>
      <c r="C42" s="575" t="s">
        <v>157</v>
      </c>
      <c r="D42" s="575"/>
      <c r="E42" s="575" t="s">
        <v>158</v>
      </c>
      <c r="F42" s="575"/>
      <c r="G42" s="575"/>
      <c r="H42" s="575" t="s">
        <v>163</v>
      </c>
      <c r="I42" s="579" t="s">
        <v>375</v>
      </c>
      <c r="J42" s="579"/>
      <c r="K42" s="579"/>
      <c r="L42" s="579" t="s">
        <v>163</v>
      </c>
      <c r="M42" s="579" t="s">
        <v>165</v>
      </c>
      <c r="N42" s="588"/>
      <c r="O42" s="578" t="s">
        <v>164</v>
      </c>
      <c r="P42" s="578" t="s">
        <v>160</v>
      </c>
      <c r="Q42" s="578"/>
      <c r="R42" s="578"/>
      <c r="S42" s="578"/>
      <c r="T42" s="578" t="s">
        <v>163</v>
      </c>
      <c r="U42" s="578" t="s">
        <v>160</v>
      </c>
      <c r="V42" s="578"/>
      <c r="W42" s="578"/>
      <c r="X42" s="578"/>
      <c r="Y42" s="578" t="s">
        <v>163</v>
      </c>
      <c r="Z42" s="578" t="s">
        <v>160</v>
      </c>
      <c r="AA42" s="578"/>
      <c r="AB42" s="578"/>
      <c r="AC42" s="578"/>
      <c r="AD42" s="578" t="s">
        <v>163</v>
      </c>
      <c r="AE42" s="578" t="s">
        <v>160</v>
      </c>
      <c r="AF42" s="578"/>
      <c r="AG42" s="578"/>
      <c r="AH42" s="578"/>
      <c r="AI42" s="578" t="s">
        <v>163</v>
      </c>
      <c r="AJ42" s="578" t="s">
        <v>160</v>
      </c>
      <c r="AK42" s="578"/>
      <c r="AL42" s="578"/>
      <c r="AM42" s="578"/>
      <c r="AN42" s="578" t="s">
        <v>163</v>
      </c>
      <c r="AO42" s="578" t="s">
        <v>160</v>
      </c>
      <c r="AP42" s="578"/>
      <c r="AQ42" s="578"/>
      <c r="AR42" s="578"/>
      <c r="AS42" s="578" t="s">
        <v>163</v>
      </c>
      <c r="AT42" s="578" t="s">
        <v>160</v>
      </c>
      <c r="AU42" s="578"/>
      <c r="AV42" s="578"/>
      <c r="AW42" s="578"/>
      <c r="AX42" s="578" t="s">
        <v>163</v>
      </c>
    </row>
    <row r="43" spans="1:50">
      <c r="B43" s="575"/>
      <c r="C43" s="575"/>
      <c r="D43" s="575"/>
      <c r="E43" s="575" t="s">
        <v>376</v>
      </c>
      <c r="F43" s="575"/>
      <c r="G43" s="575"/>
      <c r="H43" s="575"/>
      <c r="I43" s="579" t="s">
        <v>376</v>
      </c>
      <c r="J43" s="579"/>
      <c r="K43" s="579"/>
      <c r="L43" s="579"/>
      <c r="M43" s="579"/>
      <c r="N43" s="588"/>
      <c r="O43" s="578"/>
      <c r="P43" s="578" t="s">
        <v>377</v>
      </c>
      <c r="Q43" s="578"/>
      <c r="R43" s="578"/>
      <c r="S43" s="578"/>
      <c r="T43" s="578"/>
      <c r="U43" s="578" t="s">
        <v>377</v>
      </c>
      <c r="V43" s="578"/>
      <c r="W43" s="578"/>
      <c r="X43" s="578"/>
      <c r="Y43" s="578"/>
      <c r="Z43" s="578" t="s">
        <v>377</v>
      </c>
      <c r="AA43" s="578"/>
      <c r="AB43" s="578"/>
      <c r="AC43" s="578"/>
      <c r="AD43" s="578"/>
      <c r="AE43" s="578" t="s">
        <v>377</v>
      </c>
      <c r="AF43" s="578"/>
      <c r="AG43" s="578"/>
      <c r="AH43" s="578"/>
      <c r="AI43" s="578"/>
      <c r="AJ43" s="578" t="s">
        <v>377</v>
      </c>
      <c r="AK43" s="578"/>
      <c r="AL43" s="578"/>
      <c r="AM43" s="578"/>
      <c r="AN43" s="578"/>
      <c r="AO43" s="578" t="s">
        <v>377</v>
      </c>
      <c r="AP43" s="578"/>
      <c r="AQ43" s="578"/>
      <c r="AR43" s="578"/>
      <c r="AS43" s="578"/>
      <c r="AT43" s="578" t="s">
        <v>377</v>
      </c>
      <c r="AU43" s="578"/>
      <c r="AV43" s="578"/>
      <c r="AW43" s="578"/>
      <c r="AX43" s="578"/>
    </row>
    <row r="44" spans="1:50">
      <c r="A44" s="177"/>
      <c r="B44" s="575"/>
      <c r="C44" s="575"/>
      <c r="D44" s="575"/>
      <c r="E44" s="180" t="s">
        <v>159</v>
      </c>
      <c r="F44" s="180" t="s">
        <v>378</v>
      </c>
      <c r="G44" s="180" t="s">
        <v>161</v>
      </c>
      <c r="H44" s="575"/>
      <c r="I44" s="181" t="s">
        <v>159</v>
      </c>
      <c r="J44" s="181" t="s">
        <v>378</v>
      </c>
      <c r="K44" s="181" t="s">
        <v>161</v>
      </c>
      <c r="L44" s="579"/>
      <c r="M44" s="579"/>
      <c r="N44" s="588"/>
      <c r="O44" s="578"/>
      <c r="P44" s="182" t="s">
        <v>159</v>
      </c>
      <c r="Q44" s="182" t="s">
        <v>378</v>
      </c>
      <c r="R44" s="182" t="s">
        <v>161</v>
      </c>
      <c r="S44" s="182" t="s">
        <v>165</v>
      </c>
      <c r="T44" s="578"/>
      <c r="U44" s="182" t="s">
        <v>159</v>
      </c>
      <c r="V44" s="182" t="s">
        <v>378</v>
      </c>
      <c r="W44" s="182" t="s">
        <v>161</v>
      </c>
      <c r="X44" s="182" t="s">
        <v>165</v>
      </c>
      <c r="Y44" s="578"/>
      <c r="Z44" s="182" t="s">
        <v>159</v>
      </c>
      <c r="AA44" s="182" t="s">
        <v>378</v>
      </c>
      <c r="AB44" s="182" t="s">
        <v>161</v>
      </c>
      <c r="AC44" s="182" t="s">
        <v>165</v>
      </c>
      <c r="AD44" s="578"/>
      <c r="AE44" s="182" t="s">
        <v>159</v>
      </c>
      <c r="AF44" s="182" t="s">
        <v>378</v>
      </c>
      <c r="AG44" s="182" t="s">
        <v>161</v>
      </c>
      <c r="AH44" s="182" t="s">
        <v>165</v>
      </c>
      <c r="AI44" s="578"/>
      <c r="AJ44" s="182" t="s">
        <v>159</v>
      </c>
      <c r="AK44" s="182" t="s">
        <v>378</v>
      </c>
      <c r="AL44" s="182" t="s">
        <v>161</v>
      </c>
      <c r="AM44" s="182" t="s">
        <v>165</v>
      </c>
      <c r="AN44" s="578"/>
      <c r="AO44" s="182" t="s">
        <v>159</v>
      </c>
      <c r="AP44" s="182" t="s">
        <v>378</v>
      </c>
      <c r="AQ44" s="182" t="s">
        <v>161</v>
      </c>
      <c r="AR44" s="182" t="s">
        <v>165</v>
      </c>
      <c r="AS44" s="578"/>
      <c r="AT44" s="182" t="s">
        <v>159</v>
      </c>
      <c r="AU44" s="182" t="s">
        <v>378</v>
      </c>
      <c r="AV44" s="182" t="s">
        <v>161</v>
      </c>
      <c r="AW44" s="182" t="s">
        <v>165</v>
      </c>
      <c r="AX44" s="578"/>
    </row>
    <row r="45" spans="1:50">
      <c r="B45" s="575" t="s">
        <v>379</v>
      </c>
      <c r="C45" s="180">
        <v>1</v>
      </c>
      <c r="D45" s="183" t="s">
        <v>404</v>
      </c>
      <c r="E45" s="184">
        <v>4</v>
      </c>
      <c r="F45" s="180">
        <v>3600</v>
      </c>
      <c r="G45" s="185">
        <f>F45/E45</f>
        <v>900</v>
      </c>
      <c r="H45" s="576">
        <f>AVERAGE(G45:G77)</f>
        <v>846.46634615384619</v>
      </c>
      <c r="I45" s="186">
        <f>AVERAGE(P45,U45,Z45,AE45,AJ45,AO45,AT45)</f>
        <v>4</v>
      </c>
      <c r="J45" s="186">
        <f>AVERAGE(Q45,V45,AA45,AF45,AK45,AP45,AU45)</f>
        <v>3175.4816234150794</v>
      </c>
      <c r="K45" s="187">
        <f>AVERAGE(R45,W45,AB45,AG45,AL45,AQ45,AV45)</f>
        <v>793.87040585376985</v>
      </c>
      <c r="L45" s="577">
        <f>IFERROR(AVERAGE(K45:K77),"-")</f>
        <v>748.89269830714511</v>
      </c>
      <c r="M45" s="186">
        <f>RANK(K45, K$45:$K$77)</f>
        <v>15</v>
      </c>
      <c r="N45" s="588"/>
      <c r="O45" s="578"/>
      <c r="P45" s="188">
        <v>4</v>
      </c>
      <c r="Q45" s="188">
        <v>3175.0911933298621</v>
      </c>
      <c r="R45" s="185">
        <f t="shared" ref="R45:R74" si="17">IFERROR(Q45/P45,"")</f>
        <v>793.77279833246553</v>
      </c>
      <c r="S45" s="182">
        <f>RANK(R45, R$45:R$77)</f>
        <v>13</v>
      </c>
      <c r="T45" s="574">
        <f>AVERAGE(R45:R77)</f>
        <v>739.62270669928694</v>
      </c>
      <c r="U45" s="188">
        <v>4</v>
      </c>
      <c r="V45" s="188">
        <v>3174.9466950959491</v>
      </c>
      <c r="W45" s="185">
        <f t="shared" ref="W45:W74" si="18">IFERROR(V45/U45,"")</f>
        <v>793.73667377398726</v>
      </c>
      <c r="X45" s="182">
        <f>RANK(W45, W$45:W$77)</f>
        <v>13</v>
      </c>
      <c r="Y45" s="574">
        <f>AVERAGE(W45:W77)</f>
        <v>740.02792074751483</v>
      </c>
      <c r="Z45" s="188">
        <v>4</v>
      </c>
      <c r="AA45" s="188">
        <v>3174.2266950959493</v>
      </c>
      <c r="AB45" s="185">
        <f>IFERROR(AA45/Z45,"")</f>
        <v>793.55667377398731</v>
      </c>
      <c r="AC45" s="182">
        <f>RANK(AB45, AB$45:AB$77)</f>
        <v>13</v>
      </c>
      <c r="AD45" s="574">
        <f>AVERAGE(AB45:AB77)</f>
        <v>740.34460588118554</v>
      </c>
      <c r="AE45" s="188">
        <v>4</v>
      </c>
      <c r="AF45" s="188">
        <v>3174.9466950959491</v>
      </c>
      <c r="AG45" s="185">
        <f>IFERROR(AF45/AE45,"")</f>
        <v>793.73667377398726</v>
      </c>
      <c r="AH45" s="182">
        <f>RANK(AG45, AG$45:AG$77)</f>
        <v>13</v>
      </c>
      <c r="AI45" s="574">
        <f>AVERAGE(AG45:AG77)</f>
        <v>740.64284739826121</v>
      </c>
      <c r="AJ45" s="188">
        <v>4</v>
      </c>
      <c r="AK45" s="188">
        <v>3176.7466950959492</v>
      </c>
      <c r="AL45" s="185">
        <f>IFERROR(AK45/AJ45,"")</f>
        <v>794.18667377398731</v>
      </c>
      <c r="AM45" s="182">
        <f>RANK(AL45, AL$45:AL$77)</f>
        <v>12</v>
      </c>
      <c r="AN45" s="574">
        <f>AVERAGE(AL45:AL77)</f>
        <v>740.73800951457349</v>
      </c>
      <c r="AO45" s="188">
        <v>4</v>
      </c>
      <c r="AP45" s="188">
        <v>3176.0266950959494</v>
      </c>
      <c r="AQ45" s="185">
        <f>IFERROR(AP45/AO45,"")</f>
        <v>794.00667377398736</v>
      </c>
      <c r="AR45" s="182">
        <f>RANK(AQ45, AQ$45:AQ$77)</f>
        <v>13</v>
      </c>
      <c r="AS45" s="574">
        <f>AVERAGE(AQ45:AQ77)</f>
        <v>740.75622618124032</v>
      </c>
      <c r="AT45" s="188">
        <v>4</v>
      </c>
      <c r="AU45" s="188">
        <v>3176.38669509595</v>
      </c>
      <c r="AV45" s="185">
        <f>IFERROR(AU45/AT45,"")</f>
        <v>794.0966737739875</v>
      </c>
      <c r="AW45" s="182">
        <f>RANK(AV45, AV$45:AV$77)</f>
        <v>15</v>
      </c>
      <c r="AX45" s="574">
        <f>AVERAGE(AV45:AV77)</f>
        <v>749.25114194021444</v>
      </c>
    </row>
    <row r="46" spans="1:50">
      <c r="B46" s="575"/>
      <c r="C46" s="180">
        <v>2</v>
      </c>
      <c r="D46" s="183" t="s">
        <v>402</v>
      </c>
      <c r="E46" s="184">
        <v>3</v>
      </c>
      <c r="F46" s="180">
        <v>3600</v>
      </c>
      <c r="G46" s="185">
        <f t="shared" ref="G46:G65" si="19">F46/E46</f>
        <v>1200</v>
      </c>
      <c r="H46" s="576"/>
      <c r="I46" s="186">
        <f t="shared" ref="I46:K76" si="20">AVERAGE(P46,U46,Z46,AE46,AJ46,AO46,AT46)</f>
        <v>3</v>
      </c>
      <c r="J46" s="186">
        <f t="shared" si="20"/>
        <v>3175.3592079839832</v>
      </c>
      <c r="K46" s="187">
        <f t="shared" si="20"/>
        <v>1058.4530693279946</v>
      </c>
      <c r="L46" s="577"/>
      <c r="M46" s="186">
        <f>RANK(K46, K$45:$K$77)</f>
        <v>7</v>
      </c>
      <c r="N46" s="588"/>
      <c r="O46" s="578"/>
      <c r="P46" s="188">
        <v>3</v>
      </c>
      <c r="Q46" s="188">
        <v>3174.3212382644001</v>
      </c>
      <c r="R46" s="185">
        <f t="shared" si="17"/>
        <v>1058.1070794214668</v>
      </c>
      <c r="S46" s="182">
        <f t="shared" ref="S46:S74" si="21">RANK(R46, R$45:R$77)</f>
        <v>7</v>
      </c>
      <c r="T46" s="574"/>
      <c r="U46" s="188">
        <v>3</v>
      </c>
      <c r="V46" s="188">
        <v>3174.1522029372477</v>
      </c>
      <c r="W46" s="185">
        <f t="shared" si="18"/>
        <v>1058.0507343124159</v>
      </c>
      <c r="X46" s="182">
        <f t="shared" ref="X46:X74" si="22">RANK(W46, W$45:W$77)</f>
        <v>7</v>
      </c>
      <c r="Y46" s="574"/>
      <c r="Z46" s="188">
        <v>3</v>
      </c>
      <c r="AA46" s="188">
        <v>3175.5922029372473</v>
      </c>
      <c r="AB46" s="185">
        <f t="shared" ref="AB46:AB74" si="23">IFERROR(AA46/Z46,"")</f>
        <v>1058.5307343124157</v>
      </c>
      <c r="AC46" s="182">
        <f t="shared" ref="AC46:AC74" si="24">RANK(AB46, AB$45:AB$77)</f>
        <v>7</v>
      </c>
      <c r="AD46" s="574"/>
      <c r="AE46" s="188">
        <v>3</v>
      </c>
      <c r="AF46" s="188">
        <v>3176.6722029372472</v>
      </c>
      <c r="AG46" s="185">
        <f t="shared" ref="AG46:AG74" si="25">IFERROR(AF46/AE46,"")</f>
        <v>1058.8907343124158</v>
      </c>
      <c r="AH46" s="182">
        <f t="shared" ref="AH46:AH74" si="26">RANK(AG46, AG$45:AG$77)</f>
        <v>7</v>
      </c>
      <c r="AI46" s="574"/>
      <c r="AJ46" s="188">
        <v>3</v>
      </c>
      <c r="AK46" s="188">
        <v>3175.2322029372472</v>
      </c>
      <c r="AL46" s="185">
        <f t="shared" ref="AL46:AL74" si="27">IFERROR(AK46/AJ46,"")</f>
        <v>1058.4107343124158</v>
      </c>
      <c r="AM46" s="182">
        <f t="shared" ref="AM46:AM74" si="28">RANK(AL46, AL$45:AL$77)</f>
        <v>7</v>
      </c>
      <c r="AN46" s="574"/>
      <c r="AO46" s="188">
        <v>3</v>
      </c>
      <c r="AP46" s="188">
        <v>3176.6722029372472</v>
      </c>
      <c r="AQ46" s="185">
        <f t="shared" ref="AQ46:AQ74" si="29">IFERROR(AP46/AO46,"")</f>
        <v>1058.8907343124158</v>
      </c>
      <c r="AR46" s="182">
        <f t="shared" ref="AR46:AR74" si="30">RANK(AQ46, AQ$45:AQ$77)</f>
        <v>6</v>
      </c>
      <c r="AS46" s="574"/>
      <c r="AT46" s="188">
        <v>3</v>
      </c>
      <c r="AU46" s="188">
        <v>3174.8722029372479</v>
      </c>
      <c r="AV46" s="185">
        <f t="shared" ref="AV46:AV76" si="31">IFERROR(AU46/AT46,"")</f>
        <v>1058.2907343124159</v>
      </c>
      <c r="AW46" s="182">
        <f t="shared" ref="AW46:AW76" si="32">RANK(AV46, AV$45:AV$77)</f>
        <v>7</v>
      </c>
      <c r="AX46" s="574"/>
    </row>
    <row r="47" spans="1:50">
      <c r="B47" s="575"/>
      <c r="C47" s="180">
        <v>3</v>
      </c>
      <c r="D47" s="183" t="s">
        <v>403</v>
      </c>
      <c r="E47" s="184">
        <v>5</v>
      </c>
      <c r="F47" s="180">
        <v>3600</v>
      </c>
      <c r="G47" s="185">
        <f t="shared" si="19"/>
        <v>720</v>
      </c>
      <c r="H47" s="576"/>
      <c r="I47" s="186">
        <f t="shared" si="20"/>
        <v>5</v>
      </c>
      <c r="J47" s="186">
        <f t="shared" si="20"/>
        <v>3172.0426497299568</v>
      </c>
      <c r="K47" s="187">
        <f t="shared" si="20"/>
        <v>634.40852994599129</v>
      </c>
      <c r="L47" s="577"/>
      <c r="M47" s="186">
        <f>RANK(K47, K$45:$K$77)</f>
        <v>24</v>
      </c>
      <c r="N47" s="588"/>
      <c r="O47" s="578"/>
      <c r="P47" s="188">
        <v>5</v>
      </c>
      <c r="Q47" s="188">
        <v>3173.9090491502097</v>
      </c>
      <c r="R47" s="185">
        <f t="shared" si="17"/>
        <v>634.78180983004199</v>
      </c>
      <c r="S47" s="182">
        <f t="shared" si="21"/>
        <v>22</v>
      </c>
      <c r="T47" s="574"/>
      <c r="U47" s="188">
        <v>5</v>
      </c>
      <c r="V47" s="188">
        <v>3174.1315831599145</v>
      </c>
      <c r="W47" s="185">
        <f t="shared" si="18"/>
        <v>634.82631663198288</v>
      </c>
      <c r="X47" s="182">
        <f t="shared" si="22"/>
        <v>22</v>
      </c>
      <c r="Y47" s="574"/>
      <c r="Z47" s="188">
        <v>5</v>
      </c>
      <c r="AA47" s="188">
        <v>3172.6915831599154</v>
      </c>
      <c r="AB47" s="185">
        <f t="shared" si="23"/>
        <v>634.53831663198309</v>
      </c>
      <c r="AC47" s="182">
        <f t="shared" si="24"/>
        <v>22</v>
      </c>
      <c r="AD47" s="574"/>
      <c r="AE47" s="188">
        <v>5</v>
      </c>
      <c r="AF47" s="188">
        <v>3171.611583159915</v>
      </c>
      <c r="AG47" s="185">
        <f t="shared" si="25"/>
        <v>634.32231663198297</v>
      </c>
      <c r="AH47" s="182">
        <f t="shared" si="26"/>
        <v>22</v>
      </c>
      <c r="AI47" s="574"/>
      <c r="AJ47" s="188">
        <v>5</v>
      </c>
      <c r="AK47" s="188">
        <v>3170.1715831599145</v>
      </c>
      <c r="AL47" s="185">
        <f t="shared" si="27"/>
        <v>634.03431663198285</v>
      </c>
      <c r="AM47" s="182">
        <f t="shared" si="28"/>
        <v>22</v>
      </c>
      <c r="AN47" s="574"/>
      <c r="AO47" s="188">
        <v>5</v>
      </c>
      <c r="AP47" s="188">
        <v>3170.171583159914</v>
      </c>
      <c r="AQ47" s="185">
        <f t="shared" si="29"/>
        <v>634.03431663198285</v>
      </c>
      <c r="AR47" s="182">
        <f t="shared" si="30"/>
        <v>22</v>
      </c>
      <c r="AS47" s="574"/>
      <c r="AT47" s="188">
        <v>5</v>
      </c>
      <c r="AU47" s="188">
        <v>3171.6115831599145</v>
      </c>
      <c r="AV47" s="185">
        <f t="shared" si="31"/>
        <v>634.32231663198286</v>
      </c>
      <c r="AW47" s="182">
        <f t="shared" si="32"/>
        <v>24</v>
      </c>
      <c r="AX47" s="574"/>
    </row>
    <row r="48" spans="1:50">
      <c r="B48" s="575"/>
      <c r="C48" s="180">
        <v>4</v>
      </c>
      <c r="D48" s="183" t="s">
        <v>229</v>
      </c>
      <c r="E48" s="184">
        <v>5</v>
      </c>
      <c r="F48" s="180">
        <v>3300</v>
      </c>
      <c r="G48" s="185">
        <f t="shared" si="19"/>
        <v>660</v>
      </c>
      <c r="H48" s="576"/>
      <c r="I48" s="186">
        <f t="shared" si="20"/>
        <v>5</v>
      </c>
      <c r="J48" s="186">
        <f t="shared" si="20"/>
        <v>2947.3997399236055</v>
      </c>
      <c r="K48" s="187">
        <f t="shared" si="20"/>
        <v>589.47994798472098</v>
      </c>
      <c r="L48" s="577"/>
      <c r="M48" s="186">
        <f>RANK(K48, K$45:$K$77)</f>
        <v>25</v>
      </c>
      <c r="N48" s="588"/>
      <c r="O48" s="578"/>
      <c r="P48" s="188">
        <v>5</v>
      </c>
      <c r="Q48" s="188">
        <v>2945.8792991563932</v>
      </c>
      <c r="R48" s="185">
        <f t="shared" si="17"/>
        <v>589.17585983127867</v>
      </c>
      <c r="S48" s="182">
        <f t="shared" si="21"/>
        <v>23</v>
      </c>
      <c r="T48" s="574"/>
      <c r="U48" s="188">
        <v>5</v>
      </c>
      <c r="V48" s="188">
        <v>2946.7181467181408</v>
      </c>
      <c r="W48" s="185">
        <f t="shared" si="18"/>
        <v>589.34362934362821</v>
      </c>
      <c r="X48" s="182">
        <f t="shared" si="22"/>
        <v>23</v>
      </c>
      <c r="Y48" s="574"/>
      <c r="Z48" s="188">
        <v>5</v>
      </c>
      <c r="AA48" s="188">
        <v>2946.7181467181408</v>
      </c>
      <c r="AB48" s="185">
        <f t="shared" si="23"/>
        <v>589.34362934362821</v>
      </c>
      <c r="AC48" s="182">
        <f t="shared" si="24"/>
        <v>24</v>
      </c>
      <c r="AD48" s="574"/>
      <c r="AE48" s="188">
        <v>5</v>
      </c>
      <c r="AF48" s="188">
        <v>2946.3881467181409</v>
      </c>
      <c r="AG48" s="185">
        <f t="shared" si="25"/>
        <v>589.27762934362818</v>
      </c>
      <c r="AH48" s="182">
        <f t="shared" si="26"/>
        <v>23</v>
      </c>
      <c r="AI48" s="574"/>
      <c r="AJ48" s="188">
        <v>5</v>
      </c>
      <c r="AK48" s="188">
        <v>2947.7081467181411</v>
      </c>
      <c r="AL48" s="185">
        <f t="shared" si="27"/>
        <v>589.54162934362819</v>
      </c>
      <c r="AM48" s="182">
        <f t="shared" si="28"/>
        <v>23</v>
      </c>
      <c r="AN48" s="574"/>
      <c r="AO48" s="188">
        <v>5</v>
      </c>
      <c r="AP48" s="188">
        <v>2948.3681467181409</v>
      </c>
      <c r="AQ48" s="185">
        <f t="shared" si="29"/>
        <v>589.67362934362814</v>
      </c>
      <c r="AR48" s="182">
        <f t="shared" si="30"/>
        <v>23</v>
      </c>
      <c r="AS48" s="574"/>
      <c r="AT48" s="188">
        <v>5</v>
      </c>
      <c r="AU48" s="188">
        <v>2950.0181467181405</v>
      </c>
      <c r="AV48" s="185">
        <f t="shared" si="31"/>
        <v>590.00362934362806</v>
      </c>
      <c r="AW48" s="182">
        <f t="shared" si="32"/>
        <v>25</v>
      </c>
      <c r="AX48" s="574"/>
    </row>
    <row r="49" spans="2:50">
      <c r="B49" s="575"/>
      <c r="C49" s="180">
        <v>5</v>
      </c>
      <c r="D49" s="183" t="s">
        <v>399</v>
      </c>
      <c r="E49" s="184">
        <v>3</v>
      </c>
      <c r="F49" s="180">
        <v>3600</v>
      </c>
      <c r="G49" s="185">
        <f t="shared" si="19"/>
        <v>1200</v>
      </c>
      <c r="H49" s="576"/>
      <c r="I49" s="186">
        <f t="shared" si="20"/>
        <v>3</v>
      </c>
      <c r="J49" s="186">
        <f t="shared" si="20"/>
        <v>3176.5326929228472</v>
      </c>
      <c r="K49" s="187">
        <f t="shared" si="20"/>
        <v>1058.8442309742825</v>
      </c>
      <c r="L49" s="577"/>
      <c r="M49" s="186">
        <f>RANK(K49, K$45:$K$77)</f>
        <v>6</v>
      </c>
      <c r="N49" s="588"/>
      <c r="O49" s="578"/>
      <c r="P49" s="188">
        <v>3</v>
      </c>
      <c r="Q49" s="188">
        <v>3176.0893050054005</v>
      </c>
      <c r="R49" s="185">
        <f t="shared" si="17"/>
        <v>1058.6964350018002</v>
      </c>
      <c r="S49" s="182">
        <f t="shared" si="21"/>
        <v>6</v>
      </c>
      <c r="T49" s="574"/>
      <c r="U49" s="188">
        <v>3</v>
      </c>
      <c r="V49" s="188">
        <v>3176.8465909090887</v>
      </c>
      <c r="W49" s="185">
        <f t="shared" si="18"/>
        <v>1058.9488636363628</v>
      </c>
      <c r="X49" s="182">
        <f t="shared" si="22"/>
        <v>6</v>
      </c>
      <c r="Y49" s="574"/>
      <c r="Z49" s="188">
        <v>3</v>
      </c>
      <c r="AA49" s="188">
        <v>3176.1265909090885</v>
      </c>
      <c r="AB49" s="185">
        <f t="shared" si="23"/>
        <v>1058.7088636363628</v>
      </c>
      <c r="AC49" s="182">
        <f t="shared" si="24"/>
        <v>6</v>
      </c>
      <c r="AD49" s="574"/>
      <c r="AE49" s="188">
        <v>3</v>
      </c>
      <c r="AF49" s="188">
        <v>3177.2065909090884</v>
      </c>
      <c r="AG49" s="185">
        <f t="shared" si="25"/>
        <v>1059.0688636363627</v>
      </c>
      <c r="AH49" s="182">
        <f t="shared" si="26"/>
        <v>6</v>
      </c>
      <c r="AI49" s="574"/>
      <c r="AJ49" s="188">
        <v>3</v>
      </c>
      <c r="AK49" s="188">
        <v>3175.7665909090888</v>
      </c>
      <c r="AL49" s="185">
        <f t="shared" si="27"/>
        <v>1058.5888636363629</v>
      </c>
      <c r="AM49" s="182">
        <f t="shared" si="28"/>
        <v>6</v>
      </c>
      <c r="AN49" s="574"/>
      <c r="AO49" s="188">
        <v>3</v>
      </c>
      <c r="AP49" s="188">
        <v>3176.8465909090883</v>
      </c>
      <c r="AQ49" s="185">
        <f t="shared" si="29"/>
        <v>1058.9488636363628</v>
      </c>
      <c r="AR49" s="182">
        <f t="shared" si="30"/>
        <v>4</v>
      </c>
      <c r="AS49" s="574"/>
      <c r="AT49" s="188">
        <v>3</v>
      </c>
      <c r="AU49" s="188">
        <v>3176.8465909090878</v>
      </c>
      <c r="AV49" s="185">
        <f t="shared" si="31"/>
        <v>1058.9488636363626</v>
      </c>
      <c r="AW49" s="182">
        <f t="shared" si="32"/>
        <v>6</v>
      </c>
      <c r="AX49" s="574"/>
    </row>
    <row r="50" spans="2:50">
      <c r="B50" s="575"/>
      <c r="C50" s="180">
        <v>6</v>
      </c>
      <c r="D50" s="183" t="s">
        <v>341</v>
      </c>
      <c r="E50" s="184">
        <v>3</v>
      </c>
      <c r="F50" s="180">
        <v>3000</v>
      </c>
      <c r="G50" s="185">
        <f t="shared" si="19"/>
        <v>1000</v>
      </c>
      <c r="H50" s="576"/>
      <c r="I50" s="186">
        <f t="shared" si="20"/>
        <v>3</v>
      </c>
      <c r="J50" s="186">
        <f t="shared" si="20"/>
        <v>2700.6705256751884</v>
      </c>
      <c r="K50" s="187">
        <f t="shared" si="20"/>
        <v>900.22350855839613</v>
      </c>
      <c r="L50" s="577"/>
      <c r="M50" s="186">
        <f>RANK(K50, K$45:$K$77)</f>
        <v>11</v>
      </c>
      <c r="N50" s="588"/>
      <c r="O50" s="578"/>
      <c r="P50" s="188">
        <v>3</v>
      </c>
      <c r="Q50" s="188">
        <v>2700.6137758581499</v>
      </c>
      <c r="R50" s="185">
        <f t="shared" si="17"/>
        <v>900.20459195271667</v>
      </c>
      <c r="S50" s="182">
        <f t="shared" si="21"/>
        <v>10</v>
      </c>
      <c r="T50" s="574"/>
      <c r="U50" s="188">
        <v>3</v>
      </c>
      <c r="V50" s="188">
        <v>2701.0299839780278</v>
      </c>
      <c r="W50" s="185">
        <f t="shared" si="18"/>
        <v>900.34332799267588</v>
      </c>
      <c r="X50" s="182">
        <f t="shared" si="22"/>
        <v>10</v>
      </c>
      <c r="Y50" s="574"/>
      <c r="Z50" s="188">
        <v>3</v>
      </c>
      <c r="AA50" s="188">
        <v>2701.0299839780278</v>
      </c>
      <c r="AB50" s="185">
        <f t="shared" si="23"/>
        <v>900.34332799267588</v>
      </c>
      <c r="AC50" s="182">
        <f t="shared" si="24"/>
        <v>10</v>
      </c>
      <c r="AD50" s="574"/>
      <c r="AE50" s="188">
        <v>3</v>
      </c>
      <c r="AF50" s="188">
        <v>2699.8299839780279</v>
      </c>
      <c r="AG50" s="185">
        <f t="shared" si="25"/>
        <v>899.94332799267602</v>
      </c>
      <c r="AH50" s="182">
        <f t="shared" si="26"/>
        <v>11</v>
      </c>
      <c r="AI50" s="574"/>
      <c r="AJ50" s="188">
        <v>3</v>
      </c>
      <c r="AK50" s="188">
        <v>2700.4299839780283</v>
      </c>
      <c r="AL50" s="185">
        <f t="shared" si="27"/>
        <v>900.14332799267606</v>
      </c>
      <c r="AM50" s="182">
        <f t="shared" si="28"/>
        <v>11</v>
      </c>
      <c r="AN50" s="574"/>
      <c r="AO50" s="188">
        <v>3</v>
      </c>
      <c r="AP50" s="188">
        <v>2700.729983978028</v>
      </c>
      <c r="AQ50" s="185">
        <f t="shared" si="29"/>
        <v>900.24332799267597</v>
      </c>
      <c r="AR50" s="182">
        <f t="shared" si="30"/>
        <v>11</v>
      </c>
      <c r="AS50" s="574"/>
      <c r="AT50" s="188">
        <v>3</v>
      </c>
      <c r="AU50" s="188">
        <v>2701.0299839780278</v>
      </c>
      <c r="AV50" s="185">
        <f t="shared" si="31"/>
        <v>900.34332799267588</v>
      </c>
      <c r="AW50" s="182">
        <f t="shared" si="32"/>
        <v>11</v>
      </c>
      <c r="AX50" s="574"/>
    </row>
    <row r="51" spans="2:50">
      <c r="B51" s="575"/>
      <c r="C51" s="180">
        <v>7</v>
      </c>
      <c r="D51" s="183" t="s">
        <v>401</v>
      </c>
      <c r="E51" s="184">
        <v>3</v>
      </c>
      <c r="F51" s="180">
        <v>3600</v>
      </c>
      <c r="G51" s="185">
        <f t="shared" si="19"/>
        <v>1200</v>
      </c>
      <c r="H51" s="576"/>
      <c r="I51" s="186">
        <f t="shared" si="20"/>
        <v>3</v>
      </c>
      <c r="J51" s="186">
        <f t="shared" si="20"/>
        <v>3178.6352347623406</v>
      </c>
      <c r="K51" s="187">
        <f t="shared" si="20"/>
        <v>1059.5450782541136</v>
      </c>
      <c r="L51" s="577"/>
      <c r="M51" s="186">
        <f>RANK(K51, K$45:$K$77)</f>
        <v>5</v>
      </c>
      <c r="N51" s="588"/>
      <c r="O51" s="578"/>
      <c r="P51" s="188">
        <v>3</v>
      </c>
      <c r="Q51" s="188">
        <v>3178.9046653143996</v>
      </c>
      <c r="R51" s="185">
        <f t="shared" si="17"/>
        <v>1059.6348884381332</v>
      </c>
      <c r="S51" s="182">
        <f t="shared" si="21"/>
        <v>4</v>
      </c>
      <c r="T51" s="574"/>
      <c r="U51" s="188">
        <v>3</v>
      </c>
      <c r="V51" s="188">
        <v>3179.6703296703313</v>
      </c>
      <c r="W51" s="185">
        <f t="shared" si="18"/>
        <v>1059.8901098901104</v>
      </c>
      <c r="X51" s="182">
        <f t="shared" si="22"/>
        <v>3</v>
      </c>
      <c r="Y51" s="574"/>
      <c r="Z51" s="188">
        <v>3</v>
      </c>
      <c r="AA51" s="188">
        <v>3179.6703296703313</v>
      </c>
      <c r="AB51" s="185">
        <f t="shared" si="23"/>
        <v>1059.8901098901104</v>
      </c>
      <c r="AC51" s="182">
        <f t="shared" si="24"/>
        <v>3</v>
      </c>
      <c r="AD51" s="574"/>
      <c r="AE51" s="188">
        <v>3</v>
      </c>
      <c r="AF51" s="188">
        <v>3178.5903296703314</v>
      </c>
      <c r="AG51" s="185">
        <f t="shared" si="25"/>
        <v>1059.5301098901105</v>
      </c>
      <c r="AH51" s="182">
        <f t="shared" si="26"/>
        <v>5</v>
      </c>
      <c r="AI51" s="574"/>
      <c r="AJ51" s="188">
        <v>3</v>
      </c>
      <c r="AK51" s="188">
        <v>3178.5903296703309</v>
      </c>
      <c r="AL51" s="185">
        <f t="shared" si="27"/>
        <v>1059.5301098901102</v>
      </c>
      <c r="AM51" s="182">
        <f t="shared" si="28"/>
        <v>3</v>
      </c>
      <c r="AN51" s="574"/>
      <c r="AO51" s="188">
        <v>3</v>
      </c>
      <c r="AP51" s="188">
        <v>3176.7903296703307</v>
      </c>
      <c r="AQ51" s="185">
        <f t="shared" si="29"/>
        <v>1058.9301098901103</v>
      </c>
      <c r="AR51" s="182">
        <f t="shared" si="30"/>
        <v>5</v>
      </c>
      <c r="AS51" s="574"/>
      <c r="AT51" s="188">
        <v>3</v>
      </c>
      <c r="AU51" s="188">
        <v>3178.2303296703312</v>
      </c>
      <c r="AV51" s="185">
        <f t="shared" si="31"/>
        <v>1059.4101098901103</v>
      </c>
      <c r="AW51" s="182">
        <f t="shared" si="32"/>
        <v>4</v>
      </c>
      <c r="AX51" s="574"/>
    </row>
    <row r="52" spans="2:50">
      <c r="B52" s="575"/>
      <c r="C52" s="180">
        <v>8</v>
      </c>
      <c r="D52" s="183" t="s">
        <v>400</v>
      </c>
      <c r="E52" s="184">
        <v>4</v>
      </c>
      <c r="F52" s="180">
        <v>3300</v>
      </c>
      <c r="G52" s="185">
        <f t="shared" si="19"/>
        <v>825</v>
      </c>
      <c r="H52" s="576"/>
      <c r="I52" s="186">
        <f t="shared" si="20"/>
        <v>4</v>
      </c>
      <c r="J52" s="186">
        <f t="shared" si="20"/>
        <v>2947.5691240880092</v>
      </c>
      <c r="K52" s="187">
        <f t="shared" si="20"/>
        <v>736.89228102200229</v>
      </c>
      <c r="L52" s="577"/>
      <c r="M52" s="186">
        <f>RANK(K52, K$45:$K$77)</f>
        <v>16</v>
      </c>
      <c r="N52" s="588"/>
      <c r="O52" s="578"/>
      <c r="P52" s="188">
        <v>4</v>
      </c>
      <c r="Q52" s="188">
        <v>2946.450304259638</v>
      </c>
      <c r="R52" s="185">
        <f t="shared" si="17"/>
        <v>736.61257606490949</v>
      </c>
      <c r="S52" s="182">
        <f t="shared" si="21"/>
        <v>15</v>
      </c>
      <c r="T52" s="574"/>
      <c r="U52" s="188">
        <v>4</v>
      </c>
      <c r="V52" s="188">
        <v>2945.9405940594052</v>
      </c>
      <c r="W52" s="185">
        <f t="shared" si="18"/>
        <v>736.48514851485129</v>
      </c>
      <c r="X52" s="182">
        <f t="shared" si="22"/>
        <v>16</v>
      </c>
      <c r="Y52" s="574"/>
      <c r="Z52" s="188">
        <v>4</v>
      </c>
      <c r="AA52" s="188">
        <v>2946.2705940594051</v>
      </c>
      <c r="AB52" s="185">
        <f t="shared" si="23"/>
        <v>736.56764851485127</v>
      </c>
      <c r="AC52" s="182">
        <f t="shared" si="24"/>
        <v>16</v>
      </c>
      <c r="AD52" s="574"/>
      <c r="AE52" s="188">
        <v>4</v>
      </c>
      <c r="AF52" s="188">
        <v>2946.600594059405</v>
      </c>
      <c r="AG52" s="185">
        <f t="shared" si="25"/>
        <v>736.65014851485125</v>
      </c>
      <c r="AH52" s="182">
        <f t="shared" si="26"/>
        <v>14</v>
      </c>
      <c r="AI52" s="574"/>
      <c r="AJ52" s="188">
        <v>4</v>
      </c>
      <c r="AK52" s="188">
        <v>2948.2505940594046</v>
      </c>
      <c r="AL52" s="185">
        <f t="shared" si="27"/>
        <v>737.06264851485116</v>
      </c>
      <c r="AM52" s="182">
        <f t="shared" si="28"/>
        <v>14</v>
      </c>
      <c r="AN52" s="574"/>
      <c r="AO52" s="188">
        <v>4</v>
      </c>
      <c r="AP52" s="188">
        <v>2949.240594059404</v>
      </c>
      <c r="AQ52" s="185">
        <f t="shared" si="29"/>
        <v>737.31014851485099</v>
      </c>
      <c r="AR52" s="182">
        <f t="shared" si="30"/>
        <v>14</v>
      </c>
      <c r="AS52" s="574"/>
      <c r="AT52" s="188">
        <v>4</v>
      </c>
      <c r="AU52" s="188">
        <v>2950.2305940594038</v>
      </c>
      <c r="AV52" s="185">
        <f t="shared" si="31"/>
        <v>737.55764851485094</v>
      </c>
      <c r="AW52" s="182">
        <f t="shared" si="32"/>
        <v>16</v>
      </c>
      <c r="AX52" s="574"/>
    </row>
    <row r="53" spans="2:50">
      <c r="B53" s="575"/>
      <c r="C53" s="180">
        <v>9</v>
      </c>
      <c r="D53" s="183" t="s">
        <v>398</v>
      </c>
      <c r="E53" s="184">
        <v>4</v>
      </c>
      <c r="F53" s="180">
        <v>3300</v>
      </c>
      <c r="G53" s="185">
        <f t="shared" si="19"/>
        <v>825</v>
      </c>
      <c r="H53" s="576"/>
      <c r="I53" s="186">
        <f t="shared" si="20"/>
        <v>4</v>
      </c>
      <c r="J53" s="186">
        <f t="shared" si="20"/>
        <v>2943.9439333504592</v>
      </c>
      <c r="K53" s="187">
        <f t="shared" si="20"/>
        <v>735.98598333761481</v>
      </c>
      <c r="L53" s="577"/>
      <c r="M53" s="186">
        <f>RANK(K53, K$45:$K$77)</f>
        <v>19</v>
      </c>
      <c r="N53" s="588"/>
      <c r="O53" s="578"/>
      <c r="P53" s="188">
        <v>4</v>
      </c>
      <c r="Q53" s="188">
        <v>2945.0439146800509</v>
      </c>
      <c r="R53" s="185">
        <f t="shared" si="17"/>
        <v>736.26097867001272</v>
      </c>
      <c r="S53" s="182">
        <f t="shared" si="21"/>
        <v>17</v>
      </c>
      <c r="T53" s="574"/>
      <c r="U53" s="188">
        <v>4</v>
      </c>
      <c r="V53" s="188">
        <v>2944.9156031288608</v>
      </c>
      <c r="W53" s="185">
        <f t="shared" si="18"/>
        <v>736.22890078221519</v>
      </c>
      <c r="X53" s="182">
        <f t="shared" si="22"/>
        <v>17</v>
      </c>
      <c r="Y53" s="574"/>
      <c r="Z53" s="188">
        <v>4</v>
      </c>
      <c r="AA53" s="188">
        <v>2945.5756031288606</v>
      </c>
      <c r="AB53" s="185">
        <f t="shared" si="23"/>
        <v>736.39390078221516</v>
      </c>
      <c r="AC53" s="182">
        <f t="shared" si="24"/>
        <v>17</v>
      </c>
      <c r="AD53" s="574"/>
      <c r="AE53" s="188">
        <v>4</v>
      </c>
      <c r="AF53" s="188">
        <v>2943.9256031288601</v>
      </c>
      <c r="AG53" s="185">
        <f t="shared" si="25"/>
        <v>735.98140078221502</v>
      </c>
      <c r="AH53" s="182">
        <f t="shared" si="26"/>
        <v>17</v>
      </c>
      <c r="AI53" s="574"/>
      <c r="AJ53" s="188">
        <v>4</v>
      </c>
      <c r="AK53" s="188">
        <v>2942.9356031288603</v>
      </c>
      <c r="AL53" s="185">
        <f t="shared" si="27"/>
        <v>735.73390078221507</v>
      </c>
      <c r="AM53" s="182">
        <f t="shared" si="28"/>
        <v>17</v>
      </c>
      <c r="AN53" s="574"/>
      <c r="AO53" s="188">
        <v>4</v>
      </c>
      <c r="AP53" s="188">
        <v>2943.2656031288602</v>
      </c>
      <c r="AQ53" s="185">
        <f t="shared" si="29"/>
        <v>735.81640078221506</v>
      </c>
      <c r="AR53" s="182">
        <f t="shared" si="30"/>
        <v>17</v>
      </c>
      <c r="AS53" s="574"/>
      <c r="AT53" s="188">
        <v>4</v>
      </c>
      <c r="AU53" s="188">
        <v>2941.9456031288601</v>
      </c>
      <c r="AV53" s="185">
        <f t="shared" si="31"/>
        <v>735.48640078221501</v>
      </c>
      <c r="AW53" s="182">
        <f t="shared" si="32"/>
        <v>19</v>
      </c>
      <c r="AX53" s="574"/>
    </row>
    <row r="54" spans="2:50">
      <c r="B54" s="575"/>
      <c r="C54" s="180">
        <v>10</v>
      </c>
      <c r="D54" s="183" t="s">
        <v>228</v>
      </c>
      <c r="E54" s="184">
        <v>3</v>
      </c>
      <c r="F54" s="180">
        <v>3000</v>
      </c>
      <c r="G54" s="185">
        <f t="shared" si="19"/>
        <v>1000</v>
      </c>
      <c r="H54" s="576"/>
      <c r="I54" s="186">
        <f t="shared" si="20"/>
        <v>3</v>
      </c>
      <c r="J54" s="186">
        <f t="shared" si="20"/>
        <v>2702.5391830082845</v>
      </c>
      <c r="K54" s="187">
        <f t="shared" si="20"/>
        <v>900.8463943360947</v>
      </c>
      <c r="L54" s="577"/>
      <c r="M54" s="186">
        <f>RANK(K54, K$45:$K$77)</f>
        <v>9</v>
      </c>
      <c r="N54" s="588"/>
      <c r="O54" s="578"/>
      <c r="P54" s="188">
        <v>3</v>
      </c>
      <c r="Q54" s="188">
        <v>2700.9820732657845</v>
      </c>
      <c r="R54" s="185">
        <f t="shared" si="17"/>
        <v>900.32735775526146</v>
      </c>
      <c r="S54" s="182">
        <f t="shared" si="21"/>
        <v>9</v>
      </c>
      <c r="T54" s="574"/>
      <c r="U54" s="188">
        <v>3</v>
      </c>
      <c r="V54" s="188">
        <v>2701.298701298701</v>
      </c>
      <c r="W54" s="185">
        <f t="shared" si="18"/>
        <v>900.43290043290028</v>
      </c>
      <c r="X54" s="182">
        <f t="shared" si="22"/>
        <v>9</v>
      </c>
      <c r="Y54" s="574"/>
      <c r="Z54" s="188">
        <v>3</v>
      </c>
      <c r="AA54" s="188">
        <v>2702.4987012987012</v>
      </c>
      <c r="AB54" s="185">
        <f t="shared" si="23"/>
        <v>900.83290043290037</v>
      </c>
      <c r="AC54" s="182">
        <f t="shared" si="24"/>
        <v>9</v>
      </c>
      <c r="AD54" s="574"/>
      <c r="AE54" s="188">
        <v>3</v>
      </c>
      <c r="AF54" s="188">
        <v>2702.4987012987008</v>
      </c>
      <c r="AG54" s="185">
        <f t="shared" si="25"/>
        <v>900.83290043290026</v>
      </c>
      <c r="AH54" s="182">
        <f t="shared" si="26"/>
        <v>9</v>
      </c>
      <c r="AI54" s="574"/>
      <c r="AJ54" s="188">
        <v>3</v>
      </c>
      <c r="AK54" s="188">
        <v>2703.3987012987009</v>
      </c>
      <c r="AL54" s="185">
        <f t="shared" si="27"/>
        <v>901.13290043290033</v>
      </c>
      <c r="AM54" s="182">
        <f t="shared" si="28"/>
        <v>9</v>
      </c>
      <c r="AN54" s="574"/>
      <c r="AO54" s="188">
        <v>3</v>
      </c>
      <c r="AP54" s="188">
        <v>2702.7987012987014</v>
      </c>
      <c r="AQ54" s="185">
        <f t="shared" si="29"/>
        <v>900.93290043290051</v>
      </c>
      <c r="AR54" s="182">
        <f t="shared" si="30"/>
        <v>10</v>
      </c>
      <c r="AS54" s="574"/>
      <c r="AT54" s="188">
        <v>3</v>
      </c>
      <c r="AU54" s="188">
        <v>2704.2987012987014</v>
      </c>
      <c r="AV54" s="185">
        <f t="shared" si="31"/>
        <v>901.43290043290051</v>
      </c>
      <c r="AW54" s="182">
        <f t="shared" si="32"/>
        <v>9</v>
      </c>
      <c r="AX54" s="574"/>
    </row>
    <row r="55" spans="2:50">
      <c r="B55" s="575"/>
      <c r="C55" s="180">
        <v>11</v>
      </c>
      <c r="D55" s="183" t="s">
        <v>471</v>
      </c>
      <c r="E55" s="184">
        <v>12</v>
      </c>
      <c r="F55" s="180">
        <v>3600</v>
      </c>
      <c r="G55" s="185">
        <f t="shared" si="19"/>
        <v>300</v>
      </c>
      <c r="H55" s="576"/>
      <c r="I55" s="186">
        <f t="shared" si="20"/>
        <v>12</v>
      </c>
      <c r="J55" s="186">
        <f t="shared" si="20"/>
        <v>3125.4831529954322</v>
      </c>
      <c r="K55" s="187">
        <f t="shared" si="20"/>
        <v>260.45692941628602</v>
      </c>
      <c r="L55" s="577"/>
      <c r="M55" s="186">
        <f>RANK(K55, K$45:$K$77)</f>
        <v>31</v>
      </c>
      <c r="N55" s="588"/>
      <c r="O55" s="578"/>
      <c r="P55" s="188">
        <v>12</v>
      </c>
      <c r="Q55" s="188">
        <v>3124.2506811989115</v>
      </c>
      <c r="R55" s="185">
        <f t="shared" si="17"/>
        <v>260.35422343324262</v>
      </c>
      <c r="S55" s="182">
        <f t="shared" si="21"/>
        <v>28</v>
      </c>
      <c r="T55" s="574"/>
      <c r="U55" s="188">
        <v>12</v>
      </c>
      <c r="V55" s="188">
        <v>3124.1285649615193</v>
      </c>
      <c r="W55" s="185">
        <f t="shared" si="18"/>
        <v>260.34404708012659</v>
      </c>
      <c r="X55" s="182">
        <f t="shared" si="22"/>
        <v>29</v>
      </c>
      <c r="Y55" s="574"/>
      <c r="Z55" s="188">
        <v>12</v>
      </c>
      <c r="AA55" s="188">
        <v>3125.5685649615189</v>
      </c>
      <c r="AB55" s="185">
        <f t="shared" si="23"/>
        <v>260.46404708012659</v>
      </c>
      <c r="AC55" s="182">
        <f t="shared" si="24"/>
        <v>29</v>
      </c>
      <c r="AD55" s="574"/>
      <c r="AE55" s="188">
        <v>12</v>
      </c>
      <c r="AF55" s="188">
        <v>3125.2085649615192</v>
      </c>
      <c r="AG55" s="185">
        <f t="shared" si="25"/>
        <v>260.43404708012662</v>
      </c>
      <c r="AH55" s="182">
        <f t="shared" si="26"/>
        <v>29</v>
      </c>
      <c r="AI55" s="574"/>
      <c r="AJ55" s="188">
        <v>12</v>
      </c>
      <c r="AK55" s="188">
        <v>3125.5685649615193</v>
      </c>
      <c r="AL55" s="185">
        <f t="shared" si="27"/>
        <v>260.46404708012659</v>
      </c>
      <c r="AM55" s="182">
        <f t="shared" si="28"/>
        <v>29</v>
      </c>
      <c r="AN55" s="574"/>
      <c r="AO55" s="188">
        <v>12</v>
      </c>
      <c r="AP55" s="188">
        <v>3126.2885649615191</v>
      </c>
      <c r="AQ55" s="185">
        <f t="shared" si="29"/>
        <v>260.52404708012659</v>
      </c>
      <c r="AR55" s="182">
        <f t="shared" si="30"/>
        <v>28</v>
      </c>
      <c r="AS55" s="574"/>
      <c r="AT55" s="188">
        <v>12</v>
      </c>
      <c r="AU55" s="188">
        <v>3127.3685649615186</v>
      </c>
      <c r="AV55" s="185">
        <f t="shared" si="31"/>
        <v>260.61404708012657</v>
      </c>
      <c r="AW55" s="182">
        <f t="shared" si="32"/>
        <v>30</v>
      </c>
      <c r="AX55" s="574"/>
    </row>
    <row r="56" spans="2:50">
      <c r="B56" s="575"/>
      <c r="C56" s="180">
        <v>12</v>
      </c>
      <c r="D56" s="183" t="s">
        <v>499</v>
      </c>
      <c r="E56" s="184">
        <v>3</v>
      </c>
      <c r="F56" s="180">
        <v>3300</v>
      </c>
      <c r="G56" s="185">
        <f t="shared" si="19"/>
        <v>1100</v>
      </c>
      <c r="H56" s="576"/>
      <c r="I56" s="186">
        <f t="shared" si="20"/>
        <v>3</v>
      </c>
      <c r="J56" s="186">
        <f t="shared" si="20"/>
        <v>2972.3815372170552</v>
      </c>
      <c r="K56" s="187">
        <f t="shared" si="20"/>
        <v>990.79384573901837</v>
      </c>
      <c r="L56" s="577"/>
      <c r="M56" s="186">
        <f>RANK(K56, K$45:$K$77)</f>
        <v>8</v>
      </c>
      <c r="N56" s="588"/>
      <c r="O56" s="578"/>
      <c r="P56" s="188">
        <v>3</v>
      </c>
      <c r="Q56" s="188">
        <v>2972.3120837297829</v>
      </c>
      <c r="R56" s="185">
        <f t="shared" si="17"/>
        <v>990.77069457659434</v>
      </c>
      <c r="S56" s="182">
        <f t="shared" si="21"/>
        <v>8</v>
      </c>
      <c r="T56" s="574"/>
      <c r="U56" s="188">
        <v>3</v>
      </c>
      <c r="V56" s="188">
        <v>2972.6681127982674</v>
      </c>
      <c r="W56" s="185">
        <f t="shared" si="18"/>
        <v>990.88937093275581</v>
      </c>
      <c r="X56" s="182">
        <f t="shared" si="22"/>
        <v>8</v>
      </c>
      <c r="Y56" s="574"/>
      <c r="Z56" s="188">
        <v>3</v>
      </c>
      <c r="AA56" s="188">
        <v>2971.6781127982676</v>
      </c>
      <c r="AB56" s="185">
        <f t="shared" si="23"/>
        <v>990.55937093275588</v>
      </c>
      <c r="AC56" s="182">
        <f t="shared" si="24"/>
        <v>8</v>
      </c>
      <c r="AD56" s="574"/>
      <c r="AE56" s="188">
        <v>3</v>
      </c>
      <c r="AF56" s="188">
        <v>2972.9981127982674</v>
      </c>
      <c r="AG56" s="185">
        <f t="shared" si="25"/>
        <v>990.99937093275582</v>
      </c>
      <c r="AH56" s="182">
        <f t="shared" si="26"/>
        <v>8</v>
      </c>
      <c r="AI56" s="574"/>
      <c r="AJ56" s="188">
        <v>3</v>
      </c>
      <c r="AK56" s="188">
        <v>2972.6681127982674</v>
      </c>
      <c r="AL56" s="185">
        <f t="shared" si="27"/>
        <v>990.88937093275581</v>
      </c>
      <c r="AM56" s="182">
        <f t="shared" si="28"/>
        <v>8</v>
      </c>
      <c r="AN56" s="574"/>
      <c r="AO56" s="188">
        <v>3</v>
      </c>
      <c r="AP56" s="188">
        <v>2972.0081127982671</v>
      </c>
      <c r="AQ56" s="185">
        <f t="shared" si="29"/>
        <v>990.66937093275567</v>
      </c>
      <c r="AR56" s="182">
        <f t="shared" si="30"/>
        <v>8</v>
      </c>
      <c r="AS56" s="574"/>
      <c r="AT56" s="188">
        <v>3</v>
      </c>
      <c r="AU56" s="188">
        <v>2972.338112798267</v>
      </c>
      <c r="AV56" s="185">
        <f t="shared" si="31"/>
        <v>990.77937093275568</v>
      </c>
      <c r="AW56" s="182">
        <f t="shared" si="32"/>
        <v>8</v>
      </c>
      <c r="AX56" s="574"/>
    </row>
    <row r="57" spans="2:50">
      <c r="B57" s="575"/>
      <c r="C57" s="180">
        <v>13</v>
      </c>
      <c r="D57" s="183" t="s">
        <v>412</v>
      </c>
      <c r="E57" s="184">
        <v>5</v>
      </c>
      <c r="F57" s="180">
        <v>3600</v>
      </c>
      <c r="G57" s="185">
        <f t="shared" si="19"/>
        <v>720</v>
      </c>
      <c r="H57" s="576"/>
      <c r="I57" s="186">
        <f t="shared" si="20"/>
        <v>5</v>
      </c>
      <c r="J57" s="186">
        <f t="shared" si="20"/>
        <v>3175.1242934285765</v>
      </c>
      <c r="K57" s="187">
        <f t="shared" si="20"/>
        <v>635.02485868571523</v>
      </c>
      <c r="L57" s="577"/>
      <c r="M57" s="186">
        <f>RANK(K57, K$45:$K$77)</f>
        <v>23</v>
      </c>
      <c r="N57" s="588"/>
      <c r="O57" s="578"/>
      <c r="P57" s="188">
        <v>5</v>
      </c>
      <c r="Q57" s="188">
        <v>3176.2152486864225</v>
      </c>
      <c r="R57" s="185">
        <f t="shared" si="17"/>
        <v>635.24304973728454</v>
      </c>
      <c r="S57" s="182">
        <f t="shared" si="21"/>
        <v>21</v>
      </c>
      <c r="T57" s="574"/>
      <c r="U57" s="188">
        <v>5</v>
      </c>
      <c r="V57" s="188">
        <v>3176.81929768999</v>
      </c>
      <c r="W57" s="185">
        <f t="shared" si="18"/>
        <v>635.363859537998</v>
      </c>
      <c r="X57" s="182">
        <f t="shared" si="22"/>
        <v>21</v>
      </c>
      <c r="Y57" s="574"/>
      <c r="Z57" s="188">
        <v>5</v>
      </c>
      <c r="AA57" s="188">
        <v>3176.2231015247244</v>
      </c>
      <c r="AB57" s="185">
        <f t="shared" si="23"/>
        <v>635.24462030494487</v>
      </c>
      <c r="AC57" s="182">
        <f t="shared" si="24"/>
        <v>21</v>
      </c>
      <c r="AD57" s="574"/>
      <c r="AE57" s="188">
        <v>5</v>
      </c>
      <c r="AF57" s="188">
        <v>3175.8631015247247</v>
      </c>
      <c r="AG57" s="185">
        <f t="shared" si="25"/>
        <v>635.17262030494499</v>
      </c>
      <c r="AH57" s="182">
        <f t="shared" si="26"/>
        <v>21</v>
      </c>
      <c r="AI57" s="574"/>
      <c r="AJ57" s="188">
        <v>5</v>
      </c>
      <c r="AK57" s="188">
        <v>3174.4231015247251</v>
      </c>
      <c r="AL57" s="185">
        <f t="shared" si="27"/>
        <v>634.88462030494497</v>
      </c>
      <c r="AM57" s="182">
        <f t="shared" si="28"/>
        <v>21</v>
      </c>
      <c r="AN57" s="574"/>
      <c r="AO57" s="188">
        <v>5</v>
      </c>
      <c r="AP57" s="188">
        <v>3173.7031015247248</v>
      </c>
      <c r="AQ57" s="185">
        <f t="shared" si="29"/>
        <v>634.74062030494497</v>
      </c>
      <c r="AR57" s="182">
        <f t="shared" si="30"/>
        <v>21</v>
      </c>
      <c r="AS57" s="574"/>
      <c r="AT57" s="188">
        <v>5</v>
      </c>
      <c r="AU57" s="188">
        <v>3172.6231015247249</v>
      </c>
      <c r="AV57" s="185">
        <f t="shared" si="31"/>
        <v>634.52462030494496</v>
      </c>
      <c r="AW57" s="182">
        <f t="shared" si="32"/>
        <v>23</v>
      </c>
      <c r="AX57" s="574"/>
    </row>
    <row r="58" spans="2:50">
      <c r="B58" s="575"/>
      <c r="C58" s="180">
        <v>14</v>
      </c>
      <c r="D58" s="183" t="s">
        <v>411</v>
      </c>
      <c r="E58" s="184">
        <v>3</v>
      </c>
      <c r="F58" s="180">
        <v>3600</v>
      </c>
      <c r="G58" s="185">
        <f t="shared" si="19"/>
        <v>1200</v>
      </c>
      <c r="H58" s="576"/>
      <c r="I58" s="186">
        <f t="shared" si="20"/>
        <v>3</v>
      </c>
      <c r="J58" s="186">
        <f t="shared" si="20"/>
        <v>3179.4601484757432</v>
      </c>
      <c r="K58" s="187">
        <f t="shared" si="20"/>
        <v>1059.8200494919145</v>
      </c>
      <c r="L58" s="577"/>
      <c r="M58" s="186">
        <f>RANK(K58, K$45:$K$77)</f>
        <v>2</v>
      </c>
      <c r="N58" s="588"/>
      <c r="O58" s="578"/>
      <c r="P58" s="188">
        <v>3</v>
      </c>
      <c r="Q58" s="188">
        <v>3179.1024613054788</v>
      </c>
      <c r="R58" s="185">
        <f t="shared" si="17"/>
        <v>1059.7008204351596</v>
      </c>
      <c r="S58" s="182">
        <f t="shared" si="21"/>
        <v>3</v>
      </c>
      <c r="T58" s="574"/>
      <c r="U58" s="188">
        <v>3</v>
      </c>
      <c r="V58" s="188">
        <v>3179.223980868308</v>
      </c>
      <c r="W58" s="185">
        <f t="shared" si="18"/>
        <v>1059.7413269561027</v>
      </c>
      <c r="X58" s="182">
        <f t="shared" si="22"/>
        <v>4</v>
      </c>
      <c r="Y58" s="574"/>
      <c r="Z58" s="188">
        <v>3</v>
      </c>
      <c r="AA58" s="188">
        <v>3179.8669194312833</v>
      </c>
      <c r="AB58" s="185">
        <f t="shared" si="23"/>
        <v>1059.9556398104278</v>
      </c>
      <c r="AC58" s="182">
        <f t="shared" si="24"/>
        <v>2</v>
      </c>
      <c r="AD58" s="574"/>
      <c r="AE58" s="188">
        <v>3</v>
      </c>
      <c r="AF58" s="188">
        <v>3179.8669194312833</v>
      </c>
      <c r="AG58" s="185">
        <f t="shared" si="25"/>
        <v>1059.9556398104278</v>
      </c>
      <c r="AH58" s="182">
        <f t="shared" si="26"/>
        <v>2</v>
      </c>
      <c r="AI58" s="574"/>
      <c r="AJ58" s="188">
        <v>3</v>
      </c>
      <c r="AK58" s="188">
        <v>3178.4269194312833</v>
      </c>
      <c r="AL58" s="185">
        <f t="shared" si="27"/>
        <v>1059.4756398104278</v>
      </c>
      <c r="AM58" s="182">
        <f t="shared" si="28"/>
        <v>4</v>
      </c>
      <c r="AN58" s="574"/>
      <c r="AO58" s="188">
        <v>3</v>
      </c>
      <c r="AP58" s="188">
        <v>3179.8669194312833</v>
      </c>
      <c r="AQ58" s="185">
        <f t="shared" si="29"/>
        <v>1059.9556398104278</v>
      </c>
      <c r="AR58" s="182">
        <f t="shared" si="30"/>
        <v>1</v>
      </c>
      <c r="AS58" s="574"/>
      <c r="AT58" s="188">
        <v>3</v>
      </c>
      <c r="AU58" s="188">
        <v>3179.8669194312843</v>
      </c>
      <c r="AV58" s="185">
        <f t="shared" si="31"/>
        <v>1059.955639810428</v>
      </c>
      <c r="AW58" s="182">
        <f t="shared" si="32"/>
        <v>1</v>
      </c>
      <c r="AX58" s="574"/>
    </row>
    <row r="59" spans="2:50">
      <c r="B59" s="575"/>
      <c r="C59" s="180">
        <v>15</v>
      </c>
      <c r="D59" s="183" t="s">
        <v>413</v>
      </c>
      <c r="E59" s="184">
        <v>4</v>
      </c>
      <c r="F59" s="180">
        <v>3600</v>
      </c>
      <c r="G59" s="185">
        <f t="shared" si="19"/>
        <v>900</v>
      </c>
      <c r="H59" s="576"/>
      <c r="I59" s="186">
        <f t="shared" si="20"/>
        <v>4</v>
      </c>
      <c r="J59" s="186">
        <f t="shared" si="20"/>
        <v>3176.562821260788</v>
      </c>
      <c r="K59" s="187">
        <f t="shared" si="20"/>
        <v>794.14070531519701</v>
      </c>
      <c r="L59" s="577"/>
      <c r="M59" s="186">
        <f>RANK(K59, K$45:$K$77)</f>
        <v>14</v>
      </c>
      <c r="N59" s="588"/>
      <c r="O59" s="578"/>
      <c r="P59" s="188">
        <v>4</v>
      </c>
      <c r="Q59" s="188">
        <v>3175.4027114120122</v>
      </c>
      <c r="R59" s="185">
        <f t="shared" si="17"/>
        <v>793.85067785300305</v>
      </c>
      <c r="S59" s="182">
        <f t="shared" si="21"/>
        <v>12</v>
      </c>
      <c r="T59" s="574"/>
      <c r="U59" s="188">
        <v>4</v>
      </c>
      <c r="V59" s="188">
        <v>3175.5203900146166</v>
      </c>
      <c r="W59" s="185">
        <f t="shared" si="18"/>
        <v>793.88009750365416</v>
      </c>
      <c r="X59" s="182">
        <f t="shared" si="22"/>
        <v>12</v>
      </c>
      <c r="Y59" s="574"/>
      <c r="Z59" s="188">
        <v>4</v>
      </c>
      <c r="AA59" s="188">
        <v>3176.571329479777</v>
      </c>
      <c r="AB59" s="185">
        <f t="shared" si="23"/>
        <v>794.14283236994424</v>
      </c>
      <c r="AC59" s="182">
        <f t="shared" si="24"/>
        <v>12</v>
      </c>
      <c r="AD59" s="574"/>
      <c r="AE59" s="188">
        <v>4</v>
      </c>
      <c r="AF59" s="188">
        <v>3175.8513294797776</v>
      </c>
      <c r="AG59" s="185">
        <f t="shared" si="25"/>
        <v>793.96283236994441</v>
      </c>
      <c r="AH59" s="182">
        <f t="shared" si="26"/>
        <v>12</v>
      </c>
      <c r="AI59" s="574"/>
      <c r="AJ59" s="188">
        <v>4</v>
      </c>
      <c r="AK59" s="188">
        <v>3176.2113294797773</v>
      </c>
      <c r="AL59" s="185">
        <f t="shared" si="27"/>
        <v>794.05283236994433</v>
      </c>
      <c r="AM59" s="182">
        <f t="shared" si="28"/>
        <v>13</v>
      </c>
      <c r="AN59" s="574"/>
      <c r="AO59" s="188">
        <v>4</v>
      </c>
      <c r="AP59" s="188">
        <v>3178.0113294797775</v>
      </c>
      <c r="AQ59" s="185">
        <f t="shared" si="29"/>
        <v>794.50283236994437</v>
      </c>
      <c r="AR59" s="182">
        <f t="shared" si="30"/>
        <v>12</v>
      </c>
      <c r="AS59" s="574"/>
      <c r="AT59" s="188">
        <v>4</v>
      </c>
      <c r="AU59" s="188">
        <v>3178.3713294797781</v>
      </c>
      <c r="AV59" s="185">
        <f t="shared" si="31"/>
        <v>794.59283236994452</v>
      </c>
      <c r="AW59" s="182">
        <f t="shared" si="32"/>
        <v>14</v>
      </c>
      <c r="AX59" s="574"/>
    </row>
    <row r="60" spans="2:50">
      <c r="B60" s="575"/>
      <c r="C60" s="180">
        <v>16</v>
      </c>
      <c r="D60" s="183" t="s">
        <v>346</v>
      </c>
      <c r="E60" s="184">
        <v>5</v>
      </c>
      <c r="F60" s="180">
        <v>3300</v>
      </c>
      <c r="G60" s="185">
        <f t="shared" si="19"/>
        <v>660</v>
      </c>
      <c r="H60" s="576"/>
      <c r="I60" s="186">
        <f t="shared" si="20"/>
        <v>5</v>
      </c>
      <c r="J60" s="186">
        <f t="shared" si="20"/>
        <v>2945.8091072814595</v>
      </c>
      <c r="K60" s="187">
        <f t="shared" si="20"/>
        <v>589.16182145629193</v>
      </c>
      <c r="L60" s="577"/>
      <c r="M60" s="186">
        <f>RANK(K60, K$45:$K$77)</f>
        <v>26</v>
      </c>
      <c r="N60" s="588"/>
      <c r="O60" s="578"/>
      <c r="P60" s="188">
        <v>5</v>
      </c>
      <c r="Q60" s="188">
        <v>2945.6214771927016</v>
      </c>
      <c r="R60" s="185">
        <f t="shared" si="17"/>
        <v>589.12429543854034</v>
      </c>
      <c r="S60" s="182">
        <f t="shared" si="21"/>
        <v>24</v>
      </c>
      <c r="T60" s="574"/>
      <c r="U60" s="188">
        <v>5</v>
      </c>
      <c r="V60" s="188">
        <v>2946.6781561304442</v>
      </c>
      <c r="W60" s="185">
        <f t="shared" si="18"/>
        <v>589.33563122608882</v>
      </c>
      <c r="X60" s="182">
        <f t="shared" si="22"/>
        <v>24</v>
      </c>
      <c r="Y60" s="574"/>
      <c r="Z60" s="188">
        <v>5</v>
      </c>
      <c r="AA60" s="188">
        <v>2946.7288235294136</v>
      </c>
      <c r="AB60" s="185">
        <f t="shared" si="23"/>
        <v>589.34576470588274</v>
      </c>
      <c r="AC60" s="182">
        <f t="shared" si="24"/>
        <v>23</v>
      </c>
      <c r="AD60" s="574"/>
      <c r="AE60" s="188">
        <v>5</v>
      </c>
      <c r="AF60" s="188">
        <v>2945.078823529414</v>
      </c>
      <c r="AG60" s="185">
        <f t="shared" si="25"/>
        <v>589.01576470588282</v>
      </c>
      <c r="AH60" s="182">
        <f t="shared" si="26"/>
        <v>24</v>
      </c>
      <c r="AI60" s="574"/>
      <c r="AJ60" s="188">
        <v>5</v>
      </c>
      <c r="AK60" s="188">
        <v>2946.7288235294145</v>
      </c>
      <c r="AL60" s="185">
        <f t="shared" si="27"/>
        <v>589.34576470588286</v>
      </c>
      <c r="AM60" s="182">
        <f t="shared" si="28"/>
        <v>24</v>
      </c>
      <c r="AN60" s="574"/>
      <c r="AO60" s="188">
        <v>5</v>
      </c>
      <c r="AP60" s="188">
        <v>2945.4088235294143</v>
      </c>
      <c r="AQ60" s="185">
        <f t="shared" si="29"/>
        <v>589.08176470588285</v>
      </c>
      <c r="AR60" s="182">
        <f t="shared" si="30"/>
        <v>24</v>
      </c>
      <c r="AS60" s="574"/>
      <c r="AT60" s="188">
        <v>5</v>
      </c>
      <c r="AU60" s="188">
        <v>2944.4188235294141</v>
      </c>
      <c r="AV60" s="185">
        <f t="shared" si="31"/>
        <v>588.88376470588287</v>
      </c>
      <c r="AW60" s="182">
        <f t="shared" si="32"/>
        <v>26</v>
      </c>
      <c r="AX60" s="574"/>
    </row>
    <row r="61" spans="2:50">
      <c r="B61" s="575"/>
      <c r="C61" s="180">
        <v>17</v>
      </c>
      <c r="D61" s="183" t="s">
        <v>406</v>
      </c>
      <c r="E61" s="184">
        <v>3</v>
      </c>
      <c r="F61" s="180">
        <v>3600</v>
      </c>
      <c r="G61" s="185">
        <f t="shared" si="19"/>
        <v>1200</v>
      </c>
      <c r="H61" s="576"/>
      <c r="I61" s="186">
        <f t="shared" si="20"/>
        <v>3</v>
      </c>
      <c r="J61" s="186">
        <f t="shared" si="20"/>
        <v>3178.6656831799928</v>
      </c>
      <c r="K61" s="187">
        <f t="shared" si="20"/>
        <v>1059.5552277266643</v>
      </c>
      <c r="L61" s="577"/>
      <c r="M61" s="186">
        <f>RANK(K61, K$45:$K$77)</f>
        <v>4</v>
      </c>
      <c r="N61" s="588"/>
      <c r="O61" s="578"/>
      <c r="P61" s="188">
        <v>3</v>
      </c>
      <c r="Q61" s="188">
        <v>3179.910759920665</v>
      </c>
      <c r="R61" s="185">
        <f t="shared" si="17"/>
        <v>1059.9702533068883</v>
      </c>
      <c r="S61" s="182">
        <f t="shared" si="21"/>
        <v>2</v>
      </c>
      <c r="T61" s="574"/>
      <c r="U61" s="188">
        <v>3</v>
      </c>
      <c r="V61" s="188">
        <v>3180.5754297779913</v>
      </c>
      <c r="W61" s="185">
        <f t="shared" si="18"/>
        <v>1060.1918099259972</v>
      </c>
      <c r="X61" s="182">
        <f t="shared" si="22"/>
        <v>2</v>
      </c>
      <c r="Y61" s="574"/>
      <c r="Z61" s="188">
        <v>3</v>
      </c>
      <c r="AA61" s="188">
        <v>3179.330718512258</v>
      </c>
      <c r="AB61" s="185">
        <f t="shared" si="23"/>
        <v>1059.7769061707527</v>
      </c>
      <c r="AC61" s="182">
        <f t="shared" si="24"/>
        <v>4</v>
      </c>
      <c r="AD61" s="574"/>
      <c r="AE61" s="188">
        <v>3</v>
      </c>
      <c r="AF61" s="188">
        <v>3179.3307185122585</v>
      </c>
      <c r="AG61" s="185">
        <f t="shared" si="25"/>
        <v>1059.7769061707529</v>
      </c>
      <c r="AH61" s="182">
        <f t="shared" si="26"/>
        <v>3</v>
      </c>
      <c r="AI61" s="574"/>
      <c r="AJ61" s="188">
        <v>3</v>
      </c>
      <c r="AK61" s="188">
        <v>3177.5307185122579</v>
      </c>
      <c r="AL61" s="185">
        <f t="shared" si="27"/>
        <v>1059.1769061707525</v>
      </c>
      <c r="AM61" s="182">
        <f t="shared" si="28"/>
        <v>5</v>
      </c>
      <c r="AN61" s="574"/>
      <c r="AO61" s="188">
        <v>3</v>
      </c>
      <c r="AP61" s="188">
        <v>3176.4507185122584</v>
      </c>
      <c r="AQ61" s="185">
        <f t="shared" si="29"/>
        <v>1058.8169061707529</v>
      </c>
      <c r="AR61" s="182">
        <f t="shared" si="30"/>
        <v>7</v>
      </c>
      <c r="AS61" s="574"/>
      <c r="AT61" s="188">
        <v>3</v>
      </c>
      <c r="AU61" s="188">
        <v>3177.5307185122574</v>
      </c>
      <c r="AV61" s="185">
        <f t="shared" si="31"/>
        <v>1059.1769061707525</v>
      </c>
      <c r="AW61" s="182">
        <f t="shared" si="32"/>
        <v>5</v>
      </c>
      <c r="AX61" s="574"/>
    </row>
    <row r="62" spans="2:50">
      <c r="B62" s="575"/>
      <c r="C62" s="180">
        <v>18</v>
      </c>
      <c r="D62" s="183" t="s">
        <v>410</v>
      </c>
      <c r="E62" s="184">
        <v>3</v>
      </c>
      <c r="F62" s="180">
        <v>3600</v>
      </c>
      <c r="G62" s="185">
        <f t="shared" si="19"/>
        <v>1200</v>
      </c>
      <c r="H62" s="576"/>
      <c r="I62" s="186">
        <f t="shared" si="20"/>
        <v>3</v>
      </c>
      <c r="J62" s="186">
        <f t="shared" si="20"/>
        <v>3178.9886939782687</v>
      </c>
      <c r="K62" s="187">
        <f t="shared" si="20"/>
        <v>1059.6628979927561</v>
      </c>
      <c r="L62" s="577"/>
      <c r="M62" s="186">
        <f>RANK(K62, K$45:$K$77)</f>
        <v>3</v>
      </c>
      <c r="N62" s="588"/>
      <c r="O62" s="578"/>
      <c r="P62" s="188">
        <v>3</v>
      </c>
      <c r="Q62" s="188">
        <v>3178.1818181818348</v>
      </c>
      <c r="R62" s="185">
        <f t="shared" si="17"/>
        <v>1059.3939393939449</v>
      </c>
      <c r="S62" s="182">
        <f t="shared" si="21"/>
        <v>5</v>
      </c>
      <c r="T62" s="574"/>
      <c r="U62" s="188">
        <v>3</v>
      </c>
      <c r="V62" s="188">
        <v>3179.1231732776741</v>
      </c>
      <c r="W62" s="185">
        <f t="shared" si="18"/>
        <v>1059.7077244258915</v>
      </c>
      <c r="X62" s="182">
        <f t="shared" si="22"/>
        <v>5</v>
      </c>
      <c r="Y62" s="574"/>
      <c r="Z62" s="188">
        <v>3</v>
      </c>
      <c r="AA62" s="188">
        <v>3178.7631732776745</v>
      </c>
      <c r="AB62" s="185">
        <f t="shared" si="23"/>
        <v>1059.5877244258916</v>
      </c>
      <c r="AC62" s="182">
        <f t="shared" si="24"/>
        <v>5</v>
      </c>
      <c r="AD62" s="574"/>
      <c r="AE62" s="188">
        <v>3</v>
      </c>
      <c r="AF62" s="188">
        <v>3179.1231732776746</v>
      </c>
      <c r="AG62" s="185">
        <f t="shared" si="25"/>
        <v>1059.7077244258915</v>
      </c>
      <c r="AH62" s="182">
        <f t="shared" si="26"/>
        <v>4</v>
      </c>
      <c r="AI62" s="574"/>
      <c r="AJ62" s="188">
        <v>3</v>
      </c>
      <c r="AK62" s="188">
        <v>3179.4831732776743</v>
      </c>
      <c r="AL62" s="185">
        <f t="shared" si="27"/>
        <v>1059.8277244258913</v>
      </c>
      <c r="AM62" s="182">
        <f t="shared" si="28"/>
        <v>2</v>
      </c>
      <c r="AN62" s="574"/>
      <c r="AO62" s="188">
        <v>3</v>
      </c>
      <c r="AP62" s="188">
        <v>3179.4831732776738</v>
      </c>
      <c r="AQ62" s="185">
        <f t="shared" si="29"/>
        <v>1059.8277244258913</v>
      </c>
      <c r="AR62" s="182">
        <f t="shared" si="30"/>
        <v>2</v>
      </c>
      <c r="AS62" s="574"/>
      <c r="AT62" s="188">
        <v>3</v>
      </c>
      <c r="AU62" s="188">
        <v>3178.7631732776736</v>
      </c>
      <c r="AV62" s="185">
        <f t="shared" si="31"/>
        <v>1059.5877244258911</v>
      </c>
      <c r="AW62" s="182">
        <f t="shared" si="32"/>
        <v>3</v>
      </c>
      <c r="AX62" s="574"/>
    </row>
    <row r="63" spans="2:50">
      <c r="B63" s="575"/>
      <c r="C63" s="180">
        <v>19</v>
      </c>
      <c r="D63" s="183" t="s">
        <v>409</v>
      </c>
      <c r="E63" s="184">
        <v>4</v>
      </c>
      <c r="F63" s="180">
        <v>3300</v>
      </c>
      <c r="G63" s="185">
        <f t="shared" si="19"/>
        <v>825</v>
      </c>
      <c r="H63" s="576"/>
      <c r="I63" s="186">
        <f t="shared" si="20"/>
        <v>4</v>
      </c>
      <c r="J63" s="186">
        <f t="shared" si="20"/>
        <v>2946.5082571214457</v>
      </c>
      <c r="K63" s="187">
        <f t="shared" si="20"/>
        <v>736.62706428036142</v>
      </c>
      <c r="L63" s="577"/>
      <c r="M63" s="186">
        <f>RANK(K63, K$45:$K$77)</f>
        <v>17</v>
      </c>
      <c r="N63" s="588"/>
      <c r="O63" s="578"/>
      <c r="P63" s="188">
        <v>4</v>
      </c>
      <c r="Q63" s="188">
        <v>2947.6574423359343</v>
      </c>
      <c r="R63" s="185">
        <f t="shared" si="17"/>
        <v>736.91436058398358</v>
      </c>
      <c r="S63" s="182">
        <f t="shared" si="21"/>
        <v>14</v>
      </c>
      <c r="T63" s="574"/>
      <c r="U63" s="188">
        <v>4</v>
      </c>
      <c r="V63" s="188">
        <v>2948.9247264461837</v>
      </c>
      <c r="W63" s="185">
        <f t="shared" si="18"/>
        <v>737.23118161154594</v>
      </c>
      <c r="X63" s="182">
        <f t="shared" si="22"/>
        <v>14</v>
      </c>
      <c r="Y63" s="574"/>
      <c r="Z63" s="188">
        <v>4</v>
      </c>
      <c r="AA63" s="188">
        <v>2947.7091262136009</v>
      </c>
      <c r="AB63" s="185">
        <f t="shared" si="23"/>
        <v>736.92728155340023</v>
      </c>
      <c r="AC63" s="182">
        <f t="shared" si="24"/>
        <v>14</v>
      </c>
      <c r="AD63" s="574"/>
      <c r="AE63" s="188">
        <v>4</v>
      </c>
      <c r="AF63" s="188">
        <v>2946.3891262136012</v>
      </c>
      <c r="AG63" s="185">
        <f t="shared" si="25"/>
        <v>736.59728155340031</v>
      </c>
      <c r="AH63" s="182">
        <f t="shared" si="26"/>
        <v>15</v>
      </c>
      <c r="AI63" s="574"/>
      <c r="AJ63" s="188">
        <v>4</v>
      </c>
      <c r="AK63" s="188">
        <v>2946.0591262136008</v>
      </c>
      <c r="AL63" s="185">
        <f t="shared" si="27"/>
        <v>736.51478155340021</v>
      </c>
      <c r="AM63" s="182">
        <f t="shared" si="28"/>
        <v>15</v>
      </c>
      <c r="AN63" s="574"/>
      <c r="AO63" s="188">
        <v>4</v>
      </c>
      <c r="AP63" s="188">
        <v>2944.7391262136007</v>
      </c>
      <c r="AQ63" s="185">
        <f t="shared" si="29"/>
        <v>736.18478155340017</v>
      </c>
      <c r="AR63" s="182">
        <f t="shared" si="30"/>
        <v>16</v>
      </c>
      <c r="AS63" s="574"/>
      <c r="AT63" s="188">
        <v>4</v>
      </c>
      <c r="AU63" s="188">
        <v>2944.0791262136013</v>
      </c>
      <c r="AV63" s="185">
        <f t="shared" si="31"/>
        <v>736.01978155340032</v>
      </c>
      <c r="AW63" s="182">
        <f t="shared" si="32"/>
        <v>18</v>
      </c>
      <c r="AX63" s="574"/>
    </row>
    <row r="64" spans="2:50">
      <c r="B64" s="575"/>
      <c r="C64" s="180">
        <v>20</v>
      </c>
      <c r="D64" s="183" t="s">
        <v>405</v>
      </c>
      <c r="E64" s="184">
        <v>4</v>
      </c>
      <c r="F64" s="180">
        <v>3300</v>
      </c>
      <c r="G64" s="185">
        <f t="shared" si="19"/>
        <v>825</v>
      </c>
      <c r="H64" s="576"/>
      <c r="I64" s="186">
        <f t="shared" si="20"/>
        <v>4</v>
      </c>
      <c r="J64" s="186">
        <f t="shared" si="20"/>
        <v>2946.1066759219771</v>
      </c>
      <c r="K64" s="187">
        <f t="shared" si="20"/>
        <v>736.52666898049426</v>
      </c>
      <c r="L64" s="577"/>
      <c r="M64" s="186">
        <f>RANK(K64, K$45:$K$77)</f>
        <v>18</v>
      </c>
      <c r="N64" s="588"/>
      <c r="O64" s="578"/>
      <c r="P64" s="188">
        <v>4</v>
      </c>
      <c r="Q64" s="188">
        <v>2946.2895728261628</v>
      </c>
      <c r="R64" s="185">
        <f t="shared" si="17"/>
        <v>736.57239320654071</v>
      </c>
      <c r="S64" s="182">
        <f t="shared" si="21"/>
        <v>16</v>
      </c>
      <c r="T64" s="574"/>
      <c r="U64" s="188">
        <v>4</v>
      </c>
      <c r="V64" s="188">
        <v>2947.1648485972955</v>
      </c>
      <c r="W64" s="185">
        <f t="shared" si="18"/>
        <v>736.79121214932388</v>
      </c>
      <c r="X64" s="182">
        <f t="shared" si="22"/>
        <v>15</v>
      </c>
      <c r="Y64" s="574"/>
      <c r="Z64" s="188">
        <v>4</v>
      </c>
      <c r="AA64" s="188">
        <v>2946.7824620060765</v>
      </c>
      <c r="AB64" s="185">
        <f t="shared" si="23"/>
        <v>736.69561550151911</v>
      </c>
      <c r="AC64" s="182">
        <f t="shared" si="24"/>
        <v>15</v>
      </c>
      <c r="AD64" s="574"/>
      <c r="AE64" s="188">
        <v>4</v>
      </c>
      <c r="AF64" s="188">
        <v>2945.4624620060767</v>
      </c>
      <c r="AG64" s="185">
        <f t="shared" si="25"/>
        <v>736.36561550151919</v>
      </c>
      <c r="AH64" s="182">
        <f t="shared" si="26"/>
        <v>16</v>
      </c>
      <c r="AI64" s="574"/>
      <c r="AJ64" s="188">
        <v>4</v>
      </c>
      <c r="AK64" s="188">
        <v>2945.1324620060768</v>
      </c>
      <c r="AL64" s="185">
        <f t="shared" si="27"/>
        <v>736.28311550151921</v>
      </c>
      <c r="AM64" s="182">
        <f t="shared" si="28"/>
        <v>16</v>
      </c>
      <c r="AN64" s="574"/>
      <c r="AO64" s="188">
        <v>4</v>
      </c>
      <c r="AP64" s="188">
        <v>2946.1224620060766</v>
      </c>
      <c r="AQ64" s="185">
        <f t="shared" si="29"/>
        <v>736.53061550151915</v>
      </c>
      <c r="AR64" s="182">
        <f t="shared" si="30"/>
        <v>15</v>
      </c>
      <c r="AS64" s="574"/>
      <c r="AT64" s="188">
        <v>4</v>
      </c>
      <c r="AU64" s="188">
        <v>2945.7924620060767</v>
      </c>
      <c r="AV64" s="185">
        <f t="shared" si="31"/>
        <v>736.44811550151917</v>
      </c>
      <c r="AW64" s="182">
        <f t="shared" si="32"/>
        <v>17</v>
      </c>
      <c r="AX64" s="574"/>
    </row>
    <row r="65" spans="2:50">
      <c r="B65" s="575"/>
      <c r="C65" s="180">
        <v>21</v>
      </c>
      <c r="D65" s="183" t="s">
        <v>408</v>
      </c>
      <c r="E65" s="184">
        <v>4</v>
      </c>
      <c r="F65" s="180">
        <v>3000</v>
      </c>
      <c r="G65" s="185">
        <f t="shared" si="19"/>
        <v>750</v>
      </c>
      <c r="H65" s="576"/>
      <c r="I65" s="186">
        <f t="shared" si="20"/>
        <v>4</v>
      </c>
      <c r="J65" s="186">
        <f t="shared" si="20"/>
        <v>2700.1142838277237</v>
      </c>
      <c r="K65" s="187">
        <f t="shared" si="20"/>
        <v>675.02857095693093</v>
      </c>
      <c r="L65" s="577"/>
      <c r="M65" s="186">
        <f>RANK(K65, K$45:$K$77)</f>
        <v>20</v>
      </c>
      <c r="N65" s="588"/>
      <c r="O65" s="578"/>
      <c r="P65" s="188">
        <v>4</v>
      </c>
      <c r="Q65" s="188">
        <v>2700.5107832009107</v>
      </c>
      <c r="R65" s="185">
        <f t="shared" si="17"/>
        <v>675.12769580022768</v>
      </c>
      <c r="S65" s="182">
        <f t="shared" si="21"/>
        <v>18</v>
      </c>
      <c r="T65" s="574"/>
      <c r="U65" s="188">
        <v>4</v>
      </c>
      <c r="V65" s="188">
        <v>2701.3627227569232</v>
      </c>
      <c r="W65" s="185">
        <f t="shared" si="18"/>
        <v>675.34068068923079</v>
      </c>
      <c r="X65" s="182">
        <f t="shared" si="22"/>
        <v>18</v>
      </c>
      <c r="Y65" s="574"/>
      <c r="Z65" s="188">
        <v>4</v>
      </c>
      <c r="AA65" s="188">
        <v>2699.8452961672469</v>
      </c>
      <c r="AB65" s="185">
        <f t="shared" si="23"/>
        <v>674.96132404181174</v>
      </c>
      <c r="AC65" s="182">
        <f t="shared" si="24"/>
        <v>18</v>
      </c>
      <c r="AD65" s="574"/>
      <c r="AE65" s="188">
        <v>4</v>
      </c>
      <c r="AF65" s="188">
        <v>2698.6452961672471</v>
      </c>
      <c r="AG65" s="185">
        <f t="shared" si="25"/>
        <v>674.66132404181178</v>
      </c>
      <c r="AH65" s="182">
        <f t="shared" si="26"/>
        <v>18</v>
      </c>
      <c r="AI65" s="574"/>
      <c r="AJ65" s="188">
        <v>4</v>
      </c>
      <c r="AK65" s="188">
        <v>2699.245296167247</v>
      </c>
      <c r="AL65" s="185">
        <f t="shared" si="27"/>
        <v>674.81132404181176</v>
      </c>
      <c r="AM65" s="182">
        <f t="shared" si="28"/>
        <v>18</v>
      </c>
      <c r="AN65" s="574"/>
      <c r="AO65" s="188">
        <v>4</v>
      </c>
      <c r="AP65" s="188">
        <v>2700.745296167247</v>
      </c>
      <c r="AQ65" s="185">
        <f t="shared" si="29"/>
        <v>675.18632404181176</v>
      </c>
      <c r="AR65" s="182">
        <f t="shared" si="30"/>
        <v>18</v>
      </c>
      <c r="AS65" s="574"/>
      <c r="AT65" s="188">
        <v>4</v>
      </c>
      <c r="AU65" s="188">
        <v>2700.4452961672478</v>
      </c>
      <c r="AV65" s="185">
        <f t="shared" si="31"/>
        <v>675.11132404181194</v>
      </c>
      <c r="AW65" s="182">
        <f t="shared" si="32"/>
        <v>20</v>
      </c>
      <c r="AX65" s="574"/>
    </row>
    <row r="66" spans="2:50">
      <c r="B66" s="575"/>
      <c r="C66" s="180">
        <v>22</v>
      </c>
      <c r="D66" s="183" t="s">
        <v>463</v>
      </c>
      <c r="E66" s="184">
        <v>3</v>
      </c>
      <c r="F66" s="180">
        <v>3600</v>
      </c>
      <c r="G66" s="185">
        <f>F66/E66</f>
        <v>1200</v>
      </c>
      <c r="H66" s="576"/>
      <c r="I66" s="186">
        <f t="shared" si="20"/>
        <v>3</v>
      </c>
      <c r="J66" s="186">
        <f t="shared" si="20"/>
        <v>3180.81923260754</v>
      </c>
      <c r="K66" s="187">
        <f t="shared" si="20"/>
        <v>1060.2730775358466</v>
      </c>
      <c r="L66" s="577"/>
      <c r="M66" s="186">
        <f>RANK(K66, K$45:$K$77)</f>
        <v>1</v>
      </c>
      <c r="N66" s="588"/>
      <c r="O66" s="578"/>
      <c r="P66" s="188">
        <v>3</v>
      </c>
      <c r="Q66" s="188">
        <v>3182.8996282527823</v>
      </c>
      <c r="R66" s="185">
        <f t="shared" si="17"/>
        <v>1060.9665427509274</v>
      </c>
      <c r="S66" s="182">
        <f t="shared" si="21"/>
        <v>1</v>
      </c>
      <c r="T66" s="574"/>
      <c r="U66" s="188">
        <v>3</v>
      </c>
      <c r="V66" s="188">
        <v>3182.8124999999995</v>
      </c>
      <c r="W66" s="185">
        <f t="shared" si="18"/>
        <v>1060.9374999999998</v>
      </c>
      <c r="X66" s="182">
        <f t="shared" si="22"/>
        <v>1</v>
      </c>
      <c r="Y66" s="574"/>
      <c r="Z66" s="188">
        <v>3</v>
      </c>
      <c r="AA66" s="188">
        <v>3181.0124999999994</v>
      </c>
      <c r="AB66" s="185">
        <f t="shared" si="23"/>
        <v>1060.3374999999999</v>
      </c>
      <c r="AC66" s="182">
        <f t="shared" si="24"/>
        <v>1</v>
      </c>
      <c r="AD66" s="574"/>
      <c r="AE66" s="188">
        <v>3</v>
      </c>
      <c r="AF66" s="188">
        <v>3180.2925</v>
      </c>
      <c r="AG66" s="185">
        <f t="shared" si="25"/>
        <v>1060.0975000000001</v>
      </c>
      <c r="AH66" s="182">
        <f t="shared" si="26"/>
        <v>1</v>
      </c>
      <c r="AI66" s="574"/>
      <c r="AJ66" s="188">
        <v>3</v>
      </c>
      <c r="AK66" s="188">
        <v>3180.6525000000001</v>
      </c>
      <c r="AL66" s="185">
        <f t="shared" si="27"/>
        <v>1060.2175</v>
      </c>
      <c r="AM66" s="182">
        <f t="shared" si="28"/>
        <v>1</v>
      </c>
      <c r="AN66" s="574"/>
      <c r="AO66" s="188">
        <v>3</v>
      </c>
      <c r="AP66" s="188">
        <v>3178.8525</v>
      </c>
      <c r="AQ66" s="185">
        <f t="shared" si="29"/>
        <v>1059.6175000000001</v>
      </c>
      <c r="AR66" s="182">
        <f t="shared" si="30"/>
        <v>3</v>
      </c>
      <c r="AS66" s="574"/>
      <c r="AT66" s="188">
        <v>3</v>
      </c>
      <c r="AU66" s="188">
        <v>3179.2124999999996</v>
      </c>
      <c r="AV66" s="185">
        <f t="shared" si="31"/>
        <v>1059.7375</v>
      </c>
      <c r="AW66" s="182">
        <f t="shared" si="32"/>
        <v>2</v>
      </c>
      <c r="AX66" s="574"/>
    </row>
    <row r="67" spans="2:50">
      <c r="B67" s="575"/>
      <c r="C67" s="180">
        <v>23</v>
      </c>
      <c r="D67" s="183" t="s">
        <v>472</v>
      </c>
      <c r="E67" s="184">
        <v>4</v>
      </c>
      <c r="F67" s="180">
        <v>3000</v>
      </c>
      <c r="G67" s="185">
        <f t="shared" ref="G67:G76" si="33">F67/E67</f>
        <v>750</v>
      </c>
      <c r="H67" s="576"/>
      <c r="I67" s="186">
        <f t="shared" si="20"/>
        <v>4</v>
      </c>
      <c r="J67" s="186">
        <f t="shared" si="20"/>
        <v>2682.4569220538992</v>
      </c>
      <c r="K67" s="187">
        <f t="shared" si="20"/>
        <v>670.61423051347481</v>
      </c>
      <c r="L67" s="577"/>
      <c r="M67" s="186">
        <f>RANK(K67, K$45:$K$77)</f>
        <v>22</v>
      </c>
      <c r="N67" s="588"/>
      <c r="O67" s="578"/>
      <c r="P67" s="188">
        <v>4</v>
      </c>
      <c r="Q67" s="188">
        <v>2682.5446082234325</v>
      </c>
      <c r="R67" s="185">
        <f t="shared" si="17"/>
        <v>670.63615205585813</v>
      </c>
      <c r="S67" s="182">
        <f t="shared" si="21"/>
        <v>20</v>
      </c>
      <c r="T67" s="574"/>
      <c r="U67" s="188">
        <v>4</v>
      </c>
      <c r="V67" s="188">
        <v>2682.6923076923108</v>
      </c>
      <c r="W67" s="185">
        <f t="shared" si="18"/>
        <v>670.6730769230777</v>
      </c>
      <c r="X67" s="182">
        <f t="shared" si="22"/>
        <v>20</v>
      </c>
      <c r="Y67" s="574"/>
      <c r="Z67" s="188">
        <v>4</v>
      </c>
      <c r="AA67" s="188">
        <v>2683.2923076923103</v>
      </c>
      <c r="AB67" s="185">
        <f t="shared" si="23"/>
        <v>670.82307692307756</v>
      </c>
      <c r="AC67" s="182">
        <f t="shared" si="24"/>
        <v>20</v>
      </c>
      <c r="AD67" s="574"/>
      <c r="AE67" s="188">
        <v>4</v>
      </c>
      <c r="AF67" s="188">
        <v>2682.9923076923105</v>
      </c>
      <c r="AG67" s="185">
        <f t="shared" si="25"/>
        <v>670.74807692307763</v>
      </c>
      <c r="AH67" s="182">
        <f t="shared" si="26"/>
        <v>20</v>
      </c>
      <c r="AI67" s="574"/>
      <c r="AJ67" s="188">
        <v>4</v>
      </c>
      <c r="AK67" s="188">
        <v>2682.3923076923106</v>
      </c>
      <c r="AL67" s="185">
        <f t="shared" si="27"/>
        <v>670.59807692307766</v>
      </c>
      <c r="AM67" s="182">
        <f t="shared" si="28"/>
        <v>20</v>
      </c>
      <c r="AN67" s="574"/>
      <c r="AO67" s="188">
        <v>4</v>
      </c>
      <c r="AP67" s="188">
        <v>2681.1923076923108</v>
      </c>
      <c r="AQ67" s="185">
        <f t="shared" si="29"/>
        <v>670.2980769230777</v>
      </c>
      <c r="AR67" s="182">
        <f t="shared" si="30"/>
        <v>20</v>
      </c>
      <c r="AS67" s="574"/>
      <c r="AT67" s="188">
        <v>4</v>
      </c>
      <c r="AU67" s="188">
        <v>2682.0923076923109</v>
      </c>
      <c r="AV67" s="185">
        <f t="shared" si="31"/>
        <v>670.52307692307772</v>
      </c>
      <c r="AW67" s="182">
        <f t="shared" si="32"/>
        <v>22</v>
      </c>
      <c r="AX67" s="574"/>
    </row>
    <row r="68" spans="2:50">
      <c r="B68" s="575"/>
      <c r="C68" s="180">
        <v>24</v>
      </c>
      <c r="D68" s="183" t="s">
        <v>492</v>
      </c>
      <c r="E68" s="184">
        <v>5</v>
      </c>
      <c r="F68" s="180">
        <v>3000</v>
      </c>
      <c r="G68" s="185">
        <f t="shared" si="33"/>
        <v>600</v>
      </c>
      <c r="H68" s="576"/>
      <c r="I68" s="186">
        <f t="shared" si="20"/>
        <v>5</v>
      </c>
      <c r="J68" s="186">
        <f t="shared" si="20"/>
        <v>2682.4549658183801</v>
      </c>
      <c r="K68" s="187">
        <f t="shared" si="20"/>
        <v>536.49099316367597</v>
      </c>
      <c r="L68" s="577"/>
      <c r="M68" s="186">
        <f>RANK(K68, K$45:$K$77)</f>
        <v>27</v>
      </c>
      <c r="N68" s="588"/>
      <c r="O68" s="578"/>
      <c r="P68" s="188">
        <v>5</v>
      </c>
      <c r="Q68" s="188">
        <v>2681.8624044475373</v>
      </c>
      <c r="R68" s="185">
        <f t="shared" si="17"/>
        <v>536.37248088950741</v>
      </c>
      <c r="S68" s="182">
        <f t="shared" si="21"/>
        <v>25</v>
      </c>
      <c r="T68" s="574"/>
      <c r="U68" s="188">
        <v>5</v>
      </c>
      <c r="V68" s="188">
        <v>2682.7537260468544</v>
      </c>
      <c r="W68" s="185">
        <f t="shared" si="18"/>
        <v>536.55074520937092</v>
      </c>
      <c r="X68" s="182">
        <f t="shared" si="22"/>
        <v>25</v>
      </c>
      <c r="Y68" s="574"/>
      <c r="Z68" s="188">
        <v>5</v>
      </c>
      <c r="AA68" s="188">
        <v>2682.4537260468542</v>
      </c>
      <c r="AB68" s="185">
        <f t="shared" si="23"/>
        <v>536.49074520937086</v>
      </c>
      <c r="AC68" s="182">
        <f t="shared" si="24"/>
        <v>25</v>
      </c>
      <c r="AD68" s="574"/>
      <c r="AE68" s="188">
        <v>5</v>
      </c>
      <c r="AF68" s="188">
        <v>2682.1537260468544</v>
      </c>
      <c r="AG68" s="185">
        <f t="shared" si="25"/>
        <v>536.43074520937091</v>
      </c>
      <c r="AH68" s="182">
        <f t="shared" si="26"/>
        <v>25</v>
      </c>
      <c r="AI68" s="574"/>
      <c r="AJ68" s="188">
        <v>5</v>
      </c>
      <c r="AK68" s="188">
        <v>2682.7537260468539</v>
      </c>
      <c r="AL68" s="185">
        <f t="shared" si="27"/>
        <v>536.5507452093708</v>
      </c>
      <c r="AM68" s="182">
        <f t="shared" si="28"/>
        <v>25</v>
      </c>
      <c r="AN68" s="574"/>
      <c r="AO68" s="188">
        <v>5</v>
      </c>
      <c r="AP68" s="188">
        <v>2682.7537260468539</v>
      </c>
      <c r="AQ68" s="185">
        <f t="shared" si="29"/>
        <v>536.5507452093708</v>
      </c>
      <c r="AR68" s="182">
        <f t="shared" si="30"/>
        <v>26</v>
      </c>
      <c r="AS68" s="574"/>
      <c r="AT68" s="188">
        <v>5</v>
      </c>
      <c r="AU68" s="188">
        <v>2682.4537260468537</v>
      </c>
      <c r="AV68" s="185">
        <f t="shared" si="31"/>
        <v>536.49074520937074</v>
      </c>
      <c r="AW68" s="182">
        <f t="shared" si="32"/>
        <v>28</v>
      </c>
      <c r="AX68" s="574"/>
    </row>
    <row r="69" spans="2:50">
      <c r="B69" s="575"/>
      <c r="C69" s="180">
        <v>25</v>
      </c>
      <c r="D69" s="183" t="s">
        <v>530</v>
      </c>
      <c r="E69" s="184">
        <v>4</v>
      </c>
      <c r="F69" s="180">
        <v>3000</v>
      </c>
      <c r="G69" s="185">
        <f t="shared" si="33"/>
        <v>750</v>
      </c>
      <c r="H69" s="576"/>
      <c r="I69" s="186">
        <f t="shared" si="20"/>
        <v>4</v>
      </c>
      <c r="J69" s="186">
        <f t="shared" si="20"/>
        <v>2685.0224813397026</v>
      </c>
      <c r="K69" s="187">
        <f t="shared" si="20"/>
        <v>671.25562033492565</v>
      </c>
      <c r="L69" s="577"/>
      <c r="M69" s="186">
        <f>RANK(K69, K$45:$K$77)</f>
        <v>21</v>
      </c>
      <c r="N69" s="588"/>
      <c r="O69" s="578"/>
      <c r="P69" s="188">
        <v>4</v>
      </c>
      <c r="Q69" s="188">
        <v>2683.2394976180167</v>
      </c>
      <c r="R69" s="185">
        <f t="shared" si="17"/>
        <v>670.80987440450417</v>
      </c>
      <c r="S69" s="182">
        <f t="shared" si="21"/>
        <v>19</v>
      </c>
      <c r="T69" s="574"/>
      <c r="U69" s="188">
        <v>4</v>
      </c>
      <c r="V69" s="188">
        <v>2683.2196452933167</v>
      </c>
      <c r="W69" s="185">
        <f t="shared" si="18"/>
        <v>670.80491132332918</v>
      </c>
      <c r="X69" s="182">
        <f t="shared" si="22"/>
        <v>19</v>
      </c>
      <c r="Y69" s="574"/>
      <c r="Z69" s="188">
        <v>4</v>
      </c>
      <c r="AA69" s="188">
        <v>2684.7196452933172</v>
      </c>
      <c r="AB69" s="185">
        <f t="shared" si="23"/>
        <v>671.17991132332929</v>
      </c>
      <c r="AC69" s="182">
        <f t="shared" si="24"/>
        <v>19</v>
      </c>
      <c r="AD69" s="574"/>
      <c r="AE69" s="188">
        <v>4</v>
      </c>
      <c r="AF69" s="188">
        <v>2684.7196452933172</v>
      </c>
      <c r="AG69" s="185">
        <f t="shared" si="25"/>
        <v>671.17991132332929</v>
      </c>
      <c r="AH69" s="182">
        <f t="shared" si="26"/>
        <v>19</v>
      </c>
      <c r="AI69" s="574"/>
      <c r="AJ69" s="188">
        <v>4</v>
      </c>
      <c r="AK69" s="188">
        <v>2685.3196452933171</v>
      </c>
      <c r="AL69" s="185">
        <f t="shared" si="27"/>
        <v>671.32991132332927</v>
      </c>
      <c r="AM69" s="182">
        <f t="shared" si="28"/>
        <v>19</v>
      </c>
      <c r="AN69" s="574"/>
      <c r="AO69" s="188">
        <v>4</v>
      </c>
      <c r="AP69" s="188">
        <v>2686.5196452933169</v>
      </c>
      <c r="AQ69" s="185">
        <f t="shared" si="29"/>
        <v>671.62991132332922</v>
      </c>
      <c r="AR69" s="182">
        <f t="shared" si="30"/>
        <v>19</v>
      </c>
      <c r="AS69" s="574"/>
      <c r="AT69" s="188">
        <v>4</v>
      </c>
      <c r="AU69" s="188">
        <v>2687.4196452933174</v>
      </c>
      <c r="AV69" s="185">
        <f t="shared" si="31"/>
        <v>671.85491132332936</v>
      </c>
      <c r="AW69" s="182">
        <f t="shared" si="32"/>
        <v>21</v>
      </c>
      <c r="AX69" s="574"/>
    </row>
    <row r="70" spans="2:50">
      <c r="B70" s="575"/>
      <c r="C70" s="180">
        <v>26</v>
      </c>
      <c r="D70" s="183" t="s">
        <v>617</v>
      </c>
      <c r="E70" s="184">
        <v>5</v>
      </c>
      <c r="F70" s="180">
        <v>3000</v>
      </c>
      <c r="G70" s="185">
        <f t="shared" si="33"/>
        <v>600</v>
      </c>
      <c r="H70" s="576"/>
      <c r="I70" s="186">
        <f t="shared" si="20"/>
        <v>5</v>
      </c>
      <c r="J70" s="186">
        <f t="shared" si="20"/>
        <v>2629.682070014439</v>
      </c>
      <c r="K70" s="187">
        <f t="shared" si="20"/>
        <v>525.93641400288777</v>
      </c>
      <c r="L70" s="577"/>
      <c r="M70" s="186">
        <f>RANK(K70, K$45:$K$77)</f>
        <v>28</v>
      </c>
      <c r="N70" s="588"/>
      <c r="O70" s="578"/>
      <c r="P70" s="188">
        <v>5</v>
      </c>
      <c r="Q70" s="188">
        <v>2516.4705882352914</v>
      </c>
      <c r="R70" s="185">
        <f t="shared" si="17"/>
        <v>503.29411764705827</v>
      </c>
      <c r="S70" s="182">
        <f t="shared" si="21"/>
        <v>26</v>
      </c>
      <c r="T70" s="574"/>
      <c r="U70" s="188">
        <v>5</v>
      </c>
      <c r="V70" s="188">
        <v>2563.0114566284742</v>
      </c>
      <c r="W70" s="185">
        <f t="shared" si="18"/>
        <v>512.60229132569486</v>
      </c>
      <c r="X70" s="182">
        <f t="shared" si="22"/>
        <v>26</v>
      </c>
      <c r="Y70" s="574"/>
      <c r="Z70" s="188">
        <v>5</v>
      </c>
      <c r="AA70" s="188">
        <v>2613.3536857610443</v>
      </c>
      <c r="AB70" s="185">
        <f t="shared" si="23"/>
        <v>522.67073715220886</v>
      </c>
      <c r="AC70" s="182">
        <f t="shared" si="24"/>
        <v>26</v>
      </c>
      <c r="AD70" s="574"/>
      <c r="AE70" s="188">
        <v>5</v>
      </c>
      <c r="AF70" s="188">
        <v>2666.5387594762651</v>
      </c>
      <c r="AG70" s="185">
        <f t="shared" si="25"/>
        <v>533.30775189525298</v>
      </c>
      <c r="AH70" s="182">
        <f t="shared" si="26"/>
        <v>26</v>
      </c>
      <c r="AI70" s="574"/>
      <c r="AJ70" s="188">
        <v>5</v>
      </c>
      <c r="AK70" s="188">
        <v>2682</v>
      </c>
      <c r="AL70" s="185">
        <f t="shared" si="27"/>
        <v>536.4</v>
      </c>
      <c r="AM70" s="182">
        <f t="shared" si="28"/>
        <v>26</v>
      </c>
      <c r="AN70" s="574"/>
      <c r="AO70" s="188">
        <v>5</v>
      </c>
      <c r="AP70" s="188">
        <v>2682.8999999999996</v>
      </c>
      <c r="AQ70" s="185">
        <f t="shared" si="29"/>
        <v>536.57999999999993</v>
      </c>
      <c r="AR70" s="182">
        <f t="shared" si="30"/>
        <v>25</v>
      </c>
      <c r="AS70" s="574"/>
      <c r="AT70" s="188">
        <v>5</v>
      </c>
      <c r="AU70" s="188">
        <v>2683.4999999999995</v>
      </c>
      <c r="AV70" s="185">
        <f t="shared" si="31"/>
        <v>536.69999999999993</v>
      </c>
      <c r="AW70" s="182">
        <f t="shared" si="32"/>
        <v>27</v>
      </c>
      <c r="AX70" s="574"/>
    </row>
    <row r="71" spans="2:50">
      <c r="B71" s="575"/>
      <c r="C71" s="180">
        <v>27</v>
      </c>
      <c r="D71" s="183" t="s">
        <v>551</v>
      </c>
      <c r="E71" s="184">
        <v>12</v>
      </c>
      <c r="F71" s="180">
        <v>3600</v>
      </c>
      <c r="G71" s="185">
        <f t="shared" si="33"/>
        <v>300</v>
      </c>
      <c r="H71" s="576"/>
      <c r="I71" s="186">
        <f t="shared" si="20"/>
        <v>12</v>
      </c>
      <c r="J71" s="186">
        <f t="shared" si="20"/>
        <v>3256.6520702542293</v>
      </c>
      <c r="K71" s="187">
        <f t="shared" si="20"/>
        <v>271.38767252118583</v>
      </c>
      <c r="L71" s="577"/>
      <c r="M71" s="186">
        <f>RANK(K71, K$45:$K$77)</f>
        <v>29</v>
      </c>
      <c r="N71" s="588"/>
      <c r="O71" s="578"/>
      <c r="P71" s="188">
        <v>12</v>
      </c>
      <c r="Q71" s="188">
        <v>3255.9440559440563</v>
      </c>
      <c r="R71" s="185">
        <f t="shared" si="17"/>
        <v>271.32867132867136</v>
      </c>
      <c r="S71" s="182">
        <f t="shared" si="21"/>
        <v>27</v>
      </c>
      <c r="T71" s="574"/>
      <c r="U71" s="188">
        <v>12</v>
      </c>
      <c r="V71" s="188">
        <v>3255.6900726392582</v>
      </c>
      <c r="W71" s="185">
        <f t="shared" si="18"/>
        <v>271.30750605327154</v>
      </c>
      <c r="X71" s="182">
        <f t="shared" si="22"/>
        <v>27</v>
      </c>
      <c r="Y71" s="574"/>
      <c r="Z71" s="188">
        <v>12</v>
      </c>
      <c r="AA71" s="188">
        <v>3256.0500726392584</v>
      </c>
      <c r="AB71" s="185">
        <f t="shared" si="23"/>
        <v>271.33750605327151</v>
      </c>
      <c r="AC71" s="182">
        <f t="shared" si="24"/>
        <v>27</v>
      </c>
      <c r="AD71" s="574"/>
      <c r="AE71" s="188">
        <v>12</v>
      </c>
      <c r="AF71" s="188">
        <v>3257.1300726392587</v>
      </c>
      <c r="AG71" s="185">
        <f t="shared" si="25"/>
        <v>271.42750605327154</v>
      </c>
      <c r="AH71" s="182">
        <f t="shared" si="26"/>
        <v>27</v>
      </c>
      <c r="AI71" s="574"/>
      <c r="AJ71" s="188">
        <v>12</v>
      </c>
      <c r="AK71" s="188">
        <v>3258.2100726392587</v>
      </c>
      <c r="AL71" s="185">
        <f t="shared" si="27"/>
        <v>271.51750605327157</v>
      </c>
      <c r="AM71" s="182">
        <f t="shared" si="28"/>
        <v>27</v>
      </c>
      <c r="AN71" s="574"/>
      <c r="AO71" s="188">
        <v>12</v>
      </c>
      <c r="AP71" s="188">
        <v>3256.7700726392591</v>
      </c>
      <c r="AQ71" s="185">
        <f t="shared" si="29"/>
        <v>271.39750605327157</v>
      </c>
      <c r="AR71" s="182">
        <f t="shared" si="30"/>
        <v>27</v>
      </c>
      <c r="AS71" s="574"/>
      <c r="AT71" s="188">
        <v>12</v>
      </c>
      <c r="AU71" s="188">
        <v>3256.7700726392591</v>
      </c>
      <c r="AV71" s="185">
        <f t="shared" si="31"/>
        <v>271.39750605327157</v>
      </c>
      <c r="AW71" s="182">
        <f t="shared" si="32"/>
        <v>29</v>
      </c>
      <c r="AX71" s="574"/>
    </row>
    <row r="72" spans="2:50">
      <c r="B72" s="575"/>
      <c r="C72" s="180">
        <v>28</v>
      </c>
      <c r="D72" s="183" t="s">
        <v>584</v>
      </c>
      <c r="E72" s="184">
        <v>13</v>
      </c>
      <c r="F72" s="180">
        <v>3600</v>
      </c>
      <c r="G72" s="185">
        <f t="shared" si="33"/>
        <v>276.92307692307691</v>
      </c>
      <c r="H72" s="576"/>
      <c r="I72" s="186">
        <f t="shared" si="20"/>
        <v>13</v>
      </c>
      <c r="J72" s="186">
        <f t="shared" si="20"/>
        <v>3253.8594069663673</v>
      </c>
      <c r="K72" s="187">
        <f t="shared" si="20"/>
        <v>250.29687745895131</v>
      </c>
      <c r="L72" s="577"/>
      <c r="M72" s="186">
        <f>RANK(K72, K$45:$K$77)</f>
        <v>32</v>
      </c>
      <c r="N72" s="588"/>
      <c r="O72" s="578"/>
      <c r="P72" s="188">
        <v>13</v>
      </c>
      <c r="Q72" s="188">
        <v>3254.8117154811634</v>
      </c>
      <c r="R72" s="185">
        <f t="shared" si="17"/>
        <v>250.37013196008951</v>
      </c>
      <c r="S72" s="182">
        <f t="shared" si="21"/>
        <v>30</v>
      </c>
      <c r="T72" s="574"/>
      <c r="U72" s="188">
        <v>13</v>
      </c>
      <c r="V72" s="188">
        <v>3254.9606888805674</v>
      </c>
      <c r="W72" s="185">
        <f t="shared" si="18"/>
        <v>250.38159145235133</v>
      </c>
      <c r="X72" s="182">
        <f t="shared" si="22"/>
        <v>30</v>
      </c>
      <c r="Y72" s="574"/>
      <c r="Z72" s="188">
        <v>13</v>
      </c>
      <c r="AA72" s="188">
        <v>3254.9606888805674</v>
      </c>
      <c r="AB72" s="185">
        <f t="shared" si="23"/>
        <v>250.38159145235133</v>
      </c>
      <c r="AC72" s="182">
        <f t="shared" si="24"/>
        <v>30</v>
      </c>
      <c r="AD72" s="574"/>
      <c r="AE72" s="188">
        <v>13</v>
      </c>
      <c r="AF72" s="188">
        <v>3253.5206888805678</v>
      </c>
      <c r="AG72" s="185">
        <f t="shared" si="25"/>
        <v>250.27082222158214</v>
      </c>
      <c r="AH72" s="182">
        <f t="shared" si="26"/>
        <v>30</v>
      </c>
      <c r="AI72" s="574"/>
      <c r="AJ72" s="188">
        <v>13</v>
      </c>
      <c r="AK72" s="188">
        <v>3252.8006888805676</v>
      </c>
      <c r="AL72" s="185">
        <f t="shared" si="27"/>
        <v>250.2154376061975</v>
      </c>
      <c r="AM72" s="182">
        <f t="shared" si="28"/>
        <v>30</v>
      </c>
      <c r="AN72" s="574"/>
      <c r="AO72" s="188">
        <v>13</v>
      </c>
      <c r="AP72" s="188">
        <v>3252.8006888805676</v>
      </c>
      <c r="AQ72" s="185">
        <f t="shared" si="29"/>
        <v>250.2154376061975</v>
      </c>
      <c r="AR72" s="182">
        <f t="shared" si="30"/>
        <v>30</v>
      </c>
      <c r="AS72" s="574"/>
      <c r="AT72" s="188">
        <v>13</v>
      </c>
      <c r="AU72" s="188">
        <v>3253.1606888805677</v>
      </c>
      <c r="AV72" s="185">
        <f t="shared" si="31"/>
        <v>250.24312991388982</v>
      </c>
      <c r="AW72" s="182">
        <f t="shared" si="32"/>
        <v>32</v>
      </c>
      <c r="AX72" s="574"/>
    </row>
    <row r="73" spans="2:50">
      <c r="B73" s="575"/>
      <c r="C73" s="180">
        <v>29</v>
      </c>
      <c r="D73" s="183" t="s">
        <v>347</v>
      </c>
      <c r="E73" s="184">
        <v>3</v>
      </c>
      <c r="F73" s="180">
        <v>3000</v>
      </c>
      <c r="G73" s="185">
        <f t="shared" si="33"/>
        <v>1000</v>
      </c>
      <c r="H73" s="576"/>
      <c r="I73" s="186">
        <f t="shared" si="20"/>
        <v>3</v>
      </c>
      <c r="J73" s="186">
        <f t="shared" si="20"/>
        <v>2701.4088382268119</v>
      </c>
      <c r="K73" s="187">
        <f t="shared" si="20"/>
        <v>900.46961274227067</v>
      </c>
      <c r="L73" s="577"/>
      <c r="M73" s="186">
        <f>RANK(K73, K$45:$K$77)</f>
        <v>10</v>
      </c>
      <c r="N73" s="588"/>
      <c r="O73" s="578"/>
      <c r="P73" s="188">
        <v>3</v>
      </c>
      <c r="Q73" s="188">
        <v>2699.941091765937</v>
      </c>
      <c r="R73" s="185">
        <f t="shared" si="17"/>
        <v>899.98036392197901</v>
      </c>
      <c r="S73" s="182">
        <f t="shared" si="21"/>
        <v>11</v>
      </c>
      <c r="T73" s="574"/>
      <c r="U73" s="188">
        <v>3</v>
      </c>
      <c r="V73" s="188">
        <v>2700.2449043247912</v>
      </c>
      <c r="W73" s="185">
        <f t="shared" si="18"/>
        <v>900.08163477493042</v>
      </c>
      <c r="X73" s="182">
        <f t="shared" si="22"/>
        <v>11</v>
      </c>
      <c r="Y73" s="574"/>
      <c r="Z73" s="188">
        <v>3</v>
      </c>
      <c r="AA73" s="188">
        <v>2700.6151742993907</v>
      </c>
      <c r="AB73" s="185">
        <f t="shared" si="23"/>
        <v>900.20505809979693</v>
      </c>
      <c r="AC73" s="182">
        <f t="shared" si="24"/>
        <v>11</v>
      </c>
      <c r="AD73" s="574"/>
      <c r="AE73" s="188">
        <v>3</v>
      </c>
      <c r="AF73" s="188">
        <v>2700.9151742993909</v>
      </c>
      <c r="AG73" s="185">
        <f t="shared" si="25"/>
        <v>900.30505809979695</v>
      </c>
      <c r="AH73" s="182">
        <f t="shared" si="26"/>
        <v>10</v>
      </c>
      <c r="AI73" s="574"/>
      <c r="AJ73" s="188">
        <v>3</v>
      </c>
      <c r="AK73" s="188">
        <v>2702.1151742993907</v>
      </c>
      <c r="AL73" s="185">
        <f t="shared" si="27"/>
        <v>900.70505809979693</v>
      </c>
      <c r="AM73" s="182">
        <f t="shared" si="28"/>
        <v>10</v>
      </c>
      <c r="AN73" s="574"/>
      <c r="AO73" s="188">
        <v>3</v>
      </c>
      <c r="AP73" s="188">
        <v>2703.3151742993905</v>
      </c>
      <c r="AQ73" s="185">
        <f t="shared" si="29"/>
        <v>901.10505809979679</v>
      </c>
      <c r="AR73" s="182">
        <f t="shared" si="30"/>
        <v>9</v>
      </c>
      <c r="AS73" s="574"/>
      <c r="AT73" s="188">
        <v>3</v>
      </c>
      <c r="AU73" s="188">
        <v>2702.715174299391</v>
      </c>
      <c r="AV73" s="185">
        <f t="shared" si="31"/>
        <v>900.90505809979697</v>
      </c>
      <c r="AW73" s="182">
        <f t="shared" si="32"/>
        <v>10</v>
      </c>
      <c r="AX73" s="574"/>
    </row>
    <row r="74" spans="2:50">
      <c r="B74" s="575"/>
      <c r="C74" s="180">
        <v>30</v>
      </c>
      <c r="D74" s="183" t="s">
        <v>468</v>
      </c>
      <c r="E74" s="184">
        <v>12</v>
      </c>
      <c r="F74" s="180">
        <v>3600</v>
      </c>
      <c r="G74" s="185">
        <f t="shared" si="33"/>
        <v>300</v>
      </c>
      <c r="H74" s="576"/>
      <c r="I74" s="186">
        <f t="shared" si="20"/>
        <v>12</v>
      </c>
      <c r="J74" s="186">
        <f t="shared" si="20"/>
        <v>3126.008562922219</v>
      </c>
      <c r="K74" s="187">
        <f t="shared" si="20"/>
        <v>260.50071357685158</v>
      </c>
      <c r="L74" s="577"/>
      <c r="M74" s="186">
        <f>RANK(K74, K$45:$K$77)</f>
        <v>30</v>
      </c>
      <c r="N74" s="588"/>
      <c r="O74" s="578"/>
      <c r="P74" s="188">
        <v>12</v>
      </c>
      <c r="Q74" s="188">
        <v>3123.913043478261</v>
      </c>
      <c r="R74" s="185">
        <f t="shared" si="17"/>
        <v>260.32608695652175</v>
      </c>
      <c r="S74" s="182">
        <f t="shared" si="21"/>
        <v>29</v>
      </c>
      <c r="T74" s="574"/>
      <c r="U74" s="188">
        <v>12</v>
      </c>
      <c r="V74" s="188">
        <v>3124.7378161628794</v>
      </c>
      <c r="W74" s="185">
        <f t="shared" si="18"/>
        <v>260.39481801357329</v>
      </c>
      <c r="X74" s="182">
        <f t="shared" si="22"/>
        <v>28</v>
      </c>
      <c r="Y74" s="574"/>
      <c r="Z74" s="188">
        <v>12</v>
      </c>
      <c r="AA74" s="188">
        <v>3126.5378161628787</v>
      </c>
      <c r="AB74" s="185">
        <f t="shared" si="23"/>
        <v>260.54481801357321</v>
      </c>
      <c r="AC74" s="182">
        <f t="shared" si="24"/>
        <v>28</v>
      </c>
      <c r="AD74" s="574"/>
      <c r="AE74" s="188">
        <v>12</v>
      </c>
      <c r="AF74" s="188">
        <v>3127.6178161628786</v>
      </c>
      <c r="AG74" s="185">
        <f t="shared" si="25"/>
        <v>260.63481801357324</v>
      </c>
      <c r="AH74" s="182">
        <f t="shared" si="26"/>
        <v>28</v>
      </c>
      <c r="AI74" s="574"/>
      <c r="AJ74" s="188">
        <v>12</v>
      </c>
      <c r="AK74" s="188">
        <v>3126.1778161628786</v>
      </c>
      <c r="AL74" s="185">
        <f t="shared" si="27"/>
        <v>260.51481801357323</v>
      </c>
      <c r="AM74" s="182">
        <f t="shared" si="28"/>
        <v>28</v>
      </c>
      <c r="AN74" s="574"/>
      <c r="AO74" s="188">
        <v>12</v>
      </c>
      <c r="AP74" s="188">
        <v>3125.8178161628794</v>
      </c>
      <c r="AQ74" s="185">
        <f t="shared" si="29"/>
        <v>260.48481801357326</v>
      </c>
      <c r="AR74" s="182">
        <f t="shared" si="30"/>
        <v>29</v>
      </c>
      <c r="AS74" s="574"/>
      <c r="AT74" s="188">
        <v>12</v>
      </c>
      <c r="AU74" s="188">
        <v>3127.257816162879</v>
      </c>
      <c r="AV74" s="185">
        <f t="shared" si="31"/>
        <v>260.60481801357327</v>
      </c>
      <c r="AW74" s="182">
        <f t="shared" si="32"/>
        <v>31</v>
      </c>
      <c r="AX74" s="574"/>
    </row>
    <row r="75" spans="2:50">
      <c r="B75" s="575"/>
      <c r="C75" s="180">
        <v>31</v>
      </c>
      <c r="D75" s="183" t="s">
        <v>651</v>
      </c>
      <c r="E75" s="180">
        <v>3</v>
      </c>
      <c r="F75" s="180">
        <v>3000</v>
      </c>
      <c r="G75" s="185">
        <f t="shared" si="33"/>
        <v>1000</v>
      </c>
      <c r="H75" s="576"/>
      <c r="I75" s="186">
        <f t="shared" si="20"/>
        <v>3</v>
      </c>
      <c r="J75" s="186">
        <f t="shared" si="20"/>
        <v>2557.0177426665805</v>
      </c>
      <c r="K75" s="187">
        <f t="shared" si="20"/>
        <v>852.33924755552687</v>
      </c>
      <c r="L75" s="577"/>
      <c r="M75" s="186">
        <f>RANK(K75, K$45:$K$77)</f>
        <v>13</v>
      </c>
      <c r="N75" s="588"/>
      <c r="O75" s="578"/>
      <c r="P75" s="188"/>
      <c r="Q75" s="188"/>
      <c r="R75" s="185"/>
      <c r="S75" s="182"/>
      <c r="T75" s="574"/>
      <c r="U75" s="188"/>
      <c r="V75" s="188"/>
      <c r="W75" s="185"/>
      <c r="X75" s="182"/>
      <c r="Y75" s="574"/>
      <c r="Z75" s="188"/>
      <c r="AA75" s="188"/>
      <c r="AB75" s="185"/>
      <c r="AC75" s="182"/>
      <c r="AD75" s="574"/>
      <c r="AE75" s="188"/>
      <c r="AF75" s="188"/>
      <c r="AG75" s="185"/>
      <c r="AH75" s="182"/>
      <c r="AI75" s="574"/>
      <c r="AJ75" s="188"/>
      <c r="AK75" s="188"/>
      <c r="AL75" s="185"/>
      <c r="AM75" s="182"/>
      <c r="AN75" s="574"/>
      <c r="AO75" s="188"/>
      <c r="AP75" s="188"/>
      <c r="AQ75" s="185"/>
      <c r="AR75" s="182"/>
      <c r="AS75" s="574"/>
      <c r="AT75" s="188">
        <v>3</v>
      </c>
      <c r="AU75" s="188">
        <v>2557.0177426665805</v>
      </c>
      <c r="AV75" s="185">
        <f t="shared" si="31"/>
        <v>852.33924755552687</v>
      </c>
      <c r="AW75" s="182">
        <f>RANK(AV75, AV$45:AV$77)</f>
        <v>13</v>
      </c>
      <c r="AX75" s="574"/>
    </row>
    <row r="76" spans="2:50">
      <c r="B76" s="575"/>
      <c r="C76" s="180">
        <v>32</v>
      </c>
      <c r="D76" s="183" t="s">
        <v>652</v>
      </c>
      <c r="E76" s="180">
        <v>3</v>
      </c>
      <c r="F76" s="180">
        <v>3300</v>
      </c>
      <c r="G76" s="185">
        <f t="shared" si="33"/>
        <v>1100</v>
      </c>
      <c r="H76" s="576"/>
      <c r="I76" s="186">
        <f t="shared" si="20"/>
        <v>3</v>
      </c>
      <c r="J76" s="186">
        <f t="shared" si="20"/>
        <v>2698.9614503592948</v>
      </c>
      <c r="K76" s="187">
        <f t="shared" si="20"/>
        <v>899.65381678643155</v>
      </c>
      <c r="L76" s="577"/>
      <c r="M76" s="186">
        <f>RANK(K76, K$45:$K$77)</f>
        <v>12</v>
      </c>
      <c r="N76" s="588"/>
      <c r="O76" s="578"/>
      <c r="P76" s="188"/>
      <c r="Q76" s="188"/>
      <c r="R76" s="185"/>
      <c r="S76" s="182"/>
      <c r="T76" s="574"/>
      <c r="U76" s="188"/>
      <c r="V76" s="188"/>
      <c r="W76" s="185"/>
      <c r="X76" s="182"/>
      <c r="Y76" s="574"/>
      <c r="Z76" s="188"/>
      <c r="AA76" s="188"/>
      <c r="AB76" s="185"/>
      <c r="AC76" s="182"/>
      <c r="AD76" s="574"/>
      <c r="AE76" s="188"/>
      <c r="AF76" s="188"/>
      <c r="AG76" s="185"/>
      <c r="AH76" s="182"/>
      <c r="AI76" s="574"/>
      <c r="AJ76" s="188"/>
      <c r="AK76" s="188"/>
      <c r="AL76" s="185"/>
      <c r="AM76" s="182"/>
      <c r="AN76" s="574"/>
      <c r="AO76" s="188"/>
      <c r="AP76" s="188"/>
      <c r="AQ76" s="185"/>
      <c r="AR76" s="182"/>
      <c r="AS76" s="574"/>
      <c r="AT76" s="188">
        <v>3</v>
      </c>
      <c r="AU76" s="188">
        <v>2698.9614503592948</v>
      </c>
      <c r="AV76" s="185">
        <f t="shared" si="31"/>
        <v>899.65381678643155</v>
      </c>
      <c r="AW76" s="182">
        <f t="shared" si="32"/>
        <v>12</v>
      </c>
      <c r="AX76" s="574"/>
    </row>
    <row r="77" spans="2:50">
      <c r="B77" s="575"/>
      <c r="C77" s="180">
        <v>33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88"/>
      <c r="O77" s="578"/>
      <c r="P77" s="188"/>
      <c r="Q77" s="188"/>
      <c r="R77" s="185"/>
      <c r="S77" s="182"/>
      <c r="T77" s="574"/>
      <c r="U77" s="188"/>
      <c r="V77" s="188"/>
      <c r="W77" s="185"/>
      <c r="X77" s="182"/>
      <c r="Y77" s="574"/>
      <c r="Z77" s="188"/>
      <c r="AA77" s="188"/>
      <c r="AB77" s="185"/>
      <c r="AC77" s="182"/>
      <c r="AD77" s="574"/>
      <c r="AE77" s="188"/>
      <c r="AF77" s="188"/>
      <c r="AG77" s="185"/>
      <c r="AH77" s="182"/>
      <c r="AI77" s="574"/>
      <c r="AJ77" s="188"/>
      <c r="AK77" s="188"/>
      <c r="AL77" s="185"/>
      <c r="AM77" s="182"/>
      <c r="AN77" s="574"/>
      <c r="AO77" s="188"/>
      <c r="AP77" s="188"/>
      <c r="AQ77" s="185"/>
      <c r="AR77" s="182"/>
      <c r="AS77" s="574"/>
      <c r="AT77" s="188"/>
      <c r="AU77" s="188"/>
      <c r="AV77" s="185"/>
      <c r="AW77" s="182"/>
      <c r="AX77" s="574"/>
    </row>
    <row r="78" spans="2:50" ht="14.25" customHeight="1">
      <c r="B78" s="643" t="s">
        <v>715</v>
      </c>
      <c r="C78" s="643"/>
      <c r="D78" s="643"/>
      <c r="E78" s="643"/>
      <c r="F78" s="643"/>
      <c r="G78" s="643"/>
      <c r="H78" s="643"/>
      <c r="I78" s="643"/>
      <c r="J78" s="643"/>
      <c r="K78" s="643"/>
      <c r="L78" s="643"/>
      <c r="M78" s="644"/>
      <c r="N78" s="593" t="s">
        <v>374</v>
      </c>
      <c r="O78" s="593" t="s">
        <v>105</v>
      </c>
      <c r="P78" s="595">
        <v>46126</v>
      </c>
      <c r="Q78" s="596"/>
      <c r="R78" s="596"/>
      <c r="S78" s="596"/>
      <c r="T78" s="596"/>
      <c r="U78" s="597">
        <v>46127</v>
      </c>
      <c r="V78" s="598"/>
      <c r="W78" s="598"/>
      <c r="X78" s="598"/>
      <c r="Y78" s="598"/>
      <c r="Z78" s="595">
        <v>46128</v>
      </c>
      <c r="AA78" s="596"/>
      <c r="AB78" s="596"/>
      <c r="AC78" s="596"/>
      <c r="AD78" s="596"/>
      <c r="AE78" s="597">
        <v>46129</v>
      </c>
      <c r="AF78" s="598"/>
      <c r="AG78" s="598"/>
      <c r="AH78" s="598"/>
      <c r="AI78" s="598"/>
      <c r="AJ78" s="580">
        <v>46130</v>
      </c>
      <c r="AK78" s="581"/>
      <c r="AL78" s="581"/>
      <c r="AM78" s="581"/>
      <c r="AN78" s="582"/>
      <c r="AO78" s="597">
        <v>46131</v>
      </c>
      <c r="AP78" s="598"/>
      <c r="AQ78" s="598"/>
      <c r="AR78" s="598"/>
      <c r="AS78" s="598"/>
      <c r="AT78" s="580">
        <v>46132</v>
      </c>
      <c r="AU78" s="581"/>
      <c r="AV78" s="581"/>
      <c r="AW78" s="581"/>
      <c r="AX78" s="582"/>
    </row>
    <row r="79" spans="2:50" ht="14.25" customHeight="1"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6"/>
      <c r="N79" s="594"/>
      <c r="O79" s="594"/>
      <c r="P79" s="583">
        <v>46126</v>
      </c>
      <c r="Q79" s="583"/>
      <c r="R79" s="583"/>
      <c r="S79" s="583"/>
      <c r="T79" s="583"/>
      <c r="U79" s="584">
        <v>46127</v>
      </c>
      <c r="V79" s="584"/>
      <c r="W79" s="584"/>
      <c r="X79" s="584"/>
      <c r="Y79" s="584"/>
      <c r="Z79" s="583">
        <v>46128</v>
      </c>
      <c r="AA79" s="583"/>
      <c r="AB79" s="583"/>
      <c r="AC79" s="583"/>
      <c r="AD79" s="583"/>
      <c r="AE79" s="584">
        <v>46129</v>
      </c>
      <c r="AF79" s="584"/>
      <c r="AG79" s="584"/>
      <c r="AH79" s="584"/>
      <c r="AI79" s="584"/>
      <c r="AJ79" s="585">
        <v>46130</v>
      </c>
      <c r="AK79" s="586"/>
      <c r="AL79" s="586"/>
      <c r="AM79" s="586"/>
      <c r="AN79" s="587"/>
      <c r="AO79" s="584">
        <v>46131</v>
      </c>
      <c r="AP79" s="584"/>
      <c r="AQ79" s="584"/>
      <c r="AR79" s="584"/>
      <c r="AS79" s="584"/>
      <c r="AT79" s="585">
        <v>46132</v>
      </c>
      <c r="AU79" s="586"/>
      <c r="AV79" s="586"/>
      <c r="AW79" s="586"/>
      <c r="AX79" s="587"/>
    </row>
    <row r="80" spans="2:50" ht="14.25" customHeight="1">
      <c r="B80" s="575" t="s">
        <v>162</v>
      </c>
      <c r="C80" s="575" t="s">
        <v>157</v>
      </c>
      <c r="D80" s="575"/>
      <c r="E80" s="575" t="s">
        <v>158</v>
      </c>
      <c r="F80" s="575"/>
      <c r="G80" s="575"/>
      <c r="H80" s="575" t="s">
        <v>163</v>
      </c>
      <c r="I80" s="579" t="s">
        <v>375</v>
      </c>
      <c r="J80" s="579"/>
      <c r="K80" s="579"/>
      <c r="L80" s="579" t="s">
        <v>163</v>
      </c>
      <c r="M80" s="579" t="s">
        <v>165</v>
      </c>
      <c r="N80" s="588"/>
      <c r="O80" s="578" t="s">
        <v>164</v>
      </c>
      <c r="P80" s="578" t="s">
        <v>160</v>
      </c>
      <c r="Q80" s="578"/>
      <c r="R80" s="578"/>
      <c r="S80" s="578"/>
      <c r="T80" s="578" t="s">
        <v>163</v>
      </c>
      <c r="U80" s="578" t="s">
        <v>160</v>
      </c>
      <c r="V80" s="578"/>
      <c r="W80" s="578"/>
      <c r="X80" s="578"/>
      <c r="Y80" s="578" t="s">
        <v>163</v>
      </c>
      <c r="Z80" s="578" t="s">
        <v>160</v>
      </c>
      <c r="AA80" s="578"/>
      <c r="AB80" s="578"/>
      <c r="AC80" s="578"/>
      <c r="AD80" s="578" t="s">
        <v>163</v>
      </c>
      <c r="AE80" s="578" t="s">
        <v>160</v>
      </c>
      <c r="AF80" s="578"/>
      <c r="AG80" s="578"/>
      <c r="AH80" s="578"/>
      <c r="AI80" s="578" t="s">
        <v>163</v>
      </c>
      <c r="AJ80" s="578" t="s">
        <v>160</v>
      </c>
      <c r="AK80" s="578"/>
      <c r="AL80" s="578"/>
      <c r="AM80" s="578"/>
      <c r="AN80" s="578" t="s">
        <v>163</v>
      </c>
      <c r="AO80" s="578" t="s">
        <v>160</v>
      </c>
      <c r="AP80" s="578"/>
      <c r="AQ80" s="578"/>
      <c r="AR80" s="578"/>
      <c r="AS80" s="578" t="s">
        <v>163</v>
      </c>
      <c r="AT80" s="578" t="s">
        <v>160</v>
      </c>
      <c r="AU80" s="578"/>
      <c r="AV80" s="578"/>
      <c r="AW80" s="578"/>
      <c r="AX80" s="578" t="s">
        <v>163</v>
      </c>
    </row>
    <row r="81" spans="1:50" ht="14.25" customHeight="1">
      <c r="B81" s="575"/>
      <c r="C81" s="575"/>
      <c r="D81" s="575"/>
      <c r="E81" s="575" t="s">
        <v>376</v>
      </c>
      <c r="F81" s="575"/>
      <c r="G81" s="575"/>
      <c r="H81" s="575"/>
      <c r="I81" s="579" t="s">
        <v>376</v>
      </c>
      <c r="J81" s="579"/>
      <c r="K81" s="579"/>
      <c r="L81" s="579"/>
      <c r="M81" s="579"/>
      <c r="N81" s="588"/>
      <c r="O81" s="578"/>
      <c r="P81" s="578" t="s">
        <v>377</v>
      </c>
      <c r="Q81" s="578"/>
      <c r="R81" s="578"/>
      <c r="S81" s="578"/>
      <c r="T81" s="578"/>
      <c r="U81" s="578" t="s">
        <v>377</v>
      </c>
      <c r="V81" s="578"/>
      <c r="W81" s="578"/>
      <c r="X81" s="578"/>
      <c r="Y81" s="578"/>
      <c r="Z81" s="578" t="s">
        <v>377</v>
      </c>
      <c r="AA81" s="578"/>
      <c r="AB81" s="578"/>
      <c r="AC81" s="578"/>
      <c r="AD81" s="578"/>
      <c r="AE81" s="578" t="s">
        <v>377</v>
      </c>
      <c r="AF81" s="578"/>
      <c r="AG81" s="578"/>
      <c r="AH81" s="578"/>
      <c r="AI81" s="578"/>
      <c r="AJ81" s="578" t="s">
        <v>377</v>
      </c>
      <c r="AK81" s="578"/>
      <c r="AL81" s="578"/>
      <c r="AM81" s="578"/>
      <c r="AN81" s="578"/>
      <c r="AO81" s="578" t="s">
        <v>377</v>
      </c>
      <c r="AP81" s="578"/>
      <c r="AQ81" s="578"/>
      <c r="AR81" s="578"/>
      <c r="AS81" s="578"/>
      <c r="AT81" s="578" t="s">
        <v>377</v>
      </c>
      <c r="AU81" s="578"/>
      <c r="AV81" s="578"/>
      <c r="AW81" s="578"/>
      <c r="AX81" s="578"/>
    </row>
    <row r="82" spans="1:50" ht="14.25" customHeight="1">
      <c r="A82" s="177"/>
      <c r="B82" s="575"/>
      <c r="C82" s="575"/>
      <c r="D82" s="575"/>
      <c r="E82" s="180" t="s">
        <v>159</v>
      </c>
      <c r="F82" s="180" t="s">
        <v>378</v>
      </c>
      <c r="G82" s="180" t="s">
        <v>161</v>
      </c>
      <c r="H82" s="575"/>
      <c r="I82" s="181" t="s">
        <v>159</v>
      </c>
      <c r="J82" s="181" t="s">
        <v>378</v>
      </c>
      <c r="K82" s="181" t="s">
        <v>161</v>
      </c>
      <c r="L82" s="579"/>
      <c r="M82" s="579"/>
      <c r="N82" s="588"/>
      <c r="O82" s="578"/>
      <c r="P82" s="182" t="s">
        <v>159</v>
      </c>
      <c r="Q82" s="182" t="s">
        <v>378</v>
      </c>
      <c r="R82" s="182" t="s">
        <v>161</v>
      </c>
      <c r="S82" s="182" t="s">
        <v>165</v>
      </c>
      <c r="T82" s="578"/>
      <c r="U82" s="182" t="s">
        <v>159</v>
      </c>
      <c r="V82" s="182" t="s">
        <v>378</v>
      </c>
      <c r="W82" s="182" t="s">
        <v>161</v>
      </c>
      <c r="X82" s="182" t="s">
        <v>165</v>
      </c>
      <c r="Y82" s="578"/>
      <c r="Z82" s="182" t="s">
        <v>159</v>
      </c>
      <c r="AA82" s="182" t="s">
        <v>378</v>
      </c>
      <c r="AB82" s="182" t="s">
        <v>161</v>
      </c>
      <c r="AC82" s="182" t="s">
        <v>165</v>
      </c>
      <c r="AD82" s="578"/>
      <c r="AE82" s="182" t="s">
        <v>159</v>
      </c>
      <c r="AF82" s="182" t="s">
        <v>378</v>
      </c>
      <c r="AG82" s="182" t="s">
        <v>161</v>
      </c>
      <c r="AH82" s="182" t="s">
        <v>165</v>
      </c>
      <c r="AI82" s="578"/>
      <c r="AJ82" s="182" t="s">
        <v>159</v>
      </c>
      <c r="AK82" s="182" t="s">
        <v>378</v>
      </c>
      <c r="AL82" s="182" t="s">
        <v>161</v>
      </c>
      <c r="AM82" s="182" t="s">
        <v>165</v>
      </c>
      <c r="AN82" s="578"/>
      <c r="AO82" s="182" t="s">
        <v>159</v>
      </c>
      <c r="AP82" s="182" t="s">
        <v>378</v>
      </c>
      <c r="AQ82" s="182" t="s">
        <v>161</v>
      </c>
      <c r="AR82" s="182" t="s">
        <v>165</v>
      </c>
      <c r="AS82" s="578"/>
      <c r="AT82" s="182" t="s">
        <v>159</v>
      </c>
      <c r="AU82" s="182" t="s">
        <v>378</v>
      </c>
      <c r="AV82" s="182" t="s">
        <v>161</v>
      </c>
      <c r="AW82" s="182" t="s">
        <v>165</v>
      </c>
      <c r="AX82" s="578"/>
    </row>
    <row r="83" spans="1:50" ht="14.25" customHeight="1">
      <c r="B83" s="575" t="s">
        <v>379</v>
      </c>
      <c r="C83" s="180">
        <v>1</v>
      </c>
      <c r="D83" s="183" t="s">
        <v>404</v>
      </c>
      <c r="E83" s="184">
        <v>4</v>
      </c>
      <c r="F83" s="180">
        <v>3600</v>
      </c>
      <c r="G83" s="185">
        <f>F83/E83</f>
        <v>900</v>
      </c>
      <c r="H83" s="576">
        <f>AVERAGE(G83:G117)</f>
        <v>820.79185520361989</v>
      </c>
      <c r="I83" s="186">
        <f>AVERAGE(P83,U83,Z83,AE83,AJ83,AO83,AT83)</f>
        <v>4</v>
      </c>
      <c r="J83" s="186">
        <f>AVERAGE(Q83,V83,AA83,AF83,AK83,AP83,AU83)</f>
        <v>3175.7181236673796</v>
      </c>
      <c r="K83" s="187">
        <f>AVERAGE(R83,W83,AB83,AG83,AL83,AQ83,AV83)</f>
        <v>793.9295309168449</v>
      </c>
      <c r="L83" s="577">
        <f>IFERROR(AVERAGE(K83:K117),"-")</f>
        <v>728.27543199538923</v>
      </c>
      <c r="M83" s="186">
        <f>RANK(K83, K$83:$K$117)</f>
        <v>15</v>
      </c>
      <c r="N83" s="588"/>
      <c r="O83" s="578"/>
      <c r="P83" s="188">
        <v>4</v>
      </c>
      <c r="Q83" s="188">
        <v>3176.3866950959505</v>
      </c>
      <c r="R83" s="185">
        <f t="shared" ref="R83:R116" si="34">IFERROR(Q83/P83,"")</f>
        <v>794.09667377398762</v>
      </c>
      <c r="S83" s="182">
        <f>RANK(R83, R$83:R$117)</f>
        <v>15</v>
      </c>
      <c r="T83" s="574">
        <f>AVERAGE(R83:R117)</f>
        <v>725.37499062597669</v>
      </c>
      <c r="U83" s="188">
        <v>4</v>
      </c>
      <c r="V83" s="188">
        <v>3174.5866950959512</v>
      </c>
      <c r="W83" s="185">
        <f t="shared" ref="W83:W116" si="35">IFERROR(V83/U83,"")</f>
        <v>793.6466737739878</v>
      </c>
      <c r="X83" s="182">
        <f>RANK(W83, W$83:W$117)</f>
        <v>15</v>
      </c>
      <c r="Y83" s="574">
        <f>AVERAGE(W83:W117)</f>
        <v>726.54142066610041</v>
      </c>
      <c r="Z83" s="188">
        <v>4</v>
      </c>
      <c r="AA83" s="188">
        <v>3174.5866950959512</v>
      </c>
      <c r="AB83" s="185">
        <f>IFERROR(AA83/Z83,"")</f>
        <v>793.6466737739878</v>
      </c>
      <c r="AC83" s="182">
        <f>RANK(AB83, AB$83:AB$117)</f>
        <v>15</v>
      </c>
      <c r="AD83" s="574">
        <f>AVERAGE(AB83:AB117)</f>
        <v>727.82164029067599</v>
      </c>
      <c r="AE83" s="188">
        <v>4</v>
      </c>
      <c r="AF83" s="188">
        <v>3174.9466950959513</v>
      </c>
      <c r="AG83" s="185">
        <f>IFERROR(AF83/AE83,"")</f>
        <v>793.73667377398783</v>
      </c>
      <c r="AH83" s="182">
        <f>RANK(AG83, AG$83:AG$117)</f>
        <v>15</v>
      </c>
      <c r="AI83" s="574">
        <f>AVERAGE(AG83:AG117)</f>
        <v>729.23424447360992</v>
      </c>
      <c r="AJ83" s="188">
        <v>4</v>
      </c>
      <c r="AK83" s="188">
        <v>3176.0266950959517</v>
      </c>
      <c r="AL83" s="185">
        <f>IFERROR(AK83/AJ83,"")</f>
        <v>794.00667377398793</v>
      </c>
      <c r="AM83" s="182">
        <f>RANK(AL83, AL$83:AL$117)</f>
        <v>15</v>
      </c>
      <c r="AN83" s="574">
        <f>AVERAGE(AL83:AL117)</f>
        <v>729.65454961649959</v>
      </c>
      <c r="AO83" s="188">
        <v>4</v>
      </c>
      <c r="AP83" s="188">
        <v>3177.1066950959516</v>
      </c>
      <c r="AQ83" s="185">
        <f>IFERROR(AP83/AO83,"")</f>
        <v>794.27667377398791</v>
      </c>
      <c r="AR83" s="182">
        <f>RANK(AQ83, AQ$83:AQ$117)</f>
        <v>15</v>
      </c>
      <c r="AS83" s="574">
        <f>AVERAGE(AQ83:AQ117)</f>
        <v>729.66936581933021</v>
      </c>
      <c r="AT83" s="188">
        <v>4</v>
      </c>
      <c r="AU83" s="188">
        <v>3176.3866950959518</v>
      </c>
      <c r="AV83" s="185">
        <f>IFERROR(AU83/AT83,"")</f>
        <v>794.09667377398796</v>
      </c>
      <c r="AW83" s="182">
        <f>RANK(AV83, AV$83:AV$117)</f>
        <v>15</v>
      </c>
      <c r="AX83" s="574">
        <f>AVERAGE(AV83:AV117)</f>
        <v>729.63181247553098</v>
      </c>
    </row>
    <row r="84" spans="1:50" ht="14.25" customHeight="1">
      <c r="B84" s="575"/>
      <c r="C84" s="180">
        <v>2</v>
      </c>
      <c r="D84" s="183" t="s">
        <v>402</v>
      </c>
      <c r="E84" s="184">
        <v>3</v>
      </c>
      <c r="F84" s="180">
        <v>3600</v>
      </c>
      <c r="G84" s="185">
        <f t="shared" ref="G84:G103" si="36">F84/E84</f>
        <v>1200</v>
      </c>
      <c r="H84" s="576"/>
      <c r="I84" s="186">
        <f t="shared" ref="I84:K113" si="37">AVERAGE(P84,U84,Z84,AE84,AJ84,AO84,AT84)</f>
        <v>3</v>
      </c>
      <c r="J84" s="186">
        <f t="shared" si="37"/>
        <v>3174.8722029372489</v>
      </c>
      <c r="K84" s="187">
        <f t="shared" si="37"/>
        <v>1058.2907343124161</v>
      </c>
      <c r="L84" s="577"/>
      <c r="M84" s="186">
        <f>RANK(K84, K$83:$K$117)</f>
        <v>6</v>
      </c>
      <c r="N84" s="588"/>
      <c r="O84" s="578"/>
      <c r="P84" s="188">
        <v>3</v>
      </c>
      <c r="Q84" s="188">
        <v>3174.8722029372475</v>
      </c>
      <c r="R84" s="185">
        <f t="shared" si="34"/>
        <v>1058.2907343124159</v>
      </c>
      <c r="S84" s="182">
        <f t="shared" ref="S84:S116" si="38">RANK(R84, R$83:R$117)</f>
        <v>7</v>
      </c>
      <c r="T84" s="574"/>
      <c r="U84" s="188">
        <v>3</v>
      </c>
      <c r="V84" s="188">
        <v>3173.792202937248</v>
      </c>
      <c r="W84" s="185">
        <f t="shared" si="35"/>
        <v>1057.930734312416</v>
      </c>
      <c r="X84" s="182">
        <f t="shared" ref="X84:X116" si="39">RANK(W84, W$83:W$117)</f>
        <v>7</v>
      </c>
      <c r="Y84" s="574"/>
      <c r="Z84" s="188">
        <v>3</v>
      </c>
      <c r="AA84" s="188">
        <v>3175.2322029372481</v>
      </c>
      <c r="AB84" s="185">
        <f t="shared" ref="AB84:AB116" si="40">IFERROR(AA84/Z84,"")</f>
        <v>1058.410734312416</v>
      </c>
      <c r="AC84" s="182">
        <f t="shared" ref="AC84:AC116" si="41">RANK(AB84, AB$83:AB$117)</f>
        <v>6</v>
      </c>
      <c r="AD84" s="574"/>
      <c r="AE84" s="188">
        <v>3</v>
      </c>
      <c r="AF84" s="188">
        <v>3175.9522029372492</v>
      </c>
      <c r="AG84" s="185">
        <f t="shared" ref="AG84:AG116" si="42">IFERROR(AF84/AE84,"")</f>
        <v>1058.6507343124165</v>
      </c>
      <c r="AH84" s="182">
        <f t="shared" ref="AH84:AH116" si="43">RANK(AG84, AG$83:AG$117)</f>
        <v>6</v>
      </c>
      <c r="AI84" s="574"/>
      <c r="AJ84" s="188">
        <v>3</v>
      </c>
      <c r="AK84" s="188">
        <v>3175.232202937249</v>
      </c>
      <c r="AL84" s="185">
        <f t="shared" ref="AL84:AL116" si="44">IFERROR(AK84/AJ84,"")</f>
        <v>1058.4107343124163</v>
      </c>
      <c r="AM84" s="182">
        <f t="shared" ref="AM84:AM116" si="45">RANK(AL84, AL$83:AL$117)</f>
        <v>6</v>
      </c>
      <c r="AN84" s="574"/>
      <c r="AO84" s="188">
        <v>3</v>
      </c>
      <c r="AP84" s="188">
        <v>3174.8722029372498</v>
      </c>
      <c r="AQ84" s="185">
        <f t="shared" ref="AQ84:AQ116" si="46">IFERROR(AP84/AO84,"")</f>
        <v>1058.2907343124166</v>
      </c>
      <c r="AR84" s="182">
        <f t="shared" ref="AR84:AR116" si="47">RANK(AQ84, AQ$83:AQ$117)</f>
        <v>6</v>
      </c>
      <c r="AS84" s="574"/>
      <c r="AT84" s="188">
        <v>3</v>
      </c>
      <c r="AU84" s="188">
        <v>3174.15220293725</v>
      </c>
      <c r="AV84" s="185">
        <f t="shared" ref="AV84:AV116" si="48">IFERROR(AU84/AT84,"")</f>
        <v>1058.0507343124166</v>
      </c>
      <c r="AW84" s="182">
        <f t="shared" ref="AW84:AW116" si="49">RANK(AV84, AV$83:AV$117)</f>
        <v>7</v>
      </c>
      <c r="AX84" s="574"/>
    </row>
    <row r="85" spans="1:50" ht="14.25" customHeight="1">
      <c r="B85" s="575"/>
      <c r="C85" s="180">
        <v>3</v>
      </c>
      <c r="D85" s="183" t="s">
        <v>403</v>
      </c>
      <c r="E85" s="184">
        <v>5</v>
      </c>
      <c r="F85" s="180">
        <v>3600</v>
      </c>
      <c r="G85" s="185">
        <f t="shared" si="36"/>
        <v>720</v>
      </c>
      <c r="H85" s="576"/>
      <c r="I85" s="186">
        <f t="shared" si="37"/>
        <v>5</v>
      </c>
      <c r="J85" s="186">
        <f t="shared" si="37"/>
        <v>3169.143011731343</v>
      </c>
      <c r="K85" s="187">
        <f t="shared" si="37"/>
        <v>633.82860234626855</v>
      </c>
      <c r="L85" s="577"/>
      <c r="M85" s="186">
        <f>RANK(K85, K$83:$K$117)</f>
        <v>24</v>
      </c>
      <c r="N85" s="588"/>
      <c r="O85" s="578"/>
      <c r="P85" s="188">
        <v>5</v>
      </c>
      <c r="Q85" s="188">
        <v>3170.171583159914</v>
      </c>
      <c r="R85" s="185">
        <f t="shared" si="34"/>
        <v>634.03431663198285</v>
      </c>
      <c r="S85" s="182">
        <f t="shared" si="38"/>
        <v>24</v>
      </c>
      <c r="T85" s="574"/>
      <c r="U85" s="188">
        <v>5</v>
      </c>
      <c r="V85" s="188">
        <v>3169.4515831599142</v>
      </c>
      <c r="W85" s="185">
        <f t="shared" si="35"/>
        <v>633.89031663198284</v>
      </c>
      <c r="X85" s="182">
        <f t="shared" si="39"/>
        <v>23</v>
      </c>
      <c r="Y85" s="574"/>
      <c r="Z85" s="188">
        <v>5</v>
      </c>
      <c r="AA85" s="188">
        <v>3169.8115831599143</v>
      </c>
      <c r="AB85" s="185">
        <f t="shared" si="40"/>
        <v>633.96231663198284</v>
      </c>
      <c r="AC85" s="182">
        <f t="shared" si="41"/>
        <v>24</v>
      </c>
      <c r="AD85" s="574"/>
      <c r="AE85" s="188">
        <v>5</v>
      </c>
      <c r="AF85" s="188">
        <v>3168.3715831599138</v>
      </c>
      <c r="AG85" s="185">
        <f t="shared" si="42"/>
        <v>633.67431663198272</v>
      </c>
      <c r="AH85" s="182">
        <f t="shared" si="43"/>
        <v>24</v>
      </c>
      <c r="AI85" s="574"/>
      <c r="AJ85" s="188">
        <v>5</v>
      </c>
      <c r="AK85" s="188">
        <v>3168.3715831599138</v>
      </c>
      <c r="AL85" s="185">
        <f t="shared" si="44"/>
        <v>633.67431663198272</v>
      </c>
      <c r="AM85" s="182">
        <f t="shared" si="45"/>
        <v>26</v>
      </c>
      <c r="AN85" s="574"/>
      <c r="AO85" s="188">
        <v>5</v>
      </c>
      <c r="AP85" s="188">
        <v>3169.0915831599136</v>
      </c>
      <c r="AQ85" s="185">
        <f t="shared" si="46"/>
        <v>633.81831663198273</v>
      </c>
      <c r="AR85" s="182">
        <f t="shared" si="47"/>
        <v>26</v>
      </c>
      <c r="AS85" s="574"/>
      <c r="AT85" s="188">
        <v>5</v>
      </c>
      <c r="AU85" s="188">
        <v>3168.7315831599135</v>
      </c>
      <c r="AV85" s="185">
        <f t="shared" si="48"/>
        <v>633.74631663198272</v>
      </c>
      <c r="AW85" s="182">
        <f t="shared" si="49"/>
        <v>25</v>
      </c>
      <c r="AX85" s="574"/>
    </row>
    <row r="86" spans="1:50" ht="14.25" customHeight="1">
      <c r="B86" s="575"/>
      <c r="C86" s="180">
        <v>4</v>
      </c>
      <c r="D86" s="183" t="s">
        <v>229</v>
      </c>
      <c r="E86" s="184">
        <v>5</v>
      </c>
      <c r="F86" s="180">
        <v>3300</v>
      </c>
      <c r="G86" s="185">
        <f t="shared" si="36"/>
        <v>660</v>
      </c>
      <c r="H86" s="576"/>
      <c r="I86" s="186">
        <f t="shared" si="37"/>
        <v>5</v>
      </c>
      <c r="J86" s="186">
        <f t="shared" si="37"/>
        <v>2947.6080938699315</v>
      </c>
      <c r="K86" s="187">
        <f t="shared" si="37"/>
        <v>589.52161877398635</v>
      </c>
      <c r="L86" s="577"/>
      <c r="M86" s="186">
        <f>RANK(K86, K$83:$K$117)</f>
        <v>27</v>
      </c>
      <c r="N86" s="588"/>
      <c r="O86" s="578"/>
      <c r="P86" s="188">
        <v>5</v>
      </c>
      <c r="Q86" s="188">
        <v>2950.34814671814</v>
      </c>
      <c r="R86" s="185">
        <f t="shared" si="34"/>
        <v>590.06962934362798</v>
      </c>
      <c r="S86" s="182">
        <f t="shared" si="38"/>
        <v>25</v>
      </c>
      <c r="T86" s="574"/>
      <c r="U86" s="188">
        <v>5</v>
      </c>
      <c r="V86" s="188">
        <v>2950.6781467181399</v>
      </c>
      <c r="W86" s="185">
        <f t="shared" si="35"/>
        <v>590.13562934362801</v>
      </c>
      <c r="X86" s="182">
        <f t="shared" si="39"/>
        <v>27</v>
      </c>
      <c r="Y86" s="574"/>
      <c r="Z86" s="188">
        <v>5</v>
      </c>
      <c r="AA86" s="188">
        <v>2950.6781467181409</v>
      </c>
      <c r="AB86" s="185">
        <f t="shared" si="40"/>
        <v>590.13562934362812</v>
      </c>
      <c r="AC86" s="182">
        <f t="shared" si="41"/>
        <v>27</v>
      </c>
      <c r="AD86" s="574"/>
      <c r="AE86" s="188">
        <v>5</v>
      </c>
      <c r="AF86" s="188">
        <v>2952.3281467181409</v>
      </c>
      <c r="AG86" s="185">
        <f t="shared" si="42"/>
        <v>590.46562934362817</v>
      </c>
      <c r="AH86" s="182">
        <f t="shared" si="43"/>
        <v>27</v>
      </c>
      <c r="AI86" s="574"/>
      <c r="AJ86" s="188">
        <v>5</v>
      </c>
      <c r="AK86" s="188">
        <v>2944.2846900723198</v>
      </c>
      <c r="AL86" s="185">
        <f t="shared" si="44"/>
        <v>588.85693801446394</v>
      </c>
      <c r="AM86" s="182">
        <f t="shared" si="45"/>
        <v>27</v>
      </c>
      <c r="AN86" s="574"/>
      <c r="AO86" s="188">
        <v>5</v>
      </c>
      <c r="AP86" s="188">
        <v>2942.9646900723201</v>
      </c>
      <c r="AQ86" s="185">
        <f t="shared" si="46"/>
        <v>588.59293801446404</v>
      </c>
      <c r="AR86" s="182">
        <f t="shared" si="47"/>
        <v>28</v>
      </c>
      <c r="AS86" s="574"/>
      <c r="AT86" s="188">
        <v>5</v>
      </c>
      <c r="AU86" s="188">
        <v>2941.9746900723203</v>
      </c>
      <c r="AV86" s="185">
        <f t="shared" si="48"/>
        <v>588.39493801446406</v>
      </c>
      <c r="AW86" s="182">
        <f t="shared" si="49"/>
        <v>28</v>
      </c>
      <c r="AX86" s="574"/>
    </row>
    <row r="87" spans="1:50" ht="14.25" customHeight="1">
      <c r="B87" s="575"/>
      <c r="C87" s="180">
        <v>5</v>
      </c>
      <c r="D87" s="183" t="s">
        <v>399</v>
      </c>
      <c r="E87" s="184">
        <v>3</v>
      </c>
      <c r="F87" s="180">
        <v>3600</v>
      </c>
      <c r="G87" s="185">
        <f t="shared" si="36"/>
        <v>1200</v>
      </c>
      <c r="H87" s="576"/>
      <c r="I87" s="186">
        <f t="shared" si="37"/>
        <v>3</v>
      </c>
      <c r="J87" s="186">
        <f t="shared" si="37"/>
        <v>3173.6065909090889</v>
      </c>
      <c r="K87" s="187">
        <f t="shared" si="37"/>
        <v>1057.8688636363629</v>
      </c>
      <c r="L87" s="577"/>
      <c r="M87" s="186">
        <f>RANK(K87, K$83:$K$117)</f>
        <v>7</v>
      </c>
      <c r="N87" s="588"/>
      <c r="O87" s="578"/>
      <c r="P87" s="188">
        <v>3</v>
      </c>
      <c r="Q87" s="188">
        <v>3175.0465909090881</v>
      </c>
      <c r="R87" s="185">
        <f t="shared" si="34"/>
        <v>1058.3488636363627</v>
      </c>
      <c r="S87" s="182">
        <f t="shared" si="38"/>
        <v>6</v>
      </c>
      <c r="T87" s="574"/>
      <c r="U87" s="188">
        <v>3</v>
      </c>
      <c r="V87" s="188">
        <v>3174.3265909090883</v>
      </c>
      <c r="W87" s="185">
        <f t="shared" si="35"/>
        <v>1058.1088636363627</v>
      </c>
      <c r="X87" s="182">
        <f t="shared" si="39"/>
        <v>6</v>
      </c>
      <c r="Y87" s="574"/>
      <c r="Z87" s="188">
        <v>3</v>
      </c>
      <c r="AA87" s="188">
        <v>3172.8865909090887</v>
      </c>
      <c r="AB87" s="185">
        <f t="shared" si="40"/>
        <v>1057.6288636363629</v>
      </c>
      <c r="AC87" s="182">
        <f t="shared" si="41"/>
        <v>7</v>
      </c>
      <c r="AD87" s="574"/>
      <c r="AE87" s="188">
        <v>3</v>
      </c>
      <c r="AF87" s="188">
        <v>3172.1665909090884</v>
      </c>
      <c r="AG87" s="185">
        <f t="shared" si="42"/>
        <v>1057.3888636363629</v>
      </c>
      <c r="AH87" s="182">
        <f t="shared" si="43"/>
        <v>7</v>
      </c>
      <c r="AI87" s="574"/>
      <c r="AJ87" s="188">
        <v>3</v>
      </c>
      <c r="AK87" s="188">
        <v>3172.8865909090891</v>
      </c>
      <c r="AL87" s="185">
        <f t="shared" si="44"/>
        <v>1057.6288636363631</v>
      </c>
      <c r="AM87" s="182">
        <f t="shared" si="45"/>
        <v>7</v>
      </c>
      <c r="AN87" s="574"/>
      <c r="AO87" s="188">
        <v>3</v>
      </c>
      <c r="AP87" s="188">
        <v>3173.2465909090888</v>
      </c>
      <c r="AQ87" s="185">
        <f t="shared" si="46"/>
        <v>1057.748863636363</v>
      </c>
      <c r="AR87" s="182">
        <f t="shared" si="47"/>
        <v>7</v>
      </c>
      <c r="AS87" s="574"/>
      <c r="AT87" s="188">
        <v>3</v>
      </c>
      <c r="AU87" s="188">
        <v>3174.6865909090889</v>
      </c>
      <c r="AV87" s="185">
        <f t="shared" si="48"/>
        <v>1058.228863636363</v>
      </c>
      <c r="AW87" s="182">
        <f t="shared" si="49"/>
        <v>6</v>
      </c>
      <c r="AX87" s="574"/>
    </row>
    <row r="88" spans="1:50" ht="14.25" customHeight="1">
      <c r="B88" s="575"/>
      <c r="C88" s="180">
        <v>6</v>
      </c>
      <c r="D88" s="183" t="s">
        <v>341</v>
      </c>
      <c r="E88" s="184">
        <v>4</v>
      </c>
      <c r="F88" s="180">
        <v>3600</v>
      </c>
      <c r="G88" s="185">
        <f t="shared" si="36"/>
        <v>900</v>
      </c>
      <c r="H88" s="576"/>
      <c r="I88" s="186">
        <f t="shared" si="37"/>
        <v>4</v>
      </c>
      <c r="J88" s="186">
        <f t="shared" si="37"/>
        <v>3217.5634175849341</v>
      </c>
      <c r="K88" s="187">
        <f t="shared" si="37"/>
        <v>804.39085439623352</v>
      </c>
      <c r="L88" s="577"/>
      <c r="M88" s="186">
        <f>RANK(K88, K$83:$K$117)</f>
        <v>13</v>
      </c>
      <c r="N88" s="588"/>
      <c r="O88" s="578"/>
      <c r="P88" s="188">
        <v>4</v>
      </c>
      <c r="Q88" s="188">
        <v>3241.2359807736339</v>
      </c>
      <c r="R88" s="185">
        <f t="shared" si="34"/>
        <v>810.30899519340846</v>
      </c>
      <c r="S88" s="182">
        <f t="shared" si="38"/>
        <v>12</v>
      </c>
      <c r="T88" s="574"/>
      <c r="U88" s="188">
        <v>4</v>
      </c>
      <c r="V88" s="188">
        <v>3240.8759807736342</v>
      </c>
      <c r="W88" s="185">
        <f t="shared" si="35"/>
        <v>810.21899519340855</v>
      </c>
      <c r="X88" s="182">
        <f t="shared" si="39"/>
        <v>12</v>
      </c>
      <c r="Y88" s="574"/>
      <c r="Z88" s="188">
        <v>4</v>
      </c>
      <c r="AA88" s="188">
        <v>3241.2359807736348</v>
      </c>
      <c r="AB88" s="185">
        <f t="shared" si="40"/>
        <v>810.30899519340869</v>
      </c>
      <c r="AC88" s="182">
        <f t="shared" si="41"/>
        <v>12</v>
      </c>
      <c r="AD88" s="574"/>
      <c r="AE88" s="188">
        <v>4</v>
      </c>
      <c r="AF88" s="188">
        <v>3241.2359807736348</v>
      </c>
      <c r="AG88" s="185">
        <f t="shared" si="42"/>
        <v>810.30899519340869</v>
      </c>
      <c r="AH88" s="182">
        <f t="shared" si="43"/>
        <v>13</v>
      </c>
      <c r="AI88" s="574"/>
      <c r="AJ88" s="188">
        <v>4</v>
      </c>
      <c r="AK88" s="188">
        <v>3185.9999999999995</v>
      </c>
      <c r="AL88" s="185">
        <f t="shared" si="44"/>
        <v>796.49999999999989</v>
      </c>
      <c r="AM88" s="182">
        <f t="shared" si="45"/>
        <v>13</v>
      </c>
      <c r="AN88" s="574"/>
      <c r="AO88" s="188">
        <v>4</v>
      </c>
      <c r="AP88" s="188">
        <v>3185.64</v>
      </c>
      <c r="AQ88" s="185">
        <f t="shared" si="46"/>
        <v>796.41</v>
      </c>
      <c r="AR88" s="182">
        <f t="shared" si="47"/>
        <v>13</v>
      </c>
      <c r="AS88" s="574"/>
      <c r="AT88" s="188">
        <v>4</v>
      </c>
      <c r="AU88" s="188">
        <v>3186.72</v>
      </c>
      <c r="AV88" s="185">
        <f t="shared" si="48"/>
        <v>796.68</v>
      </c>
      <c r="AW88" s="182">
        <f t="shared" si="49"/>
        <v>13</v>
      </c>
      <c r="AX88" s="574"/>
    </row>
    <row r="89" spans="1:50" ht="14.25" customHeight="1">
      <c r="B89" s="575"/>
      <c r="C89" s="180">
        <v>7</v>
      </c>
      <c r="D89" s="183" t="s">
        <v>401</v>
      </c>
      <c r="E89" s="184">
        <v>3</v>
      </c>
      <c r="F89" s="180">
        <v>3600</v>
      </c>
      <c r="G89" s="185">
        <f t="shared" si="36"/>
        <v>1200</v>
      </c>
      <c r="H89" s="576"/>
      <c r="I89" s="186">
        <f t="shared" si="37"/>
        <v>3</v>
      </c>
      <c r="J89" s="186">
        <f t="shared" si="37"/>
        <v>3176.5846153846169</v>
      </c>
      <c r="K89" s="187">
        <f t="shared" si="37"/>
        <v>1058.8615384615391</v>
      </c>
      <c r="L89" s="577"/>
      <c r="M89" s="186">
        <f>RANK(K89, K$83:$K$117)</f>
        <v>5</v>
      </c>
      <c r="N89" s="588"/>
      <c r="O89" s="578"/>
      <c r="P89" s="188">
        <v>3</v>
      </c>
      <c r="Q89" s="188">
        <v>3176.7903296703307</v>
      </c>
      <c r="R89" s="185">
        <f t="shared" si="34"/>
        <v>1058.9301098901103</v>
      </c>
      <c r="S89" s="182">
        <f t="shared" si="38"/>
        <v>5</v>
      </c>
      <c r="T89" s="574"/>
      <c r="U89" s="188">
        <v>3</v>
      </c>
      <c r="V89" s="188">
        <v>3177.510329670331</v>
      </c>
      <c r="W89" s="185">
        <f t="shared" si="35"/>
        <v>1059.1701098901103</v>
      </c>
      <c r="X89" s="182">
        <f t="shared" si="39"/>
        <v>5</v>
      </c>
      <c r="Y89" s="574"/>
      <c r="Z89" s="188">
        <v>3</v>
      </c>
      <c r="AA89" s="188">
        <v>3176.430329670331</v>
      </c>
      <c r="AB89" s="185">
        <f t="shared" si="40"/>
        <v>1058.8101098901104</v>
      </c>
      <c r="AC89" s="182">
        <f t="shared" si="41"/>
        <v>5</v>
      </c>
      <c r="AD89" s="574"/>
      <c r="AE89" s="188">
        <v>3</v>
      </c>
      <c r="AF89" s="188">
        <v>3176.7903296703312</v>
      </c>
      <c r="AG89" s="185">
        <f t="shared" si="42"/>
        <v>1058.9301098901103</v>
      </c>
      <c r="AH89" s="182">
        <f t="shared" si="43"/>
        <v>4</v>
      </c>
      <c r="AI89" s="574"/>
      <c r="AJ89" s="188">
        <v>3</v>
      </c>
      <c r="AK89" s="188">
        <v>3175.7103296703312</v>
      </c>
      <c r="AL89" s="185">
        <f t="shared" si="44"/>
        <v>1058.5701098901104</v>
      </c>
      <c r="AM89" s="182">
        <f t="shared" si="45"/>
        <v>5</v>
      </c>
      <c r="AN89" s="574"/>
      <c r="AO89" s="188">
        <v>3</v>
      </c>
      <c r="AP89" s="188">
        <v>3175.7103296703312</v>
      </c>
      <c r="AQ89" s="185">
        <f t="shared" si="46"/>
        <v>1058.5701098901104</v>
      </c>
      <c r="AR89" s="182">
        <f t="shared" si="47"/>
        <v>5</v>
      </c>
      <c r="AS89" s="574"/>
      <c r="AT89" s="188">
        <v>3</v>
      </c>
      <c r="AU89" s="188">
        <v>3177.1503296703308</v>
      </c>
      <c r="AV89" s="185">
        <f t="shared" si="48"/>
        <v>1059.0501098901102</v>
      </c>
      <c r="AW89" s="182">
        <f t="shared" si="49"/>
        <v>4</v>
      </c>
      <c r="AX89" s="574"/>
    </row>
    <row r="90" spans="1:50" ht="14.25" customHeight="1">
      <c r="B90" s="575"/>
      <c r="C90" s="180">
        <v>8</v>
      </c>
      <c r="D90" s="183" t="s">
        <v>400</v>
      </c>
      <c r="E90" s="184">
        <v>5</v>
      </c>
      <c r="F90" s="180">
        <v>3600</v>
      </c>
      <c r="G90" s="185">
        <f t="shared" si="36"/>
        <v>720</v>
      </c>
      <c r="H90" s="576"/>
      <c r="I90" s="186">
        <f t="shared" si="37"/>
        <v>5</v>
      </c>
      <c r="J90" s="186">
        <f t="shared" si="37"/>
        <v>3216.68480390896</v>
      </c>
      <c r="K90" s="187">
        <f t="shared" si="37"/>
        <v>643.33696078179207</v>
      </c>
      <c r="L90" s="577"/>
      <c r="M90" s="186">
        <f>RANK(K90, K$83:$K$117)</f>
        <v>19</v>
      </c>
      <c r="N90" s="588"/>
      <c r="O90" s="578"/>
      <c r="P90" s="188">
        <v>5</v>
      </c>
      <c r="Q90" s="188">
        <v>3218.7933753375319</v>
      </c>
      <c r="R90" s="185">
        <f t="shared" si="34"/>
        <v>643.75867506750637</v>
      </c>
      <c r="S90" s="182">
        <f t="shared" si="38"/>
        <v>19</v>
      </c>
      <c r="T90" s="574"/>
      <c r="U90" s="188">
        <v>5</v>
      </c>
      <c r="V90" s="188">
        <v>3217.3533753375318</v>
      </c>
      <c r="W90" s="185">
        <f t="shared" si="35"/>
        <v>643.47067506750636</v>
      </c>
      <c r="X90" s="182">
        <f t="shared" si="39"/>
        <v>19</v>
      </c>
      <c r="Y90" s="574"/>
      <c r="Z90" s="188">
        <v>5</v>
      </c>
      <c r="AA90" s="188">
        <v>3216.633375337532</v>
      </c>
      <c r="AB90" s="185">
        <f t="shared" si="40"/>
        <v>643.32667506750636</v>
      </c>
      <c r="AC90" s="182">
        <f t="shared" si="41"/>
        <v>19</v>
      </c>
      <c r="AD90" s="574"/>
      <c r="AE90" s="188">
        <v>5</v>
      </c>
      <c r="AF90" s="188">
        <v>3216.2733753375319</v>
      </c>
      <c r="AG90" s="185">
        <f t="shared" si="42"/>
        <v>643.25467506750635</v>
      </c>
      <c r="AH90" s="182">
        <f t="shared" si="43"/>
        <v>19</v>
      </c>
      <c r="AI90" s="574"/>
      <c r="AJ90" s="188">
        <v>5</v>
      </c>
      <c r="AK90" s="188">
        <v>3215.9133753375318</v>
      </c>
      <c r="AL90" s="185">
        <f t="shared" si="44"/>
        <v>643.18267506750635</v>
      </c>
      <c r="AM90" s="182">
        <f t="shared" si="45"/>
        <v>19</v>
      </c>
      <c r="AN90" s="574"/>
      <c r="AO90" s="188">
        <v>5</v>
      </c>
      <c r="AP90" s="188">
        <v>3215.1933753375311</v>
      </c>
      <c r="AQ90" s="185">
        <f t="shared" si="46"/>
        <v>643.03867506750623</v>
      </c>
      <c r="AR90" s="182">
        <f t="shared" si="47"/>
        <v>19</v>
      </c>
      <c r="AS90" s="574"/>
      <c r="AT90" s="188">
        <v>5</v>
      </c>
      <c r="AU90" s="188">
        <v>3216.6333753375307</v>
      </c>
      <c r="AV90" s="185">
        <f t="shared" si="48"/>
        <v>643.32667506750613</v>
      </c>
      <c r="AW90" s="182">
        <f t="shared" si="49"/>
        <v>19</v>
      </c>
      <c r="AX90" s="574"/>
    </row>
    <row r="91" spans="1:50" ht="14.25" customHeight="1">
      <c r="B91" s="575"/>
      <c r="C91" s="180">
        <v>9</v>
      </c>
      <c r="D91" s="183" t="s">
        <v>398</v>
      </c>
      <c r="E91" s="184">
        <v>5</v>
      </c>
      <c r="F91" s="180">
        <v>3600</v>
      </c>
      <c r="G91" s="185">
        <f t="shared" si="36"/>
        <v>720</v>
      </c>
      <c r="H91" s="576"/>
      <c r="I91" s="186">
        <f t="shared" si="37"/>
        <v>5</v>
      </c>
      <c r="J91" s="186">
        <f t="shared" si="37"/>
        <v>3210.0123462704446</v>
      </c>
      <c r="K91" s="187">
        <f t="shared" si="37"/>
        <v>642.00246925408896</v>
      </c>
      <c r="L91" s="577"/>
      <c r="M91" s="186">
        <f>RANK(K91, K$83:$K$117)</f>
        <v>22</v>
      </c>
      <c r="N91" s="588"/>
      <c r="O91" s="578"/>
      <c r="P91" s="188">
        <v>5</v>
      </c>
      <c r="Q91" s="188">
        <v>3208.3152034133018</v>
      </c>
      <c r="R91" s="185">
        <f t="shared" si="34"/>
        <v>641.66304068266038</v>
      </c>
      <c r="S91" s="182">
        <f t="shared" si="38"/>
        <v>22</v>
      </c>
      <c r="T91" s="574"/>
      <c r="U91" s="188">
        <v>5</v>
      </c>
      <c r="V91" s="188">
        <v>3210.1152034133015</v>
      </c>
      <c r="W91" s="185">
        <f t="shared" si="35"/>
        <v>642.02304068266028</v>
      </c>
      <c r="X91" s="182">
        <f t="shared" si="39"/>
        <v>22</v>
      </c>
      <c r="Y91" s="574"/>
      <c r="Z91" s="188">
        <v>5</v>
      </c>
      <c r="AA91" s="188">
        <v>3209.3952034133017</v>
      </c>
      <c r="AB91" s="185">
        <f t="shared" si="40"/>
        <v>641.87904068266039</v>
      </c>
      <c r="AC91" s="182">
        <f t="shared" si="41"/>
        <v>22</v>
      </c>
      <c r="AD91" s="574"/>
      <c r="AE91" s="188">
        <v>5</v>
      </c>
      <c r="AF91" s="188">
        <v>3209.0352034133025</v>
      </c>
      <c r="AG91" s="185">
        <f t="shared" si="42"/>
        <v>641.8070406826605</v>
      </c>
      <c r="AH91" s="182">
        <f t="shared" si="43"/>
        <v>22</v>
      </c>
      <c r="AI91" s="574"/>
      <c r="AJ91" s="188">
        <v>5</v>
      </c>
      <c r="AK91" s="188">
        <v>3210.8352034133022</v>
      </c>
      <c r="AL91" s="185">
        <f t="shared" si="44"/>
        <v>642.1670406826604</v>
      </c>
      <c r="AM91" s="182">
        <f t="shared" si="45"/>
        <v>21</v>
      </c>
      <c r="AN91" s="574"/>
      <c r="AO91" s="188">
        <v>5</v>
      </c>
      <c r="AP91" s="188">
        <v>3211.9152034133017</v>
      </c>
      <c r="AQ91" s="185">
        <f t="shared" si="46"/>
        <v>642.38304068266029</v>
      </c>
      <c r="AR91" s="182">
        <f t="shared" si="47"/>
        <v>20</v>
      </c>
      <c r="AS91" s="574"/>
      <c r="AT91" s="188">
        <v>5</v>
      </c>
      <c r="AU91" s="188">
        <v>3210.4752034133012</v>
      </c>
      <c r="AV91" s="185">
        <f t="shared" si="48"/>
        <v>642.09504068266028</v>
      </c>
      <c r="AW91" s="182">
        <f t="shared" si="49"/>
        <v>21</v>
      </c>
      <c r="AX91" s="574"/>
    </row>
    <row r="92" spans="1:50" ht="14.25" customHeight="1">
      <c r="B92" s="575"/>
      <c r="C92" s="180">
        <v>10</v>
      </c>
      <c r="D92" s="183" t="s">
        <v>228</v>
      </c>
      <c r="E92" s="184">
        <v>3</v>
      </c>
      <c r="F92" s="180">
        <v>3000</v>
      </c>
      <c r="G92" s="185">
        <f t="shared" si="36"/>
        <v>1000</v>
      </c>
      <c r="H92" s="576"/>
      <c r="I92" s="186">
        <f t="shared" si="37"/>
        <v>3</v>
      </c>
      <c r="J92" s="186">
        <f t="shared" si="37"/>
        <v>2705.412987012985</v>
      </c>
      <c r="K92" s="187">
        <f t="shared" si="37"/>
        <v>901.80432900432857</v>
      </c>
      <c r="L92" s="577"/>
      <c r="M92" s="186">
        <f>RANK(K92, K$83:$K$117)</f>
        <v>10</v>
      </c>
      <c r="N92" s="588"/>
      <c r="O92" s="578"/>
      <c r="P92" s="188">
        <v>3</v>
      </c>
      <c r="Q92" s="188">
        <v>2703.3987012987013</v>
      </c>
      <c r="R92" s="185">
        <f t="shared" si="34"/>
        <v>901.13290043290044</v>
      </c>
      <c r="S92" s="182">
        <f t="shared" si="38"/>
        <v>10</v>
      </c>
      <c r="T92" s="574"/>
      <c r="U92" s="188">
        <v>3</v>
      </c>
      <c r="V92" s="188">
        <v>2704.2987012987005</v>
      </c>
      <c r="W92" s="185">
        <f t="shared" si="35"/>
        <v>901.43290043290017</v>
      </c>
      <c r="X92" s="182">
        <f t="shared" si="39"/>
        <v>10</v>
      </c>
      <c r="Y92" s="574"/>
      <c r="Z92" s="188">
        <v>3</v>
      </c>
      <c r="AA92" s="188">
        <v>2705.1987012986997</v>
      </c>
      <c r="AB92" s="185">
        <f t="shared" si="40"/>
        <v>901.7329004328999</v>
      </c>
      <c r="AC92" s="182">
        <f t="shared" si="41"/>
        <v>10</v>
      </c>
      <c r="AD92" s="574"/>
      <c r="AE92" s="188">
        <v>3</v>
      </c>
      <c r="AF92" s="188">
        <v>2705.7987012986991</v>
      </c>
      <c r="AG92" s="185">
        <f t="shared" si="42"/>
        <v>901.93290043289971</v>
      </c>
      <c r="AH92" s="182">
        <f t="shared" si="43"/>
        <v>10</v>
      </c>
      <c r="AI92" s="574"/>
      <c r="AJ92" s="188">
        <v>3</v>
      </c>
      <c r="AK92" s="188">
        <v>2706.3987012986991</v>
      </c>
      <c r="AL92" s="185">
        <f t="shared" si="44"/>
        <v>902.13290043289965</v>
      </c>
      <c r="AM92" s="182">
        <f t="shared" si="45"/>
        <v>10</v>
      </c>
      <c r="AN92" s="574"/>
      <c r="AO92" s="188">
        <v>3</v>
      </c>
      <c r="AP92" s="188">
        <v>2706.3987012986991</v>
      </c>
      <c r="AQ92" s="185">
        <f t="shared" si="46"/>
        <v>902.13290043289965</v>
      </c>
      <c r="AR92" s="182">
        <f t="shared" si="47"/>
        <v>10</v>
      </c>
      <c r="AS92" s="574"/>
      <c r="AT92" s="188">
        <v>3</v>
      </c>
      <c r="AU92" s="188">
        <v>2706.3987012986991</v>
      </c>
      <c r="AV92" s="185">
        <f t="shared" si="48"/>
        <v>902.13290043289965</v>
      </c>
      <c r="AW92" s="182">
        <f t="shared" si="49"/>
        <v>10</v>
      </c>
      <c r="AX92" s="574"/>
    </row>
    <row r="93" spans="1:50" ht="14.25" customHeight="1">
      <c r="B93" s="575"/>
      <c r="C93" s="180">
        <v>11</v>
      </c>
      <c r="D93" s="183" t="s">
        <v>471</v>
      </c>
      <c r="E93" s="184">
        <v>12</v>
      </c>
      <c r="F93" s="180">
        <v>3600</v>
      </c>
      <c r="G93" s="185">
        <f t="shared" si="36"/>
        <v>300</v>
      </c>
      <c r="H93" s="576"/>
      <c r="I93" s="186">
        <f t="shared" si="37"/>
        <v>12</v>
      </c>
      <c r="J93" s="186">
        <f t="shared" si="37"/>
        <v>3128.2037336326098</v>
      </c>
      <c r="K93" s="187">
        <f t="shared" si="37"/>
        <v>260.68364446938409</v>
      </c>
      <c r="L93" s="577"/>
      <c r="M93" s="186">
        <f>RANK(K93, K$83:$K$117)</f>
        <v>32</v>
      </c>
      <c r="N93" s="588"/>
      <c r="O93" s="578"/>
      <c r="P93" s="188">
        <v>12</v>
      </c>
      <c r="Q93" s="188">
        <v>3128.0885649615188</v>
      </c>
      <c r="R93" s="185">
        <f t="shared" si="34"/>
        <v>260.67404708012657</v>
      </c>
      <c r="S93" s="182">
        <f t="shared" si="38"/>
        <v>33</v>
      </c>
      <c r="T93" s="574"/>
      <c r="U93" s="188">
        <v>12</v>
      </c>
      <c r="V93" s="188">
        <v>3128.0885649615193</v>
      </c>
      <c r="W93" s="185">
        <f t="shared" si="35"/>
        <v>260.67404708012663</v>
      </c>
      <c r="X93" s="182">
        <f t="shared" si="39"/>
        <v>33</v>
      </c>
      <c r="Y93" s="574"/>
      <c r="Z93" s="188">
        <v>12</v>
      </c>
      <c r="AA93" s="188">
        <v>3129.5285649615198</v>
      </c>
      <c r="AB93" s="185">
        <f t="shared" si="40"/>
        <v>260.79404708012663</v>
      </c>
      <c r="AC93" s="182">
        <f t="shared" si="41"/>
        <v>32</v>
      </c>
      <c r="AD93" s="574"/>
      <c r="AE93" s="188">
        <v>12</v>
      </c>
      <c r="AF93" s="188">
        <v>3128.80856496152</v>
      </c>
      <c r="AG93" s="185">
        <f t="shared" si="42"/>
        <v>260.73404708012669</v>
      </c>
      <c r="AH93" s="182">
        <f t="shared" si="43"/>
        <v>32</v>
      </c>
      <c r="AI93" s="574"/>
      <c r="AJ93" s="188">
        <v>12</v>
      </c>
      <c r="AK93" s="188">
        <v>3128.0885649615202</v>
      </c>
      <c r="AL93" s="185">
        <f t="shared" si="44"/>
        <v>260.67404708012668</v>
      </c>
      <c r="AM93" s="182">
        <f t="shared" si="45"/>
        <v>32</v>
      </c>
      <c r="AN93" s="574"/>
      <c r="AO93" s="188">
        <v>12</v>
      </c>
      <c r="AP93" s="188">
        <v>3128.80856496152</v>
      </c>
      <c r="AQ93" s="185">
        <f t="shared" si="46"/>
        <v>260.73404708012669</v>
      </c>
      <c r="AR93" s="182">
        <f t="shared" si="47"/>
        <v>32</v>
      </c>
      <c r="AS93" s="574"/>
      <c r="AT93" s="188">
        <v>12</v>
      </c>
      <c r="AU93" s="188">
        <v>3126.014745659148</v>
      </c>
      <c r="AV93" s="185">
        <f t="shared" si="48"/>
        <v>260.50122880492899</v>
      </c>
      <c r="AW93" s="182">
        <f t="shared" si="49"/>
        <v>33</v>
      </c>
      <c r="AX93" s="574"/>
    </row>
    <row r="94" spans="1:50" ht="14.25" customHeight="1">
      <c r="B94" s="575"/>
      <c r="C94" s="180">
        <v>12</v>
      </c>
      <c r="D94" s="183" t="s">
        <v>499</v>
      </c>
      <c r="E94" s="184">
        <v>3</v>
      </c>
      <c r="F94" s="180">
        <v>3300</v>
      </c>
      <c r="G94" s="185">
        <f t="shared" si="36"/>
        <v>1100</v>
      </c>
      <c r="H94" s="576"/>
      <c r="I94" s="186">
        <f t="shared" si="37"/>
        <v>3</v>
      </c>
      <c r="J94" s="186">
        <f t="shared" si="37"/>
        <v>2974.4595413696957</v>
      </c>
      <c r="K94" s="187">
        <f t="shared" si="37"/>
        <v>991.48651378989859</v>
      </c>
      <c r="L94" s="577"/>
      <c r="M94" s="186">
        <f>RANK(K94, K$83:$K$117)</f>
        <v>8</v>
      </c>
      <c r="N94" s="588"/>
      <c r="O94" s="578"/>
      <c r="P94" s="188">
        <v>3</v>
      </c>
      <c r="Q94" s="188">
        <v>2971.6781127982672</v>
      </c>
      <c r="R94" s="185">
        <f t="shared" si="34"/>
        <v>990.55937093275577</v>
      </c>
      <c r="S94" s="182">
        <f t="shared" si="38"/>
        <v>8</v>
      </c>
      <c r="T94" s="574"/>
      <c r="U94" s="188">
        <v>3</v>
      </c>
      <c r="V94" s="188">
        <v>2972.3381127982675</v>
      </c>
      <c r="W94" s="185">
        <f t="shared" si="35"/>
        <v>990.7793709327558</v>
      </c>
      <c r="X94" s="182">
        <f t="shared" si="39"/>
        <v>8</v>
      </c>
      <c r="Y94" s="574"/>
      <c r="Z94" s="188">
        <v>3</v>
      </c>
      <c r="AA94" s="188">
        <v>2973.6581127982672</v>
      </c>
      <c r="AB94" s="185">
        <f t="shared" si="40"/>
        <v>991.21937093275574</v>
      </c>
      <c r="AC94" s="182">
        <f t="shared" si="41"/>
        <v>8</v>
      </c>
      <c r="AD94" s="574"/>
      <c r="AE94" s="188">
        <v>3</v>
      </c>
      <c r="AF94" s="188">
        <v>2974.9781127982669</v>
      </c>
      <c r="AG94" s="185">
        <f t="shared" si="42"/>
        <v>991.65937093275568</v>
      </c>
      <c r="AH94" s="182">
        <f t="shared" si="43"/>
        <v>8</v>
      </c>
      <c r="AI94" s="574"/>
      <c r="AJ94" s="188">
        <v>3</v>
      </c>
      <c r="AK94" s="188">
        <v>2975.9681127982672</v>
      </c>
      <c r="AL94" s="185">
        <f t="shared" si="44"/>
        <v>991.98937093275572</v>
      </c>
      <c r="AM94" s="182">
        <f t="shared" si="45"/>
        <v>9</v>
      </c>
      <c r="AN94" s="574"/>
      <c r="AO94" s="188">
        <v>3</v>
      </c>
      <c r="AP94" s="188">
        <v>2975.6381127982672</v>
      </c>
      <c r="AQ94" s="185">
        <f t="shared" si="46"/>
        <v>991.87937093275571</v>
      </c>
      <c r="AR94" s="182">
        <f t="shared" si="47"/>
        <v>9</v>
      </c>
      <c r="AS94" s="574"/>
      <c r="AT94" s="188">
        <v>3</v>
      </c>
      <c r="AU94" s="188">
        <v>2976.9581127982669</v>
      </c>
      <c r="AV94" s="185">
        <f t="shared" si="48"/>
        <v>992.31937093275565</v>
      </c>
      <c r="AW94" s="182">
        <f t="shared" si="49"/>
        <v>9</v>
      </c>
      <c r="AX94" s="574"/>
    </row>
    <row r="95" spans="1:50" ht="14.25" customHeight="1">
      <c r="B95" s="575"/>
      <c r="C95" s="180">
        <v>13</v>
      </c>
      <c r="D95" s="183" t="s">
        <v>713</v>
      </c>
      <c r="E95" s="184">
        <v>5</v>
      </c>
      <c r="F95" s="180">
        <v>3600</v>
      </c>
      <c r="G95" s="185">
        <f t="shared" si="36"/>
        <v>720</v>
      </c>
      <c r="H95" s="576"/>
      <c r="I95" s="186">
        <f t="shared" si="37"/>
        <v>5</v>
      </c>
      <c r="J95" s="186">
        <f t="shared" si="37"/>
        <v>3096.1209236268428</v>
      </c>
      <c r="K95" s="187">
        <f t="shared" si="37"/>
        <v>619.22418472536845</v>
      </c>
      <c r="L95" s="577"/>
      <c r="M95" s="186">
        <f>RANK(K95, K$83:$K$117)</f>
        <v>26</v>
      </c>
      <c r="N95" s="588"/>
      <c r="O95" s="578"/>
      <c r="P95" s="188">
        <v>5</v>
      </c>
      <c r="Q95" s="188">
        <v>2942.9434491528591</v>
      </c>
      <c r="R95" s="185">
        <f t="shared" si="34"/>
        <v>588.58868983057187</v>
      </c>
      <c r="S95" s="182">
        <f t="shared" si="38"/>
        <v>28</v>
      </c>
      <c r="T95" s="574"/>
      <c r="U95" s="188">
        <v>5</v>
      </c>
      <c r="V95" s="188">
        <v>2998.3871244674383</v>
      </c>
      <c r="W95" s="185">
        <f t="shared" si="35"/>
        <v>599.67742489348768</v>
      </c>
      <c r="X95" s="182">
        <f t="shared" si="39"/>
        <v>25</v>
      </c>
      <c r="Y95" s="574"/>
      <c r="Z95" s="188">
        <v>5</v>
      </c>
      <c r="AA95" s="188">
        <v>3054.009744</v>
      </c>
      <c r="AB95" s="185">
        <f t="shared" si="40"/>
        <v>610.80194879999999</v>
      </c>
      <c r="AC95" s="182">
        <f t="shared" si="41"/>
        <v>26</v>
      </c>
      <c r="AD95" s="574"/>
      <c r="AE95" s="188">
        <v>5</v>
      </c>
      <c r="AF95" s="188">
        <v>3131.0979876000001</v>
      </c>
      <c r="AG95" s="185">
        <f t="shared" si="42"/>
        <v>626.21959751999998</v>
      </c>
      <c r="AH95" s="182">
        <f t="shared" si="43"/>
        <v>25</v>
      </c>
      <c r="AI95" s="574"/>
      <c r="AJ95" s="188">
        <v>5</v>
      </c>
      <c r="AK95" s="188">
        <v>3182.4960533891995</v>
      </c>
      <c r="AL95" s="185">
        <f t="shared" si="44"/>
        <v>636.49921067783987</v>
      </c>
      <c r="AM95" s="182">
        <f t="shared" si="45"/>
        <v>24</v>
      </c>
      <c r="AN95" s="574"/>
      <c r="AO95" s="188">
        <v>5</v>
      </c>
      <c r="AP95" s="188">
        <v>3181.0560533891994</v>
      </c>
      <c r="AQ95" s="185">
        <f t="shared" si="46"/>
        <v>636.21121067783986</v>
      </c>
      <c r="AR95" s="182">
        <f t="shared" si="47"/>
        <v>24</v>
      </c>
      <c r="AS95" s="574"/>
      <c r="AT95" s="188">
        <v>5</v>
      </c>
      <c r="AU95" s="188">
        <v>3182.8560533891996</v>
      </c>
      <c r="AV95" s="185">
        <f t="shared" si="48"/>
        <v>636.57121067783987</v>
      </c>
      <c r="AW95" s="182">
        <f t="shared" si="49"/>
        <v>23</v>
      </c>
      <c r="AX95" s="574"/>
    </row>
    <row r="96" spans="1:50" ht="14.25" customHeight="1">
      <c r="B96" s="575"/>
      <c r="C96" s="180">
        <v>14</v>
      </c>
      <c r="D96" s="183" t="s">
        <v>714</v>
      </c>
      <c r="E96" s="184">
        <v>5</v>
      </c>
      <c r="F96" s="180">
        <v>3600</v>
      </c>
      <c r="G96" s="185">
        <f t="shared" si="36"/>
        <v>720</v>
      </c>
      <c r="H96" s="576"/>
      <c r="I96" s="186">
        <f t="shared" si="37"/>
        <v>5</v>
      </c>
      <c r="J96" s="186">
        <f t="shared" si="37"/>
        <v>3096.6010186081066</v>
      </c>
      <c r="K96" s="187">
        <f t="shared" si="37"/>
        <v>619.32020372162128</v>
      </c>
      <c r="L96" s="577"/>
      <c r="M96" s="186">
        <f>RANK(K96, K$83:$K$117)</f>
        <v>25</v>
      </c>
      <c r="N96" s="588"/>
      <c r="O96" s="578"/>
      <c r="P96" s="188">
        <v>5</v>
      </c>
      <c r="Q96" s="188">
        <v>2946.0340708929557</v>
      </c>
      <c r="R96" s="185">
        <f t="shared" si="34"/>
        <v>589.20681417859112</v>
      </c>
      <c r="S96" s="182">
        <f t="shared" si="38"/>
        <v>26</v>
      </c>
      <c r="T96" s="574"/>
      <c r="U96" s="188">
        <v>5</v>
      </c>
      <c r="V96" s="188">
        <v>2995.5046335327615</v>
      </c>
      <c r="W96" s="185">
        <f t="shared" si="35"/>
        <v>599.10092670655229</v>
      </c>
      <c r="X96" s="182">
        <f t="shared" si="39"/>
        <v>26</v>
      </c>
      <c r="Y96" s="574"/>
      <c r="Z96" s="188">
        <v>5</v>
      </c>
      <c r="AA96" s="188">
        <v>3060.3380642085076</v>
      </c>
      <c r="AB96" s="185">
        <f t="shared" si="40"/>
        <v>612.06761284170148</v>
      </c>
      <c r="AC96" s="182">
        <f t="shared" si="41"/>
        <v>25</v>
      </c>
      <c r="AD96" s="574"/>
      <c r="AE96" s="188">
        <v>5</v>
      </c>
      <c r="AF96" s="188">
        <v>3128.1012647999996</v>
      </c>
      <c r="AG96" s="185">
        <f t="shared" si="42"/>
        <v>625.6202529599999</v>
      </c>
      <c r="AH96" s="182">
        <f t="shared" si="43"/>
        <v>26</v>
      </c>
      <c r="AI96" s="574"/>
      <c r="AJ96" s="188">
        <v>5</v>
      </c>
      <c r="AK96" s="188">
        <v>3187.5351888311993</v>
      </c>
      <c r="AL96" s="185">
        <f t="shared" si="44"/>
        <v>637.50703776623982</v>
      </c>
      <c r="AM96" s="182">
        <f t="shared" si="45"/>
        <v>23</v>
      </c>
      <c r="AN96" s="574"/>
      <c r="AO96" s="188">
        <v>5</v>
      </c>
      <c r="AP96" s="188">
        <v>3182.0763656075069</v>
      </c>
      <c r="AQ96" s="185">
        <f t="shared" si="46"/>
        <v>636.4152731215014</v>
      </c>
      <c r="AR96" s="182">
        <f t="shared" si="47"/>
        <v>23</v>
      </c>
      <c r="AS96" s="574"/>
      <c r="AT96" s="188">
        <v>5</v>
      </c>
      <c r="AU96" s="188">
        <v>3176.617542383814</v>
      </c>
      <c r="AV96" s="185">
        <f t="shared" si="48"/>
        <v>635.32350847676275</v>
      </c>
      <c r="AW96" s="182">
        <f t="shared" si="49"/>
        <v>24</v>
      </c>
      <c r="AX96" s="574"/>
    </row>
    <row r="97" spans="2:50" ht="14.25" customHeight="1">
      <c r="B97" s="575"/>
      <c r="C97" s="180">
        <v>15</v>
      </c>
      <c r="D97" s="183" t="s">
        <v>412</v>
      </c>
      <c r="E97" s="184">
        <v>5</v>
      </c>
      <c r="F97" s="180">
        <v>3600</v>
      </c>
      <c r="G97" s="185">
        <f t="shared" si="36"/>
        <v>720</v>
      </c>
      <c r="H97" s="576"/>
      <c r="I97" s="186">
        <f t="shared" si="37"/>
        <v>5</v>
      </c>
      <c r="J97" s="186">
        <f t="shared" si="37"/>
        <v>3169.7945300961537</v>
      </c>
      <c r="K97" s="187">
        <f t="shared" si="37"/>
        <v>633.95890601923077</v>
      </c>
      <c r="L97" s="577"/>
      <c r="M97" s="186">
        <f>RANK(K97, K$83:$K$117)</f>
        <v>23</v>
      </c>
      <c r="N97" s="588"/>
      <c r="O97" s="578"/>
      <c r="P97" s="188">
        <v>5</v>
      </c>
      <c r="Q97" s="188">
        <v>3170.8231015247247</v>
      </c>
      <c r="R97" s="185">
        <f t="shared" si="34"/>
        <v>634.16462030494495</v>
      </c>
      <c r="S97" s="182">
        <f t="shared" si="38"/>
        <v>23</v>
      </c>
      <c r="T97" s="574"/>
      <c r="U97" s="188">
        <v>5</v>
      </c>
      <c r="V97" s="188">
        <v>3169.0231015247255</v>
      </c>
      <c r="W97" s="185">
        <f t="shared" si="35"/>
        <v>633.80462030494505</v>
      </c>
      <c r="X97" s="182">
        <f t="shared" si="39"/>
        <v>24</v>
      </c>
      <c r="Y97" s="574"/>
      <c r="Z97" s="188">
        <v>5</v>
      </c>
      <c r="AA97" s="188">
        <v>3170.4631015247251</v>
      </c>
      <c r="AB97" s="185">
        <f t="shared" si="40"/>
        <v>634.09262030494506</v>
      </c>
      <c r="AC97" s="182">
        <f t="shared" si="41"/>
        <v>23</v>
      </c>
      <c r="AD97" s="574"/>
      <c r="AE97" s="188">
        <v>5</v>
      </c>
      <c r="AF97" s="188">
        <v>3171.1831015247253</v>
      </c>
      <c r="AG97" s="185">
        <f t="shared" si="42"/>
        <v>634.23662030494506</v>
      </c>
      <c r="AH97" s="182">
        <f t="shared" si="43"/>
        <v>23</v>
      </c>
      <c r="AI97" s="574"/>
      <c r="AJ97" s="188">
        <v>5</v>
      </c>
      <c r="AK97" s="188">
        <v>3169.7431015247257</v>
      </c>
      <c r="AL97" s="185">
        <f t="shared" si="44"/>
        <v>633.94862030494517</v>
      </c>
      <c r="AM97" s="182">
        <f t="shared" si="45"/>
        <v>25</v>
      </c>
      <c r="AN97" s="574"/>
      <c r="AO97" s="188">
        <v>5</v>
      </c>
      <c r="AP97" s="188">
        <v>3169.3831015247256</v>
      </c>
      <c r="AQ97" s="185">
        <f t="shared" si="46"/>
        <v>633.87662030494516</v>
      </c>
      <c r="AR97" s="182">
        <f t="shared" si="47"/>
        <v>25</v>
      </c>
      <c r="AS97" s="574"/>
      <c r="AT97" s="188">
        <v>5</v>
      </c>
      <c r="AU97" s="188">
        <v>3167.9431015247255</v>
      </c>
      <c r="AV97" s="185">
        <f t="shared" si="48"/>
        <v>633.58862030494515</v>
      </c>
      <c r="AW97" s="182">
        <f t="shared" si="49"/>
        <v>26</v>
      </c>
      <c r="AX97" s="574"/>
    </row>
    <row r="98" spans="2:50" ht="14.25" customHeight="1">
      <c r="B98" s="575"/>
      <c r="C98" s="180">
        <v>16</v>
      </c>
      <c r="D98" s="183" t="s">
        <v>411</v>
      </c>
      <c r="E98" s="184">
        <v>3</v>
      </c>
      <c r="F98" s="180">
        <v>3600</v>
      </c>
      <c r="G98" s="185">
        <f t="shared" si="36"/>
        <v>1200</v>
      </c>
      <c r="H98" s="576"/>
      <c r="I98" s="186">
        <f t="shared" si="37"/>
        <v>3</v>
      </c>
      <c r="J98" s="186">
        <f t="shared" si="37"/>
        <v>3182.284062288426</v>
      </c>
      <c r="K98" s="187">
        <f t="shared" si="37"/>
        <v>1060.761354096142</v>
      </c>
      <c r="L98" s="577"/>
      <c r="M98" s="186">
        <f>RANK(K98, K$83:$K$117)</f>
        <v>1</v>
      </c>
      <c r="N98" s="588"/>
      <c r="O98" s="578"/>
      <c r="P98" s="188">
        <v>3</v>
      </c>
      <c r="Q98" s="188">
        <v>3179.5069194312837</v>
      </c>
      <c r="R98" s="185">
        <f t="shared" si="34"/>
        <v>1059.8356398104279</v>
      </c>
      <c r="S98" s="182">
        <f t="shared" si="38"/>
        <v>3</v>
      </c>
      <c r="T98" s="574"/>
      <c r="U98" s="188">
        <v>3</v>
      </c>
      <c r="V98" s="188">
        <v>3181.3069194312829</v>
      </c>
      <c r="W98" s="185">
        <f t="shared" si="35"/>
        <v>1060.4356398104276</v>
      </c>
      <c r="X98" s="182">
        <f t="shared" si="39"/>
        <v>1</v>
      </c>
      <c r="Y98" s="574"/>
      <c r="Z98" s="188">
        <v>3</v>
      </c>
      <c r="AA98" s="188">
        <v>3182.7469194312835</v>
      </c>
      <c r="AB98" s="185">
        <f t="shared" si="40"/>
        <v>1060.9156398104278</v>
      </c>
      <c r="AC98" s="182">
        <f t="shared" si="41"/>
        <v>1</v>
      </c>
      <c r="AD98" s="574"/>
      <c r="AE98" s="188">
        <v>3</v>
      </c>
      <c r="AF98" s="188">
        <v>3184.5469194312827</v>
      </c>
      <c r="AG98" s="185">
        <f t="shared" si="42"/>
        <v>1061.5156398104275</v>
      </c>
      <c r="AH98" s="182">
        <f t="shared" si="43"/>
        <v>1</v>
      </c>
      <c r="AI98" s="574"/>
      <c r="AJ98" s="188">
        <v>3</v>
      </c>
      <c r="AK98" s="188">
        <v>3183.1069194312836</v>
      </c>
      <c r="AL98" s="185">
        <f t="shared" si="44"/>
        <v>1061.0356398104279</v>
      </c>
      <c r="AM98" s="182">
        <f t="shared" si="45"/>
        <v>1</v>
      </c>
      <c r="AN98" s="574"/>
      <c r="AO98" s="188">
        <v>3</v>
      </c>
      <c r="AP98" s="188">
        <v>3183.1069194312836</v>
      </c>
      <c r="AQ98" s="185">
        <f t="shared" si="46"/>
        <v>1061.0356398104279</v>
      </c>
      <c r="AR98" s="182">
        <f t="shared" si="47"/>
        <v>1</v>
      </c>
      <c r="AS98" s="574"/>
      <c r="AT98" s="188">
        <v>3</v>
      </c>
      <c r="AU98" s="188">
        <v>3181.6669194312835</v>
      </c>
      <c r="AV98" s="185">
        <f t="shared" si="48"/>
        <v>1060.5556398104279</v>
      </c>
      <c r="AW98" s="182">
        <f t="shared" si="49"/>
        <v>1</v>
      </c>
      <c r="AX98" s="574"/>
    </row>
    <row r="99" spans="2:50" ht="14.25" customHeight="1">
      <c r="B99" s="575"/>
      <c r="C99" s="180">
        <v>17</v>
      </c>
      <c r="D99" s="183" t="s">
        <v>413</v>
      </c>
      <c r="E99" s="184">
        <v>4</v>
      </c>
      <c r="F99" s="180">
        <v>3600</v>
      </c>
      <c r="G99" s="185">
        <f t="shared" si="36"/>
        <v>900</v>
      </c>
      <c r="H99" s="576"/>
      <c r="I99" s="186">
        <f t="shared" si="37"/>
        <v>4</v>
      </c>
      <c r="J99" s="186">
        <f t="shared" si="37"/>
        <v>3180.0684723369218</v>
      </c>
      <c r="K99" s="187">
        <f t="shared" si="37"/>
        <v>795.01711808423045</v>
      </c>
      <c r="L99" s="577"/>
      <c r="M99" s="186">
        <f>RANK(K99, K$83:$K$117)</f>
        <v>14</v>
      </c>
      <c r="N99" s="588"/>
      <c r="O99" s="578"/>
      <c r="P99" s="188">
        <v>4</v>
      </c>
      <c r="Q99" s="188">
        <v>3179.8113294797777</v>
      </c>
      <c r="R99" s="185">
        <f t="shared" si="34"/>
        <v>794.95283236994442</v>
      </c>
      <c r="S99" s="182">
        <f t="shared" si="38"/>
        <v>14</v>
      </c>
      <c r="T99" s="574"/>
      <c r="U99" s="188">
        <v>4</v>
      </c>
      <c r="V99" s="188">
        <v>3179.8113294797781</v>
      </c>
      <c r="W99" s="185">
        <f t="shared" si="35"/>
        <v>794.95283236994453</v>
      </c>
      <c r="X99" s="182">
        <f t="shared" si="39"/>
        <v>14</v>
      </c>
      <c r="Y99" s="574"/>
      <c r="Z99" s="188">
        <v>4</v>
      </c>
      <c r="AA99" s="188">
        <v>3178.371329479779</v>
      </c>
      <c r="AB99" s="185">
        <f t="shared" si="40"/>
        <v>794.59283236994474</v>
      </c>
      <c r="AC99" s="182">
        <f t="shared" si="41"/>
        <v>14</v>
      </c>
      <c r="AD99" s="574"/>
      <c r="AE99" s="188">
        <v>4</v>
      </c>
      <c r="AF99" s="188">
        <v>3179.8113294797786</v>
      </c>
      <c r="AG99" s="185">
        <f t="shared" si="42"/>
        <v>794.95283236994464</v>
      </c>
      <c r="AH99" s="182">
        <f t="shared" si="43"/>
        <v>14</v>
      </c>
      <c r="AI99" s="574"/>
      <c r="AJ99" s="188">
        <v>4</v>
      </c>
      <c r="AK99" s="188">
        <v>3180.1713294797783</v>
      </c>
      <c r="AL99" s="185">
        <f t="shared" si="44"/>
        <v>795.04283236994456</v>
      </c>
      <c r="AM99" s="182">
        <f t="shared" si="45"/>
        <v>14</v>
      </c>
      <c r="AN99" s="574"/>
      <c r="AO99" s="188">
        <v>4</v>
      </c>
      <c r="AP99" s="188">
        <v>3181.2513294797782</v>
      </c>
      <c r="AQ99" s="185">
        <f t="shared" si="46"/>
        <v>795.31283236994454</v>
      </c>
      <c r="AR99" s="182">
        <f t="shared" si="47"/>
        <v>14</v>
      </c>
      <c r="AS99" s="574"/>
      <c r="AT99" s="188">
        <v>4</v>
      </c>
      <c r="AU99" s="188">
        <v>3181.2513294797782</v>
      </c>
      <c r="AV99" s="185">
        <f t="shared" si="48"/>
        <v>795.31283236994454</v>
      </c>
      <c r="AW99" s="182">
        <f t="shared" si="49"/>
        <v>14</v>
      </c>
      <c r="AX99" s="574"/>
    </row>
    <row r="100" spans="2:50" ht="14.25" customHeight="1">
      <c r="B100" s="575"/>
      <c r="C100" s="180">
        <v>18</v>
      </c>
      <c r="D100" s="183" t="s">
        <v>346</v>
      </c>
      <c r="E100" s="184">
        <v>5</v>
      </c>
      <c r="F100" s="180">
        <v>3300</v>
      </c>
      <c r="G100" s="185">
        <f t="shared" si="36"/>
        <v>660</v>
      </c>
      <c r="H100" s="576"/>
      <c r="I100" s="186">
        <f t="shared" si="37"/>
        <v>5</v>
      </c>
      <c r="J100" s="186">
        <f t="shared" si="37"/>
        <v>2943.9945378151283</v>
      </c>
      <c r="K100" s="187">
        <f t="shared" si="37"/>
        <v>588.79890756302564</v>
      </c>
      <c r="L100" s="577"/>
      <c r="M100" s="186">
        <f>RANK(K100, K$83:$K$117)</f>
        <v>28</v>
      </c>
      <c r="N100" s="588"/>
      <c r="O100" s="578"/>
      <c r="P100" s="188">
        <v>5</v>
      </c>
      <c r="Q100" s="188">
        <v>2945.7388235294138</v>
      </c>
      <c r="R100" s="185">
        <f t="shared" si="34"/>
        <v>589.14776470588276</v>
      </c>
      <c r="S100" s="182">
        <f t="shared" si="38"/>
        <v>27</v>
      </c>
      <c r="T100" s="574"/>
      <c r="U100" s="188">
        <v>5</v>
      </c>
      <c r="V100" s="188">
        <v>2944.0888235294142</v>
      </c>
      <c r="W100" s="185">
        <f t="shared" si="35"/>
        <v>588.81776470588284</v>
      </c>
      <c r="X100" s="182">
        <f t="shared" si="39"/>
        <v>28</v>
      </c>
      <c r="Y100" s="574"/>
      <c r="Z100" s="188">
        <v>5</v>
      </c>
      <c r="AA100" s="188">
        <v>2943.4288235294139</v>
      </c>
      <c r="AB100" s="185">
        <f t="shared" si="40"/>
        <v>588.68576470588278</v>
      </c>
      <c r="AC100" s="182">
        <f t="shared" si="41"/>
        <v>28</v>
      </c>
      <c r="AD100" s="574"/>
      <c r="AE100" s="188">
        <v>5</v>
      </c>
      <c r="AF100" s="188">
        <v>2942.4388235294145</v>
      </c>
      <c r="AG100" s="185">
        <f t="shared" si="42"/>
        <v>588.48776470588291</v>
      </c>
      <c r="AH100" s="182">
        <f t="shared" si="43"/>
        <v>28</v>
      </c>
      <c r="AI100" s="574"/>
      <c r="AJ100" s="188">
        <v>5</v>
      </c>
      <c r="AK100" s="188">
        <v>2943.7588235294143</v>
      </c>
      <c r="AL100" s="185">
        <f t="shared" si="44"/>
        <v>588.75176470588281</v>
      </c>
      <c r="AM100" s="182">
        <f t="shared" si="45"/>
        <v>28</v>
      </c>
      <c r="AN100" s="574"/>
      <c r="AO100" s="188">
        <v>5</v>
      </c>
      <c r="AP100" s="188">
        <v>2943.7588235294138</v>
      </c>
      <c r="AQ100" s="185">
        <f t="shared" si="46"/>
        <v>588.75176470588281</v>
      </c>
      <c r="AR100" s="182">
        <f t="shared" si="47"/>
        <v>27</v>
      </c>
      <c r="AS100" s="574"/>
      <c r="AT100" s="188">
        <v>5</v>
      </c>
      <c r="AU100" s="188">
        <v>2944.748823529414</v>
      </c>
      <c r="AV100" s="185">
        <f t="shared" si="48"/>
        <v>588.94976470588279</v>
      </c>
      <c r="AW100" s="182">
        <f t="shared" si="49"/>
        <v>27</v>
      </c>
      <c r="AX100" s="574"/>
    </row>
    <row r="101" spans="2:50" ht="14.25" customHeight="1">
      <c r="B101" s="575"/>
      <c r="C101" s="180">
        <v>19</v>
      </c>
      <c r="D101" s="183" t="s">
        <v>406</v>
      </c>
      <c r="E101" s="184">
        <v>3</v>
      </c>
      <c r="F101" s="180">
        <v>3600</v>
      </c>
      <c r="G101" s="185">
        <f t="shared" si="36"/>
        <v>1200</v>
      </c>
      <c r="H101" s="576"/>
      <c r="I101" s="186">
        <f t="shared" si="37"/>
        <v>3</v>
      </c>
      <c r="J101" s="186">
        <f t="shared" si="37"/>
        <v>3177.6335756551148</v>
      </c>
      <c r="K101" s="187">
        <f t="shared" si="37"/>
        <v>1059.2111918850383</v>
      </c>
      <c r="L101" s="577"/>
      <c r="M101" s="186">
        <f>RANK(K101, K$83:$K$117)</f>
        <v>4</v>
      </c>
      <c r="N101" s="588"/>
      <c r="O101" s="578"/>
      <c r="P101" s="188">
        <v>3</v>
      </c>
      <c r="Q101" s="188">
        <v>3177.1707185122577</v>
      </c>
      <c r="R101" s="185">
        <f t="shared" si="34"/>
        <v>1059.0569061707527</v>
      </c>
      <c r="S101" s="182">
        <f t="shared" si="38"/>
        <v>4</v>
      </c>
      <c r="T101" s="574"/>
      <c r="U101" s="188">
        <v>3</v>
      </c>
      <c r="V101" s="188">
        <v>3178.970718512257</v>
      </c>
      <c r="W101" s="185">
        <f t="shared" si="35"/>
        <v>1059.6569061707523</v>
      </c>
      <c r="X101" s="182">
        <f t="shared" si="39"/>
        <v>3</v>
      </c>
      <c r="Y101" s="574"/>
      <c r="Z101" s="188">
        <v>3</v>
      </c>
      <c r="AA101" s="188">
        <v>3177.530718512257</v>
      </c>
      <c r="AB101" s="185">
        <f t="shared" si="40"/>
        <v>1059.1769061707523</v>
      </c>
      <c r="AC101" s="182">
        <f t="shared" si="41"/>
        <v>4</v>
      </c>
      <c r="AD101" s="574"/>
      <c r="AE101" s="188">
        <v>3</v>
      </c>
      <c r="AF101" s="188">
        <v>3176.450718512257</v>
      </c>
      <c r="AG101" s="185">
        <f t="shared" si="42"/>
        <v>1058.8169061707524</v>
      </c>
      <c r="AH101" s="182">
        <f t="shared" si="43"/>
        <v>5</v>
      </c>
      <c r="AI101" s="574"/>
      <c r="AJ101" s="188">
        <v>3</v>
      </c>
      <c r="AK101" s="188">
        <v>3177.1707185122573</v>
      </c>
      <c r="AL101" s="185">
        <f t="shared" si="44"/>
        <v>1059.0569061707524</v>
      </c>
      <c r="AM101" s="182">
        <f t="shared" si="45"/>
        <v>3</v>
      </c>
      <c r="AN101" s="574"/>
      <c r="AO101" s="188">
        <v>3</v>
      </c>
      <c r="AP101" s="188">
        <v>3177.890718512258</v>
      </c>
      <c r="AQ101" s="185">
        <f t="shared" si="46"/>
        <v>1059.2969061707527</v>
      </c>
      <c r="AR101" s="182">
        <f t="shared" si="47"/>
        <v>3</v>
      </c>
      <c r="AS101" s="574"/>
      <c r="AT101" s="188">
        <v>3</v>
      </c>
      <c r="AU101" s="188">
        <v>3178.2507185122586</v>
      </c>
      <c r="AV101" s="185">
        <f t="shared" si="48"/>
        <v>1059.4169061707528</v>
      </c>
      <c r="AW101" s="182">
        <f t="shared" si="49"/>
        <v>3</v>
      </c>
      <c r="AX101" s="574"/>
    </row>
    <row r="102" spans="2:50" ht="14.25" customHeight="1">
      <c r="B102" s="575"/>
      <c r="C102" s="180">
        <v>20</v>
      </c>
      <c r="D102" s="183" t="s">
        <v>651</v>
      </c>
      <c r="E102" s="184">
        <v>4</v>
      </c>
      <c r="F102" s="180">
        <v>3600</v>
      </c>
      <c r="G102" s="185">
        <f t="shared" si="36"/>
        <v>900</v>
      </c>
      <c r="H102" s="576"/>
      <c r="I102" s="186">
        <f t="shared" si="37"/>
        <v>4</v>
      </c>
      <c r="J102" s="186">
        <f t="shared" si="37"/>
        <v>3217.9748461563618</v>
      </c>
      <c r="K102" s="187">
        <f t="shared" si="37"/>
        <v>804.49371153909044</v>
      </c>
      <c r="L102" s="577"/>
      <c r="M102" s="186">
        <f>RANK(K102, K$83:$K$117)</f>
        <v>12</v>
      </c>
      <c r="N102" s="588"/>
      <c r="O102" s="578"/>
      <c r="P102" s="188">
        <v>4</v>
      </c>
      <c r="Q102" s="188">
        <v>3241.2359807736339</v>
      </c>
      <c r="R102" s="185">
        <f t="shared" si="34"/>
        <v>810.30899519340846</v>
      </c>
      <c r="S102" s="182">
        <f t="shared" si="38"/>
        <v>12</v>
      </c>
      <c r="T102" s="574"/>
      <c r="U102" s="188">
        <v>4</v>
      </c>
      <c r="V102" s="188">
        <v>3239.4359807736337</v>
      </c>
      <c r="W102" s="185">
        <f t="shared" si="35"/>
        <v>809.85899519340842</v>
      </c>
      <c r="X102" s="182">
        <f t="shared" si="39"/>
        <v>13</v>
      </c>
      <c r="Y102" s="574"/>
      <c r="Z102" s="188">
        <v>4</v>
      </c>
      <c r="AA102" s="188">
        <v>3241.2359807736339</v>
      </c>
      <c r="AB102" s="185">
        <f t="shared" si="40"/>
        <v>810.30899519340846</v>
      </c>
      <c r="AC102" s="182">
        <f t="shared" si="41"/>
        <v>13</v>
      </c>
      <c r="AD102" s="574"/>
      <c r="AE102" s="188">
        <v>4</v>
      </c>
      <c r="AF102" s="188">
        <v>3241.9559807736332</v>
      </c>
      <c r="AG102" s="185">
        <f t="shared" si="42"/>
        <v>810.4889951934083</v>
      </c>
      <c r="AH102" s="182">
        <f t="shared" si="43"/>
        <v>12</v>
      </c>
      <c r="AI102" s="574"/>
      <c r="AJ102" s="188">
        <v>4</v>
      </c>
      <c r="AK102" s="188">
        <v>3186</v>
      </c>
      <c r="AL102" s="185">
        <f t="shared" si="44"/>
        <v>796.5</v>
      </c>
      <c r="AM102" s="182">
        <f t="shared" si="45"/>
        <v>12</v>
      </c>
      <c r="AN102" s="574"/>
      <c r="AO102" s="188">
        <v>4</v>
      </c>
      <c r="AP102" s="188">
        <v>3187.4399999999996</v>
      </c>
      <c r="AQ102" s="185">
        <f t="shared" si="46"/>
        <v>796.8599999999999</v>
      </c>
      <c r="AR102" s="182">
        <f t="shared" si="47"/>
        <v>12</v>
      </c>
      <c r="AS102" s="574"/>
      <c r="AT102" s="188">
        <v>4</v>
      </c>
      <c r="AU102" s="188">
        <v>3188.5199999999995</v>
      </c>
      <c r="AV102" s="185">
        <f t="shared" si="48"/>
        <v>797.12999999999988</v>
      </c>
      <c r="AW102" s="182">
        <f t="shared" si="49"/>
        <v>12</v>
      </c>
      <c r="AX102" s="574"/>
    </row>
    <row r="103" spans="2:50" ht="14.25" customHeight="1">
      <c r="B103" s="575"/>
      <c r="C103" s="180">
        <v>21</v>
      </c>
      <c r="D103" s="183" t="s">
        <v>410</v>
      </c>
      <c r="E103" s="184">
        <v>3</v>
      </c>
      <c r="F103" s="180">
        <v>3600</v>
      </c>
      <c r="G103" s="185">
        <f t="shared" si="36"/>
        <v>1200</v>
      </c>
      <c r="H103" s="576"/>
      <c r="I103" s="186">
        <f t="shared" si="37"/>
        <v>3</v>
      </c>
      <c r="J103" s="186">
        <f t="shared" si="37"/>
        <v>3179.7403161348161</v>
      </c>
      <c r="K103" s="187">
        <f t="shared" si="37"/>
        <v>1059.9134387116057</v>
      </c>
      <c r="L103" s="577"/>
      <c r="M103" s="186">
        <f>RANK(K103, K$83:$K$117)</f>
        <v>2</v>
      </c>
      <c r="N103" s="588"/>
      <c r="O103" s="578"/>
      <c r="P103" s="188">
        <v>3</v>
      </c>
      <c r="Q103" s="188">
        <v>3180.2031732776732</v>
      </c>
      <c r="R103" s="185">
        <f t="shared" si="34"/>
        <v>1060.0677244258911</v>
      </c>
      <c r="S103" s="182">
        <f t="shared" si="38"/>
        <v>2</v>
      </c>
      <c r="T103" s="574"/>
      <c r="U103" s="188">
        <v>3</v>
      </c>
      <c r="V103" s="188">
        <v>3178.4031732776734</v>
      </c>
      <c r="W103" s="185">
        <f t="shared" si="35"/>
        <v>1059.4677244258912</v>
      </c>
      <c r="X103" s="182">
        <f t="shared" si="39"/>
        <v>4</v>
      </c>
      <c r="Y103" s="574"/>
      <c r="Z103" s="188">
        <v>3</v>
      </c>
      <c r="AA103" s="188">
        <v>3180.2031732776732</v>
      </c>
      <c r="AB103" s="185">
        <f t="shared" si="40"/>
        <v>1060.0677244258911</v>
      </c>
      <c r="AC103" s="182">
        <f t="shared" si="41"/>
        <v>2</v>
      </c>
      <c r="AD103" s="574"/>
      <c r="AE103" s="188">
        <v>3</v>
      </c>
      <c r="AF103" s="188">
        <v>3179.8431732776735</v>
      </c>
      <c r="AG103" s="185">
        <f t="shared" si="42"/>
        <v>1059.9477244258912</v>
      </c>
      <c r="AH103" s="182">
        <f t="shared" si="43"/>
        <v>2</v>
      </c>
      <c r="AI103" s="574"/>
      <c r="AJ103" s="188">
        <v>3</v>
      </c>
      <c r="AK103" s="188">
        <v>3179.4831732776743</v>
      </c>
      <c r="AL103" s="185">
        <f t="shared" si="44"/>
        <v>1059.8277244258913</v>
      </c>
      <c r="AM103" s="182">
        <f t="shared" si="45"/>
        <v>2</v>
      </c>
      <c r="AN103" s="574"/>
      <c r="AO103" s="188">
        <v>3</v>
      </c>
      <c r="AP103" s="188">
        <v>3180.5631732776737</v>
      </c>
      <c r="AQ103" s="185">
        <f t="shared" si="46"/>
        <v>1060.1877244258912</v>
      </c>
      <c r="AR103" s="182">
        <f t="shared" si="47"/>
        <v>2</v>
      </c>
      <c r="AS103" s="574"/>
      <c r="AT103" s="188">
        <v>3</v>
      </c>
      <c r="AU103" s="188">
        <v>3179.4831732776738</v>
      </c>
      <c r="AV103" s="185">
        <f t="shared" si="48"/>
        <v>1059.8277244258913</v>
      </c>
      <c r="AW103" s="182">
        <f t="shared" si="49"/>
        <v>2</v>
      </c>
      <c r="AX103" s="574"/>
    </row>
    <row r="104" spans="2:50" ht="14.25" customHeight="1">
      <c r="B104" s="575"/>
      <c r="C104" s="180">
        <v>22</v>
      </c>
      <c r="D104" s="183" t="s">
        <v>409</v>
      </c>
      <c r="E104" s="184">
        <v>5</v>
      </c>
      <c r="F104" s="180">
        <v>3600</v>
      </c>
      <c r="G104" s="185">
        <f>F104/E104</f>
        <v>720</v>
      </c>
      <c r="H104" s="576"/>
      <c r="I104" s="186">
        <f t="shared" si="37"/>
        <v>5</v>
      </c>
      <c r="J104" s="186">
        <f t="shared" si="37"/>
        <v>3211.6712545706819</v>
      </c>
      <c r="K104" s="187">
        <f t="shared" si="37"/>
        <v>642.33425091413642</v>
      </c>
      <c r="L104" s="577"/>
      <c r="M104" s="186">
        <f>RANK(K104, K$83:$K$117)</f>
        <v>21</v>
      </c>
      <c r="N104" s="588"/>
      <c r="O104" s="578"/>
      <c r="P104" s="188">
        <v>5</v>
      </c>
      <c r="Q104" s="188">
        <v>3212.8026831421103</v>
      </c>
      <c r="R104" s="185">
        <f t="shared" si="34"/>
        <v>642.56053662842203</v>
      </c>
      <c r="S104" s="182">
        <f t="shared" si="38"/>
        <v>20</v>
      </c>
      <c r="T104" s="574"/>
      <c r="U104" s="188">
        <v>5</v>
      </c>
      <c r="V104" s="188">
        <v>3214.6026831421095</v>
      </c>
      <c r="W104" s="185">
        <f t="shared" si="35"/>
        <v>642.92053662842193</v>
      </c>
      <c r="X104" s="182">
        <f t="shared" si="39"/>
        <v>20</v>
      </c>
      <c r="Y104" s="574"/>
      <c r="Z104" s="188">
        <v>5</v>
      </c>
      <c r="AA104" s="188">
        <v>3213.1626831421108</v>
      </c>
      <c r="AB104" s="185">
        <f t="shared" si="40"/>
        <v>642.63253662842214</v>
      </c>
      <c r="AC104" s="182">
        <f t="shared" si="41"/>
        <v>20</v>
      </c>
      <c r="AD104" s="574"/>
      <c r="AE104" s="188">
        <v>5</v>
      </c>
      <c r="AF104" s="188">
        <v>3211.3626831421107</v>
      </c>
      <c r="AG104" s="185">
        <f t="shared" si="42"/>
        <v>642.27253662842213</v>
      </c>
      <c r="AH104" s="182">
        <f t="shared" si="43"/>
        <v>21</v>
      </c>
      <c r="AI104" s="574"/>
      <c r="AJ104" s="188">
        <v>5</v>
      </c>
      <c r="AK104" s="188">
        <v>3210.6426831421109</v>
      </c>
      <c r="AL104" s="185">
        <f t="shared" si="44"/>
        <v>642.12853662842213</v>
      </c>
      <c r="AM104" s="182">
        <f t="shared" si="45"/>
        <v>22</v>
      </c>
      <c r="AN104" s="574"/>
      <c r="AO104" s="188">
        <v>5</v>
      </c>
      <c r="AP104" s="188">
        <v>3209.9226831421106</v>
      </c>
      <c r="AQ104" s="185">
        <f t="shared" si="46"/>
        <v>641.98453662842212</v>
      </c>
      <c r="AR104" s="182">
        <f t="shared" si="47"/>
        <v>22</v>
      </c>
      <c r="AS104" s="574"/>
      <c r="AT104" s="188">
        <v>5</v>
      </c>
      <c r="AU104" s="188">
        <v>3209.2026831421108</v>
      </c>
      <c r="AV104" s="185">
        <f t="shared" si="48"/>
        <v>641.84053662842211</v>
      </c>
      <c r="AW104" s="182">
        <f t="shared" si="49"/>
        <v>22</v>
      </c>
      <c r="AX104" s="574"/>
    </row>
    <row r="105" spans="2:50" ht="14.25" customHeight="1">
      <c r="B105" s="575"/>
      <c r="C105" s="180">
        <v>23</v>
      </c>
      <c r="D105" s="183" t="s">
        <v>405</v>
      </c>
      <c r="E105" s="184">
        <v>5</v>
      </c>
      <c r="F105" s="180">
        <v>3600</v>
      </c>
      <c r="G105" s="185">
        <f t="shared" ref="G105:G116" si="50">F105/E105</f>
        <v>720</v>
      </c>
      <c r="H105" s="576"/>
      <c r="I105" s="186">
        <f t="shared" si="37"/>
        <v>5</v>
      </c>
      <c r="J105" s="186">
        <f t="shared" si="37"/>
        <v>3212.4603481624731</v>
      </c>
      <c r="K105" s="187">
        <f t="shared" si="37"/>
        <v>642.49206963249469</v>
      </c>
      <c r="L105" s="577"/>
      <c r="M105" s="186">
        <f>RANK(K105, K$83:$K$117)</f>
        <v>20</v>
      </c>
      <c r="N105" s="588"/>
      <c r="O105" s="578"/>
      <c r="P105" s="188">
        <v>5</v>
      </c>
      <c r="Q105" s="188">
        <v>3212.1517767339019</v>
      </c>
      <c r="R105" s="185">
        <f t="shared" si="34"/>
        <v>642.4303553467804</v>
      </c>
      <c r="S105" s="182">
        <f t="shared" si="38"/>
        <v>21</v>
      </c>
      <c r="T105" s="574"/>
      <c r="U105" s="188">
        <v>5</v>
      </c>
      <c r="V105" s="188">
        <v>3212.5117767339025</v>
      </c>
      <c r="W105" s="185">
        <f t="shared" si="35"/>
        <v>642.50235534678052</v>
      </c>
      <c r="X105" s="182">
        <f t="shared" si="39"/>
        <v>21</v>
      </c>
      <c r="Y105" s="574"/>
      <c r="Z105" s="188">
        <v>5</v>
      </c>
      <c r="AA105" s="188">
        <v>3212.511776733902</v>
      </c>
      <c r="AB105" s="185">
        <f t="shared" si="40"/>
        <v>642.5023553467804</v>
      </c>
      <c r="AC105" s="182">
        <f t="shared" si="41"/>
        <v>21</v>
      </c>
      <c r="AD105" s="574"/>
      <c r="AE105" s="188">
        <v>5</v>
      </c>
      <c r="AF105" s="188">
        <v>3213.591776733902</v>
      </c>
      <c r="AG105" s="185">
        <f t="shared" si="42"/>
        <v>642.71835534678041</v>
      </c>
      <c r="AH105" s="182">
        <f t="shared" si="43"/>
        <v>20</v>
      </c>
      <c r="AI105" s="574"/>
      <c r="AJ105" s="188">
        <v>5</v>
      </c>
      <c r="AK105" s="188">
        <v>3213.5917767339024</v>
      </c>
      <c r="AL105" s="185">
        <f t="shared" si="44"/>
        <v>642.71835534678053</v>
      </c>
      <c r="AM105" s="182">
        <f t="shared" si="45"/>
        <v>20</v>
      </c>
      <c r="AN105" s="574"/>
      <c r="AO105" s="188">
        <v>5</v>
      </c>
      <c r="AP105" s="188">
        <v>3211.7917767339022</v>
      </c>
      <c r="AQ105" s="185">
        <f t="shared" si="46"/>
        <v>642.3583553467804</v>
      </c>
      <c r="AR105" s="182">
        <f t="shared" si="47"/>
        <v>21</v>
      </c>
      <c r="AS105" s="574"/>
      <c r="AT105" s="188">
        <v>5</v>
      </c>
      <c r="AU105" s="188">
        <v>3211.071776733902</v>
      </c>
      <c r="AV105" s="185">
        <f t="shared" si="48"/>
        <v>642.21435534678039</v>
      </c>
      <c r="AW105" s="182">
        <f t="shared" si="49"/>
        <v>20</v>
      </c>
      <c r="AX105" s="574"/>
    </row>
    <row r="106" spans="2:50" ht="14.25" customHeight="1">
      <c r="B106" s="575"/>
      <c r="C106" s="180">
        <v>24</v>
      </c>
      <c r="D106" s="183" t="s">
        <v>408</v>
      </c>
      <c r="E106" s="184">
        <v>4</v>
      </c>
      <c r="F106" s="180">
        <v>3000</v>
      </c>
      <c r="G106" s="185">
        <f t="shared" si="50"/>
        <v>750</v>
      </c>
      <c r="H106" s="576"/>
      <c r="I106" s="186">
        <f t="shared" si="37"/>
        <v>4</v>
      </c>
      <c r="J106" s="186">
        <f t="shared" si="37"/>
        <v>2699.1176757931207</v>
      </c>
      <c r="K106" s="187">
        <f t="shared" si="37"/>
        <v>674.77941894828018</v>
      </c>
      <c r="L106" s="577"/>
      <c r="M106" s="186">
        <f>RANK(K106, K$83:$K$117)</f>
        <v>16</v>
      </c>
      <c r="N106" s="588"/>
      <c r="O106" s="578"/>
      <c r="P106" s="188">
        <v>4</v>
      </c>
      <c r="Q106" s="188">
        <v>2699.2452961672479</v>
      </c>
      <c r="R106" s="185">
        <f t="shared" si="34"/>
        <v>674.81132404181199</v>
      </c>
      <c r="S106" s="182">
        <f t="shared" si="38"/>
        <v>16</v>
      </c>
      <c r="T106" s="574"/>
      <c r="U106" s="188">
        <v>4</v>
      </c>
      <c r="V106" s="188">
        <v>2698.6452961672476</v>
      </c>
      <c r="W106" s="185">
        <f t="shared" si="35"/>
        <v>674.66132404181189</v>
      </c>
      <c r="X106" s="182">
        <f t="shared" si="39"/>
        <v>16</v>
      </c>
      <c r="Y106" s="574"/>
      <c r="Z106" s="188">
        <v>4</v>
      </c>
      <c r="AA106" s="188">
        <v>2699.5452961672477</v>
      </c>
      <c r="AB106" s="185">
        <f t="shared" si="40"/>
        <v>674.88632404181192</v>
      </c>
      <c r="AC106" s="182">
        <f t="shared" si="41"/>
        <v>16</v>
      </c>
      <c r="AD106" s="574"/>
      <c r="AE106" s="188">
        <v>4</v>
      </c>
      <c r="AF106" s="188">
        <v>2698.645296167248</v>
      </c>
      <c r="AG106" s="185">
        <f t="shared" si="42"/>
        <v>674.66132404181201</v>
      </c>
      <c r="AH106" s="182">
        <f t="shared" si="43"/>
        <v>16</v>
      </c>
      <c r="AI106" s="574"/>
      <c r="AJ106" s="188">
        <v>4</v>
      </c>
      <c r="AK106" s="188">
        <v>2699.4333933668163</v>
      </c>
      <c r="AL106" s="185">
        <f t="shared" si="44"/>
        <v>674.85834834170407</v>
      </c>
      <c r="AM106" s="182">
        <f t="shared" si="45"/>
        <v>16</v>
      </c>
      <c r="AN106" s="574"/>
      <c r="AO106" s="188">
        <v>4</v>
      </c>
      <c r="AP106" s="188">
        <v>2699.4545762580183</v>
      </c>
      <c r="AQ106" s="185">
        <f t="shared" si="46"/>
        <v>674.86364406450457</v>
      </c>
      <c r="AR106" s="182">
        <f t="shared" si="47"/>
        <v>16</v>
      </c>
      <c r="AS106" s="574"/>
      <c r="AT106" s="188">
        <v>4</v>
      </c>
      <c r="AU106" s="188">
        <v>2698.8545762580188</v>
      </c>
      <c r="AV106" s="185">
        <f t="shared" si="48"/>
        <v>674.71364406450471</v>
      </c>
      <c r="AW106" s="182">
        <f t="shared" si="49"/>
        <v>16</v>
      </c>
      <c r="AX106" s="574"/>
    </row>
    <row r="107" spans="2:50" ht="14.25" customHeight="1">
      <c r="B107" s="575"/>
      <c r="C107" s="180">
        <v>25</v>
      </c>
      <c r="D107" s="183" t="s">
        <v>463</v>
      </c>
      <c r="E107" s="184">
        <v>3</v>
      </c>
      <c r="F107" s="180">
        <v>3600</v>
      </c>
      <c r="G107" s="185">
        <f t="shared" si="50"/>
        <v>1200</v>
      </c>
      <c r="H107" s="576"/>
      <c r="I107" s="186">
        <f t="shared" si="37"/>
        <v>3</v>
      </c>
      <c r="J107" s="186">
        <f t="shared" si="37"/>
        <v>3178.0810714285703</v>
      </c>
      <c r="K107" s="187">
        <f t="shared" si="37"/>
        <v>1059.3603571428571</v>
      </c>
      <c r="L107" s="577"/>
      <c r="M107" s="186">
        <f>RANK(K107, K$83:$K$117)</f>
        <v>3</v>
      </c>
      <c r="N107" s="588"/>
      <c r="O107" s="578"/>
      <c r="P107" s="188">
        <v>3</v>
      </c>
      <c r="Q107" s="188">
        <v>3180.2924999999996</v>
      </c>
      <c r="R107" s="185">
        <f t="shared" si="34"/>
        <v>1060.0974999999999</v>
      </c>
      <c r="S107" s="182">
        <f t="shared" si="38"/>
        <v>1</v>
      </c>
      <c r="T107" s="574"/>
      <c r="U107" s="188">
        <v>3</v>
      </c>
      <c r="V107" s="188">
        <v>3179.932499999999</v>
      </c>
      <c r="W107" s="185">
        <f t="shared" si="35"/>
        <v>1059.9774999999997</v>
      </c>
      <c r="X107" s="182">
        <f t="shared" si="39"/>
        <v>2</v>
      </c>
      <c r="Y107" s="574"/>
      <c r="Z107" s="188">
        <v>3</v>
      </c>
      <c r="AA107" s="188">
        <v>3179.2124999999996</v>
      </c>
      <c r="AB107" s="185">
        <f t="shared" si="40"/>
        <v>1059.7375</v>
      </c>
      <c r="AC107" s="182">
        <f t="shared" si="41"/>
        <v>3</v>
      </c>
      <c r="AD107" s="574"/>
      <c r="AE107" s="188">
        <v>3</v>
      </c>
      <c r="AF107" s="188">
        <v>3178.4924999999994</v>
      </c>
      <c r="AG107" s="185">
        <f t="shared" si="42"/>
        <v>1059.4974999999997</v>
      </c>
      <c r="AH107" s="182">
        <f t="shared" si="43"/>
        <v>3</v>
      </c>
      <c r="AI107" s="574"/>
      <c r="AJ107" s="188">
        <v>3</v>
      </c>
      <c r="AK107" s="188">
        <v>3176.6924999999992</v>
      </c>
      <c r="AL107" s="185">
        <f t="shared" si="44"/>
        <v>1058.8974999999998</v>
      </c>
      <c r="AM107" s="182">
        <f t="shared" si="45"/>
        <v>4</v>
      </c>
      <c r="AN107" s="574"/>
      <c r="AO107" s="188">
        <v>3</v>
      </c>
      <c r="AP107" s="188">
        <v>3176.6924999999997</v>
      </c>
      <c r="AQ107" s="185">
        <f t="shared" si="46"/>
        <v>1058.8974999999998</v>
      </c>
      <c r="AR107" s="182">
        <f t="shared" si="47"/>
        <v>4</v>
      </c>
      <c r="AS107" s="574"/>
      <c r="AT107" s="188">
        <v>3</v>
      </c>
      <c r="AU107" s="188">
        <v>3175.2524999999996</v>
      </c>
      <c r="AV107" s="185">
        <f t="shared" si="48"/>
        <v>1058.4174999999998</v>
      </c>
      <c r="AW107" s="182">
        <f t="shared" si="49"/>
        <v>5</v>
      </c>
      <c r="AX107" s="574"/>
    </row>
    <row r="108" spans="2:50" ht="14.25" customHeight="1">
      <c r="B108" s="575"/>
      <c r="C108" s="180">
        <v>26</v>
      </c>
      <c r="D108" s="183" t="s">
        <v>472</v>
      </c>
      <c r="E108" s="184">
        <v>4</v>
      </c>
      <c r="F108" s="180">
        <v>3000</v>
      </c>
      <c r="G108" s="185">
        <f t="shared" si="50"/>
        <v>750</v>
      </c>
      <c r="H108" s="576"/>
      <c r="I108" s="186">
        <f t="shared" si="37"/>
        <v>4</v>
      </c>
      <c r="J108" s="186">
        <f t="shared" si="37"/>
        <v>2684.767664972795</v>
      </c>
      <c r="K108" s="187">
        <f t="shared" si="37"/>
        <v>671.19191624319876</v>
      </c>
      <c r="L108" s="577"/>
      <c r="M108" s="186">
        <f>RANK(K108, K$83:$K$117)</f>
        <v>18</v>
      </c>
      <c r="N108" s="588"/>
      <c r="O108" s="578"/>
      <c r="P108" s="188">
        <v>4</v>
      </c>
      <c r="Q108" s="188">
        <v>2684.7248078299381</v>
      </c>
      <c r="R108" s="185">
        <f t="shared" si="34"/>
        <v>671.18120195748452</v>
      </c>
      <c r="S108" s="182">
        <f t="shared" si="38"/>
        <v>18</v>
      </c>
      <c r="T108" s="574"/>
      <c r="U108" s="188">
        <v>4</v>
      </c>
      <c r="V108" s="188">
        <v>2685.324807829938</v>
      </c>
      <c r="W108" s="185">
        <f t="shared" si="35"/>
        <v>671.3312019574845</v>
      </c>
      <c r="X108" s="182">
        <f t="shared" si="39"/>
        <v>18</v>
      </c>
      <c r="Y108" s="574"/>
      <c r="Z108" s="188">
        <v>4</v>
      </c>
      <c r="AA108" s="188">
        <v>2684.4248078299379</v>
      </c>
      <c r="AB108" s="185">
        <f t="shared" si="40"/>
        <v>671.10620195748447</v>
      </c>
      <c r="AC108" s="182">
        <f t="shared" si="41"/>
        <v>18</v>
      </c>
      <c r="AD108" s="574"/>
      <c r="AE108" s="188">
        <v>4</v>
      </c>
      <c r="AF108" s="188">
        <v>2683.8248078299375</v>
      </c>
      <c r="AG108" s="185">
        <f t="shared" si="42"/>
        <v>670.95620195748438</v>
      </c>
      <c r="AH108" s="182">
        <f t="shared" si="43"/>
        <v>18</v>
      </c>
      <c r="AI108" s="574"/>
      <c r="AJ108" s="188">
        <v>4</v>
      </c>
      <c r="AK108" s="188">
        <v>2683.8248078299375</v>
      </c>
      <c r="AL108" s="185">
        <f t="shared" si="44"/>
        <v>670.95620195748438</v>
      </c>
      <c r="AM108" s="182">
        <f t="shared" si="45"/>
        <v>18</v>
      </c>
      <c r="AN108" s="574"/>
      <c r="AO108" s="188">
        <v>4</v>
      </c>
      <c r="AP108" s="188">
        <v>2685.3248078299375</v>
      </c>
      <c r="AQ108" s="185">
        <f t="shared" si="46"/>
        <v>671.33120195748438</v>
      </c>
      <c r="AR108" s="182">
        <f t="shared" si="47"/>
        <v>18</v>
      </c>
      <c r="AS108" s="574"/>
      <c r="AT108" s="188">
        <v>4</v>
      </c>
      <c r="AU108" s="188">
        <v>2685.9248078299374</v>
      </c>
      <c r="AV108" s="185">
        <f t="shared" si="48"/>
        <v>671.48120195748436</v>
      </c>
      <c r="AW108" s="182">
        <f t="shared" si="49"/>
        <v>17</v>
      </c>
      <c r="AX108" s="574"/>
    </row>
    <row r="109" spans="2:50" ht="14.25" customHeight="1">
      <c r="B109" s="575"/>
      <c r="C109" s="180">
        <v>27</v>
      </c>
      <c r="D109" s="183" t="s">
        <v>492</v>
      </c>
      <c r="E109" s="184">
        <v>5</v>
      </c>
      <c r="F109" s="180">
        <v>3000</v>
      </c>
      <c r="G109" s="185">
        <f t="shared" si="50"/>
        <v>600</v>
      </c>
      <c r="H109" s="576"/>
      <c r="I109" s="186">
        <f t="shared" si="37"/>
        <v>5</v>
      </c>
      <c r="J109" s="186">
        <f t="shared" si="37"/>
        <v>2686.1817574676325</v>
      </c>
      <c r="K109" s="187">
        <f t="shared" si="37"/>
        <v>537.23635149352651</v>
      </c>
      <c r="L109" s="577"/>
      <c r="M109" s="186">
        <f>RANK(K109, K$83:$K$117)</f>
        <v>29</v>
      </c>
      <c r="N109" s="588"/>
      <c r="O109" s="578"/>
      <c r="P109" s="188">
        <v>5</v>
      </c>
      <c r="Q109" s="188">
        <v>2684.9817574676322</v>
      </c>
      <c r="R109" s="185">
        <f t="shared" si="34"/>
        <v>536.99635149352639</v>
      </c>
      <c r="S109" s="182">
        <f t="shared" si="38"/>
        <v>29</v>
      </c>
      <c r="T109" s="574"/>
      <c r="U109" s="188">
        <v>5</v>
      </c>
      <c r="V109" s="188">
        <v>2686.1817574676325</v>
      </c>
      <c r="W109" s="185">
        <f t="shared" si="35"/>
        <v>537.23635149352651</v>
      </c>
      <c r="X109" s="182">
        <f t="shared" si="39"/>
        <v>29</v>
      </c>
      <c r="Y109" s="574"/>
      <c r="Z109" s="188">
        <v>5</v>
      </c>
      <c r="AA109" s="188">
        <v>2686.4817574676326</v>
      </c>
      <c r="AB109" s="185">
        <f t="shared" si="40"/>
        <v>537.29635149352657</v>
      </c>
      <c r="AC109" s="182">
        <f t="shared" si="41"/>
        <v>29</v>
      </c>
      <c r="AD109" s="574"/>
      <c r="AE109" s="188">
        <v>5</v>
      </c>
      <c r="AF109" s="188">
        <v>2686.7817574676328</v>
      </c>
      <c r="AG109" s="185">
        <f t="shared" si="42"/>
        <v>537.35635149352652</v>
      </c>
      <c r="AH109" s="182">
        <f t="shared" si="43"/>
        <v>29</v>
      </c>
      <c r="AI109" s="574"/>
      <c r="AJ109" s="188">
        <v>5</v>
      </c>
      <c r="AK109" s="188">
        <v>2685.581757467633</v>
      </c>
      <c r="AL109" s="185">
        <f t="shared" si="44"/>
        <v>537.11635149352662</v>
      </c>
      <c r="AM109" s="182">
        <f t="shared" si="45"/>
        <v>29</v>
      </c>
      <c r="AN109" s="574"/>
      <c r="AO109" s="188">
        <v>5</v>
      </c>
      <c r="AP109" s="188">
        <v>2685.8817574676327</v>
      </c>
      <c r="AQ109" s="185">
        <f t="shared" si="46"/>
        <v>537.17635149352657</v>
      </c>
      <c r="AR109" s="182">
        <f t="shared" si="47"/>
        <v>29</v>
      </c>
      <c r="AS109" s="574"/>
      <c r="AT109" s="188">
        <v>5</v>
      </c>
      <c r="AU109" s="188">
        <v>2687.3817574676323</v>
      </c>
      <c r="AV109" s="185">
        <f t="shared" si="48"/>
        <v>537.47635149352641</v>
      </c>
      <c r="AW109" s="182">
        <f t="shared" si="49"/>
        <v>29</v>
      </c>
      <c r="AX109" s="574"/>
    </row>
    <row r="110" spans="2:50" ht="14.25" customHeight="1">
      <c r="B110" s="575"/>
      <c r="C110" s="180">
        <v>28</v>
      </c>
      <c r="D110" s="183" t="s">
        <v>530</v>
      </c>
      <c r="E110" s="184">
        <v>4</v>
      </c>
      <c r="F110" s="180">
        <v>3000</v>
      </c>
      <c r="G110" s="185">
        <f t="shared" si="50"/>
        <v>750</v>
      </c>
      <c r="H110" s="576"/>
      <c r="I110" s="186">
        <f t="shared" si="37"/>
        <v>4</v>
      </c>
      <c r="J110" s="186">
        <f t="shared" si="37"/>
        <v>2686.3910738647464</v>
      </c>
      <c r="K110" s="187">
        <f t="shared" si="37"/>
        <v>671.59776846618661</v>
      </c>
      <c r="L110" s="577"/>
      <c r="M110" s="186">
        <f>RANK(K110, K$83:$K$117)</f>
        <v>17</v>
      </c>
      <c r="N110" s="588"/>
      <c r="O110" s="578"/>
      <c r="P110" s="188">
        <v>4</v>
      </c>
      <c r="Q110" s="188">
        <v>2686.8196452933175</v>
      </c>
      <c r="R110" s="185">
        <f t="shared" si="34"/>
        <v>671.70491132332938</v>
      </c>
      <c r="S110" s="182">
        <f t="shared" si="38"/>
        <v>17</v>
      </c>
      <c r="T110" s="574"/>
      <c r="U110" s="188">
        <v>4</v>
      </c>
      <c r="V110" s="188">
        <v>2687.4196452933174</v>
      </c>
      <c r="W110" s="185">
        <f t="shared" si="35"/>
        <v>671.85491132332936</v>
      </c>
      <c r="X110" s="182">
        <f t="shared" si="39"/>
        <v>17</v>
      </c>
      <c r="Y110" s="574"/>
      <c r="Z110" s="188">
        <v>4</v>
      </c>
      <c r="AA110" s="188">
        <v>2686.2196452933176</v>
      </c>
      <c r="AB110" s="185">
        <f t="shared" si="40"/>
        <v>671.55491132332941</v>
      </c>
      <c r="AC110" s="182">
        <f t="shared" si="41"/>
        <v>17</v>
      </c>
      <c r="AD110" s="574"/>
      <c r="AE110" s="188">
        <v>4</v>
      </c>
      <c r="AF110" s="188">
        <v>2686.8196452933175</v>
      </c>
      <c r="AG110" s="185">
        <f t="shared" si="42"/>
        <v>671.70491132332938</v>
      </c>
      <c r="AH110" s="182">
        <f t="shared" si="43"/>
        <v>17</v>
      </c>
      <c r="AI110" s="574"/>
      <c r="AJ110" s="188">
        <v>4</v>
      </c>
      <c r="AK110" s="188">
        <v>2685.319645293318</v>
      </c>
      <c r="AL110" s="185">
        <f t="shared" si="44"/>
        <v>671.3299113233295</v>
      </c>
      <c r="AM110" s="182">
        <f t="shared" si="45"/>
        <v>17</v>
      </c>
      <c r="AN110" s="574"/>
      <c r="AO110" s="188">
        <v>4</v>
      </c>
      <c r="AP110" s="188">
        <v>2686.2196452933181</v>
      </c>
      <c r="AQ110" s="185">
        <f t="shared" si="46"/>
        <v>671.55491132332952</v>
      </c>
      <c r="AR110" s="182">
        <f t="shared" si="47"/>
        <v>17</v>
      </c>
      <c r="AS110" s="574"/>
      <c r="AT110" s="188">
        <v>4</v>
      </c>
      <c r="AU110" s="188">
        <v>2685.9196452933179</v>
      </c>
      <c r="AV110" s="185">
        <f t="shared" si="48"/>
        <v>671.47991132332947</v>
      </c>
      <c r="AW110" s="182">
        <f t="shared" si="49"/>
        <v>18</v>
      </c>
      <c r="AX110" s="574"/>
    </row>
    <row r="111" spans="2:50" ht="14.25" customHeight="1">
      <c r="B111" s="575"/>
      <c r="C111" s="180">
        <v>29</v>
      </c>
      <c r="D111" s="183" t="s">
        <v>617</v>
      </c>
      <c r="E111" s="184">
        <v>5</v>
      </c>
      <c r="F111" s="180">
        <v>3000</v>
      </c>
      <c r="G111" s="185">
        <f t="shared" si="50"/>
        <v>600</v>
      </c>
      <c r="H111" s="576"/>
      <c r="I111" s="186">
        <f t="shared" si="37"/>
        <v>5</v>
      </c>
      <c r="J111" s="186">
        <f t="shared" si="37"/>
        <v>2683.4571428571421</v>
      </c>
      <c r="K111" s="187">
        <f t="shared" si="37"/>
        <v>536.69142857142833</v>
      </c>
      <c r="L111" s="577"/>
      <c r="M111" s="186">
        <f>RANK(K111, K$83:$K$117)</f>
        <v>30</v>
      </c>
      <c r="N111" s="588"/>
      <c r="O111" s="578"/>
      <c r="P111" s="188">
        <v>5</v>
      </c>
      <c r="Q111" s="188">
        <v>2683.4999999999995</v>
      </c>
      <c r="R111" s="185">
        <f t="shared" si="34"/>
        <v>536.69999999999993</v>
      </c>
      <c r="S111" s="182">
        <f t="shared" si="38"/>
        <v>30</v>
      </c>
      <c r="T111" s="574"/>
      <c r="U111" s="188">
        <v>5</v>
      </c>
      <c r="V111" s="188">
        <v>2682.8999999999996</v>
      </c>
      <c r="W111" s="185">
        <f t="shared" si="35"/>
        <v>536.57999999999993</v>
      </c>
      <c r="X111" s="182">
        <f t="shared" si="39"/>
        <v>30</v>
      </c>
      <c r="Y111" s="574"/>
      <c r="Z111" s="188">
        <v>5</v>
      </c>
      <c r="AA111" s="188">
        <v>2681.9999999999991</v>
      </c>
      <c r="AB111" s="185">
        <f t="shared" si="40"/>
        <v>536.39999999999986</v>
      </c>
      <c r="AC111" s="182">
        <f t="shared" si="41"/>
        <v>30</v>
      </c>
      <c r="AD111" s="574"/>
      <c r="AE111" s="188">
        <v>5</v>
      </c>
      <c r="AF111" s="188">
        <v>2682.2999999999993</v>
      </c>
      <c r="AG111" s="185">
        <f t="shared" si="42"/>
        <v>536.45999999999981</v>
      </c>
      <c r="AH111" s="182">
        <f t="shared" si="43"/>
        <v>30</v>
      </c>
      <c r="AI111" s="574"/>
      <c r="AJ111" s="188">
        <v>5</v>
      </c>
      <c r="AK111" s="188">
        <v>2683.1999999999989</v>
      </c>
      <c r="AL111" s="185">
        <f t="shared" si="44"/>
        <v>536.63999999999976</v>
      </c>
      <c r="AM111" s="182">
        <f t="shared" si="45"/>
        <v>30</v>
      </c>
      <c r="AN111" s="574"/>
      <c r="AO111" s="188">
        <v>5</v>
      </c>
      <c r="AP111" s="188">
        <v>2684.3999999999987</v>
      </c>
      <c r="AQ111" s="185">
        <f t="shared" si="46"/>
        <v>536.87999999999977</v>
      </c>
      <c r="AR111" s="182">
        <f t="shared" si="47"/>
        <v>30</v>
      </c>
      <c r="AS111" s="574"/>
      <c r="AT111" s="188">
        <v>5</v>
      </c>
      <c r="AU111" s="188">
        <v>2685.8999999999983</v>
      </c>
      <c r="AV111" s="185">
        <f t="shared" si="48"/>
        <v>537.17999999999961</v>
      </c>
      <c r="AW111" s="182">
        <f t="shared" si="49"/>
        <v>30</v>
      </c>
      <c r="AX111" s="574"/>
    </row>
    <row r="112" spans="2:50" ht="14.25" customHeight="1">
      <c r="B112" s="575"/>
      <c r="C112" s="180">
        <v>30</v>
      </c>
      <c r="D112" s="183" t="s">
        <v>652</v>
      </c>
      <c r="E112" s="184">
        <v>3</v>
      </c>
      <c r="F112" s="180">
        <v>3300</v>
      </c>
      <c r="G112" s="185">
        <f t="shared" si="50"/>
        <v>1100</v>
      </c>
      <c r="H112" s="576"/>
      <c r="I112" s="186">
        <f t="shared" si="37"/>
        <v>3</v>
      </c>
      <c r="J112" s="186">
        <f t="shared" si="37"/>
        <v>2895.3540335557614</v>
      </c>
      <c r="K112" s="187">
        <f t="shared" si="37"/>
        <v>965.11801118525375</v>
      </c>
      <c r="L112" s="577"/>
      <c r="M112" s="186">
        <f>RANK(K112, K$83:$K$117)</f>
        <v>9</v>
      </c>
      <c r="N112" s="588"/>
      <c r="O112" s="578"/>
      <c r="P112" s="188">
        <v>3</v>
      </c>
      <c r="Q112" s="188">
        <v>2746.2124060459028</v>
      </c>
      <c r="R112" s="185">
        <f t="shared" si="34"/>
        <v>915.40413534863421</v>
      </c>
      <c r="S112" s="182">
        <f t="shared" si="38"/>
        <v>9</v>
      </c>
      <c r="T112" s="574"/>
      <c r="U112" s="188">
        <v>3</v>
      </c>
      <c r="V112" s="188">
        <v>2803.377881212044</v>
      </c>
      <c r="W112" s="185">
        <f t="shared" si="35"/>
        <v>934.45929373734805</v>
      </c>
      <c r="X112" s="182">
        <f t="shared" si="39"/>
        <v>9</v>
      </c>
      <c r="Y112" s="574"/>
      <c r="Z112" s="188">
        <v>3</v>
      </c>
      <c r="AA112" s="188">
        <v>2860.224498947643</v>
      </c>
      <c r="AB112" s="185">
        <f t="shared" si="40"/>
        <v>953.40816631588098</v>
      </c>
      <c r="AC112" s="182">
        <f t="shared" si="41"/>
        <v>9</v>
      </c>
      <c r="AD112" s="574"/>
      <c r="AE112" s="188">
        <v>3</v>
      </c>
      <c r="AF112" s="188">
        <v>2915.3119513996799</v>
      </c>
      <c r="AG112" s="185">
        <f t="shared" si="42"/>
        <v>971.77065046655991</v>
      </c>
      <c r="AH112" s="182">
        <f t="shared" si="43"/>
        <v>9</v>
      </c>
      <c r="AI112" s="574"/>
      <c r="AJ112" s="188">
        <v>3</v>
      </c>
      <c r="AK112" s="188">
        <v>2980.7978543304725</v>
      </c>
      <c r="AL112" s="185">
        <f t="shared" si="44"/>
        <v>993.59928477682422</v>
      </c>
      <c r="AM112" s="182">
        <f t="shared" si="45"/>
        <v>8</v>
      </c>
      <c r="AN112" s="574"/>
      <c r="AO112" s="188">
        <v>3</v>
      </c>
      <c r="AP112" s="188">
        <v>2981.1068214772936</v>
      </c>
      <c r="AQ112" s="185">
        <f t="shared" si="46"/>
        <v>993.70227382576456</v>
      </c>
      <c r="AR112" s="182">
        <f t="shared" si="47"/>
        <v>8</v>
      </c>
      <c r="AS112" s="574"/>
      <c r="AT112" s="188">
        <v>3</v>
      </c>
      <c r="AU112" s="188">
        <v>2980.4468214772942</v>
      </c>
      <c r="AV112" s="185">
        <f t="shared" si="48"/>
        <v>993.48227382576476</v>
      </c>
      <c r="AW112" s="182">
        <f t="shared" si="49"/>
        <v>8</v>
      </c>
      <c r="AX112" s="574"/>
    </row>
    <row r="113" spans="1:50" ht="14.25" customHeight="1">
      <c r="B113" s="575"/>
      <c r="C113" s="180">
        <v>31</v>
      </c>
      <c r="D113" s="183" t="s">
        <v>551</v>
      </c>
      <c r="E113" s="180">
        <v>12</v>
      </c>
      <c r="F113" s="180">
        <v>3600</v>
      </c>
      <c r="G113" s="185">
        <f t="shared" si="50"/>
        <v>300</v>
      </c>
      <c r="H113" s="576"/>
      <c r="I113" s="186">
        <f t="shared" si="37"/>
        <v>12</v>
      </c>
      <c r="J113" s="186">
        <f t="shared" si="37"/>
        <v>3254.9700726392598</v>
      </c>
      <c r="K113" s="187">
        <f t="shared" si="37"/>
        <v>271.24750605327165</v>
      </c>
      <c r="L113" s="577"/>
      <c r="M113" s="186">
        <f>RANK(K113, K$83:$K$117)</f>
        <v>31</v>
      </c>
      <c r="N113" s="588"/>
      <c r="O113" s="578"/>
      <c r="P113" s="188">
        <v>12</v>
      </c>
      <c r="Q113" s="188">
        <v>3257.1300726392597</v>
      </c>
      <c r="R113" s="185">
        <f t="shared" si="34"/>
        <v>271.42750605327166</v>
      </c>
      <c r="S113" s="182">
        <f t="shared" si="38"/>
        <v>31</v>
      </c>
      <c r="T113" s="574"/>
      <c r="U113" s="188">
        <v>12</v>
      </c>
      <c r="V113" s="188">
        <v>3257.1300726392597</v>
      </c>
      <c r="W113" s="185">
        <f t="shared" si="35"/>
        <v>271.42750605327166</v>
      </c>
      <c r="X113" s="182">
        <f t="shared" si="39"/>
        <v>31</v>
      </c>
      <c r="Y113" s="574"/>
      <c r="Z113" s="188">
        <v>12</v>
      </c>
      <c r="AA113" s="188">
        <v>3255.6900726392596</v>
      </c>
      <c r="AB113" s="185">
        <f t="shared" si="40"/>
        <v>271.30750605327165</v>
      </c>
      <c r="AC113" s="182">
        <f t="shared" si="41"/>
        <v>31</v>
      </c>
      <c r="AD113" s="574"/>
      <c r="AE113" s="188">
        <v>12</v>
      </c>
      <c r="AF113" s="188">
        <v>3253.8900726392603</v>
      </c>
      <c r="AG113" s="185">
        <f t="shared" si="42"/>
        <v>271.15750605327167</v>
      </c>
      <c r="AH113" s="182">
        <f t="shared" si="43"/>
        <v>31</v>
      </c>
      <c r="AI113" s="574"/>
      <c r="AJ113" s="188">
        <v>12</v>
      </c>
      <c r="AK113" s="188">
        <v>3254.6100726392601</v>
      </c>
      <c r="AL113" s="185">
        <f t="shared" si="44"/>
        <v>271.21750605327168</v>
      </c>
      <c r="AM113" s="182">
        <f t="shared" si="45"/>
        <v>31</v>
      </c>
      <c r="AN113" s="574"/>
      <c r="AO113" s="188">
        <v>12</v>
      </c>
      <c r="AP113" s="188">
        <v>3252.8100726392604</v>
      </c>
      <c r="AQ113" s="185">
        <f t="shared" si="46"/>
        <v>271.0675060532717</v>
      </c>
      <c r="AR113" s="182">
        <f t="shared" si="47"/>
        <v>31</v>
      </c>
      <c r="AS113" s="574"/>
      <c r="AT113" s="188">
        <v>12</v>
      </c>
      <c r="AU113" s="188">
        <v>3253.5300726392602</v>
      </c>
      <c r="AV113" s="185">
        <f t="shared" si="48"/>
        <v>271.1275060532717</v>
      </c>
      <c r="AW113" s="182">
        <f t="shared" si="49"/>
        <v>31</v>
      </c>
      <c r="AX113" s="574"/>
    </row>
    <row r="114" spans="1:50" ht="14.25" customHeight="1">
      <c r="B114" s="575"/>
      <c r="C114" s="180">
        <v>32</v>
      </c>
      <c r="D114" s="183" t="s">
        <v>584</v>
      </c>
      <c r="E114" s="180">
        <v>13</v>
      </c>
      <c r="F114" s="180">
        <v>3600</v>
      </c>
      <c r="G114" s="185">
        <f t="shared" si="50"/>
        <v>276.92307692307691</v>
      </c>
      <c r="H114" s="576"/>
      <c r="I114" s="186">
        <f t="shared" ref="I114:K116" si="51">AVERAGE(P114,U114,Z114,AE114,AJ114,AO114,AT114)</f>
        <v>13</v>
      </c>
      <c r="J114" s="186">
        <f t="shared" si="51"/>
        <v>3258.8165928223689</v>
      </c>
      <c r="K114" s="187">
        <f t="shared" si="51"/>
        <v>250.67819944787453</v>
      </c>
      <c r="L114" s="577"/>
      <c r="M114" s="186">
        <f>RANK(K114, K$83:$K$117)</f>
        <v>34</v>
      </c>
      <c r="N114" s="588"/>
      <c r="O114" s="578"/>
      <c r="P114" s="188">
        <v>13</v>
      </c>
      <c r="Q114" s="188">
        <v>3258.3023071080825</v>
      </c>
      <c r="R114" s="185">
        <f t="shared" si="34"/>
        <v>250.63863900831404</v>
      </c>
      <c r="S114" s="182">
        <f t="shared" si="38"/>
        <v>34</v>
      </c>
      <c r="T114" s="574"/>
      <c r="U114" s="188">
        <v>13</v>
      </c>
      <c r="V114" s="188">
        <v>3257.5823071080827</v>
      </c>
      <c r="W114" s="185">
        <f t="shared" si="35"/>
        <v>250.58325439292943</v>
      </c>
      <c r="X114" s="182">
        <f t="shared" si="39"/>
        <v>34</v>
      </c>
      <c r="Y114" s="574"/>
      <c r="Z114" s="188">
        <v>13</v>
      </c>
      <c r="AA114" s="188">
        <v>3258.3023071080829</v>
      </c>
      <c r="AB114" s="185">
        <f t="shared" si="40"/>
        <v>250.63863900831407</v>
      </c>
      <c r="AC114" s="182">
        <f t="shared" si="41"/>
        <v>34</v>
      </c>
      <c r="AD114" s="574"/>
      <c r="AE114" s="188">
        <v>13</v>
      </c>
      <c r="AF114" s="188">
        <v>3259.7423071080834</v>
      </c>
      <c r="AG114" s="185">
        <f t="shared" si="42"/>
        <v>250.74940823908335</v>
      </c>
      <c r="AH114" s="182">
        <f t="shared" si="43"/>
        <v>34</v>
      </c>
      <c r="AI114" s="574"/>
      <c r="AJ114" s="188">
        <v>13</v>
      </c>
      <c r="AK114" s="188">
        <v>3259.7423071080843</v>
      </c>
      <c r="AL114" s="185">
        <f t="shared" si="44"/>
        <v>250.74940823908341</v>
      </c>
      <c r="AM114" s="182">
        <f t="shared" si="45"/>
        <v>34</v>
      </c>
      <c r="AN114" s="574"/>
      <c r="AO114" s="188">
        <v>13</v>
      </c>
      <c r="AP114" s="188">
        <v>3258.3023071080843</v>
      </c>
      <c r="AQ114" s="185">
        <f t="shared" si="46"/>
        <v>250.63863900831419</v>
      </c>
      <c r="AR114" s="182">
        <f t="shared" si="47"/>
        <v>34</v>
      </c>
      <c r="AS114" s="574"/>
      <c r="AT114" s="188">
        <v>13</v>
      </c>
      <c r="AU114" s="188">
        <v>3259.7423071080843</v>
      </c>
      <c r="AV114" s="185">
        <f t="shared" si="48"/>
        <v>250.74940823908341</v>
      </c>
      <c r="AW114" s="182">
        <f t="shared" si="49"/>
        <v>34</v>
      </c>
      <c r="AX114" s="574"/>
    </row>
    <row r="115" spans="1:50" ht="14.25" customHeight="1">
      <c r="B115" s="575"/>
      <c r="C115" s="180">
        <v>33</v>
      </c>
      <c r="D115" s="183" t="s">
        <v>347</v>
      </c>
      <c r="E115" s="180">
        <v>3</v>
      </c>
      <c r="F115" s="180">
        <v>3000</v>
      </c>
      <c r="G115" s="185">
        <f t="shared" si="50"/>
        <v>1000</v>
      </c>
      <c r="H115" s="576"/>
      <c r="I115" s="186">
        <f t="shared" si="51"/>
        <v>3</v>
      </c>
      <c r="J115" s="186">
        <f t="shared" si="51"/>
        <v>2703.8294600136755</v>
      </c>
      <c r="K115" s="187">
        <f t="shared" si="51"/>
        <v>901.27648667122514</v>
      </c>
      <c r="L115" s="577"/>
      <c r="M115" s="186">
        <f>RANK(K115, K$83:$K$117)</f>
        <v>11</v>
      </c>
      <c r="N115" s="588"/>
      <c r="O115" s="578"/>
      <c r="P115" s="188">
        <v>3</v>
      </c>
      <c r="Q115" s="188">
        <v>2702.7151742993906</v>
      </c>
      <c r="R115" s="185">
        <f t="shared" si="34"/>
        <v>900.90505809979686</v>
      </c>
      <c r="S115" s="182">
        <f t="shared" si="38"/>
        <v>11</v>
      </c>
      <c r="T115" s="574"/>
      <c r="U115" s="188">
        <v>3</v>
      </c>
      <c r="V115" s="188">
        <v>2702.4151742993899</v>
      </c>
      <c r="W115" s="185">
        <f t="shared" si="35"/>
        <v>900.80505809979661</v>
      </c>
      <c r="X115" s="182">
        <f t="shared" si="39"/>
        <v>11</v>
      </c>
      <c r="Y115" s="574"/>
      <c r="Z115" s="188">
        <v>3</v>
      </c>
      <c r="AA115" s="188">
        <v>2703.6151742993902</v>
      </c>
      <c r="AB115" s="185">
        <f t="shared" si="40"/>
        <v>901.2050580997967</v>
      </c>
      <c r="AC115" s="182">
        <f t="shared" si="41"/>
        <v>11</v>
      </c>
      <c r="AD115" s="574"/>
      <c r="AE115" s="188">
        <v>3</v>
      </c>
      <c r="AF115" s="188">
        <v>2703.3151742993896</v>
      </c>
      <c r="AG115" s="185">
        <f t="shared" si="42"/>
        <v>901.10505809979657</v>
      </c>
      <c r="AH115" s="182">
        <f t="shared" si="43"/>
        <v>11</v>
      </c>
      <c r="AI115" s="574"/>
      <c r="AJ115" s="188">
        <v>3</v>
      </c>
      <c r="AK115" s="188">
        <v>2704.5151742993894</v>
      </c>
      <c r="AL115" s="185">
        <f t="shared" si="44"/>
        <v>901.50505809979643</v>
      </c>
      <c r="AM115" s="182">
        <f t="shared" si="45"/>
        <v>11</v>
      </c>
      <c r="AN115" s="574"/>
      <c r="AO115" s="188">
        <v>3</v>
      </c>
      <c r="AP115" s="188">
        <v>2705.7151742993892</v>
      </c>
      <c r="AQ115" s="185">
        <f t="shared" si="46"/>
        <v>901.90505809979641</v>
      </c>
      <c r="AR115" s="182">
        <f t="shared" si="47"/>
        <v>11</v>
      </c>
      <c r="AS115" s="574"/>
      <c r="AT115" s="188">
        <v>3</v>
      </c>
      <c r="AU115" s="188">
        <v>2704.5151742993894</v>
      </c>
      <c r="AV115" s="185">
        <f t="shared" si="48"/>
        <v>901.50505809979643</v>
      </c>
      <c r="AW115" s="182">
        <f t="shared" si="49"/>
        <v>11</v>
      </c>
      <c r="AX115" s="574"/>
    </row>
    <row r="116" spans="1:50" ht="14.25" customHeight="1">
      <c r="B116" s="575"/>
      <c r="C116" s="180">
        <v>34</v>
      </c>
      <c r="D116" s="183" t="s">
        <v>468</v>
      </c>
      <c r="E116" s="180">
        <v>12</v>
      </c>
      <c r="F116" s="180">
        <v>3600</v>
      </c>
      <c r="G116" s="185">
        <f t="shared" si="50"/>
        <v>300</v>
      </c>
      <c r="H116" s="576"/>
      <c r="I116" s="186">
        <f t="shared" si="51"/>
        <v>12</v>
      </c>
      <c r="J116" s="186">
        <f t="shared" si="51"/>
        <v>3127.8749590200227</v>
      </c>
      <c r="K116" s="187">
        <f t="shared" si="51"/>
        <v>260.6562465850019</v>
      </c>
      <c r="L116" s="577"/>
      <c r="M116" s="186">
        <f>RANK(K116, K$83:$K$117)</f>
        <v>33</v>
      </c>
      <c r="N116" s="588"/>
      <c r="O116" s="578"/>
      <c r="P116" s="188">
        <v>12</v>
      </c>
      <c r="Q116" s="188">
        <v>3128.3378161628798</v>
      </c>
      <c r="R116" s="185">
        <f t="shared" si="34"/>
        <v>260.6948180135733</v>
      </c>
      <c r="S116" s="182">
        <f t="shared" si="38"/>
        <v>32</v>
      </c>
      <c r="T116" s="574"/>
      <c r="U116" s="188">
        <v>12</v>
      </c>
      <c r="V116" s="188">
        <v>3129.7778161628794</v>
      </c>
      <c r="W116" s="185">
        <f t="shared" si="35"/>
        <v>260.8148180135733</v>
      </c>
      <c r="X116" s="182">
        <f t="shared" si="39"/>
        <v>32</v>
      </c>
      <c r="Y116" s="574"/>
      <c r="Z116" s="188">
        <v>12</v>
      </c>
      <c r="AA116" s="188">
        <v>3128.3378161628798</v>
      </c>
      <c r="AB116" s="185">
        <f t="shared" si="40"/>
        <v>260.6948180135733</v>
      </c>
      <c r="AC116" s="182">
        <f t="shared" si="41"/>
        <v>33</v>
      </c>
      <c r="AD116" s="574"/>
      <c r="AE116" s="188">
        <v>12</v>
      </c>
      <c r="AF116" s="188">
        <v>3128.6978161628795</v>
      </c>
      <c r="AG116" s="185">
        <f t="shared" si="42"/>
        <v>260.72481801357327</v>
      </c>
      <c r="AH116" s="182">
        <f t="shared" si="43"/>
        <v>33</v>
      </c>
      <c r="AI116" s="574"/>
      <c r="AJ116" s="188">
        <v>12</v>
      </c>
      <c r="AK116" s="188">
        <v>3126.8978161628793</v>
      </c>
      <c r="AL116" s="185">
        <f t="shared" si="44"/>
        <v>260.57481801357329</v>
      </c>
      <c r="AM116" s="182">
        <f t="shared" si="45"/>
        <v>33</v>
      </c>
      <c r="AN116" s="574"/>
      <c r="AO116" s="188">
        <v>12</v>
      </c>
      <c r="AP116" s="188">
        <v>3126.8978161628797</v>
      </c>
      <c r="AQ116" s="185">
        <f t="shared" si="46"/>
        <v>260.57481801357329</v>
      </c>
      <c r="AR116" s="182">
        <f t="shared" si="47"/>
        <v>33</v>
      </c>
      <c r="AS116" s="574"/>
      <c r="AT116" s="188">
        <v>12</v>
      </c>
      <c r="AU116" s="188">
        <v>3126.1778161628795</v>
      </c>
      <c r="AV116" s="185">
        <f t="shared" si="48"/>
        <v>260.51481801357329</v>
      </c>
      <c r="AW116" s="182">
        <f t="shared" si="49"/>
        <v>32</v>
      </c>
      <c r="AX116" s="574"/>
    </row>
    <row r="117" spans="1:50" ht="14.25" customHeight="1">
      <c r="B117" s="575"/>
      <c r="C117" s="180">
        <v>35</v>
      </c>
      <c r="D117" s="183"/>
      <c r="E117" s="180"/>
      <c r="F117" s="180"/>
      <c r="G117" s="185"/>
      <c r="H117" s="576"/>
      <c r="I117" s="186"/>
      <c r="J117" s="186"/>
      <c r="K117" s="187"/>
      <c r="L117" s="577"/>
      <c r="M117" s="186"/>
      <c r="N117" s="588"/>
      <c r="O117" s="578"/>
      <c r="P117" s="188"/>
      <c r="Q117" s="188"/>
      <c r="R117" s="185"/>
      <c r="S117" s="182"/>
      <c r="T117" s="574"/>
      <c r="U117" s="188"/>
      <c r="V117" s="188"/>
      <c r="W117" s="185"/>
      <c r="X117" s="182"/>
      <c r="Y117" s="574"/>
      <c r="Z117" s="188"/>
      <c r="AA117" s="188"/>
      <c r="AB117" s="185"/>
      <c r="AC117" s="182"/>
      <c r="AD117" s="574"/>
      <c r="AE117" s="188"/>
      <c r="AF117" s="188"/>
      <c r="AG117" s="185"/>
      <c r="AH117" s="182"/>
      <c r="AI117" s="574"/>
      <c r="AJ117" s="188"/>
      <c r="AK117" s="188"/>
      <c r="AL117" s="185"/>
      <c r="AM117" s="182"/>
      <c r="AN117" s="574"/>
      <c r="AO117" s="188"/>
      <c r="AP117" s="188"/>
      <c r="AQ117" s="185"/>
      <c r="AR117" s="182"/>
      <c r="AS117" s="574"/>
      <c r="AT117" s="188"/>
      <c r="AU117" s="188"/>
      <c r="AV117" s="185"/>
      <c r="AW117" s="182"/>
      <c r="AX117" s="574"/>
    </row>
    <row r="118" spans="1:50" ht="14.25" customHeight="1">
      <c r="B118" s="643" t="s">
        <v>754</v>
      </c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4"/>
      <c r="N118" s="593" t="s">
        <v>374</v>
      </c>
      <c r="O118" s="593" t="s">
        <v>105</v>
      </c>
      <c r="P118" s="595">
        <v>46133</v>
      </c>
      <c r="Q118" s="596"/>
      <c r="R118" s="596"/>
      <c r="S118" s="596"/>
      <c r="T118" s="596"/>
      <c r="U118" s="597">
        <v>46134</v>
      </c>
      <c r="V118" s="598"/>
      <c r="W118" s="598"/>
      <c r="X118" s="598"/>
      <c r="Y118" s="598"/>
      <c r="Z118" s="595">
        <v>46135</v>
      </c>
      <c r="AA118" s="596"/>
      <c r="AB118" s="596"/>
      <c r="AC118" s="596"/>
      <c r="AD118" s="596"/>
      <c r="AE118" s="597">
        <v>46136</v>
      </c>
      <c r="AF118" s="598"/>
      <c r="AG118" s="598"/>
      <c r="AH118" s="598"/>
      <c r="AI118" s="598"/>
      <c r="AJ118" s="580">
        <v>46137</v>
      </c>
      <c r="AK118" s="581"/>
      <c r="AL118" s="581"/>
      <c r="AM118" s="581"/>
      <c r="AN118" s="582"/>
      <c r="AO118" s="597">
        <v>46138</v>
      </c>
      <c r="AP118" s="598"/>
      <c r="AQ118" s="598"/>
      <c r="AR118" s="598"/>
      <c r="AS118" s="598"/>
      <c r="AT118" s="580">
        <v>46139</v>
      </c>
      <c r="AU118" s="581"/>
      <c r="AV118" s="581"/>
      <c r="AW118" s="581"/>
      <c r="AX118" s="582"/>
    </row>
    <row r="119" spans="1:50" ht="14.25" customHeight="1">
      <c r="B119" s="645"/>
      <c r="C119" s="645"/>
      <c r="D119" s="645"/>
      <c r="E119" s="645"/>
      <c r="F119" s="645"/>
      <c r="G119" s="645"/>
      <c r="H119" s="645"/>
      <c r="I119" s="645"/>
      <c r="J119" s="645"/>
      <c r="K119" s="645"/>
      <c r="L119" s="645"/>
      <c r="M119" s="646"/>
      <c r="N119" s="594"/>
      <c r="O119" s="594"/>
      <c r="P119" s="583">
        <v>46133</v>
      </c>
      <c r="Q119" s="583"/>
      <c r="R119" s="583"/>
      <c r="S119" s="583"/>
      <c r="T119" s="583"/>
      <c r="U119" s="584">
        <v>46134</v>
      </c>
      <c r="V119" s="584"/>
      <c r="W119" s="584"/>
      <c r="X119" s="584"/>
      <c r="Y119" s="584"/>
      <c r="Z119" s="583">
        <v>46135</v>
      </c>
      <c r="AA119" s="583"/>
      <c r="AB119" s="583"/>
      <c r="AC119" s="583"/>
      <c r="AD119" s="583"/>
      <c r="AE119" s="584">
        <v>46136</v>
      </c>
      <c r="AF119" s="584"/>
      <c r="AG119" s="584"/>
      <c r="AH119" s="584"/>
      <c r="AI119" s="584"/>
      <c r="AJ119" s="585">
        <v>46137</v>
      </c>
      <c r="AK119" s="586"/>
      <c r="AL119" s="586"/>
      <c r="AM119" s="586"/>
      <c r="AN119" s="587"/>
      <c r="AO119" s="584">
        <v>46138</v>
      </c>
      <c r="AP119" s="584"/>
      <c r="AQ119" s="584"/>
      <c r="AR119" s="584"/>
      <c r="AS119" s="584"/>
      <c r="AT119" s="585">
        <v>46139</v>
      </c>
      <c r="AU119" s="586"/>
      <c r="AV119" s="586"/>
      <c r="AW119" s="586"/>
      <c r="AX119" s="587"/>
    </row>
    <row r="120" spans="1:50" ht="14.25" customHeight="1">
      <c r="B120" s="575" t="s">
        <v>162</v>
      </c>
      <c r="C120" s="575" t="s">
        <v>157</v>
      </c>
      <c r="D120" s="575"/>
      <c r="E120" s="575" t="s">
        <v>158</v>
      </c>
      <c r="F120" s="575"/>
      <c r="G120" s="575"/>
      <c r="H120" s="575" t="s">
        <v>163</v>
      </c>
      <c r="I120" s="579" t="s">
        <v>375</v>
      </c>
      <c r="J120" s="579"/>
      <c r="K120" s="579"/>
      <c r="L120" s="579" t="s">
        <v>163</v>
      </c>
      <c r="M120" s="579" t="s">
        <v>165</v>
      </c>
      <c r="N120" s="588"/>
      <c r="O120" s="578" t="s">
        <v>164</v>
      </c>
      <c r="P120" s="578" t="s">
        <v>160</v>
      </c>
      <c r="Q120" s="578"/>
      <c r="R120" s="578"/>
      <c r="S120" s="578"/>
      <c r="T120" s="578" t="s">
        <v>163</v>
      </c>
      <c r="U120" s="578" t="s">
        <v>160</v>
      </c>
      <c r="V120" s="578"/>
      <c r="W120" s="578"/>
      <c r="X120" s="578"/>
      <c r="Y120" s="578" t="s">
        <v>163</v>
      </c>
      <c r="Z120" s="578" t="s">
        <v>160</v>
      </c>
      <c r="AA120" s="578"/>
      <c r="AB120" s="578"/>
      <c r="AC120" s="578"/>
      <c r="AD120" s="578" t="s">
        <v>163</v>
      </c>
      <c r="AE120" s="578" t="s">
        <v>160</v>
      </c>
      <c r="AF120" s="578"/>
      <c r="AG120" s="578"/>
      <c r="AH120" s="578"/>
      <c r="AI120" s="578" t="s">
        <v>163</v>
      </c>
      <c r="AJ120" s="578" t="s">
        <v>160</v>
      </c>
      <c r="AK120" s="578"/>
      <c r="AL120" s="578"/>
      <c r="AM120" s="578"/>
      <c r="AN120" s="578" t="s">
        <v>163</v>
      </c>
      <c r="AO120" s="578" t="s">
        <v>160</v>
      </c>
      <c r="AP120" s="578"/>
      <c r="AQ120" s="578"/>
      <c r="AR120" s="578"/>
      <c r="AS120" s="578" t="s">
        <v>163</v>
      </c>
      <c r="AT120" s="578" t="s">
        <v>160</v>
      </c>
      <c r="AU120" s="578"/>
      <c r="AV120" s="578"/>
      <c r="AW120" s="578"/>
      <c r="AX120" s="578" t="s">
        <v>163</v>
      </c>
    </row>
    <row r="121" spans="1:50" ht="14.25" customHeight="1">
      <c r="B121" s="575"/>
      <c r="C121" s="575"/>
      <c r="D121" s="575"/>
      <c r="E121" s="575" t="s">
        <v>376</v>
      </c>
      <c r="F121" s="575"/>
      <c r="G121" s="575"/>
      <c r="H121" s="575"/>
      <c r="I121" s="579" t="s">
        <v>376</v>
      </c>
      <c r="J121" s="579"/>
      <c r="K121" s="579"/>
      <c r="L121" s="579"/>
      <c r="M121" s="579"/>
      <c r="N121" s="588"/>
      <c r="O121" s="578"/>
      <c r="P121" s="578" t="s">
        <v>377</v>
      </c>
      <c r="Q121" s="578"/>
      <c r="R121" s="578"/>
      <c r="S121" s="578"/>
      <c r="T121" s="578"/>
      <c r="U121" s="578" t="s">
        <v>377</v>
      </c>
      <c r="V121" s="578"/>
      <c r="W121" s="578"/>
      <c r="X121" s="578"/>
      <c r="Y121" s="578"/>
      <c r="Z121" s="578" t="s">
        <v>377</v>
      </c>
      <c r="AA121" s="578"/>
      <c r="AB121" s="578"/>
      <c r="AC121" s="578"/>
      <c r="AD121" s="578"/>
      <c r="AE121" s="578" t="s">
        <v>377</v>
      </c>
      <c r="AF121" s="578"/>
      <c r="AG121" s="578"/>
      <c r="AH121" s="578"/>
      <c r="AI121" s="578"/>
      <c r="AJ121" s="578" t="s">
        <v>377</v>
      </c>
      <c r="AK121" s="578"/>
      <c r="AL121" s="578"/>
      <c r="AM121" s="578"/>
      <c r="AN121" s="578"/>
      <c r="AO121" s="578" t="s">
        <v>377</v>
      </c>
      <c r="AP121" s="578"/>
      <c r="AQ121" s="578"/>
      <c r="AR121" s="578"/>
      <c r="AS121" s="578"/>
      <c r="AT121" s="578" t="s">
        <v>377</v>
      </c>
      <c r="AU121" s="578"/>
      <c r="AV121" s="578"/>
      <c r="AW121" s="578"/>
      <c r="AX121" s="578"/>
    </row>
    <row r="122" spans="1:50" ht="14.25" customHeight="1">
      <c r="A122" s="177"/>
      <c r="B122" s="575"/>
      <c r="C122" s="575"/>
      <c r="D122" s="575"/>
      <c r="E122" s="180" t="s">
        <v>159</v>
      </c>
      <c r="F122" s="180" t="s">
        <v>378</v>
      </c>
      <c r="G122" s="180" t="s">
        <v>161</v>
      </c>
      <c r="H122" s="575"/>
      <c r="I122" s="181" t="s">
        <v>159</v>
      </c>
      <c r="J122" s="181" t="s">
        <v>378</v>
      </c>
      <c r="K122" s="181" t="s">
        <v>161</v>
      </c>
      <c r="L122" s="579"/>
      <c r="M122" s="579"/>
      <c r="N122" s="588"/>
      <c r="O122" s="578"/>
      <c r="P122" s="182" t="s">
        <v>159</v>
      </c>
      <c r="Q122" s="182" t="s">
        <v>378</v>
      </c>
      <c r="R122" s="182" t="s">
        <v>161</v>
      </c>
      <c r="S122" s="182" t="s">
        <v>165</v>
      </c>
      <c r="T122" s="578"/>
      <c r="U122" s="182" t="s">
        <v>159</v>
      </c>
      <c r="V122" s="182" t="s">
        <v>378</v>
      </c>
      <c r="W122" s="182" t="s">
        <v>161</v>
      </c>
      <c r="X122" s="182" t="s">
        <v>165</v>
      </c>
      <c r="Y122" s="578"/>
      <c r="Z122" s="182" t="s">
        <v>159</v>
      </c>
      <c r="AA122" s="182" t="s">
        <v>378</v>
      </c>
      <c r="AB122" s="182" t="s">
        <v>161</v>
      </c>
      <c r="AC122" s="182" t="s">
        <v>165</v>
      </c>
      <c r="AD122" s="578"/>
      <c r="AE122" s="182" t="s">
        <v>159</v>
      </c>
      <c r="AF122" s="182" t="s">
        <v>378</v>
      </c>
      <c r="AG122" s="182" t="s">
        <v>161</v>
      </c>
      <c r="AH122" s="182" t="s">
        <v>165</v>
      </c>
      <c r="AI122" s="578"/>
      <c r="AJ122" s="182" t="s">
        <v>159</v>
      </c>
      <c r="AK122" s="182" t="s">
        <v>378</v>
      </c>
      <c r="AL122" s="182" t="s">
        <v>161</v>
      </c>
      <c r="AM122" s="182" t="s">
        <v>165</v>
      </c>
      <c r="AN122" s="578"/>
      <c r="AO122" s="182" t="s">
        <v>159</v>
      </c>
      <c r="AP122" s="182" t="s">
        <v>378</v>
      </c>
      <c r="AQ122" s="182" t="s">
        <v>161</v>
      </c>
      <c r="AR122" s="182" t="s">
        <v>165</v>
      </c>
      <c r="AS122" s="578"/>
      <c r="AT122" s="182" t="s">
        <v>159</v>
      </c>
      <c r="AU122" s="182" t="s">
        <v>378</v>
      </c>
      <c r="AV122" s="182" t="s">
        <v>161</v>
      </c>
      <c r="AW122" s="182" t="s">
        <v>165</v>
      </c>
      <c r="AX122" s="578"/>
    </row>
    <row r="123" spans="1:50" ht="14.25" customHeight="1">
      <c r="B123" s="575" t="s">
        <v>379</v>
      </c>
      <c r="C123" s="180">
        <v>1</v>
      </c>
      <c r="D123" s="183" t="s">
        <v>404</v>
      </c>
      <c r="E123" s="184">
        <v>4</v>
      </c>
      <c r="F123" s="180">
        <v>3600</v>
      </c>
      <c r="G123" s="185">
        <f>F123/E123</f>
        <v>900</v>
      </c>
      <c r="H123" s="576">
        <f>AVERAGE(G123:G157)</f>
        <v>841.38009049773757</v>
      </c>
      <c r="I123" s="186">
        <f>AVERAGE(P123,U123,Z123,AE123,AJ123,AO123,AT123)</f>
        <v>4</v>
      </c>
      <c r="J123" s="186">
        <f>AVERAGE(Q123,V123,AA123,AF123,AK123,AP123,AU123)</f>
        <v>3176.9942417658722</v>
      </c>
      <c r="K123" s="187">
        <f>AVERAGE(R123,W123,AB123,AG123,AL123,AQ123,AV123)</f>
        <v>794.24856044146804</v>
      </c>
      <c r="L123" s="577">
        <f>IFERROR(AVERAGE(K123:K157),"-")</f>
        <v>747.01134769674832</v>
      </c>
      <c r="M123" s="186">
        <f>RANK(K123, K$123:$K$157)</f>
        <v>17</v>
      </c>
      <c r="N123" s="588"/>
      <c r="O123" s="578"/>
      <c r="P123" s="188">
        <v>4</v>
      </c>
      <c r="Q123" s="188">
        <v>3175.666695095952</v>
      </c>
      <c r="R123" s="185">
        <f t="shared" ref="R123:R156" si="52">IFERROR(Q123/P123,"")</f>
        <v>793.91667377398801</v>
      </c>
      <c r="S123" s="182">
        <f>RANK(R123, R$123:R$157)</f>
        <v>17</v>
      </c>
      <c r="T123" s="574">
        <f>AVERAGE(R123:R157)</f>
        <v>745.43592496739222</v>
      </c>
      <c r="U123" s="188">
        <v>4</v>
      </c>
      <c r="V123" s="188">
        <v>3174.9466950959518</v>
      </c>
      <c r="W123" s="185">
        <f t="shared" ref="W123:W156" si="53">IFERROR(V123/U123,"")</f>
        <v>793.73667377398795</v>
      </c>
      <c r="X123" s="182">
        <f>RANK(W123, W$123:W$157)</f>
        <v>17</v>
      </c>
      <c r="Y123" s="574">
        <f>AVERAGE(W123:W157)</f>
        <v>745.90352543575978</v>
      </c>
      <c r="Z123" s="188">
        <v>4</v>
      </c>
      <c r="AA123" s="188">
        <v>3173.8666950959519</v>
      </c>
      <c r="AB123" s="185">
        <f>IFERROR(AA123/Z123,"")</f>
        <v>793.46667377398796</v>
      </c>
      <c r="AC123" s="182">
        <f>RANK(AB123, AB$123:AB$157)</f>
        <v>17</v>
      </c>
      <c r="AD123" s="574">
        <f>AVERAGE(AB123:AB157)</f>
        <v>752.85407965806303</v>
      </c>
      <c r="AE123" s="188">
        <v>4</v>
      </c>
      <c r="AF123" s="188">
        <v>3172.4266950959518</v>
      </c>
      <c r="AG123" s="185">
        <f>IFERROR(AF123/AE123,"")</f>
        <v>793.10667377398795</v>
      </c>
      <c r="AH123" s="182">
        <f>RANK(AG123, AG$123:AG$157)</f>
        <v>17</v>
      </c>
      <c r="AI123" s="574">
        <f>AVERAGE(AG123:AG157)</f>
        <v>753.45516442263806</v>
      </c>
      <c r="AJ123" s="188">
        <v>4</v>
      </c>
      <c r="AK123" s="188">
        <v>3181.164303992432</v>
      </c>
      <c r="AL123" s="185">
        <f>IFERROR(AK123/AJ123,"")</f>
        <v>795.291075998108</v>
      </c>
      <c r="AM123" s="182">
        <f>RANK(AL123, AL$123:AL$157)</f>
        <v>17</v>
      </c>
      <c r="AN123" s="574">
        <f>AVERAGE(AL123:AL157)</f>
        <v>754.33349935415799</v>
      </c>
      <c r="AO123" s="188">
        <v>4</v>
      </c>
      <c r="AP123" s="188">
        <v>3180.8043039924323</v>
      </c>
      <c r="AQ123" s="185">
        <f>IFERROR(AP123/AO123,"")</f>
        <v>795.20107599810808</v>
      </c>
      <c r="AR123" s="182">
        <f>RANK(AQ123, AQ$123:AQ$157)</f>
        <v>17</v>
      </c>
      <c r="AS123" s="574">
        <f>AVERAGE(AQ123:AQ157)</f>
        <v>754.4352979577194</v>
      </c>
      <c r="AT123" s="188">
        <v>4</v>
      </c>
      <c r="AU123" s="188">
        <v>3180.0843039924325</v>
      </c>
      <c r="AV123" s="185">
        <f>IFERROR(AU123/AT123,"")</f>
        <v>795.02107599810813</v>
      </c>
      <c r="AW123" s="182">
        <f>RANK(AV123, AV$123:AV$157)</f>
        <v>17</v>
      </c>
      <c r="AX123" s="574">
        <f>AVERAGE(AV123:AV157)</f>
        <v>754.48188832412688</v>
      </c>
    </row>
    <row r="124" spans="1:50" ht="14.25" customHeight="1">
      <c r="B124" s="575"/>
      <c r="C124" s="180">
        <v>2</v>
      </c>
      <c r="D124" s="183" t="s">
        <v>402</v>
      </c>
      <c r="E124" s="184">
        <v>3</v>
      </c>
      <c r="F124" s="180">
        <v>3600</v>
      </c>
      <c r="G124" s="185">
        <f t="shared" ref="G124:G143" si="54">F124/E124</f>
        <v>1200</v>
      </c>
      <c r="H124" s="576"/>
      <c r="I124" s="186">
        <f t="shared" ref="I124:K156" si="55">AVERAGE(P124,U124,Z124,AE124,AJ124,AO124,AT124)</f>
        <v>3</v>
      </c>
      <c r="J124" s="186">
        <f t="shared" si="55"/>
        <v>3178.067329541751</v>
      </c>
      <c r="K124" s="187">
        <f t="shared" si="55"/>
        <v>1059.3557765139169</v>
      </c>
      <c r="L124" s="577"/>
      <c r="M124" s="186">
        <f>RANK(K124, K$123:$K$157)</f>
        <v>4</v>
      </c>
      <c r="N124" s="588"/>
      <c r="O124" s="578"/>
      <c r="P124" s="188">
        <v>3</v>
      </c>
      <c r="Q124" s="188">
        <v>3174.15220293725</v>
      </c>
      <c r="R124" s="185">
        <f t="shared" si="52"/>
        <v>1058.0507343124166</v>
      </c>
      <c r="S124" s="182">
        <f t="shared" ref="S124:S156" si="56">RANK(R124, R$123:R$157)</f>
        <v>6</v>
      </c>
      <c r="T124" s="574"/>
      <c r="U124" s="188">
        <v>3</v>
      </c>
      <c r="V124" s="188">
        <v>3175.232202937249</v>
      </c>
      <c r="W124" s="185">
        <f t="shared" si="53"/>
        <v>1058.4107343124163</v>
      </c>
      <c r="X124" s="182">
        <f t="shared" ref="X124:X156" si="57">RANK(W124, W$123:W$157)</f>
        <v>5</v>
      </c>
      <c r="Y124" s="574"/>
      <c r="Z124" s="188">
        <v>3</v>
      </c>
      <c r="AA124" s="188">
        <v>3174.5122029372496</v>
      </c>
      <c r="AB124" s="185">
        <f t="shared" ref="AB124:AB156" si="58">IFERROR(AA124/Z124,"")</f>
        <v>1058.1707343124165</v>
      </c>
      <c r="AC124" s="182">
        <f t="shared" ref="AC124:AC156" si="59">RANK(AB124, AB$123:AB$157)</f>
        <v>5</v>
      </c>
      <c r="AD124" s="574"/>
      <c r="AE124" s="188">
        <v>3</v>
      </c>
      <c r="AF124" s="188">
        <v>3175.232202937249</v>
      </c>
      <c r="AG124" s="185">
        <f t="shared" ref="AG124:AG156" si="60">IFERROR(AF124/AE124,"")</f>
        <v>1058.4107343124163</v>
      </c>
      <c r="AH124" s="182">
        <f t="shared" ref="AH124:AH156" si="61">RANK(AG124, AG$123:AG$157)</f>
        <v>4</v>
      </c>
      <c r="AI124" s="574"/>
      <c r="AJ124" s="188">
        <v>3</v>
      </c>
      <c r="AK124" s="188">
        <v>3182.0518283225574</v>
      </c>
      <c r="AL124" s="185">
        <f t="shared" ref="AL124:AL156" si="62">IFERROR(AK124/AJ124,"")</f>
        <v>1060.6839427741859</v>
      </c>
      <c r="AM124" s="182">
        <f t="shared" ref="AM124:AM156" si="63">RANK(AL124, AL$123:AL$157)</f>
        <v>6</v>
      </c>
      <c r="AN124" s="574"/>
      <c r="AO124" s="188">
        <v>3</v>
      </c>
      <c r="AP124" s="188">
        <v>3183.3653333603506</v>
      </c>
      <c r="AQ124" s="185">
        <f t="shared" ref="AQ124:AQ156" si="64">IFERROR(AP124/AO124,"")</f>
        <v>1061.1217777867835</v>
      </c>
      <c r="AR124" s="182">
        <f t="shared" ref="AR124:AR156" si="65">RANK(AQ124, AQ$123:AQ$157)</f>
        <v>4</v>
      </c>
      <c r="AS124" s="574"/>
      <c r="AT124" s="188">
        <v>3</v>
      </c>
      <c r="AU124" s="188">
        <v>3181.9253333603506</v>
      </c>
      <c r="AV124" s="185">
        <f t="shared" ref="AV124:AV156" si="66">IFERROR(AU124/AT124,"")</f>
        <v>1060.6417777867835</v>
      </c>
      <c r="AW124" s="182">
        <f t="shared" ref="AW124:AW156" si="67">RANK(AV124, AV$123:AV$157)</f>
        <v>6</v>
      </c>
      <c r="AX124" s="574"/>
    </row>
    <row r="125" spans="1:50" ht="14.25" customHeight="1">
      <c r="B125" s="575"/>
      <c r="C125" s="180">
        <v>3</v>
      </c>
      <c r="D125" s="183" t="s">
        <v>403</v>
      </c>
      <c r="E125" s="184">
        <v>5</v>
      </c>
      <c r="F125" s="180">
        <v>3600</v>
      </c>
      <c r="G125" s="185">
        <f t="shared" si="54"/>
        <v>720</v>
      </c>
      <c r="H125" s="576"/>
      <c r="I125" s="186">
        <f t="shared" si="55"/>
        <v>5</v>
      </c>
      <c r="J125" s="186">
        <f t="shared" si="55"/>
        <v>3175.307928728495</v>
      </c>
      <c r="K125" s="187">
        <f t="shared" si="55"/>
        <v>635.06158574569895</v>
      </c>
      <c r="L125" s="577"/>
      <c r="M125" s="186">
        <f>RANK(K125, K$123:$K$157)</f>
        <v>26</v>
      </c>
      <c r="N125" s="588"/>
      <c r="O125" s="578"/>
      <c r="P125" s="188">
        <v>5</v>
      </c>
      <c r="Q125" s="188">
        <v>3169.0915831599132</v>
      </c>
      <c r="R125" s="185">
        <f t="shared" si="52"/>
        <v>633.81831663198261</v>
      </c>
      <c r="S125" s="182">
        <f t="shared" si="56"/>
        <v>25</v>
      </c>
      <c r="T125" s="574"/>
      <c r="U125" s="188">
        <v>5</v>
      </c>
      <c r="V125" s="188">
        <v>3168.3715831599138</v>
      </c>
      <c r="W125" s="185">
        <f t="shared" si="53"/>
        <v>633.67431663198272</v>
      </c>
      <c r="X125" s="182">
        <f t="shared" si="57"/>
        <v>26</v>
      </c>
      <c r="Y125" s="574"/>
      <c r="Z125" s="188">
        <v>5</v>
      </c>
      <c r="AA125" s="188">
        <v>3168.7315831599135</v>
      </c>
      <c r="AB125" s="185">
        <f t="shared" si="58"/>
        <v>633.74631663198272</v>
      </c>
      <c r="AC125" s="182">
        <f t="shared" si="59"/>
        <v>26</v>
      </c>
      <c r="AD125" s="574"/>
      <c r="AE125" s="188">
        <v>5</v>
      </c>
      <c r="AF125" s="188">
        <v>3169.4515831599133</v>
      </c>
      <c r="AG125" s="185">
        <f t="shared" si="60"/>
        <v>633.89031663198261</v>
      </c>
      <c r="AH125" s="182">
        <f t="shared" si="61"/>
        <v>26</v>
      </c>
      <c r="AI125" s="574"/>
      <c r="AJ125" s="188">
        <v>5</v>
      </c>
      <c r="AK125" s="188">
        <v>3181.7575131211338</v>
      </c>
      <c r="AL125" s="185">
        <f t="shared" si="62"/>
        <v>636.35150262422678</v>
      </c>
      <c r="AM125" s="182">
        <f t="shared" si="63"/>
        <v>25</v>
      </c>
      <c r="AN125" s="574"/>
      <c r="AO125" s="188">
        <v>5</v>
      </c>
      <c r="AP125" s="188">
        <v>3185.0558276693382</v>
      </c>
      <c r="AQ125" s="185">
        <f t="shared" si="64"/>
        <v>637.0111655338676</v>
      </c>
      <c r="AR125" s="182">
        <f t="shared" si="65"/>
        <v>25</v>
      </c>
      <c r="AS125" s="574"/>
      <c r="AT125" s="188">
        <v>5</v>
      </c>
      <c r="AU125" s="188">
        <v>3184.6958276693381</v>
      </c>
      <c r="AV125" s="185">
        <f t="shared" si="66"/>
        <v>636.93916553386759</v>
      </c>
      <c r="AW125" s="182">
        <f t="shared" si="67"/>
        <v>24</v>
      </c>
      <c r="AX125" s="574"/>
    </row>
    <row r="126" spans="1:50" ht="14.25" customHeight="1">
      <c r="B126" s="575"/>
      <c r="C126" s="180">
        <v>4</v>
      </c>
      <c r="D126" s="183" t="s">
        <v>229</v>
      </c>
      <c r="E126" s="184">
        <v>5</v>
      </c>
      <c r="F126" s="180">
        <v>3300</v>
      </c>
      <c r="G126" s="185">
        <f t="shared" si="54"/>
        <v>660</v>
      </c>
      <c r="H126" s="576"/>
      <c r="I126" s="186">
        <f t="shared" si="55"/>
        <v>5</v>
      </c>
      <c r="J126" s="186">
        <f t="shared" si="55"/>
        <v>2939.1461186437487</v>
      </c>
      <c r="K126" s="187">
        <f t="shared" si="55"/>
        <v>587.82922372874975</v>
      </c>
      <c r="L126" s="577"/>
      <c r="M126" s="186">
        <f>RANK(K126, K$123:$K$157)</f>
        <v>28</v>
      </c>
      <c r="N126" s="588"/>
      <c r="O126" s="578"/>
      <c r="P126" s="188">
        <v>5</v>
      </c>
      <c r="Q126" s="188">
        <v>2941.6446900723204</v>
      </c>
      <c r="R126" s="185">
        <f t="shared" si="52"/>
        <v>588.32893801446403</v>
      </c>
      <c r="S126" s="182">
        <f t="shared" si="56"/>
        <v>28</v>
      </c>
      <c r="T126" s="574"/>
      <c r="U126" s="188">
        <v>5</v>
      </c>
      <c r="V126" s="188">
        <v>2940.6546900723197</v>
      </c>
      <c r="W126" s="185">
        <f t="shared" si="53"/>
        <v>588.13093801446394</v>
      </c>
      <c r="X126" s="182">
        <f t="shared" si="57"/>
        <v>28</v>
      </c>
      <c r="Y126" s="574"/>
      <c r="Z126" s="188">
        <v>5</v>
      </c>
      <c r="AA126" s="188">
        <v>2939.33469007232</v>
      </c>
      <c r="AB126" s="185">
        <f t="shared" si="58"/>
        <v>587.86693801446404</v>
      </c>
      <c r="AC126" s="182">
        <f t="shared" si="59"/>
        <v>28</v>
      </c>
      <c r="AD126" s="574"/>
      <c r="AE126" s="188">
        <v>5</v>
      </c>
      <c r="AF126" s="188">
        <v>2938.3446900723211</v>
      </c>
      <c r="AG126" s="185">
        <f t="shared" si="60"/>
        <v>587.66893801446417</v>
      </c>
      <c r="AH126" s="182">
        <f t="shared" si="61"/>
        <v>28</v>
      </c>
      <c r="AI126" s="574"/>
      <c r="AJ126" s="188">
        <v>5</v>
      </c>
      <c r="AK126" s="188">
        <v>2937.0246900723209</v>
      </c>
      <c r="AL126" s="185">
        <f t="shared" si="62"/>
        <v>587.40493801446416</v>
      </c>
      <c r="AM126" s="182">
        <f t="shared" si="63"/>
        <v>28</v>
      </c>
      <c r="AN126" s="574"/>
      <c r="AO126" s="188">
        <v>5</v>
      </c>
      <c r="AP126" s="188">
        <v>2937.6846900723208</v>
      </c>
      <c r="AQ126" s="185">
        <f t="shared" si="64"/>
        <v>587.53693801446411</v>
      </c>
      <c r="AR126" s="182">
        <f t="shared" si="65"/>
        <v>28</v>
      </c>
      <c r="AS126" s="574"/>
      <c r="AT126" s="188">
        <v>5</v>
      </c>
      <c r="AU126" s="188">
        <v>2939.33469007232</v>
      </c>
      <c r="AV126" s="185">
        <f t="shared" si="66"/>
        <v>587.86693801446404</v>
      </c>
      <c r="AW126" s="182">
        <f t="shared" si="67"/>
        <v>27</v>
      </c>
      <c r="AX126" s="574"/>
    </row>
    <row r="127" spans="1:50" ht="14.25" customHeight="1">
      <c r="B127" s="575"/>
      <c r="C127" s="180">
        <v>5</v>
      </c>
      <c r="D127" s="183" t="s">
        <v>399</v>
      </c>
      <c r="E127" s="184">
        <v>3</v>
      </c>
      <c r="F127" s="180">
        <v>3600</v>
      </c>
      <c r="G127" s="185">
        <f t="shared" si="54"/>
        <v>1200</v>
      </c>
      <c r="H127" s="576"/>
      <c r="I127" s="186">
        <f t="shared" si="55"/>
        <v>3</v>
      </c>
      <c r="J127" s="186">
        <f t="shared" si="55"/>
        <v>3177.9916032820506</v>
      </c>
      <c r="K127" s="187">
        <f t="shared" si="55"/>
        <v>1059.3305344273504</v>
      </c>
      <c r="L127" s="577"/>
      <c r="M127" s="186">
        <f>RANK(K127, K$123:$K$157)</f>
        <v>5</v>
      </c>
      <c r="N127" s="588"/>
      <c r="O127" s="578"/>
      <c r="P127" s="188">
        <v>3</v>
      </c>
      <c r="Q127" s="188">
        <v>3173.2465909090893</v>
      </c>
      <c r="R127" s="185">
        <f t="shared" si="52"/>
        <v>1057.748863636363</v>
      </c>
      <c r="S127" s="182">
        <f t="shared" si="56"/>
        <v>7</v>
      </c>
      <c r="T127" s="574"/>
      <c r="U127" s="188">
        <v>3</v>
      </c>
      <c r="V127" s="188">
        <v>3173.2465909090888</v>
      </c>
      <c r="W127" s="185">
        <f t="shared" si="53"/>
        <v>1057.748863636363</v>
      </c>
      <c r="X127" s="182">
        <f t="shared" si="57"/>
        <v>7</v>
      </c>
      <c r="Y127" s="574"/>
      <c r="Z127" s="188">
        <v>3</v>
      </c>
      <c r="AA127" s="188">
        <v>3173.2465909090884</v>
      </c>
      <c r="AB127" s="185">
        <f t="shared" si="58"/>
        <v>1057.7488636363628</v>
      </c>
      <c r="AC127" s="182">
        <f t="shared" si="59"/>
        <v>7</v>
      </c>
      <c r="AD127" s="574"/>
      <c r="AE127" s="188">
        <v>3</v>
      </c>
      <c r="AF127" s="188">
        <v>3174.686590909088</v>
      </c>
      <c r="AG127" s="185">
        <f t="shared" si="60"/>
        <v>1058.2288636363626</v>
      </c>
      <c r="AH127" s="182">
        <f t="shared" si="61"/>
        <v>6</v>
      </c>
      <c r="AI127" s="574"/>
      <c r="AJ127" s="188">
        <v>3</v>
      </c>
      <c r="AK127" s="188">
        <v>3184.4382864460003</v>
      </c>
      <c r="AL127" s="185">
        <f t="shared" si="62"/>
        <v>1061.4794288153334</v>
      </c>
      <c r="AM127" s="182">
        <f t="shared" si="63"/>
        <v>4</v>
      </c>
      <c r="AN127" s="574"/>
      <c r="AO127" s="188">
        <v>3</v>
      </c>
      <c r="AP127" s="188">
        <v>3183.358286446</v>
      </c>
      <c r="AQ127" s="185">
        <f t="shared" si="64"/>
        <v>1061.1194288153333</v>
      </c>
      <c r="AR127" s="182">
        <f t="shared" si="65"/>
        <v>5</v>
      </c>
      <c r="AS127" s="574"/>
      <c r="AT127" s="188">
        <v>3</v>
      </c>
      <c r="AU127" s="188">
        <v>3183.7182864459996</v>
      </c>
      <c r="AV127" s="185">
        <f t="shared" si="66"/>
        <v>1061.2394288153332</v>
      </c>
      <c r="AW127" s="182">
        <f t="shared" si="67"/>
        <v>4</v>
      </c>
      <c r="AX127" s="574"/>
    </row>
    <row r="128" spans="1:50" ht="14.25" customHeight="1">
      <c r="B128" s="575"/>
      <c r="C128" s="180">
        <v>6</v>
      </c>
      <c r="D128" s="183" t="s">
        <v>341</v>
      </c>
      <c r="E128" s="184">
        <v>4</v>
      </c>
      <c r="F128" s="180">
        <v>3600</v>
      </c>
      <c r="G128" s="185">
        <f t="shared" si="54"/>
        <v>900</v>
      </c>
      <c r="H128" s="576"/>
      <c r="I128" s="186">
        <f t="shared" si="55"/>
        <v>4</v>
      </c>
      <c r="J128" s="186">
        <f t="shared" si="55"/>
        <v>3186.2571428571432</v>
      </c>
      <c r="K128" s="187">
        <f t="shared" si="55"/>
        <v>796.5642857142858</v>
      </c>
      <c r="L128" s="577"/>
      <c r="M128" s="186">
        <f>RANK(K128, K$123:$K$157)</f>
        <v>15</v>
      </c>
      <c r="N128" s="588"/>
      <c r="O128" s="578"/>
      <c r="P128" s="188">
        <v>4</v>
      </c>
      <c r="Q128" s="188">
        <v>3185.28</v>
      </c>
      <c r="R128" s="185">
        <f t="shared" si="52"/>
        <v>796.32</v>
      </c>
      <c r="S128" s="182">
        <f t="shared" si="56"/>
        <v>15</v>
      </c>
      <c r="T128" s="574"/>
      <c r="U128" s="188">
        <v>4</v>
      </c>
      <c r="V128" s="188">
        <v>3184.5600000000009</v>
      </c>
      <c r="W128" s="185">
        <f t="shared" si="53"/>
        <v>796.14000000000021</v>
      </c>
      <c r="X128" s="182">
        <f t="shared" si="57"/>
        <v>15</v>
      </c>
      <c r="Y128" s="574"/>
      <c r="Z128" s="188">
        <v>4</v>
      </c>
      <c r="AA128" s="188">
        <v>3185.6400000000008</v>
      </c>
      <c r="AB128" s="185">
        <f t="shared" si="58"/>
        <v>796.4100000000002</v>
      </c>
      <c r="AC128" s="182">
        <f t="shared" si="59"/>
        <v>15</v>
      </c>
      <c r="AD128" s="574"/>
      <c r="AE128" s="188">
        <v>4</v>
      </c>
      <c r="AF128" s="188">
        <v>3187.0800000000008</v>
      </c>
      <c r="AG128" s="185">
        <f t="shared" si="60"/>
        <v>796.77000000000021</v>
      </c>
      <c r="AH128" s="182">
        <f t="shared" si="61"/>
        <v>15</v>
      </c>
      <c r="AI128" s="574"/>
      <c r="AJ128" s="188">
        <v>4</v>
      </c>
      <c r="AK128" s="188">
        <v>3188.1600000000012</v>
      </c>
      <c r="AL128" s="185">
        <f t="shared" si="62"/>
        <v>797.0400000000003</v>
      </c>
      <c r="AM128" s="182">
        <f t="shared" si="63"/>
        <v>15</v>
      </c>
      <c r="AN128" s="574"/>
      <c r="AO128" s="188">
        <v>4</v>
      </c>
      <c r="AP128" s="188">
        <v>3186.7200000000012</v>
      </c>
      <c r="AQ128" s="185">
        <f t="shared" si="64"/>
        <v>796.68000000000029</v>
      </c>
      <c r="AR128" s="182">
        <f t="shared" si="65"/>
        <v>16</v>
      </c>
      <c r="AS128" s="574"/>
      <c r="AT128" s="188">
        <v>4</v>
      </c>
      <c r="AU128" s="188">
        <v>3186.3600000000015</v>
      </c>
      <c r="AV128" s="185">
        <f t="shared" si="66"/>
        <v>796.59000000000037</v>
      </c>
      <c r="AW128" s="182">
        <f t="shared" si="67"/>
        <v>16</v>
      </c>
      <c r="AX128" s="574"/>
    </row>
    <row r="129" spans="2:50" ht="14.25" customHeight="1">
      <c r="B129" s="575"/>
      <c r="C129" s="180">
        <v>7</v>
      </c>
      <c r="D129" s="183" t="s">
        <v>401</v>
      </c>
      <c r="E129" s="184">
        <v>3</v>
      </c>
      <c r="F129" s="180">
        <v>3600</v>
      </c>
      <c r="G129" s="185">
        <f t="shared" si="54"/>
        <v>1200</v>
      </c>
      <c r="H129" s="576"/>
      <c r="I129" s="186">
        <f t="shared" si="55"/>
        <v>3</v>
      </c>
      <c r="J129" s="186">
        <f t="shared" si="55"/>
        <v>3177.971291536122</v>
      </c>
      <c r="K129" s="187">
        <f t="shared" si="55"/>
        <v>1059.3237638453741</v>
      </c>
      <c r="L129" s="577"/>
      <c r="M129" s="186">
        <f>RANK(K129, K$123:$K$157)</f>
        <v>6</v>
      </c>
      <c r="N129" s="588"/>
      <c r="O129" s="578"/>
      <c r="P129" s="188">
        <v>3</v>
      </c>
      <c r="Q129" s="188">
        <v>3175.3503296703307</v>
      </c>
      <c r="R129" s="185">
        <f t="shared" si="52"/>
        <v>1058.4501098901103</v>
      </c>
      <c r="S129" s="182">
        <f t="shared" si="56"/>
        <v>5</v>
      </c>
      <c r="T129" s="574"/>
      <c r="U129" s="188">
        <v>3</v>
      </c>
      <c r="V129" s="188">
        <v>3174.9903296703314</v>
      </c>
      <c r="W129" s="185">
        <f t="shared" si="53"/>
        <v>1058.3301098901104</v>
      </c>
      <c r="X129" s="182">
        <f t="shared" si="57"/>
        <v>6</v>
      </c>
      <c r="Y129" s="574"/>
      <c r="Z129" s="188">
        <v>3</v>
      </c>
      <c r="AA129" s="188">
        <v>3173.5503296703314</v>
      </c>
      <c r="AB129" s="185">
        <f t="shared" si="58"/>
        <v>1057.8501098901104</v>
      </c>
      <c r="AC129" s="182">
        <f t="shared" si="59"/>
        <v>6</v>
      </c>
      <c r="AD129" s="574"/>
      <c r="AE129" s="188">
        <v>3</v>
      </c>
      <c r="AF129" s="188">
        <v>3172.470329670331</v>
      </c>
      <c r="AG129" s="185">
        <f t="shared" si="60"/>
        <v>1057.4901098901103</v>
      </c>
      <c r="AH129" s="182">
        <f t="shared" si="61"/>
        <v>7</v>
      </c>
      <c r="AI129" s="574"/>
      <c r="AJ129" s="188">
        <v>3</v>
      </c>
      <c r="AK129" s="188">
        <v>3183.0259073571769</v>
      </c>
      <c r="AL129" s="185">
        <f t="shared" si="62"/>
        <v>1061.0086357857256</v>
      </c>
      <c r="AM129" s="182">
        <f t="shared" si="63"/>
        <v>5</v>
      </c>
      <c r="AN129" s="574"/>
      <c r="AO129" s="188">
        <v>3</v>
      </c>
      <c r="AP129" s="188">
        <v>3183.7459073571767</v>
      </c>
      <c r="AQ129" s="185">
        <f t="shared" si="64"/>
        <v>1061.2486357857256</v>
      </c>
      <c r="AR129" s="182">
        <f t="shared" si="65"/>
        <v>3</v>
      </c>
      <c r="AS129" s="574"/>
      <c r="AT129" s="188">
        <v>3</v>
      </c>
      <c r="AU129" s="188">
        <v>3182.6659073571768</v>
      </c>
      <c r="AV129" s="185">
        <f t="shared" si="66"/>
        <v>1060.8886357857257</v>
      </c>
      <c r="AW129" s="182">
        <f t="shared" si="67"/>
        <v>5</v>
      </c>
      <c r="AX129" s="574"/>
    </row>
    <row r="130" spans="2:50" ht="14.25" customHeight="1">
      <c r="B130" s="575"/>
      <c r="C130" s="180">
        <v>8</v>
      </c>
      <c r="D130" s="183" t="s">
        <v>400</v>
      </c>
      <c r="E130" s="184">
        <v>5</v>
      </c>
      <c r="F130" s="180">
        <v>3600</v>
      </c>
      <c r="G130" s="185">
        <f t="shared" si="54"/>
        <v>720</v>
      </c>
      <c r="H130" s="576"/>
      <c r="I130" s="186">
        <f t="shared" si="55"/>
        <v>5</v>
      </c>
      <c r="J130" s="186">
        <f t="shared" si="55"/>
        <v>3205.6570776826111</v>
      </c>
      <c r="K130" s="187">
        <f t="shared" si="55"/>
        <v>641.13141553652224</v>
      </c>
      <c r="L130" s="577"/>
      <c r="M130" s="186">
        <f>RANK(K130, K$123:$K$157)</f>
        <v>19</v>
      </c>
      <c r="N130" s="588"/>
      <c r="O130" s="578"/>
      <c r="P130" s="188">
        <v>5</v>
      </c>
      <c r="Q130" s="188">
        <v>3217.7133753375306</v>
      </c>
      <c r="R130" s="185">
        <f t="shared" si="52"/>
        <v>643.54267506750614</v>
      </c>
      <c r="S130" s="182">
        <f t="shared" si="56"/>
        <v>19</v>
      </c>
      <c r="T130" s="574"/>
      <c r="U130" s="188">
        <v>5</v>
      </c>
      <c r="V130" s="188">
        <v>3216.9933753375308</v>
      </c>
      <c r="W130" s="185">
        <f t="shared" si="53"/>
        <v>643.39867506750613</v>
      </c>
      <c r="X130" s="182">
        <f t="shared" si="57"/>
        <v>19</v>
      </c>
      <c r="Y130" s="574"/>
      <c r="Z130" s="188">
        <v>5</v>
      </c>
      <c r="AA130" s="188">
        <v>3217.3533753375305</v>
      </c>
      <c r="AB130" s="185">
        <f t="shared" si="58"/>
        <v>643.47067506750614</v>
      </c>
      <c r="AC130" s="182">
        <f t="shared" si="59"/>
        <v>19</v>
      </c>
      <c r="AD130" s="574"/>
      <c r="AE130" s="188">
        <v>5</v>
      </c>
      <c r="AF130" s="188">
        <v>3216.6333753375307</v>
      </c>
      <c r="AG130" s="185">
        <f t="shared" si="60"/>
        <v>643.32667506750613</v>
      </c>
      <c r="AH130" s="182">
        <f t="shared" si="61"/>
        <v>19</v>
      </c>
      <c r="AI130" s="574"/>
      <c r="AJ130" s="188">
        <v>5</v>
      </c>
      <c r="AK130" s="188">
        <v>3190.6620141427179</v>
      </c>
      <c r="AL130" s="185">
        <f t="shared" si="62"/>
        <v>638.1324028285436</v>
      </c>
      <c r="AM130" s="182">
        <f t="shared" si="63"/>
        <v>20</v>
      </c>
      <c r="AN130" s="574"/>
      <c r="AO130" s="188">
        <v>5</v>
      </c>
      <c r="AP130" s="188">
        <v>3191.022014142718</v>
      </c>
      <c r="AQ130" s="185">
        <f t="shared" si="64"/>
        <v>638.20440282854361</v>
      </c>
      <c r="AR130" s="182">
        <f t="shared" si="65"/>
        <v>19</v>
      </c>
      <c r="AS130" s="574"/>
      <c r="AT130" s="188">
        <v>5</v>
      </c>
      <c r="AU130" s="188">
        <v>3189.2220141427179</v>
      </c>
      <c r="AV130" s="185">
        <f t="shared" si="66"/>
        <v>637.84440282854359</v>
      </c>
      <c r="AW130" s="182">
        <f t="shared" si="67"/>
        <v>20</v>
      </c>
      <c r="AX130" s="574"/>
    </row>
    <row r="131" spans="2:50" ht="14.25" customHeight="1">
      <c r="B131" s="575"/>
      <c r="C131" s="180">
        <v>9</v>
      </c>
      <c r="D131" s="183" t="s">
        <v>398</v>
      </c>
      <c r="E131" s="184">
        <v>5</v>
      </c>
      <c r="F131" s="180">
        <v>3600</v>
      </c>
      <c r="G131" s="185">
        <f t="shared" si="54"/>
        <v>720</v>
      </c>
      <c r="H131" s="576"/>
      <c r="I131" s="186">
        <f t="shared" si="55"/>
        <v>5</v>
      </c>
      <c r="J131" s="186">
        <f t="shared" si="55"/>
        <v>3200.2909036902906</v>
      </c>
      <c r="K131" s="187">
        <f t="shared" si="55"/>
        <v>640.05818073805801</v>
      </c>
      <c r="L131" s="577"/>
      <c r="M131" s="186">
        <f>RANK(K131, K$123:$K$157)</f>
        <v>21</v>
      </c>
      <c r="N131" s="588"/>
      <c r="O131" s="578"/>
      <c r="P131" s="188">
        <v>5</v>
      </c>
      <c r="Q131" s="188">
        <v>3209.035203413302</v>
      </c>
      <c r="R131" s="185">
        <f t="shared" si="52"/>
        <v>641.80704068266039</v>
      </c>
      <c r="S131" s="182">
        <f t="shared" si="56"/>
        <v>21</v>
      </c>
      <c r="T131" s="574"/>
      <c r="U131" s="188">
        <v>5</v>
      </c>
      <c r="V131" s="188">
        <v>3207.9552034133021</v>
      </c>
      <c r="W131" s="185">
        <f t="shared" si="53"/>
        <v>641.59104068266038</v>
      </c>
      <c r="X131" s="182">
        <f t="shared" si="57"/>
        <v>21</v>
      </c>
      <c r="Y131" s="574"/>
      <c r="Z131" s="188">
        <v>5</v>
      </c>
      <c r="AA131" s="188">
        <v>3208.3152034133013</v>
      </c>
      <c r="AB131" s="185">
        <f t="shared" si="58"/>
        <v>641.66304068266027</v>
      </c>
      <c r="AC131" s="182">
        <f t="shared" si="59"/>
        <v>22</v>
      </c>
      <c r="AD131" s="574"/>
      <c r="AE131" s="188">
        <v>5</v>
      </c>
      <c r="AF131" s="188">
        <v>3207.5952034133015</v>
      </c>
      <c r="AG131" s="185">
        <f t="shared" si="60"/>
        <v>641.51904068266026</v>
      </c>
      <c r="AH131" s="182">
        <f t="shared" si="61"/>
        <v>21</v>
      </c>
      <c r="AI131" s="574"/>
      <c r="AJ131" s="188">
        <v>5</v>
      </c>
      <c r="AK131" s="188">
        <v>3190.6718373929425</v>
      </c>
      <c r="AL131" s="185">
        <f t="shared" si="62"/>
        <v>638.1343674785885</v>
      </c>
      <c r="AM131" s="182">
        <f t="shared" si="63"/>
        <v>19</v>
      </c>
      <c r="AN131" s="574"/>
      <c r="AO131" s="188">
        <v>5</v>
      </c>
      <c r="AP131" s="188">
        <v>3189.5918373929426</v>
      </c>
      <c r="AQ131" s="185">
        <f t="shared" si="64"/>
        <v>637.91836747858849</v>
      </c>
      <c r="AR131" s="182">
        <f t="shared" si="65"/>
        <v>21</v>
      </c>
      <c r="AS131" s="574"/>
      <c r="AT131" s="188">
        <v>5</v>
      </c>
      <c r="AU131" s="188">
        <v>3188.8718373929428</v>
      </c>
      <c r="AV131" s="185">
        <f t="shared" si="66"/>
        <v>637.7743674785886</v>
      </c>
      <c r="AW131" s="182">
        <f t="shared" si="67"/>
        <v>21</v>
      </c>
      <c r="AX131" s="574"/>
    </row>
    <row r="132" spans="2:50" ht="14.25" customHeight="1">
      <c r="B132" s="575"/>
      <c r="C132" s="180">
        <v>10</v>
      </c>
      <c r="D132" s="183" t="s">
        <v>228</v>
      </c>
      <c r="E132" s="184">
        <v>3</v>
      </c>
      <c r="F132" s="180">
        <v>3000</v>
      </c>
      <c r="G132" s="185">
        <f t="shared" si="54"/>
        <v>1000</v>
      </c>
      <c r="H132" s="576"/>
      <c r="I132" s="186">
        <f t="shared" si="55"/>
        <v>3</v>
      </c>
      <c r="J132" s="186">
        <f t="shared" si="55"/>
        <v>2706.0558441558414</v>
      </c>
      <c r="K132" s="187">
        <f t="shared" si="55"/>
        <v>902.01861471861389</v>
      </c>
      <c r="L132" s="577"/>
      <c r="M132" s="186">
        <f>RANK(K132, K$123:$K$157)</f>
        <v>11</v>
      </c>
      <c r="N132" s="588"/>
      <c r="O132" s="578"/>
      <c r="P132" s="188">
        <v>3</v>
      </c>
      <c r="Q132" s="188">
        <v>2705.1987012986992</v>
      </c>
      <c r="R132" s="185">
        <f t="shared" si="52"/>
        <v>901.73290043289978</v>
      </c>
      <c r="S132" s="182">
        <f t="shared" si="56"/>
        <v>11</v>
      </c>
      <c r="T132" s="574"/>
      <c r="U132" s="188">
        <v>3</v>
      </c>
      <c r="V132" s="188">
        <v>2705.4987012986985</v>
      </c>
      <c r="W132" s="185">
        <f t="shared" si="53"/>
        <v>901.83290043289946</v>
      </c>
      <c r="X132" s="182">
        <f t="shared" si="57"/>
        <v>11</v>
      </c>
      <c r="Y132" s="574"/>
      <c r="Z132" s="188">
        <v>3</v>
      </c>
      <c r="AA132" s="188">
        <v>2706.6987012986983</v>
      </c>
      <c r="AB132" s="185">
        <f t="shared" si="58"/>
        <v>902.23290043289944</v>
      </c>
      <c r="AC132" s="182">
        <f t="shared" si="59"/>
        <v>11</v>
      </c>
      <c r="AD132" s="574"/>
      <c r="AE132" s="188">
        <v>3</v>
      </c>
      <c r="AF132" s="188">
        <v>2706.0987012986984</v>
      </c>
      <c r="AG132" s="185">
        <f t="shared" si="60"/>
        <v>902.03290043289951</v>
      </c>
      <c r="AH132" s="182">
        <f t="shared" si="61"/>
        <v>11</v>
      </c>
      <c r="AI132" s="574"/>
      <c r="AJ132" s="188">
        <v>3</v>
      </c>
      <c r="AK132" s="188">
        <v>2706.0987012986984</v>
      </c>
      <c r="AL132" s="185">
        <f t="shared" si="62"/>
        <v>902.03290043289951</v>
      </c>
      <c r="AM132" s="182">
        <f t="shared" si="63"/>
        <v>11</v>
      </c>
      <c r="AN132" s="574"/>
      <c r="AO132" s="188">
        <v>3</v>
      </c>
      <c r="AP132" s="188">
        <v>2706.098701298698</v>
      </c>
      <c r="AQ132" s="185">
        <f t="shared" si="64"/>
        <v>902.03290043289928</v>
      </c>
      <c r="AR132" s="182">
        <f t="shared" si="65"/>
        <v>12</v>
      </c>
      <c r="AS132" s="574"/>
      <c r="AT132" s="188">
        <v>3</v>
      </c>
      <c r="AU132" s="188">
        <v>2706.6987012986974</v>
      </c>
      <c r="AV132" s="185">
        <f t="shared" si="66"/>
        <v>902.2329004328991</v>
      </c>
      <c r="AW132" s="182">
        <f t="shared" si="67"/>
        <v>12</v>
      </c>
      <c r="AX132" s="574"/>
    </row>
    <row r="133" spans="2:50" ht="14.25" customHeight="1">
      <c r="B133" s="575"/>
      <c r="C133" s="180">
        <v>11</v>
      </c>
      <c r="D133" s="183" t="s">
        <v>471</v>
      </c>
      <c r="E133" s="184">
        <v>12</v>
      </c>
      <c r="F133" s="180">
        <v>3600</v>
      </c>
      <c r="G133" s="185">
        <f t="shared" si="54"/>
        <v>300</v>
      </c>
      <c r="H133" s="576"/>
      <c r="I133" s="186">
        <f t="shared" si="55"/>
        <v>12</v>
      </c>
      <c r="J133" s="186">
        <f t="shared" si="55"/>
        <v>3124.6261742305774</v>
      </c>
      <c r="K133" s="187">
        <f t="shared" si="55"/>
        <v>260.38551451921478</v>
      </c>
      <c r="L133" s="577"/>
      <c r="M133" s="186">
        <f>RANK(K133, K$123:$K$157)</f>
        <v>33</v>
      </c>
      <c r="N133" s="588"/>
      <c r="O133" s="578"/>
      <c r="P133" s="188">
        <v>12</v>
      </c>
      <c r="Q133" s="188">
        <v>3126.014745659148</v>
      </c>
      <c r="R133" s="185">
        <f t="shared" si="52"/>
        <v>260.50122880492899</v>
      </c>
      <c r="S133" s="182">
        <f t="shared" si="56"/>
        <v>32</v>
      </c>
      <c r="T133" s="574"/>
      <c r="U133" s="188">
        <v>12</v>
      </c>
      <c r="V133" s="188">
        <v>3124.574745659148</v>
      </c>
      <c r="W133" s="185">
        <f t="shared" si="53"/>
        <v>260.38122880492898</v>
      </c>
      <c r="X133" s="182">
        <f t="shared" si="57"/>
        <v>33</v>
      </c>
      <c r="Y133" s="574"/>
      <c r="Z133" s="188">
        <v>12</v>
      </c>
      <c r="AA133" s="188">
        <v>3123.4947456591485</v>
      </c>
      <c r="AB133" s="185">
        <f t="shared" si="58"/>
        <v>260.29122880492906</v>
      </c>
      <c r="AC133" s="182">
        <f t="shared" si="59"/>
        <v>32</v>
      </c>
      <c r="AD133" s="574"/>
      <c r="AE133" s="188">
        <v>12</v>
      </c>
      <c r="AF133" s="188">
        <v>3124.5747456591489</v>
      </c>
      <c r="AG133" s="185">
        <f t="shared" si="60"/>
        <v>260.38122880492909</v>
      </c>
      <c r="AH133" s="182">
        <f t="shared" si="61"/>
        <v>32</v>
      </c>
      <c r="AI133" s="574"/>
      <c r="AJ133" s="188">
        <v>12</v>
      </c>
      <c r="AK133" s="188">
        <v>3123.8547456591496</v>
      </c>
      <c r="AL133" s="185">
        <f t="shared" si="62"/>
        <v>260.32122880492915</v>
      </c>
      <c r="AM133" s="182">
        <f t="shared" si="63"/>
        <v>32</v>
      </c>
      <c r="AN133" s="574"/>
      <c r="AO133" s="188">
        <v>12</v>
      </c>
      <c r="AP133" s="188">
        <v>3125.6547456591497</v>
      </c>
      <c r="AQ133" s="185">
        <f t="shared" si="64"/>
        <v>260.47122880492913</v>
      </c>
      <c r="AR133" s="182">
        <f t="shared" si="65"/>
        <v>31</v>
      </c>
      <c r="AS133" s="574"/>
      <c r="AT133" s="188">
        <v>12</v>
      </c>
      <c r="AU133" s="188">
        <v>3124.2147456591501</v>
      </c>
      <c r="AV133" s="185">
        <f t="shared" si="66"/>
        <v>260.35122880492918</v>
      </c>
      <c r="AW133" s="182">
        <f t="shared" si="67"/>
        <v>32</v>
      </c>
      <c r="AX133" s="574"/>
    </row>
    <row r="134" spans="2:50" ht="14.25" customHeight="1">
      <c r="B134" s="575"/>
      <c r="C134" s="180">
        <v>12</v>
      </c>
      <c r="D134" s="183" t="s">
        <v>499</v>
      </c>
      <c r="E134" s="184">
        <v>3</v>
      </c>
      <c r="F134" s="180">
        <v>3300</v>
      </c>
      <c r="G134" s="185">
        <f t="shared" si="54"/>
        <v>1100</v>
      </c>
      <c r="H134" s="576"/>
      <c r="I134" s="186">
        <f t="shared" si="55"/>
        <v>3</v>
      </c>
      <c r="J134" s="186">
        <f t="shared" si="55"/>
        <v>2978.2309699411235</v>
      </c>
      <c r="K134" s="187">
        <f t="shared" si="55"/>
        <v>992.74365664704123</v>
      </c>
      <c r="L134" s="577"/>
      <c r="M134" s="186">
        <f>RANK(K134, K$123:$K$157)</f>
        <v>10</v>
      </c>
      <c r="N134" s="588"/>
      <c r="O134" s="578"/>
      <c r="P134" s="188">
        <v>3</v>
      </c>
      <c r="Q134" s="188">
        <v>2975.6381127982668</v>
      </c>
      <c r="R134" s="185">
        <f t="shared" si="52"/>
        <v>991.87937093275559</v>
      </c>
      <c r="S134" s="182">
        <f t="shared" si="56"/>
        <v>9</v>
      </c>
      <c r="T134" s="574"/>
      <c r="U134" s="188">
        <v>3</v>
      </c>
      <c r="V134" s="188">
        <v>2976.2981127982666</v>
      </c>
      <c r="W134" s="185">
        <f t="shared" si="53"/>
        <v>992.09937093275551</v>
      </c>
      <c r="X134" s="182">
        <f t="shared" si="57"/>
        <v>10</v>
      </c>
      <c r="Y134" s="574"/>
      <c r="Z134" s="188">
        <v>3</v>
      </c>
      <c r="AA134" s="188">
        <v>2977.9481127982663</v>
      </c>
      <c r="AB134" s="185">
        <f t="shared" si="58"/>
        <v>992.64937093275546</v>
      </c>
      <c r="AC134" s="182">
        <f t="shared" si="59"/>
        <v>10</v>
      </c>
      <c r="AD134" s="574"/>
      <c r="AE134" s="188">
        <v>3</v>
      </c>
      <c r="AF134" s="188">
        <v>2978.2781127982662</v>
      </c>
      <c r="AG134" s="185">
        <f t="shared" si="60"/>
        <v>992.75937093275536</v>
      </c>
      <c r="AH134" s="182">
        <f t="shared" si="61"/>
        <v>9</v>
      </c>
      <c r="AI134" s="574"/>
      <c r="AJ134" s="188">
        <v>3</v>
      </c>
      <c r="AK134" s="188">
        <v>2979.5981127982659</v>
      </c>
      <c r="AL134" s="185">
        <f t="shared" si="62"/>
        <v>993.1993709327553</v>
      </c>
      <c r="AM134" s="182">
        <f t="shared" si="63"/>
        <v>9</v>
      </c>
      <c r="AN134" s="574"/>
      <c r="AO134" s="188">
        <v>3</v>
      </c>
      <c r="AP134" s="188">
        <v>2979.2681127982655</v>
      </c>
      <c r="AQ134" s="185">
        <f t="shared" si="64"/>
        <v>993.08937093275517</v>
      </c>
      <c r="AR134" s="182">
        <f t="shared" si="65"/>
        <v>9</v>
      </c>
      <c r="AS134" s="574"/>
      <c r="AT134" s="188">
        <v>3</v>
      </c>
      <c r="AU134" s="188">
        <v>2980.5881127982648</v>
      </c>
      <c r="AV134" s="185">
        <f t="shared" si="66"/>
        <v>993.52937093275489</v>
      </c>
      <c r="AW134" s="182">
        <f t="shared" si="67"/>
        <v>9</v>
      </c>
      <c r="AX134" s="574"/>
    </row>
    <row r="135" spans="2:50" ht="14.25" customHeight="1">
      <c r="B135" s="575"/>
      <c r="C135" s="180">
        <v>13</v>
      </c>
      <c r="D135" s="183" t="s">
        <v>713</v>
      </c>
      <c r="E135" s="184">
        <v>5</v>
      </c>
      <c r="F135" s="180">
        <v>3600</v>
      </c>
      <c r="G135" s="185">
        <f t="shared" si="54"/>
        <v>720</v>
      </c>
      <c r="H135" s="576"/>
      <c r="I135" s="186">
        <f t="shared" si="55"/>
        <v>5</v>
      </c>
      <c r="J135" s="186">
        <f t="shared" si="55"/>
        <v>3184.6560533891998</v>
      </c>
      <c r="K135" s="187">
        <f t="shared" si="55"/>
        <v>636.93121067783989</v>
      </c>
      <c r="L135" s="577"/>
      <c r="M135" s="186">
        <f>RANK(K135, K$123:$K$157)</f>
        <v>23</v>
      </c>
      <c r="N135" s="588"/>
      <c r="O135" s="578"/>
      <c r="P135" s="188">
        <v>5</v>
      </c>
      <c r="Q135" s="188">
        <v>3183.5760533891998</v>
      </c>
      <c r="R135" s="185">
        <f t="shared" si="52"/>
        <v>636.71521067783999</v>
      </c>
      <c r="S135" s="182">
        <f t="shared" si="56"/>
        <v>23</v>
      </c>
      <c r="T135" s="574"/>
      <c r="U135" s="188">
        <v>5</v>
      </c>
      <c r="V135" s="188">
        <v>3183.5760533891998</v>
      </c>
      <c r="W135" s="185">
        <f t="shared" si="53"/>
        <v>636.71521067783999</v>
      </c>
      <c r="X135" s="182">
        <f t="shared" si="57"/>
        <v>23</v>
      </c>
      <c r="Y135" s="574"/>
      <c r="Z135" s="188">
        <v>5</v>
      </c>
      <c r="AA135" s="188">
        <v>3185.0160533891999</v>
      </c>
      <c r="AB135" s="185">
        <f t="shared" si="58"/>
        <v>637.00321067784</v>
      </c>
      <c r="AC135" s="182">
        <f t="shared" si="59"/>
        <v>23</v>
      </c>
      <c r="AD135" s="574"/>
      <c r="AE135" s="188">
        <v>5</v>
      </c>
      <c r="AF135" s="188">
        <v>3183.9360533892</v>
      </c>
      <c r="AG135" s="185">
        <f t="shared" si="60"/>
        <v>636.78721067783999</v>
      </c>
      <c r="AH135" s="182">
        <f t="shared" si="61"/>
        <v>23</v>
      </c>
      <c r="AI135" s="574"/>
      <c r="AJ135" s="188">
        <v>5</v>
      </c>
      <c r="AK135" s="188">
        <v>3184.2960533891996</v>
      </c>
      <c r="AL135" s="185">
        <f t="shared" si="62"/>
        <v>636.85921067783988</v>
      </c>
      <c r="AM135" s="182">
        <f t="shared" si="63"/>
        <v>24</v>
      </c>
      <c r="AN135" s="574"/>
      <c r="AO135" s="188">
        <v>5</v>
      </c>
      <c r="AP135" s="188">
        <v>3185.3760533891996</v>
      </c>
      <c r="AQ135" s="185">
        <f t="shared" si="64"/>
        <v>637.07521067783989</v>
      </c>
      <c r="AR135" s="182">
        <f t="shared" si="65"/>
        <v>24</v>
      </c>
      <c r="AS135" s="574"/>
      <c r="AT135" s="188">
        <v>5</v>
      </c>
      <c r="AU135" s="188">
        <v>3186.8160533891992</v>
      </c>
      <c r="AV135" s="185">
        <f t="shared" si="66"/>
        <v>637.36321067783979</v>
      </c>
      <c r="AW135" s="182">
        <f t="shared" si="67"/>
        <v>23</v>
      </c>
      <c r="AX135" s="574"/>
    </row>
    <row r="136" spans="2:50" ht="14.25" customHeight="1">
      <c r="B136" s="575"/>
      <c r="C136" s="180">
        <v>14</v>
      </c>
      <c r="D136" s="183" t="s">
        <v>753</v>
      </c>
      <c r="E136" s="184">
        <v>3</v>
      </c>
      <c r="F136" s="180">
        <v>3600</v>
      </c>
      <c r="G136" s="185">
        <f t="shared" si="54"/>
        <v>1200</v>
      </c>
      <c r="H136" s="576"/>
      <c r="I136" s="186">
        <f t="shared" si="55"/>
        <v>3</v>
      </c>
      <c r="J136" s="186">
        <f t="shared" si="55"/>
        <v>3104.7229897919992</v>
      </c>
      <c r="K136" s="187">
        <f t="shared" si="55"/>
        <v>1034.9076632639994</v>
      </c>
      <c r="L136" s="577"/>
      <c r="M136" s="186">
        <f>RANK(K136, K$123:$K$157)</f>
        <v>8</v>
      </c>
      <c r="N136" s="588"/>
      <c r="O136" s="578"/>
      <c r="P136" s="188">
        <v>3</v>
      </c>
      <c r="Q136" s="188">
        <v>2960.8205640753354</v>
      </c>
      <c r="R136" s="185">
        <f t="shared" si="52"/>
        <v>986.94018802511175</v>
      </c>
      <c r="S136" s="182">
        <f t="shared" si="56"/>
        <v>10</v>
      </c>
      <c r="T136" s="574"/>
      <c r="U136" s="188">
        <v>3</v>
      </c>
      <c r="V136" s="188">
        <v>3009.9384</v>
      </c>
      <c r="W136" s="185">
        <f t="shared" si="53"/>
        <v>1003.3128</v>
      </c>
      <c r="X136" s="182">
        <f t="shared" si="57"/>
        <v>8</v>
      </c>
      <c r="Y136" s="574"/>
      <c r="Z136" s="188">
        <v>3</v>
      </c>
      <c r="AA136" s="188">
        <v>3070.1371680000002</v>
      </c>
      <c r="AB136" s="185">
        <f t="shared" si="58"/>
        <v>1023.3790560000001</v>
      </c>
      <c r="AC136" s="182">
        <f t="shared" si="59"/>
        <v>8</v>
      </c>
      <c r="AD136" s="574"/>
      <c r="AE136" s="188">
        <v>3</v>
      </c>
      <c r="AF136" s="188">
        <v>3132.27431136</v>
      </c>
      <c r="AG136" s="185">
        <f t="shared" si="60"/>
        <v>1044.0914371199999</v>
      </c>
      <c r="AH136" s="182">
        <f t="shared" si="61"/>
        <v>8</v>
      </c>
      <c r="AI136" s="574"/>
      <c r="AJ136" s="188">
        <v>3</v>
      </c>
      <c r="AK136" s="188">
        <v>3186.8701617028855</v>
      </c>
      <c r="AL136" s="185">
        <f t="shared" si="62"/>
        <v>1062.2900539009618</v>
      </c>
      <c r="AM136" s="182">
        <f t="shared" si="63"/>
        <v>3</v>
      </c>
      <c r="AN136" s="574"/>
      <c r="AO136" s="188">
        <v>3</v>
      </c>
      <c r="AP136" s="188">
        <v>3186.1501617028853</v>
      </c>
      <c r="AQ136" s="185">
        <f t="shared" si="64"/>
        <v>1062.0500539009618</v>
      </c>
      <c r="AR136" s="182">
        <f t="shared" si="65"/>
        <v>2</v>
      </c>
      <c r="AS136" s="574"/>
      <c r="AT136" s="188">
        <v>3</v>
      </c>
      <c r="AU136" s="188">
        <v>3186.8701617028855</v>
      </c>
      <c r="AV136" s="185">
        <f t="shared" si="66"/>
        <v>1062.2900539009618</v>
      </c>
      <c r="AW136" s="182">
        <f t="shared" si="67"/>
        <v>2</v>
      </c>
      <c r="AX136" s="574"/>
    </row>
    <row r="137" spans="2:50" ht="14.25" customHeight="1">
      <c r="B137" s="575"/>
      <c r="C137" s="180">
        <v>15</v>
      </c>
      <c r="D137" s="183" t="s">
        <v>714</v>
      </c>
      <c r="E137" s="184">
        <v>5</v>
      </c>
      <c r="F137" s="180">
        <v>3600</v>
      </c>
      <c r="G137" s="185">
        <f t="shared" si="54"/>
        <v>720</v>
      </c>
      <c r="H137" s="576"/>
      <c r="I137" s="186">
        <f t="shared" si="55"/>
        <v>5</v>
      </c>
      <c r="J137" s="186">
        <f t="shared" si="55"/>
        <v>3179.2403995266691</v>
      </c>
      <c r="K137" s="187">
        <f t="shared" si="55"/>
        <v>635.84807990533398</v>
      </c>
      <c r="L137" s="577"/>
      <c r="M137" s="186">
        <f>RANK(K137, K$123:$K$157)</f>
        <v>24</v>
      </c>
      <c r="N137" s="588"/>
      <c r="O137" s="578"/>
      <c r="P137" s="188">
        <v>5</v>
      </c>
      <c r="Q137" s="188">
        <v>3177.697542383813</v>
      </c>
      <c r="R137" s="185">
        <f t="shared" si="52"/>
        <v>635.53950847676265</v>
      </c>
      <c r="S137" s="182">
        <f t="shared" si="56"/>
        <v>24</v>
      </c>
      <c r="T137" s="574"/>
      <c r="U137" s="188">
        <v>5</v>
      </c>
      <c r="V137" s="188">
        <v>3178.7775423838129</v>
      </c>
      <c r="W137" s="185">
        <f t="shared" si="53"/>
        <v>635.75550847676254</v>
      </c>
      <c r="X137" s="182">
        <f t="shared" si="57"/>
        <v>24</v>
      </c>
      <c r="Y137" s="574"/>
      <c r="Z137" s="188">
        <v>5</v>
      </c>
      <c r="AA137" s="188">
        <v>3179.4975423838123</v>
      </c>
      <c r="AB137" s="185">
        <f t="shared" si="58"/>
        <v>635.89950847676243</v>
      </c>
      <c r="AC137" s="182">
        <f t="shared" si="59"/>
        <v>24</v>
      </c>
      <c r="AD137" s="574"/>
      <c r="AE137" s="188">
        <v>5</v>
      </c>
      <c r="AF137" s="188">
        <v>3179.1375423838126</v>
      </c>
      <c r="AG137" s="185">
        <f t="shared" si="60"/>
        <v>635.82750847676255</v>
      </c>
      <c r="AH137" s="182">
        <f t="shared" si="61"/>
        <v>24</v>
      </c>
      <c r="AI137" s="574"/>
      <c r="AJ137" s="188">
        <v>5</v>
      </c>
      <c r="AK137" s="188">
        <v>3178.7775423838129</v>
      </c>
      <c r="AL137" s="185">
        <f t="shared" si="62"/>
        <v>635.75550847676254</v>
      </c>
      <c r="AM137" s="182">
        <f t="shared" si="63"/>
        <v>26</v>
      </c>
      <c r="AN137" s="574"/>
      <c r="AO137" s="188">
        <v>5</v>
      </c>
      <c r="AP137" s="188">
        <v>3179.857542383812</v>
      </c>
      <c r="AQ137" s="185">
        <f t="shared" si="64"/>
        <v>635.97150847676244</v>
      </c>
      <c r="AR137" s="182">
        <f t="shared" si="65"/>
        <v>26</v>
      </c>
      <c r="AS137" s="574"/>
      <c r="AT137" s="188">
        <v>5</v>
      </c>
      <c r="AU137" s="188">
        <v>3180.9375423838119</v>
      </c>
      <c r="AV137" s="185">
        <f t="shared" si="66"/>
        <v>636.18750847676233</v>
      </c>
      <c r="AW137" s="182">
        <f t="shared" si="67"/>
        <v>26</v>
      </c>
      <c r="AX137" s="574"/>
    </row>
    <row r="138" spans="2:50" ht="14.25" customHeight="1">
      <c r="B138" s="575"/>
      <c r="C138" s="180">
        <v>16</v>
      </c>
      <c r="D138" s="183" t="s">
        <v>412</v>
      </c>
      <c r="E138" s="184">
        <v>5</v>
      </c>
      <c r="F138" s="180">
        <v>3600</v>
      </c>
      <c r="G138" s="185">
        <f t="shared" si="54"/>
        <v>720</v>
      </c>
      <c r="H138" s="576"/>
      <c r="I138" s="186">
        <f t="shared" si="55"/>
        <v>5</v>
      </c>
      <c r="J138" s="186">
        <f t="shared" si="55"/>
        <v>3177.4766496369471</v>
      </c>
      <c r="K138" s="187">
        <f t="shared" si="55"/>
        <v>635.49532992738943</v>
      </c>
      <c r="L138" s="577"/>
      <c r="M138" s="186">
        <f>RANK(K138, K$123:$K$157)</f>
        <v>25</v>
      </c>
      <c r="N138" s="588"/>
      <c r="O138" s="578"/>
      <c r="P138" s="188">
        <v>5</v>
      </c>
      <c r="Q138" s="188">
        <v>3167.9431015247255</v>
      </c>
      <c r="R138" s="185">
        <f t="shared" si="52"/>
        <v>633.58862030494515</v>
      </c>
      <c r="S138" s="182">
        <f t="shared" si="56"/>
        <v>26</v>
      </c>
      <c r="T138" s="574"/>
      <c r="U138" s="188">
        <v>5</v>
      </c>
      <c r="V138" s="188">
        <v>3169.383101524726</v>
      </c>
      <c r="W138" s="185">
        <f t="shared" si="53"/>
        <v>633.87662030494516</v>
      </c>
      <c r="X138" s="182">
        <f t="shared" si="57"/>
        <v>25</v>
      </c>
      <c r="Y138" s="574"/>
      <c r="Z138" s="188">
        <v>5</v>
      </c>
      <c r="AA138" s="188">
        <v>3169.0231015247264</v>
      </c>
      <c r="AB138" s="185">
        <f t="shared" si="58"/>
        <v>633.80462030494527</v>
      </c>
      <c r="AC138" s="182">
        <f t="shared" si="59"/>
        <v>25</v>
      </c>
      <c r="AD138" s="574"/>
      <c r="AE138" s="188">
        <v>5</v>
      </c>
      <c r="AF138" s="188">
        <v>3169.7431015247266</v>
      </c>
      <c r="AG138" s="185">
        <f t="shared" si="60"/>
        <v>633.94862030494528</v>
      </c>
      <c r="AH138" s="182">
        <f t="shared" si="61"/>
        <v>25</v>
      </c>
      <c r="AI138" s="574"/>
      <c r="AJ138" s="188">
        <v>5</v>
      </c>
      <c r="AK138" s="188">
        <v>3184.988346616813</v>
      </c>
      <c r="AL138" s="185">
        <f t="shared" si="62"/>
        <v>636.99766932336263</v>
      </c>
      <c r="AM138" s="182">
        <f t="shared" si="63"/>
        <v>23</v>
      </c>
      <c r="AN138" s="574"/>
      <c r="AO138" s="188">
        <v>5</v>
      </c>
      <c r="AP138" s="188">
        <v>3190.2678973714555</v>
      </c>
      <c r="AQ138" s="185">
        <f t="shared" si="64"/>
        <v>638.05357947429115</v>
      </c>
      <c r="AR138" s="182">
        <f t="shared" si="65"/>
        <v>20</v>
      </c>
      <c r="AS138" s="574"/>
      <c r="AT138" s="188">
        <v>5</v>
      </c>
      <c r="AU138" s="188">
        <v>3190.9878973714549</v>
      </c>
      <c r="AV138" s="185">
        <f t="shared" si="66"/>
        <v>638.19757947429093</v>
      </c>
      <c r="AW138" s="182">
        <f t="shared" si="67"/>
        <v>19</v>
      </c>
      <c r="AX138" s="574"/>
    </row>
    <row r="139" spans="2:50" ht="14.25" customHeight="1">
      <c r="B139" s="575"/>
      <c r="C139" s="180">
        <v>17</v>
      </c>
      <c r="D139" s="183" t="s">
        <v>411</v>
      </c>
      <c r="E139" s="184">
        <v>3</v>
      </c>
      <c r="F139" s="180">
        <v>3600</v>
      </c>
      <c r="G139" s="185">
        <f t="shared" si="54"/>
        <v>1200</v>
      </c>
      <c r="H139" s="576"/>
      <c r="I139" s="186">
        <f t="shared" si="55"/>
        <v>3</v>
      </c>
      <c r="J139" s="186">
        <f t="shared" si="55"/>
        <v>3181.307478436242</v>
      </c>
      <c r="K139" s="187">
        <f t="shared" si="55"/>
        <v>1060.435826145414</v>
      </c>
      <c r="L139" s="577"/>
      <c r="M139" s="186">
        <f>RANK(K139, K$123:$K$157)</f>
        <v>3</v>
      </c>
      <c r="N139" s="588"/>
      <c r="O139" s="578"/>
      <c r="P139" s="188">
        <v>3</v>
      </c>
      <c r="Q139" s="188">
        <v>3180.9469194312842</v>
      </c>
      <c r="R139" s="185">
        <f t="shared" si="52"/>
        <v>1060.3156398104281</v>
      </c>
      <c r="S139" s="182">
        <f t="shared" si="56"/>
        <v>1</v>
      </c>
      <c r="T139" s="574"/>
      <c r="U139" s="188">
        <v>3</v>
      </c>
      <c r="V139" s="188">
        <v>3180.2269194312848</v>
      </c>
      <c r="W139" s="185">
        <f t="shared" si="53"/>
        <v>1060.0756398104284</v>
      </c>
      <c r="X139" s="182">
        <f t="shared" si="57"/>
        <v>1</v>
      </c>
      <c r="Y139" s="574"/>
      <c r="Z139" s="188">
        <v>3</v>
      </c>
      <c r="AA139" s="188">
        <v>3180.2269194312848</v>
      </c>
      <c r="AB139" s="185">
        <f t="shared" si="58"/>
        <v>1060.0756398104284</v>
      </c>
      <c r="AC139" s="182">
        <f t="shared" si="59"/>
        <v>2</v>
      </c>
      <c r="AD139" s="574"/>
      <c r="AE139" s="188">
        <v>3</v>
      </c>
      <c r="AF139" s="188">
        <v>3179.506919431285</v>
      </c>
      <c r="AG139" s="185">
        <f t="shared" si="60"/>
        <v>1059.8356398104283</v>
      </c>
      <c r="AH139" s="182">
        <f t="shared" si="61"/>
        <v>2</v>
      </c>
      <c r="AI139" s="574"/>
      <c r="AJ139" s="188">
        <v>3</v>
      </c>
      <c r="AK139" s="188">
        <v>3180.5157020382212</v>
      </c>
      <c r="AL139" s="185">
        <f t="shared" si="62"/>
        <v>1060.1719006794071</v>
      </c>
      <c r="AM139" s="182">
        <f t="shared" si="63"/>
        <v>7</v>
      </c>
      <c r="AN139" s="574"/>
      <c r="AO139" s="188">
        <v>3</v>
      </c>
      <c r="AP139" s="188">
        <v>3183.3244846451671</v>
      </c>
      <c r="AQ139" s="185">
        <f t="shared" si="64"/>
        <v>1061.108161548389</v>
      </c>
      <c r="AR139" s="182">
        <f t="shared" si="65"/>
        <v>6</v>
      </c>
      <c r="AS139" s="574"/>
      <c r="AT139" s="188">
        <v>3</v>
      </c>
      <c r="AU139" s="188">
        <v>3184.4044846451661</v>
      </c>
      <c r="AV139" s="185">
        <f t="shared" si="66"/>
        <v>1061.4681615483887</v>
      </c>
      <c r="AW139" s="182">
        <f t="shared" si="67"/>
        <v>3</v>
      </c>
      <c r="AX139" s="574"/>
    </row>
    <row r="140" spans="2:50" ht="14.25" customHeight="1">
      <c r="B140" s="575"/>
      <c r="C140" s="180">
        <v>18</v>
      </c>
      <c r="D140" s="183" t="s">
        <v>413</v>
      </c>
      <c r="E140" s="184">
        <v>4</v>
      </c>
      <c r="F140" s="180">
        <v>3600</v>
      </c>
      <c r="G140" s="185">
        <f t="shared" si="54"/>
        <v>900</v>
      </c>
      <c r="H140" s="576"/>
      <c r="I140" s="186">
        <f t="shared" si="55"/>
        <v>4</v>
      </c>
      <c r="J140" s="186">
        <f t="shared" si="55"/>
        <v>3183.8360312115569</v>
      </c>
      <c r="K140" s="187">
        <f t="shared" si="55"/>
        <v>795.95900780288923</v>
      </c>
      <c r="L140" s="577"/>
      <c r="M140" s="186">
        <f>RANK(K140, K$123:$K$157)</f>
        <v>16</v>
      </c>
      <c r="N140" s="588"/>
      <c r="O140" s="578"/>
      <c r="P140" s="188">
        <v>4</v>
      </c>
      <c r="Q140" s="188">
        <v>3180.8913294797785</v>
      </c>
      <c r="R140" s="185">
        <f t="shared" si="52"/>
        <v>795.22283236994463</v>
      </c>
      <c r="S140" s="182">
        <f t="shared" si="56"/>
        <v>16</v>
      </c>
      <c r="T140" s="574"/>
      <c r="U140" s="188">
        <v>4</v>
      </c>
      <c r="V140" s="188">
        <v>3180.8913294797785</v>
      </c>
      <c r="W140" s="185">
        <f t="shared" si="53"/>
        <v>795.22283236994463</v>
      </c>
      <c r="X140" s="182">
        <f t="shared" si="57"/>
        <v>16</v>
      </c>
      <c r="Y140" s="574"/>
      <c r="Z140" s="188">
        <v>4</v>
      </c>
      <c r="AA140" s="188">
        <v>3181.2513294797782</v>
      </c>
      <c r="AB140" s="185">
        <f t="shared" si="58"/>
        <v>795.31283236994454</v>
      </c>
      <c r="AC140" s="182">
        <f t="shared" si="59"/>
        <v>16</v>
      </c>
      <c r="AD140" s="574"/>
      <c r="AE140" s="188">
        <v>4</v>
      </c>
      <c r="AF140" s="188">
        <v>3182.3313294797786</v>
      </c>
      <c r="AG140" s="185">
        <f t="shared" si="60"/>
        <v>795.58283236994464</v>
      </c>
      <c r="AH140" s="182">
        <f t="shared" si="61"/>
        <v>16</v>
      </c>
      <c r="AI140" s="574"/>
      <c r="AJ140" s="188">
        <v>4</v>
      </c>
      <c r="AK140" s="188">
        <v>3185.373911904268</v>
      </c>
      <c r="AL140" s="185">
        <f t="shared" si="62"/>
        <v>796.34347797606699</v>
      </c>
      <c r="AM140" s="182">
        <f t="shared" si="63"/>
        <v>16</v>
      </c>
      <c r="AN140" s="574"/>
      <c r="AO140" s="188">
        <v>4</v>
      </c>
      <c r="AP140" s="188">
        <v>3187.336494328757</v>
      </c>
      <c r="AQ140" s="185">
        <f t="shared" si="64"/>
        <v>796.83412358218925</v>
      </c>
      <c r="AR140" s="182">
        <f t="shared" si="65"/>
        <v>15</v>
      </c>
      <c r="AS140" s="574"/>
      <c r="AT140" s="188">
        <v>4</v>
      </c>
      <c r="AU140" s="188">
        <v>3188.7764943287575</v>
      </c>
      <c r="AV140" s="185">
        <f t="shared" si="66"/>
        <v>797.19412358218938</v>
      </c>
      <c r="AW140" s="182">
        <f t="shared" si="67"/>
        <v>15</v>
      </c>
      <c r="AX140" s="574"/>
    </row>
    <row r="141" spans="2:50" ht="14.25" customHeight="1">
      <c r="B141" s="575"/>
      <c r="C141" s="180">
        <v>19</v>
      </c>
      <c r="D141" s="183" t="s">
        <v>346</v>
      </c>
      <c r="E141" s="184">
        <v>5</v>
      </c>
      <c r="F141" s="180">
        <v>3300</v>
      </c>
      <c r="G141" s="185">
        <f t="shared" si="54"/>
        <v>660</v>
      </c>
      <c r="H141" s="576"/>
      <c r="I141" s="186">
        <f t="shared" si="55"/>
        <v>5</v>
      </c>
      <c r="J141" s="186">
        <f t="shared" si="55"/>
        <v>2940.2231092437009</v>
      </c>
      <c r="K141" s="187">
        <f t="shared" si="55"/>
        <v>588.04462184874023</v>
      </c>
      <c r="L141" s="577"/>
      <c r="M141" s="186">
        <f>RANK(K141, K$123:$K$157)</f>
        <v>27</v>
      </c>
      <c r="N141" s="588"/>
      <c r="O141" s="578"/>
      <c r="P141" s="188">
        <v>5</v>
      </c>
      <c r="Q141" s="188">
        <v>2943.0988235294149</v>
      </c>
      <c r="R141" s="185">
        <f t="shared" si="52"/>
        <v>588.61976470588297</v>
      </c>
      <c r="S141" s="182">
        <f t="shared" si="56"/>
        <v>27</v>
      </c>
      <c r="T141" s="574"/>
      <c r="U141" s="188">
        <v>5</v>
      </c>
      <c r="V141" s="188">
        <v>2941.4488235294152</v>
      </c>
      <c r="W141" s="185">
        <f t="shared" si="53"/>
        <v>588.28976470588304</v>
      </c>
      <c r="X141" s="182">
        <f t="shared" si="57"/>
        <v>27</v>
      </c>
      <c r="Y141" s="574"/>
      <c r="Z141" s="188">
        <v>5</v>
      </c>
      <c r="AA141" s="188">
        <v>2941.4488235294152</v>
      </c>
      <c r="AB141" s="185">
        <f t="shared" si="58"/>
        <v>588.28976470588304</v>
      </c>
      <c r="AC141" s="182">
        <f t="shared" si="59"/>
        <v>27</v>
      </c>
      <c r="AD141" s="574"/>
      <c r="AE141" s="188">
        <v>5</v>
      </c>
      <c r="AF141" s="188">
        <v>2940.128823529416</v>
      </c>
      <c r="AG141" s="185">
        <f t="shared" si="60"/>
        <v>588.02576470588315</v>
      </c>
      <c r="AH141" s="182">
        <f t="shared" si="61"/>
        <v>27</v>
      </c>
      <c r="AI141" s="574"/>
      <c r="AJ141" s="188">
        <v>5</v>
      </c>
      <c r="AK141" s="188">
        <v>2939.4688235294161</v>
      </c>
      <c r="AL141" s="185">
        <f t="shared" si="62"/>
        <v>587.8937647058832</v>
      </c>
      <c r="AM141" s="182">
        <f t="shared" si="63"/>
        <v>27</v>
      </c>
      <c r="AN141" s="574"/>
      <c r="AO141" s="188">
        <v>5</v>
      </c>
      <c r="AP141" s="188">
        <v>2938.1488235294159</v>
      </c>
      <c r="AQ141" s="185">
        <f t="shared" si="64"/>
        <v>587.62976470588319</v>
      </c>
      <c r="AR141" s="182">
        <f t="shared" si="65"/>
        <v>27</v>
      </c>
      <c r="AS141" s="574"/>
      <c r="AT141" s="188">
        <v>5</v>
      </c>
      <c r="AU141" s="188">
        <v>2937.8188235294156</v>
      </c>
      <c r="AV141" s="185">
        <f t="shared" si="66"/>
        <v>587.56376470588316</v>
      </c>
      <c r="AW141" s="182">
        <f t="shared" si="67"/>
        <v>28</v>
      </c>
      <c r="AX141" s="574"/>
    </row>
    <row r="142" spans="2:50" ht="14.25" customHeight="1">
      <c r="B142" s="575"/>
      <c r="C142" s="180">
        <v>20</v>
      </c>
      <c r="D142" s="183" t="s">
        <v>406</v>
      </c>
      <c r="E142" s="184">
        <v>3</v>
      </c>
      <c r="F142" s="180">
        <v>3600</v>
      </c>
      <c r="G142" s="185">
        <f t="shared" si="54"/>
        <v>1200</v>
      </c>
      <c r="H142" s="576"/>
      <c r="I142" s="186">
        <f t="shared" si="55"/>
        <v>3</v>
      </c>
      <c r="J142" s="186">
        <f t="shared" si="55"/>
        <v>3177.8392899408304</v>
      </c>
      <c r="K142" s="187">
        <f t="shared" si="55"/>
        <v>1059.2797633136099</v>
      </c>
      <c r="L142" s="577"/>
      <c r="M142" s="186">
        <f>RANK(K142, K$123:$K$157)</f>
        <v>7</v>
      </c>
      <c r="N142" s="588"/>
      <c r="O142" s="578"/>
      <c r="P142" s="188">
        <v>3</v>
      </c>
      <c r="Q142" s="188">
        <v>3176.810718512259</v>
      </c>
      <c r="R142" s="185">
        <f t="shared" si="52"/>
        <v>1058.936906170753</v>
      </c>
      <c r="S142" s="182">
        <f t="shared" si="56"/>
        <v>3</v>
      </c>
      <c r="T142" s="574"/>
      <c r="U142" s="188">
        <v>3</v>
      </c>
      <c r="V142" s="188">
        <v>3178.2507185122595</v>
      </c>
      <c r="W142" s="185">
        <f t="shared" si="53"/>
        <v>1059.4169061707532</v>
      </c>
      <c r="X142" s="182">
        <f t="shared" si="57"/>
        <v>3</v>
      </c>
      <c r="Y142" s="574"/>
      <c r="Z142" s="188">
        <v>3</v>
      </c>
      <c r="AA142" s="188">
        <v>3176.810718512259</v>
      </c>
      <c r="AB142" s="185">
        <f t="shared" si="58"/>
        <v>1058.936906170753</v>
      </c>
      <c r="AC142" s="182">
        <f t="shared" si="59"/>
        <v>3</v>
      </c>
      <c r="AD142" s="574"/>
      <c r="AE142" s="188">
        <v>3</v>
      </c>
      <c r="AF142" s="188">
        <v>3177.8907185122589</v>
      </c>
      <c r="AG142" s="185">
        <f t="shared" si="60"/>
        <v>1059.2969061707529</v>
      </c>
      <c r="AH142" s="182">
        <f t="shared" si="61"/>
        <v>3</v>
      </c>
      <c r="AI142" s="574"/>
      <c r="AJ142" s="188">
        <v>3</v>
      </c>
      <c r="AK142" s="188">
        <v>3177.8907185122584</v>
      </c>
      <c r="AL142" s="185">
        <f t="shared" si="62"/>
        <v>1059.2969061707529</v>
      </c>
      <c r="AM142" s="182">
        <f t="shared" si="63"/>
        <v>8</v>
      </c>
      <c r="AN142" s="574"/>
      <c r="AO142" s="188">
        <v>3</v>
      </c>
      <c r="AP142" s="188">
        <v>3178.6107185122582</v>
      </c>
      <c r="AQ142" s="185">
        <f t="shared" si="64"/>
        <v>1059.5369061707527</v>
      </c>
      <c r="AR142" s="182">
        <f t="shared" si="65"/>
        <v>8</v>
      </c>
      <c r="AS142" s="574"/>
      <c r="AT142" s="188">
        <v>3</v>
      </c>
      <c r="AU142" s="188">
        <v>3178.6107185122582</v>
      </c>
      <c r="AV142" s="185">
        <f t="shared" si="66"/>
        <v>1059.5369061707527</v>
      </c>
      <c r="AW142" s="182">
        <f t="shared" si="67"/>
        <v>8</v>
      </c>
      <c r="AX142" s="574"/>
    </row>
    <row r="143" spans="2:50" ht="14.25" customHeight="1">
      <c r="B143" s="575"/>
      <c r="C143" s="180">
        <v>21</v>
      </c>
      <c r="D143" s="183" t="s">
        <v>651</v>
      </c>
      <c r="E143" s="184">
        <v>4</v>
      </c>
      <c r="F143" s="180">
        <v>3600</v>
      </c>
      <c r="G143" s="185">
        <f t="shared" si="54"/>
        <v>900</v>
      </c>
      <c r="H143" s="576"/>
      <c r="I143" s="186">
        <f t="shared" si="55"/>
        <v>4</v>
      </c>
      <c r="J143" s="186">
        <f t="shared" si="55"/>
        <v>3191.0914285714275</v>
      </c>
      <c r="K143" s="187">
        <f t="shared" si="55"/>
        <v>797.77285714285688</v>
      </c>
      <c r="L143" s="577"/>
      <c r="M143" s="186">
        <f>RANK(K143, K$123:$K$157)</f>
        <v>14</v>
      </c>
      <c r="N143" s="588"/>
      <c r="O143" s="578"/>
      <c r="P143" s="188">
        <v>4</v>
      </c>
      <c r="Q143" s="188">
        <v>3189.2399999999989</v>
      </c>
      <c r="R143" s="185">
        <f t="shared" si="52"/>
        <v>797.30999999999972</v>
      </c>
      <c r="S143" s="182">
        <f t="shared" si="56"/>
        <v>14</v>
      </c>
      <c r="T143" s="574"/>
      <c r="U143" s="188">
        <v>4</v>
      </c>
      <c r="V143" s="188">
        <v>3189.9599999999991</v>
      </c>
      <c r="W143" s="185">
        <f t="shared" si="53"/>
        <v>797.48999999999978</v>
      </c>
      <c r="X143" s="182">
        <f t="shared" si="57"/>
        <v>14</v>
      </c>
      <c r="Y143" s="574"/>
      <c r="Z143" s="188">
        <v>4</v>
      </c>
      <c r="AA143" s="188">
        <v>3190.6799999999989</v>
      </c>
      <c r="AB143" s="185">
        <f t="shared" si="58"/>
        <v>797.66999999999973</v>
      </c>
      <c r="AC143" s="182">
        <f t="shared" si="59"/>
        <v>14</v>
      </c>
      <c r="AD143" s="574"/>
      <c r="AE143" s="188">
        <v>4</v>
      </c>
      <c r="AF143" s="188">
        <v>3191.3999999999996</v>
      </c>
      <c r="AG143" s="185">
        <f t="shared" si="60"/>
        <v>797.84999999999991</v>
      </c>
      <c r="AH143" s="182">
        <f t="shared" si="61"/>
        <v>14</v>
      </c>
      <c r="AI143" s="574"/>
      <c r="AJ143" s="188">
        <v>4</v>
      </c>
      <c r="AK143" s="188">
        <v>3192.8399999999992</v>
      </c>
      <c r="AL143" s="185">
        <f t="shared" si="62"/>
        <v>798.20999999999981</v>
      </c>
      <c r="AM143" s="182">
        <f t="shared" si="63"/>
        <v>14</v>
      </c>
      <c r="AN143" s="574"/>
      <c r="AO143" s="188">
        <v>4</v>
      </c>
      <c r="AP143" s="188">
        <v>3192.4799999999991</v>
      </c>
      <c r="AQ143" s="185">
        <f t="shared" si="64"/>
        <v>798.11999999999978</v>
      </c>
      <c r="AR143" s="182">
        <f t="shared" si="65"/>
        <v>14</v>
      </c>
      <c r="AS143" s="574"/>
      <c r="AT143" s="188">
        <v>4</v>
      </c>
      <c r="AU143" s="188">
        <v>3191.0399999999991</v>
      </c>
      <c r="AV143" s="185">
        <f t="shared" si="66"/>
        <v>797.75999999999976</v>
      </c>
      <c r="AW143" s="182">
        <f t="shared" si="67"/>
        <v>14</v>
      </c>
      <c r="AX143" s="574"/>
    </row>
    <row r="144" spans="2:50" ht="14.25" customHeight="1">
      <c r="B144" s="575"/>
      <c r="C144" s="180">
        <v>22</v>
      </c>
      <c r="D144" s="183" t="s">
        <v>410</v>
      </c>
      <c r="E144" s="184">
        <v>3</v>
      </c>
      <c r="F144" s="180">
        <v>3600</v>
      </c>
      <c r="G144" s="185">
        <f>F144/E144</f>
        <v>1200</v>
      </c>
      <c r="H144" s="576"/>
      <c r="I144" s="186">
        <f t="shared" si="55"/>
        <v>3</v>
      </c>
      <c r="J144" s="186">
        <f t="shared" si="55"/>
        <v>3181.3188975386706</v>
      </c>
      <c r="K144" s="187">
        <f t="shared" si="55"/>
        <v>1060.4396325128905</v>
      </c>
      <c r="L144" s="577"/>
      <c r="M144" s="186">
        <f>RANK(K144, K$123:$K$157)</f>
        <v>2</v>
      </c>
      <c r="N144" s="588"/>
      <c r="O144" s="578"/>
      <c r="P144" s="188">
        <v>3</v>
      </c>
      <c r="Q144" s="188">
        <v>3179.4831732776738</v>
      </c>
      <c r="R144" s="185">
        <f t="shared" si="52"/>
        <v>1059.8277244258913</v>
      </c>
      <c r="S144" s="182">
        <f t="shared" si="56"/>
        <v>2</v>
      </c>
      <c r="T144" s="574"/>
      <c r="U144" s="188">
        <v>3</v>
      </c>
      <c r="V144" s="188">
        <v>3179.8431732776735</v>
      </c>
      <c r="W144" s="185">
        <f t="shared" si="53"/>
        <v>1059.9477244258912</v>
      </c>
      <c r="X144" s="182">
        <f t="shared" si="57"/>
        <v>2</v>
      </c>
      <c r="Y144" s="574"/>
      <c r="Z144" s="188">
        <v>3</v>
      </c>
      <c r="AA144" s="188">
        <v>3181.2831732776735</v>
      </c>
      <c r="AB144" s="185">
        <f t="shared" si="58"/>
        <v>1060.4277244258913</v>
      </c>
      <c r="AC144" s="182">
        <f t="shared" si="59"/>
        <v>1</v>
      </c>
      <c r="AD144" s="574"/>
      <c r="AE144" s="188">
        <v>3</v>
      </c>
      <c r="AF144" s="188">
        <v>3180.5631732776737</v>
      </c>
      <c r="AG144" s="185">
        <f t="shared" si="60"/>
        <v>1060.1877244258912</v>
      </c>
      <c r="AH144" s="182">
        <f t="shared" si="61"/>
        <v>1</v>
      </c>
      <c r="AI144" s="574"/>
      <c r="AJ144" s="188">
        <v>3</v>
      </c>
      <c r="AK144" s="188">
        <v>3187.6532431046544</v>
      </c>
      <c r="AL144" s="185">
        <f t="shared" si="62"/>
        <v>1062.5510810348849</v>
      </c>
      <c r="AM144" s="182">
        <f t="shared" si="63"/>
        <v>2</v>
      </c>
      <c r="AN144" s="574"/>
      <c r="AO144" s="188">
        <v>3</v>
      </c>
      <c r="AP144" s="188">
        <v>3180.5631732776728</v>
      </c>
      <c r="AQ144" s="185">
        <f t="shared" si="64"/>
        <v>1060.187724425891</v>
      </c>
      <c r="AR144" s="182">
        <f t="shared" si="65"/>
        <v>7</v>
      </c>
      <c r="AS144" s="574"/>
      <c r="AT144" s="188">
        <v>3</v>
      </c>
      <c r="AU144" s="188">
        <v>3179.8431732776735</v>
      </c>
      <c r="AV144" s="185">
        <f t="shared" si="66"/>
        <v>1059.9477244258912</v>
      </c>
      <c r="AW144" s="182">
        <f t="shared" si="67"/>
        <v>7</v>
      </c>
      <c r="AX144" s="574"/>
    </row>
    <row r="145" spans="2:50" ht="14.25" customHeight="1">
      <c r="B145" s="575"/>
      <c r="C145" s="180">
        <v>23</v>
      </c>
      <c r="D145" s="183" t="s">
        <v>409</v>
      </c>
      <c r="E145" s="184">
        <v>5</v>
      </c>
      <c r="F145" s="180">
        <v>3600</v>
      </c>
      <c r="G145" s="185">
        <f t="shared" ref="G145:G156" si="68">F145/E145</f>
        <v>720</v>
      </c>
      <c r="H145" s="576"/>
      <c r="I145" s="186">
        <f t="shared" si="55"/>
        <v>5</v>
      </c>
      <c r="J145" s="186">
        <f t="shared" si="55"/>
        <v>3198.8460482270575</v>
      </c>
      <c r="K145" s="187">
        <f t="shared" si="55"/>
        <v>639.76920964541137</v>
      </c>
      <c r="L145" s="577"/>
      <c r="M145" s="186">
        <f>RANK(K145, K$123:$K$157)</f>
        <v>22</v>
      </c>
      <c r="N145" s="588"/>
      <c r="O145" s="578"/>
      <c r="P145" s="188">
        <v>5</v>
      </c>
      <c r="Q145" s="188">
        <v>3207.7626831421107</v>
      </c>
      <c r="R145" s="185">
        <f t="shared" si="52"/>
        <v>641.5525366284221</v>
      </c>
      <c r="S145" s="182">
        <f t="shared" si="56"/>
        <v>22</v>
      </c>
      <c r="T145" s="574"/>
      <c r="U145" s="188">
        <v>5</v>
      </c>
      <c r="V145" s="188">
        <v>3207.7626831421103</v>
      </c>
      <c r="W145" s="185">
        <f t="shared" si="53"/>
        <v>641.5525366284221</v>
      </c>
      <c r="X145" s="182">
        <f t="shared" si="57"/>
        <v>22</v>
      </c>
      <c r="Y145" s="574"/>
      <c r="Z145" s="188">
        <v>5</v>
      </c>
      <c r="AA145" s="188">
        <v>3208.8426831421102</v>
      </c>
      <c r="AB145" s="185">
        <f t="shared" si="58"/>
        <v>641.768536628422</v>
      </c>
      <c r="AC145" s="182">
        <f t="shared" si="59"/>
        <v>21</v>
      </c>
      <c r="AD145" s="574"/>
      <c r="AE145" s="188">
        <v>5</v>
      </c>
      <c r="AF145" s="188">
        <v>3207.4026831421097</v>
      </c>
      <c r="AG145" s="185">
        <f t="shared" si="60"/>
        <v>641.48053662842199</v>
      </c>
      <c r="AH145" s="182">
        <f t="shared" si="61"/>
        <v>22</v>
      </c>
      <c r="AI145" s="574"/>
      <c r="AJ145" s="188">
        <v>5</v>
      </c>
      <c r="AK145" s="188">
        <v>3185.6366213565193</v>
      </c>
      <c r="AL145" s="185">
        <f t="shared" si="62"/>
        <v>637.12732427130391</v>
      </c>
      <c r="AM145" s="182">
        <f t="shared" si="63"/>
        <v>22</v>
      </c>
      <c r="AN145" s="574"/>
      <c r="AO145" s="188">
        <v>5</v>
      </c>
      <c r="AP145" s="188">
        <v>3187.2574918322202</v>
      </c>
      <c r="AQ145" s="185">
        <f t="shared" si="64"/>
        <v>637.45149836644407</v>
      </c>
      <c r="AR145" s="182">
        <f t="shared" si="65"/>
        <v>22</v>
      </c>
      <c r="AS145" s="574"/>
      <c r="AT145" s="188">
        <v>5</v>
      </c>
      <c r="AU145" s="188">
        <v>3187.2574918322202</v>
      </c>
      <c r="AV145" s="185">
        <f t="shared" si="66"/>
        <v>637.45149836644407</v>
      </c>
      <c r="AW145" s="182">
        <f t="shared" si="67"/>
        <v>22</v>
      </c>
      <c r="AX145" s="574"/>
    </row>
    <row r="146" spans="2:50" ht="14.25" customHeight="1">
      <c r="B146" s="575"/>
      <c r="C146" s="180">
        <v>24</v>
      </c>
      <c r="D146" s="183" t="s">
        <v>405</v>
      </c>
      <c r="E146" s="184">
        <v>5</v>
      </c>
      <c r="F146" s="180">
        <v>3600</v>
      </c>
      <c r="G146" s="185">
        <f t="shared" si="68"/>
        <v>720</v>
      </c>
      <c r="H146" s="576"/>
      <c r="I146" s="186">
        <f t="shared" si="55"/>
        <v>5</v>
      </c>
      <c r="J146" s="186">
        <f t="shared" si="55"/>
        <v>3200.3441203581388</v>
      </c>
      <c r="K146" s="187">
        <f t="shared" si="55"/>
        <v>640.06882407162789</v>
      </c>
      <c r="L146" s="577"/>
      <c r="M146" s="186">
        <f>RANK(K146, K$123:$K$157)</f>
        <v>20</v>
      </c>
      <c r="N146" s="588"/>
      <c r="O146" s="578"/>
      <c r="P146" s="188">
        <v>5</v>
      </c>
      <c r="Q146" s="188">
        <v>3211.7917767339013</v>
      </c>
      <c r="R146" s="185">
        <f t="shared" si="52"/>
        <v>642.35835534678029</v>
      </c>
      <c r="S146" s="182">
        <f t="shared" si="56"/>
        <v>20</v>
      </c>
      <c r="T146" s="574"/>
      <c r="U146" s="188">
        <v>5</v>
      </c>
      <c r="V146" s="188">
        <v>3210.7117767339023</v>
      </c>
      <c r="W146" s="185">
        <f t="shared" si="53"/>
        <v>642.1423553467805</v>
      </c>
      <c r="X146" s="182">
        <f t="shared" si="57"/>
        <v>20</v>
      </c>
      <c r="Y146" s="574"/>
      <c r="Z146" s="188">
        <v>5</v>
      </c>
      <c r="AA146" s="188">
        <v>3211.071776733902</v>
      </c>
      <c r="AB146" s="185">
        <f t="shared" si="58"/>
        <v>642.21435534678039</v>
      </c>
      <c r="AC146" s="182">
        <f t="shared" si="59"/>
        <v>20</v>
      </c>
      <c r="AD146" s="574"/>
      <c r="AE146" s="188">
        <v>5</v>
      </c>
      <c r="AF146" s="188">
        <v>3211.4317767339021</v>
      </c>
      <c r="AG146" s="185">
        <f t="shared" si="60"/>
        <v>642.2863553467804</v>
      </c>
      <c r="AH146" s="182">
        <f t="shared" si="61"/>
        <v>20</v>
      </c>
      <c r="AI146" s="574"/>
      <c r="AJ146" s="188">
        <v>5</v>
      </c>
      <c r="AK146" s="188">
        <v>3188.3381762965955</v>
      </c>
      <c r="AL146" s="185">
        <f t="shared" si="62"/>
        <v>637.66763525931913</v>
      </c>
      <c r="AM146" s="182">
        <f t="shared" si="63"/>
        <v>21</v>
      </c>
      <c r="AN146" s="574"/>
      <c r="AO146" s="188">
        <v>5</v>
      </c>
      <c r="AP146" s="188">
        <v>3185.4317796373844</v>
      </c>
      <c r="AQ146" s="185">
        <f t="shared" si="64"/>
        <v>637.08635592747692</v>
      </c>
      <c r="AR146" s="182">
        <f t="shared" si="65"/>
        <v>23</v>
      </c>
      <c r="AS146" s="574"/>
      <c r="AT146" s="188">
        <v>5</v>
      </c>
      <c r="AU146" s="188">
        <v>3183.6317796373846</v>
      </c>
      <c r="AV146" s="185">
        <f t="shared" si="66"/>
        <v>636.7263559274769</v>
      </c>
      <c r="AW146" s="182">
        <f t="shared" si="67"/>
        <v>25</v>
      </c>
      <c r="AX146" s="574"/>
    </row>
    <row r="147" spans="2:50" ht="14.25" customHeight="1">
      <c r="B147" s="575"/>
      <c r="C147" s="180">
        <v>25</v>
      </c>
      <c r="D147" s="183" t="s">
        <v>408</v>
      </c>
      <c r="E147" s="184">
        <v>3</v>
      </c>
      <c r="F147" s="180">
        <v>3000</v>
      </c>
      <c r="G147" s="185">
        <f t="shared" si="68"/>
        <v>1000</v>
      </c>
      <c r="H147" s="576"/>
      <c r="I147" s="186">
        <f t="shared" si="55"/>
        <v>3</v>
      </c>
      <c r="J147" s="186">
        <f t="shared" si="55"/>
        <v>2702.952446365603</v>
      </c>
      <c r="K147" s="187">
        <f t="shared" si="55"/>
        <v>900.9841487885343</v>
      </c>
      <c r="L147" s="577"/>
      <c r="M147" s="186">
        <f>RANK(K147, K$123:$K$157)</f>
        <v>13</v>
      </c>
      <c r="N147" s="588"/>
      <c r="O147" s="578"/>
      <c r="P147" s="188">
        <v>3</v>
      </c>
      <c r="Q147" s="188">
        <v>2699.7545762580185</v>
      </c>
      <c r="R147" s="185">
        <f t="shared" si="52"/>
        <v>899.91819208600612</v>
      </c>
      <c r="S147" s="182">
        <f t="shared" si="56"/>
        <v>13</v>
      </c>
      <c r="T147" s="574"/>
      <c r="U147" s="188">
        <v>3</v>
      </c>
      <c r="V147" s="188">
        <v>2698.5545762580186</v>
      </c>
      <c r="W147" s="185">
        <f t="shared" si="53"/>
        <v>899.51819208600625</v>
      </c>
      <c r="X147" s="182">
        <f t="shared" si="57"/>
        <v>13</v>
      </c>
      <c r="Y147" s="574"/>
      <c r="Z147" s="188">
        <v>3</v>
      </c>
      <c r="AA147" s="188">
        <v>2700.0840173338725</v>
      </c>
      <c r="AB147" s="185">
        <f t="shared" si="58"/>
        <v>900.02800577795745</v>
      </c>
      <c r="AC147" s="182">
        <f t="shared" si="59"/>
        <v>13</v>
      </c>
      <c r="AD147" s="574"/>
      <c r="AE147" s="188">
        <v>3</v>
      </c>
      <c r="AF147" s="188">
        <v>2698.9111118206529</v>
      </c>
      <c r="AG147" s="185">
        <f t="shared" si="60"/>
        <v>899.63703727355096</v>
      </c>
      <c r="AH147" s="182">
        <f t="shared" si="61"/>
        <v>13</v>
      </c>
      <c r="AI147" s="574"/>
      <c r="AJ147" s="188">
        <v>3</v>
      </c>
      <c r="AK147" s="188">
        <v>2706.085410875361</v>
      </c>
      <c r="AL147" s="185">
        <f t="shared" si="62"/>
        <v>902.02847029178702</v>
      </c>
      <c r="AM147" s="182">
        <f t="shared" si="63"/>
        <v>12</v>
      </c>
      <c r="AN147" s="574"/>
      <c r="AO147" s="188">
        <v>3</v>
      </c>
      <c r="AP147" s="188">
        <v>2708.0387160066489</v>
      </c>
      <c r="AQ147" s="185">
        <f t="shared" si="64"/>
        <v>902.67957200221633</v>
      </c>
      <c r="AR147" s="182">
        <f t="shared" si="65"/>
        <v>11</v>
      </c>
      <c r="AS147" s="574"/>
      <c r="AT147" s="188">
        <v>3</v>
      </c>
      <c r="AU147" s="188">
        <v>2709.2387160066492</v>
      </c>
      <c r="AV147" s="185">
        <f t="shared" si="66"/>
        <v>903.07957200221642</v>
      </c>
      <c r="AW147" s="182">
        <f t="shared" si="67"/>
        <v>11</v>
      </c>
      <c r="AX147" s="574"/>
    </row>
    <row r="148" spans="2:50" ht="14.25" customHeight="1">
      <c r="B148" s="575"/>
      <c r="C148" s="180">
        <v>26</v>
      </c>
      <c r="D148" s="183" t="s">
        <v>463</v>
      </c>
      <c r="E148" s="184">
        <v>3</v>
      </c>
      <c r="F148" s="180">
        <v>3600</v>
      </c>
      <c r="G148" s="185">
        <f t="shared" si="68"/>
        <v>1200</v>
      </c>
      <c r="H148" s="576"/>
      <c r="I148" s="186">
        <f t="shared" si="55"/>
        <v>3</v>
      </c>
      <c r="J148" s="186">
        <f t="shared" si="55"/>
        <v>3184.1815791752151</v>
      </c>
      <c r="K148" s="187">
        <f t="shared" si="55"/>
        <v>1061.3938597250715</v>
      </c>
      <c r="L148" s="577"/>
      <c r="M148" s="186">
        <f>RANK(K148, K$123:$K$157)</f>
        <v>1</v>
      </c>
      <c r="N148" s="588"/>
      <c r="O148" s="578"/>
      <c r="P148" s="188">
        <v>3</v>
      </c>
      <c r="Q148" s="188">
        <v>3175.6125000000002</v>
      </c>
      <c r="R148" s="185">
        <f t="shared" si="52"/>
        <v>1058.5375000000001</v>
      </c>
      <c r="S148" s="182">
        <f t="shared" si="56"/>
        <v>4</v>
      </c>
      <c r="T148" s="574"/>
      <c r="U148" s="188">
        <v>3</v>
      </c>
      <c r="V148" s="188">
        <v>3176.692500000001</v>
      </c>
      <c r="W148" s="185">
        <f t="shared" si="53"/>
        <v>1058.8975000000003</v>
      </c>
      <c r="X148" s="182">
        <f t="shared" si="57"/>
        <v>4</v>
      </c>
      <c r="Y148" s="574"/>
      <c r="Z148" s="188">
        <v>3</v>
      </c>
      <c r="AA148" s="188">
        <v>3175.9725000000008</v>
      </c>
      <c r="AB148" s="185">
        <f t="shared" si="58"/>
        <v>1058.6575000000003</v>
      </c>
      <c r="AC148" s="182">
        <f t="shared" si="59"/>
        <v>4</v>
      </c>
      <c r="AD148" s="574"/>
      <c r="AE148" s="188">
        <v>3</v>
      </c>
      <c r="AF148" s="188">
        <v>3174.8925000000008</v>
      </c>
      <c r="AG148" s="185">
        <f t="shared" si="60"/>
        <v>1058.2975000000004</v>
      </c>
      <c r="AH148" s="182">
        <f t="shared" si="61"/>
        <v>5</v>
      </c>
      <c r="AI148" s="574"/>
      <c r="AJ148" s="188">
        <v>3</v>
      </c>
      <c r="AK148" s="188">
        <v>3190.9715429200196</v>
      </c>
      <c r="AL148" s="185">
        <f t="shared" si="62"/>
        <v>1063.6571809733398</v>
      </c>
      <c r="AM148" s="182">
        <f t="shared" si="63"/>
        <v>1</v>
      </c>
      <c r="AN148" s="574"/>
      <c r="AO148" s="188">
        <v>3</v>
      </c>
      <c r="AP148" s="188">
        <v>3197.2047556532416</v>
      </c>
      <c r="AQ148" s="185">
        <f t="shared" si="64"/>
        <v>1065.7349185510805</v>
      </c>
      <c r="AR148" s="182">
        <f t="shared" si="65"/>
        <v>1</v>
      </c>
      <c r="AS148" s="574"/>
      <c r="AT148" s="188">
        <v>3</v>
      </c>
      <c r="AU148" s="188">
        <v>3197.9247556532409</v>
      </c>
      <c r="AV148" s="185">
        <f t="shared" si="66"/>
        <v>1065.9749185510802</v>
      </c>
      <c r="AW148" s="182">
        <f t="shared" si="67"/>
        <v>1</v>
      </c>
      <c r="AX148" s="574"/>
    </row>
    <row r="149" spans="2:50" ht="14.25" customHeight="1">
      <c r="B149" s="575"/>
      <c r="C149" s="180">
        <v>27</v>
      </c>
      <c r="D149" s="183" t="s">
        <v>472</v>
      </c>
      <c r="E149" s="184">
        <v>4</v>
      </c>
      <c r="F149" s="180">
        <v>3000</v>
      </c>
      <c r="G149" s="185">
        <f t="shared" si="68"/>
        <v>750</v>
      </c>
      <c r="H149" s="576"/>
      <c r="I149" s="186">
        <f t="shared" si="55"/>
        <v>4</v>
      </c>
      <c r="J149" s="186">
        <f t="shared" si="55"/>
        <v>2686.1819506870806</v>
      </c>
      <c r="K149" s="187">
        <f t="shared" si="55"/>
        <v>671.54548767177016</v>
      </c>
      <c r="L149" s="577"/>
      <c r="M149" s="186">
        <f>RANK(K149, K$123:$K$157)</f>
        <v>18</v>
      </c>
      <c r="N149" s="588"/>
      <c r="O149" s="578"/>
      <c r="P149" s="188">
        <v>4</v>
      </c>
      <c r="Q149" s="188">
        <v>2686.8248078299375</v>
      </c>
      <c r="R149" s="185">
        <f t="shared" si="52"/>
        <v>671.70620195748438</v>
      </c>
      <c r="S149" s="182">
        <f t="shared" si="56"/>
        <v>18</v>
      </c>
      <c r="T149" s="574"/>
      <c r="U149" s="188">
        <v>4</v>
      </c>
      <c r="V149" s="188">
        <v>2686.5248078299373</v>
      </c>
      <c r="W149" s="185">
        <f t="shared" si="53"/>
        <v>671.63120195748434</v>
      </c>
      <c r="X149" s="182">
        <f t="shared" si="57"/>
        <v>18</v>
      </c>
      <c r="Y149" s="574"/>
      <c r="Z149" s="188">
        <v>4</v>
      </c>
      <c r="AA149" s="188">
        <v>2685.924807829937</v>
      </c>
      <c r="AB149" s="185">
        <f t="shared" si="58"/>
        <v>671.48120195748425</v>
      </c>
      <c r="AC149" s="182">
        <f t="shared" si="59"/>
        <v>18</v>
      </c>
      <c r="AD149" s="574"/>
      <c r="AE149" s="188">
        <v>4</v>
      </c>
      <c r="AF149" s="188">
        <v>2686.2248078299372</v>
      </c>
      <c r="AG149" s="185">
        <f t="shared" si="60"/>
        <v>671.55620195748429</v>
      </c>
      <c r="AH149" s="182">
        <f t="shared" si="61"/>
        <v>18</v>
      </c>
      <c r="AI149" s="574"/>
      <c r="AJ149" s="188">
        <v>4</v>
      </c>
      <c r="AK149" s="188">
        <v>2685.324807829938</v>
      </c>
      <c r="AL149" s="185">
        <f t="shared" si="62"/>
        <v>671.3312019574845</v>
      </c>
      <c r="AM149" s="182">
        <f t="shared" si="63"/>
        <v>18</v>
      </c>
      <c r="AN149" s="574"/>
      <c r="AO149" s="188">
        <v>4</v>
      </c>
      <c r="AP149" s="188">
        <v>2686.2248078299381</v>
      </c>
      <c r="AQ149" s="185">
        <f t="shared" si="64"/>
        <v>671.55620195748452</v>
      </c>
      <c r="AR149" s="182">
        <f t="shared" si="65"/>
        <v>18</v>
      </c>
      <c r="AS149" s="574"/>
      <c r="AT149" s="188">
        <v>4</v>
      </c>
      <c r="AU149" s="188">
        <v>2686.2248078299381</v>
      </c>
      <c r="AV149" s="185">
        <f t="shared" si="66"/>
        <v>671.55620195748452</v>
      </c>
      <c r="AW149" s="182">
        <f t="shared" si="67"/>
        <v>18</v>
      </c>
      <c r="AX149" s="574"/>
    </row>
    <row r="150" spans="2:50" ht="14.25" customHeight="1">
      <c r="B150" s="575"/>
      <c r="C150" s="180">
        <v>28</v>
      </c>
      <c r="D150" s="183" t="s">
        <v>492</v>
      </c>
      <c r="E150" s="184">
        <v>5</v>
      </c>
      <c r="F150" s="180">
        <v>3000</v>
      </c>
      <c r="G150" s="185">
        <f t="shared" si="68"/>
        <v>600</v>
      </c>
      <c r="H150" s="576"/>
      <c r="I150" s="186">
        <f t="shared" si="55"/>
        <v>5</v>
      </c>
      <c r="J150" s="186">
        <f t="shared" si="55"/>
        <v>2687.6817574676315</v>
      </c>
      <c r="K150" s="187">
        <f t="shared" si="55"/>
        <v>537.53635149352635</v>
      </c>
      <c r="L150" s="577"/>
      <c r="M150" s="186">
        <f>RANK(K150, K$123:$K$157)</f>
        <v>29</v>
      </c>
      <c r="N150" s="588"/>
      <c r="O150" s="578"/>
      <c r="P150" s="188">
        <v>5</v>
      </c>
      <c r="Q150" s="188">
        <v>2688.2817574676319</v>
      </c>
      <c r="R150" s="185">
        <f t="shared" si="52"/>
        <v>537.65635149352636</v>
      </c>
      <c r="S150" s="182">
        <f t="shared" si="56"/>
        <v>29</v>
      </c>
      <c r="T150" s="574"/>
      <c r="U150" s="188">
        <v>5</v>
      </c>
      <c r="V150" s="188">
        <v>2687.0817574676316</v>
      </c>
      <c r="W150" s="185">
        <f t="shared" si="53"/>
        <v>537.41635149352635</v>
      </c>
      <c r="X150" s="182">
        <f t="shared" si="57"/>
        <v>29</v>
      </c>
      <c r="Y150" s="574"/>
      <c r="Z150" s="188"/>
      <c r="AA150" s="188"/>
      <c r="AB150" s="185"/>
      <c r="AC150" s="182"/>
      <c r="AD150" s="574"/>
      <c r="AE150" s="188"/>
      <c r="AF150" s="188"/>
      <c r="AG150" s="185"/>
      <c r="AH150" s="182"/>
      <c r="AI150" s="574"/>
      <c r="AJ150" s="188"/>
      <c r="AK150" s="188"/>
      <c r="AL150" s="185"/>
      <c r="AM150" s="182"/>
      <c r="AN150" s="574"/>
      <c r="AO150" s="188"/>
      <c r="AP150" s="188"/>
      <c r="AQ150" s="185"/>
      <c r="AR150" s="182"/>
      <c r="AS150" s="574"/>
      <c r="AT150" s="188"/>
      <c r="AU150" s="188"/>
      <c r="AV150" s="185"/>
      <c r="AW150" s="182"/>
      <c r="AX150" s="574"/>
    </row>
    <row r="151" spans="2:50" ht="14.25" customHeight="1">
      <c r="B151" s="575"/>
      <c r="C151" s="180">
        <v>29</v>
      </c>
      <c r="D151" s="183" t="s">
        <v>617</v>
      </c>
      <c r="E151" s="184">
        <v>5</v>
      </c>
      <c r="F151" s="180">
        <v>3000</v>
      </c>
      <c r="G151" s="185">
        <f t="shared" si="68"/>
        <v>600</v>
      </c>
      <c r="H151" s="576"/>
      <c r="I151" s="186">
        <f t="shared" si="55"/>
        <v>5</v>
      </c>
      <c r="J151" s="186">
        <f t="shared" si="55"/>
        <v>2684.9999999999986</v>
      </c>
      <c r="K151" s="187">
        <f t="shared" si="55"/>
        <v>536.99999999999977</v>
      </c>
      <c r="L151" s="577"/>
      <c r="M151" s="186">
        <f>RANK(K151, K$123:$K$157)</f>
        <v>30</v>
      </c>
      <c r="N151" s="588"/>
      <c r="O151" s="578"/>
      <c r="P151" s="188">
        <v>5</v>
      </c>
      <c r="Q151" s="188">
        <v>2686.4999999999977</v>
      </c>
      <c r="R151" s="185">
        <f t="shared" si="52"/>
        <v>537.2999999999995</v>
      </c>
      <c r="S151" s="182">
        <f t="shared" si="56"/>
        <v>30</v>
      </c>
      <c r="T151" s="574"/>
      <c r="U151" s="188">
        <v>5</v>
      </c>
      <c r="V151" s="188">
        <v>2685.2999999999984</v>
      </c>
      <c r="W151" s="185">
        <f t="shared" si="53"/>
        <v>537.05999999999972</v>
      </c>
      <c r="X151" s="182">
        <f t="shared" si="57"/>
        <v>30</v>
      </c>
      <c r="Y151" s="574"/>
      <c r="Z151" s="188">
        <v>5</v>
      </c>
      <c r="AA151" s="188">
        <v>2684.099999999999</v>
      </c>
      <c r="AB151" s="185">
        <f t="shared" si="58"/>
        <v>536.81999999999982</v>
      </c>
      <c r="AC151" s="182">
        <f t="shared" si="59"/>
        <v>29</v>
      </c>
      <c r="AD151" s="574"/>
      <c r="AE151" s="188">
        <v>5</v>
      </c>
      <c r="AF151" s="188">
        <v>2684.6999999999989</v>
      </c>
      <c r="AG151" s="185">
        <f t="shared" si="60"/>
        <v>536.93999999999983</v>
      </c>
      <c r="AH151" s="182">
        <f t="shared" si="61"/>
        <v>29</v>
      </c>
      <c r="AI151" s="574"/>
      <c r="AJ151" s="188">
        <v>5</v>
      </c>
      <c r="AK151" s="188">
        <v>2684.099999999999</v>
      </c>
      <c r="AL151" s="185">
        <f t="shared" ref="AL151:AL155" si="69">IFERROR(AK151/AJ151,"")</f>
        <v>536.81999999999982</v>
      </c>
      <c r="AM151" s="182">
        <f t="shared" si="63"/>
        <v>29</v>
      </c>
      <c r="AN151" s="574"/>
      <c r="AO151" s="188">
        <v>5</v>
      </c>
      <c r="AP151" s="188">
        <v>2684.6999999999989</v>
      </c>
      <c r="AQ151" s="185">
        <f t="shared" si="64"/>
        <v>536.93999999999983</v>
      </c>
      <c r="AR151" s="182">
        <f t="shared" si="65"/>
        <v>29</v>
      </c>
      <c r="AS151" s="574"/>
      <c r="AT151" s="188">
        <v>5</v>
      </c>
      <c r="AU151" s="188">
        <v>2685.599999999999</v>
      </c>
      <c r="AV151" s="185">
        <f t="shared" si="66"/>
        <v>537.11999999999978</v>
      </c>
      <c r="AW151" s="182">
        <f t="shared" si="67"/>
        <v>29</v>
      </c>
      <c r="AX151" s="574"/>
    </row>
    <row r="152" spans="2:50" ht="14.25" customHeight="1">
      <c r="B152" s="575"/>
      <c r="C152" s="180">
        <v>30</v>
      </c>
      <c r="D152" s="183" t="s">
        <v>652</v>
      </c>
      <c r="E152" s="184">
        <v>3</v>
      </c>
      <c r="F152" s="180">
        <v>3300</v>
      </c>
      <c r="G152" s="185">
        <f t="shared" si="68"/>
        <v>1100</v>
      </c>
      <c r="H152" s="576"/>
      <c r="I152" s="186">
        <f t="shared" si="55"/>
        <v>3</v>
      </c>
      <c r="J152" s="186">
        <f t="shared" si="55"/>
        <v>2978.3725357630092</v>
      </c>
      <c r="K152" s="187">
        <f t="shared" si="55"/>
        <v>992.79084525433643</v>
      </c>
      <c r="L152" s="577"/>
      <c r="M152" s="186">
        <f>RANK(K152, K$123:$K$157)</f>
        <v>9</v>
      </c>
      <c r="N152" s="588"/>
      <c r="O152" s="578"/>
      <c r="P152" s="188">
        <v>3</v>
      </c>
      <c r="Q152" s="188">
        <v>2979.1268214772945</v>
      </c>
      <c r="R152" s="185">
        <f t="shared" si="52"/>
        <v>993.04227382576482</v>
      </c>
      <c r="S152" s="182">
        <f t="shared" si="56"/>
        <v>8</v>
      </c>
      <c r="T152" s="574"/>
      <c r="U152" s="188">
        <v>3</v>
      </c>
      <c r="V152" s="188">
        <v>2979.7868214772948</v>
      </c>
      <c r="W152" s="185">
        <f t="shared" si="53"/>
        <v>993.26227382576496</v>
      </c>
      <c r="X152" s="182">
        <f t="shared" si="57"/>
        <v>9</v>
      </c>
      <c r="Y152" s="574"/>
      <c r="Z152" s="188">
        <v>3</v>
      </c>
      <c r="AA152" s="188">
        <v>2978.4668214772951</v>
      </c>
      <c r="AB152" s="185">
        <f t="shared" si="58"/>
        <v>992.82227382576502</v>
      </c>
      <c r="AC152" s="182">
        <f t="shared" si="59"/>
        <v>9</v>
      </c>
      <c r="AD152" s="574"/>
      <c r="AE152" s="188">
        <v>3</v>
      </c>
      <c r="AF152" s="188">
        <v>2977.1468214772949</v>
      </c>
      <c r="AG152" s="185">
        <f t="shared" si="60"/>
        <v>992.38227382576497</v>
      </c>
      <c r="AH152" s="182">
        <f t="shared" si="61"/>
        <v>10</v>
      </c>
      <c r="AI152" s="574"/>
      <c r="AJ152" s="188">
        <v>3</v>
      </c>
      <c r="AK152" s="188">
        <v>2977.1468214772949</v>
      </c>
      <c r="AL152" s="185">
        <f t="shared" si="69"/>
        <v>992.38227382576497</v>
      </c>
      <c r="AM152" s="182">
        <f t="shared" si="63"/>
        <v>10</v>
      </c>
      <c r="AN152" s="574"/>
      <c r="AO152" s="188">
        <v>3</v>
      </c>
      <c r="AP152" s="188">
        <v>2977.8068214772952</v>
      </c>
      <c r="AQ152" s="185">
        <f t="shared" si="64"/>
        <v>992.60227382576511</v>
      </c>
      <c r="AR152" s="182">
        <f t="shared" si="65"/>
        <v>10</v>
      </c>
      <c r="AS152" s="574"/>
      <c r="AT152" s="188">
        <v>3</v>
      </c>
      <c r="AU152" s="188">
        <v>2979.1268214772954</v>
      </c>
      <c r="AV152" s="185">
        <f t="shared" si="66"/>
        <v>993.04227382576516</v>
      </c>
      <c r="AW152" s="182">
        <f t="shared" si="67"/>
        <v>10</v>
      </c>
      <c r="AX152" s="574"/>
    </row>
    <row r="153" spans="2:50" ht="14.25" customHeight="1">
      <c r="B153" s="575"/>
      <c r="C153" s="180">
        <v>31</v>
      </c>
      <c r="D153" s="183" t="s">
        <v>551</v>
      </c>
      <c r="E153" s="184">
        <v>12</v>
      </c>
      <c r="F153" s="180">
        <v>3600</v>
      </c>
      <c r="G153" s="185">
        <f t="shared" si="68"/>
        <v>300</v>
      </c>
      <c r="H153" s="576"/>
      <c r="I153" s="186">
        <f t="shared" si="55"/>
        <v>12</v>
      </c>
      <c r="J153" s="186">
        <f t="shared" si="55"/>
        <v>3258.0067281054116</v>
      </c>
      <c r="K153" s="187">
        <f t="shared" si="55"/>
        <v>271.50056067545103</v>
      </c>
      <c r="L153" s="577"/>
      <c r="M153" s="186">
        <f>RANK(K153, K$123:$K$157)</f>
        <v>31</v>
      </c>
      <c r="N153" s="588"/>
      <c r="O153" s="578"/>
      <c r="P153" s="188">
        <v>12</v>
      </c>
      <c r="Q153" s="188">
        <v>3253.8900726392608</v>
      </c>
      <c r="R153" s="185">
        <f t="shared" si="52"/>
        <v>271.15750605327173</v>
      </c>
      <c r="S153" s="182">
        <f t="shared" si="56"/>
        <v>31</v>
      </c>
      <c r="T153" s="574"/>
      <c r="U153" s="188">
        <v>12</v>
      </c>
      <c r="V153" s="188">
        <v>3252.8100726392604</v>
      </c>
      <c r="W153" s="185">
        <f t="shared" si="53"/>
        <v>271.0675060532717</v>
      </c>
      <c r="X153" s="182">
        <f t="shared" si="57"/>
        <v>31</v>
      </c>
      <c r="Y153" s="574"/>
      <c r="Z153" s="188">
        <v>12</v>
      </c>
      <c r="AA153" s="188">
        <v>3259.5813902918735</v>
      </c>
      <c r="AB153" s="185">
        <f t="shared" si="58"/>
        <v>271.63178252432277</v>
      </c>
      <c r="AC153" s="182">
        <f t="shared" si="59"/>
        <v>30</v>
      </c>
      <c r="AD153" s="574"/>
      <c r="AE153" s="188">
        <v>12</v>
      </c>
      <c r="AF153" s="188">
        <v>3258.5013902918731</v>
      </c>
      <c r="AG153" s="185">
        <f t="shared" si="60"/>
        <v>271.54178252432274</v>
      </c>
      <c r="AH153" s="182">
        <f t="shared" si="61"/>
        <v>30</v>
      </c>
      <c r="AI153" s="574"/>
      <c r="AJ153" s="188">
        <v>12</v>
      </c>
      <c r="AK153" s="188">
        <v>3259.9413902918732</v>
      </c>
      <c r="AL153" s="185">
        <f t="shared" si="69"/>
        <v>271.66178252432275</v>
      </c>
      <c r="AM153" s="182">
        <f t="shared" si="63"/>
        <v>30</v>
      </c>
      <c r="AN153" s="574"/>
      <c r="AO153" s="188">
        <v>12</v>
      </c>
      <c r="AP153" s="188">
        <v>3260.6613902918725</v>
      </c>
      <c r="AQ153" s="185">
        <f t="shared" si="64"/>
        <v>271.72178252432269</v>
      </c>
      <c r="AR153" s="182">
        <f t="shared" si="65"/>
        <v>30</v>
      </c>
      <c r="AS153" s="574"/>
      <c r="AT153" s="188">
        <v>12</v>
      </c>
      <c r="AU153" s="188">
        <v>3260.6613902918721</v>
      </c>
      <c r="AV153" s="185">
        <f t="shared" si="66"/>
        <v>271.72178252432269</v>
      </c>
      <c r="AW153" s="182">
        <f t="shared" si="67"/>
        <v>30</v>
      </c>
      <c r="AX153" s="574"/>
    </row>
    <row r="154" spans="2:50" ht="14.25" customHeight="1">
      <c r="B154" s="575"/>
      <c r="C154" s="180">
        <v>32</v>
      </c>
      <c r="D154" s="183" t="s">
        <v>584</v>
      </c>
      <c r="E154" s="184">
        <v>13</v>
      </c>
      <c r="F154" s="180">
        <v>3600</v>
      </c>
      <c r="G154" s="185">
        <f t="shared" si="68"/>
        <v>276.92307692307691</v>
      </c>
      <c r="H154" s="576"/>
      <c r="I154" s="186">
        <f t="shared" si="55"/>
        <v>13</v>
      </c>
      <c r="J154" s="186">
        <f t="shared" si="55"/>
        <v>3259.7343035735289</v>
      </c>
      <c r="K154" s="187">
        <f t="shared" si="55"/>
        <v>250.74879258257914</v>
      </c>
      <c r="L154" s="577"/>
      <c r="M154" s="186">
        <f>RANK(K154, K$123:$K$157)</f>
        <v>34</v>
      </c>
      <c r="N154" s="588"/>
      <c r="O154" s="578"/>
      <c r="P154" s="188">
        <v>13</v>
      </c>
      <c r="Q154" s="188">
        <v>3259.7423071080848</v>
      </c>
      <c r="R154" s="185">
        <f t="shared" si="52"/>
        <v>250.74940823908344</v>
      </c>
      <c r="S154" s="182">
        <f t="shared" si="56"/>
        <v>34</v>
      </c>
      <c r="T154" s="574"/>
      <c r="U154" s="188">
        <v>13</v>
      </c>
      <c r="V154" s="188">
        <v>3257.7247584529687</v>
      </c>
      <c r="W154" s="185">
        <f t="shared" si="53"/>
        <v>250.59421218868991</v>
      </c>
      <c r="X154" s="182">
        <f t="shared" si="57"/>
        <v>34</v>
      </c>
      <c r="Y154" s="574"/>
      <c r="Z154" s="188">
        <v>13</v>
      </c>
      <c r="AA154" s="188">
        <v>3259.1647584529696</v>
      </c>
      <c r="AB154" s="185">
        <f t="shared" si="58"/>
        <v>250.70498141945922</v>
      </c>
      <c r="AC154" s="182">
        <f t="shared" si="59"/>
        <v>33</v>
      </c>
      <c r="AD154" s="574"/>
      <c r="AE154" s="188">
        <v>13</v>
      </c>
      <c r="AF154" s="188">
        <v>3259.8847584529699</v>
      </c>
      <c r="AG154" s="185">
        <f t="shared" si="60"/>
        <v>250.76036603484383</v>
      </c>
      <c r="AH154" s="182">
        <f t="shared" si="61"/>
        <v>33</v>
      </c>
      <c r="AI154" s="574"/>
      <c r="AJ154" s="188">
        <v>13</v>
      </c>
      <c r="AK154" s="188">
        <v>3259.8847584529699</v>
      </c>
      <c r="AL154" s="185">
        <f t="shared" si="69"/>
        <v>250.76036603484383</v>
      </c>
      <c r="AM154" s="182">
        <f t="shared" si="63"/>
        <v>33</v>
      </c>
      <c r="AN154" s="574"/>
      <c r="AO154" s="188">
        <v>13</v>
      </c>
      <c r="AP154" s="188">
        <v>3259.8847584529694</v>
      </c>
      <c r="AQ154" s="185">
        <f t="shared" si="64"/>
        <v>250.7603660348438</v>
      </c>
      <c r="AR154" s="182">
        <f t="shared" si="65"/>
        <v>33</v>
      </c>
      <c r="AS154" s="574"/>
      <c r="AT154" s="188">
        <v>13</v>
      </c>
      <c r="AU154" s="188">
        <v>3261.8540256417682</v>
      </c>
      <c r="AV154" s="185">
        <f t="shared" si="66"/>
        <v>250.91184812628987</v>
      </c>
      <c r="AW154" s="182">
        <f t="shared" si="67"/>
        <v>33</v>
      </c>
      <c r="AX154" s="574"/>
    </row>
    <row r="155" spans="2:50" ht="14.25" customHeight="1">
      <c r="B155" s="575"/>
      <c r="C155" s="180">
        <v>33</v>
      </c>
      <c r="D155" s="183" t="s">
        <v>347</v>
      </c>
      <c r="E155" s="180">
        <v>3</v>
      </c>
      <c r="F155" s="180">
        <v>3000</v>
      </c>
      <c r="G155" s="185">
        <f t="shared" si="68"/>
        <v>1000</v>
      </c>
      <c r="H155" s="576"/>
      <c r="I155" s="186">
        <f t="shared" si="55"/>
        <v>3</v>
      </c>
      <c r="J155" s="186">
        <f t="shared" si="55"/>
        <v>2704.3437457279606</v>
      </c>
      <c r="K155" s="187">
        <f t="shared" si="55"/>
        <v>901.44791524265327</v>
      </c>
      <c r="L155" s="577"/>
      <c r="M155" s="186">
        <f>RANK(K155, K$123:$K$157)</f>
        <v>12</v>
      </c>
      <c r="N155" s="588"/>
      <c r="O155" s="578"/>
      <c r="P155" s="188">
        <v>3</v>
      </c>
      <c r="Q155" s="188">
        <v>2703.915174299389</v>
      </c>
      <c r="R155" s="185">
        <f t="shared" si="52"/>
        <v>901.30505809979638</v>
      </c>
      <c r="S155" s="182">
        <f t="shared" si="56"/>
        <v>12</v>
      </c>
      <c r="T155" s="574"/>
      <c r="U155" s="188">
        <v>3</v>
      </c>
      <c r="V155" s="188">
        <v>2704.8151742993887</v>
      </c>
      <c r="W155" s="185">
        <f t="shared" si="53"/>
        <v>901.60505809979622</v>
      </c>
      <c r="X155" s="182">
        <f t="shared" si="57"/>
        <v>12</v>
      </c>
      <c r="Y155" s="574"/>
      <c r="Z155" s="188">
        <v>3</v>
      </c>
      <c r="AA155" s="188">
        <v>2703.6151742993889</v>
      </c>
      <c r="AB155" s="185">
        <f t="shared" si="58"/>
        <v>901.20505809979625</v>
      </c>
      <c r="AC155" s="182">
        <f t="shared" si="59"/>
        <v>12</v>
      </c>
      <c r="AD155" s="574"/>
      <c r="AE155" s="188">
        <v>3</v>
      </c>
      <c r="AF155" s="188">
        <v>2704.8151742993887</v>
      </c>
      <c r="AG155" s="185">
        <f t="shared" si="60"/>
        <v>901.60505809979622</v>
      </c>
      <c r="AH155" s="182">
        <f t="shared" si="61"/>
        <v>12</v>
      </c>
      <c r="AI155" s="574"/>
      <c r="AJ155" s="188">
        <v>3</v>
      </c>
      <c r="AK155" s="188">
        <v>2704.8151742993887</v>
      </c>
      <c r="AL155" s="185">
        <f t="shared" si="69"/>
        <v>901.60505809979622</v>
      </c>
      <c r="AM155" s="182">
        <f t="shared" si="63"/>
        <v>13</v>
      </c>
      <c r="AN155" s="574"/>
      <c r="AO155" s="188">
        <v>3</v>
      </c>
      <c r="AP155" s="188">
        <v>2703.9151742993886</v>
      </c>
      <c r="AQ155" s="185">
        <f t="shared" si="64"/>
        <v>901.30505809979616</v>
      </c>
      <c r="AR155" s="182">
        <f t="shared" si="65"/>
        <v>13</v>
      </c>
      <c r="AS155" s="574"/>
      <c r="AT155" s="188">
        <v>3</v>
      </c>
      <c r="AU155" s="188">
        <v>2704.515174299388</v>
      </c>
      <c r="AV155" s="185">
        <f t="shared" si="66"/>
        <v>901.50505809979597</v>
      </c>
      <c r="AW155" s="182">
        <f t="shared" si="67"/>
        <v>13</v>
      </c>
      <c r="AX155" s="574"/>
    </row>
    <row r="156" spans="2:50" ht="14.25" customHeight="1">
      <c r="B156" s="575"/>
      <c r="C156" s="180">
        <v>34</v>
      </c>
      <c r="D156" s="183" t="s">
        <v>468</v>
      </c>
      <c r="E156" s="180">
        <v>12</v>
      </c>
      <c r="F156" s="180">
        <v>3600</v>
      </c>
      <c r="G156" s="185">
        <f t="shared" si="68"/>
        <v>300</v>
      </c>
      <c r="H156" s="576"/>
      <c r="I156" s="186">
        <f t="shared" si="55"/>
        <v>12</v>
      </c>
      <c r="J156" s="186">
        <f t="shared" si="55"/>
        <v>3125.2166570546951</v>
      </c>
      <c r="K156" s="187">
        <f t="shared" si="55"/>
        <v>260.43472142122459</v>
      </c>
      <c r="L156" s="577"/>
      <c r="M156" s="186">
        <f>RANK(K156, K$123:$K$157)</f>
        <v>32</v>
      </c>
      <c r="N156" s="588"/>
      <c r="O156" s="578"/>
      <c r="P156" s="188">
        <v>12</v>
      </c>
      <c r="Q156" s="188">
        <v>3125.09781616288</v>
      </c>
      <c r="R156" s="185">
        <f t="shared" si="52"/>
        <v>260.42481801357332</v>
      </c>
      <c r="S156" s="182">
        <f t="shared" si="56"/>
        <v>33</v>
      </c>
      <c r="T156" s="574"/>
      <c r="U156" s="188">
        <v>12</v>
      </c>
      <c r="V156" s="188">
        <v>3124.7378161628794</v>
      </c>
      <c r="W156" s="185">
        <f t="shared" si="53"/>
        <v>260.39481801357329</v>
      </c>
      <c r="X156" s="182">
        <f t="shared" si="57"/>
        <v>32</v>
      </c>
      <c r="Y156" s="574"/>
      <c r="Z156" s="188">
        <v>12</v>
      </c>
      <c r="AA156" s="188">
        <v>3125.8178161628794</v>
      </c>
      <c r="AB156" s="185">
        <f t="shared" si="58"/>
        <v>260.48481801357326</v>
      </c>
      <c r="AC156" s="182">
        <f t="shared" si="59"/>
        <v>31</v>
      </c>
      <c r="AD156" s="574"/>
      <c r="AE156" s="188">
        <v>12</v>
      </c>
      <c r="AF156" s="188">
        <v>3126.1778161628786</v>
      </c>
      <c r="AG156" s="185">
        <f t="shared" si="60"/>
        <v>260.51481801357323</v>
      </c>
      <c r="AH156" s="182">
        <f t="shared" si="61"/>
        <v>31</v>
      </c>
      <c r="AI156" s="574"/>
      <c r="AJ156" s="188">
        <v>12</v>
      </c>
      <c r="AK156" s="188">
        <v>3126.177816162879</v>
      </c>
      <c r="AL156" s="185">
        <f t="shared" si="62"/>
        <v>260.51481801357323</v>
      </c>
      <c r="AM156" s="182">
        <f t="shared" si="63"/>
        <v>31</v>
      </c>
      <c r="AN156" s="574"/>
      <c r="AO156" s="188">
        <v>12</v>
      </c>
      <c r="AP156" s="188">
        <v>3123.8937592842353</v>
      </c>
      <c r="AQ156" s="185">
        <f t="shared" si="64"/>
        <v>260.32447994035294</v>
      </c>
      <c r="AR156" s="182">
        <f t="shared" si="65"/>
        <v>32</v>
      </c>
      <c r="AS156" s="574"/>
      <c r="AT156" s="188">
        <v>12</v>
      </c>
      <c r="AU156" s="188">
        <v>3124.6137592842351</v>
      </c>
      <c r="AV156" s="185">
        <f t="shared" si="66"/>
        <v>260.38447994035295</v>
      </c>
      <c r="AW156" s="182">
        <f t="shared" si="67"/>
        <v>31</v>
      </c>
      <c r="AX156" s="574"/>
    </row>
    <row r="157" spans="2:50" ht="14.25" customHeight="1">
      <c r="B157" s="575"/>
      <c r="C157" s="180">
        <v>35</v>
      </c>
      <c r="D157" s="183"/>
      <c r="E157" s="180"/>
      <c r="F157" s="180"/>
      <c r="G157" s="185"/>
      <c r="H157" s="576"/>
      <c r="I157" s="186"/>
      <c r="J157" s="186"/>
      <c r="K157" s="187"/>
      <c r="L157" s="577"/>
      <c r="M157" s="186"/>
      <c r="N157" s="588"/>
      <c r="O157" s="578"/>
      <c r="P157" s="188"/>
      <c r="Q157" s="188"/>
      <c r="R157" s="185"/>
      <c r="S157" s="182"/>
      <c r="T157" s="574"/>
      <c r="U157" s="188"/>
      <c r="V157" s="188"/>
      <c r="W157" s="185"/>
      <c r="X157" s="182"/>
      <c r="Y157" s="574"/>
      <c r="Z157" s="188"/>
      <c r="AA157" s="188"/>
      <c r="AB157" s="185"/>
      <c r="AC157" s="182"/>
      <c r="AD157" s="574"/>
      <c r="AE157" s="188"/>
      <c r="AF157" s="188"/>
      <c r="AG157" s="185"/>
      <c r="AH157" s="182"/>
      <c r="AI157" s="574"/>
      <c r="AJ157" s="188"/>
      <c r="AK157" s="188"/>
      <c r="AL157" s="185"/>
      <c r="AM157" s="182"/>
      <c r="AN157" s="574"/>
      <c r="AO157" s="188"/>
      <c r="AP157" s="188"/>
      <c r="AQ157" s="185"/>
      <c r="AR157" s="182"/>
      <c r="AS157" s="574"/>
      <c r="AT157" s="188"/>
      <c r="AU157" s="188"/>
      <c r="AV157" s="185"/>
      <c r="AW157" s="182"/>
      <c r="AX157" s="574"/>
    </row>
    <row r="158" spans="2:50" ht="14.25" customHeight="1">
      <c r="B158" s="643" t="s">
        <v>784</v>
      </c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4"/>
      <c r="N158" s="593" t="s">
        <v>374</v>
      </c>
      <c r="O158" s="593" t="s">
        <v>105</v>
      </c>
      <c r="P158" s="595">
        <v>46140</v>
      </c>
      <c r="Q158" s="596"/>
      <c r="R158" s="596"/>
      <c r="S158" s="596"/>
      <c r="T158" s="596"/>
      <c r="U158" s="597">
        <v>46141</v>
      </c>
      <c r="V158" s="598"/>
      <c r="W158" s="598"/>
      <c r="X158" s="598"/>
      <c r="Y158" s="598"/>
      <c r="Z158" s="595">
        <v>46142</v>
      </c>
      <c r="AA158" s="596"/>
      <c r="AB158" s="596"/>
      <c r="AC158" s="596"/>
      <c r="AD158" s="596"/>
      <c r="AE158" s="597">
        <v>46143</v>
      </c>
      <c r="AF158" s="598"/>
      <c r="AG158" s="598"/>
      <c r="AH158" s="598"/>
      <c r="AI158" s="598"/>
      <c r="AJ158" s="580">
        <v>46144</v>
      </c>
      <c r="AK158" s="581"/>
      <c r="AL158" s="581"/>
      <c r="AM158" s="581"/>
      <c r="AN158" s="582"/>
      <c r="AO158" s="597">
        <v>46145</v>
      </c>
      <c r="AP158" s="598"/>
      <c r="AQ158" s="598"/>
      <c r="AR158" s="598"/>
      <c r="AS158" s="598"/>
      <c r="AT158" s="580">
        <v>46146</v>
      </c>
      <c r="AU158" s="581"/>
      <c r="AV158" s="581"/>
      <c r="AW158" s="581"/>
      <c r="AX158" s="582"/>
    </row>
    <row r="159" spans="2:50" ht="14.25" customHeight="1"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6"/>
      <c r="N159" s="594"/>
      <c r="O159" s="594"/>
      <c r="P159" s="583">
        <v>46140</v>
      </c>
      <c r="Q159" s="583"/>
      <c r="R159" s="583"/>
      <c r="S159" s="583"/>
      <c r="T159" s="583"/>
      <c r="U159" s="584">
        <v>46141</v>
      </c>
      <c r="V159" s="584"/>
      <c r="W159" s="584"/>
      <c r="X159" s="584"/>
      <c r="Y159" s="584"/>
      <c r="Z159" s="583">
        <v>46142</v>
      </c>
      <c r="AA159" s="583"/>
      <c r="AB159" s="583"/>
      <c r="AC159" s="583"/>
      <c r="AD159" s="583"/>
      <c r="AE159" s="584">
        <v>46143</v>
      </c>
      <c r="AF159" s="584"/>
      <c r="AG159" s="584"/>
      <c r="AH159" s="584"/>
      <c r="AI159" s="584"/>
      <c r="AJ159" s="585">
        <v>46144</v>
      </c>
      <c r="AK159" s="586"/>
      <c r="AL159" s="586"/>
      <c r="AM159" s="586"/>
      <c r="AN159" s="587"/>
      <c r="AO159" s="584">
        <v>46145</v>
      </c>
      <c r="AP159" s="584"/>
      <c r="AQ159" s="584"/>
      <c r="AR159" s="584"/>
      <c r="AS159" s="584"/>
      <c r="AT159" s="585">
        <v>46146</v>
      </c>
      <c r="AU159" s="586"/>
      <c r="AV159" s="586"/>
      <c r="AW159" s="586"/>
      <c r="AX159" s="587"/>
    </row>
    <row r="160" spans="2:50" ht="14.25" customHeight="1">
      <c r="B160" s="575" t="s">
        <v>162</v>
      </c>
      <c r="C160" s="575" t="s">
        <v>157</v>
      </c>
      <c r="D160" s="575"/>
      <c r="E160" s="575" t="s">
        <v>158</v>
      </c>
      <c r="F160" s="575"/>
      <c r="G160" s="575"/>
      <c r="H160" s="575" t="s">
        <v>163</v>
      </c>
      <c r="I160" s="579" t="s">
        <v>375</v>
      </c>
      <c r="J160" s="579"/>
      <c r="K160" s="579"/>
      <c r="L160" s="579" t="s">
        <v>163</v>
      </c>
      <c r="M160" s="579" t="s">
        <v>165</v>
      </c>
      <c r="N160" s="588"/>
      <c r="O160" s="578" t="s">
        <v>164</v>
      </c>
      <c r="P160" s="578" t="s">
        <v>160</v>
      </c>
      <c r="Q160" s="578"/>
      <c r="R160" s="578"/>
      <c r="S160" s="578"/>
      <c r="T160" s="578" t="s">
        <v>163</v>
      </c>
      <c r="U160" s="578" t="s">
        <v>160</v>
      </c>
      <c r="V160" s="578"/>
      <c r="W160" s="578"/>
      <c r="X160" s="578"/>
      <c r="Y160" s="578" t="s">
        <v>163</v>
      </c>
      <c r="Z160" s="578" t="s">
        <v>160</v>
      </c>
      <c r="AA160" s="578"/>
      <c r="AB160" s="578"/>
      <c r="AC160" s="578"/>
      <c r="AD160" s="578" t="s">
        <v>163</v>
      </c>
      <c r="AE160" s="578" t="s">
        <v>160</v>
      </c>
      <c r="AF160" s="578"/>
      <c r="AG160" s="578"/>
      <c r="AH160" s="578"/>
      <c r="AI160" s="578" t="s">
        <v>163</v>
      </c>
      <c r="AJ160" s="578" t="s">
        <v>160</v>
      </c>
      <c r="AK160" s="578"/>
      <c r="AL160" s="578"/>
      <c r="AM160" s="578"/>
      <c r="AN160" s="578" t="s">
        <v>163</v>
      </c>
      <c r="AO160" s="578" t="s">
        <v>160</v>
      </c>
      <c r="AP160" s="578"/>
      <c r="AQ160" s="578"/>
      <c r="AR160" s="578"/>
      <c r="AS160" s="578" t="s">
        <v>163</v>
      </c>
      <c r="AT160" s="578" t="s">
        <v>160</v>
      </c>
      <c r="AU160" s="578"/>
      <c r="AV160" s="578"/>
      <c r="AW160" s="578"/>
      <c r="AX160" s="578" t="s">
        <v>163</v>
      </c>
    </row>
    <row r="161" spans="1:50" ht="14.25" customHeight="1">
      <c r="B161" s="575"/>
      <c r="C161" s="575"/>
      <c r="D161" s="575"/>
      <c r="E161" s="575" t="s">
        <v>376</v>
      </c>
      <c r="F161" s="575"/>
      <c r="G161" s="575"/>
      <c r="H161" s="575"/>
      <c r="I161" s="579" t="s">
        <v>376</v>
      </c>
      <c r="J161" s="579"/>
      <c r="K161" s="579"/>
      <c r="L161" s="579"/>
      <c r="M161" s="579"/>
      <c r="N161" s="588"/>
      <c r="O161" s="578"/>
      <c r="P161" s="578" t="s">
        <v>377</v>
      </c>
      <c r="Q161" s="578"/>
      <c r="R161" s="578"/>
      <c r="S161" s="578"/>
      <c r="T161" s="578"/>
      <c r="U161" s="578" t="s">
        <v>377</v>
      </c>
      <c r="V161" s="578"/>
      <c r="W161" s="578"/>
      <c r="X161" s="578"/>
      <c r="Y161" s="578"/>
      <c r="Z161" s="578" t="s">
        <v>377</v>
      </c>
      <c r="AA161" s="578"/>
      <c r="AB161" s="578"/>
      <c r="AC161" s="578"/>
      <c r="AD161" s="578"/>
      <c r="AE161" s="578" t="s">
        <v>377</v>
      </c>
      <c r="AF161" s="578"/>
      <c r="AG161" s="578"/>
      <c r="AH161" s="578"/>
      <c r="AI161" s="578"/>
      <c r="AJ161" s="578" t="s">
        <v>377</v>
      </c>
      <c r="AK161" s="578"/>
      <c r="AL161" s="578"/>
      <c r="AM161" s="578"/>
      <c r="AN161" s="578"/>
      <c r="AO161" s="578" t="s">
        <v>377</v>
      </c>
      <c r="AP161" s="578"/>
      <c r="AQ161" s="578"/>
      <c r="AR161" s="578"/>
      <c r="AS161" s="578"/>
      <c r="AT161" s="578" t="s">
        <v>377</v>
      </c>
      <c r="AU161" s="578"/>
      <c r="AV161" s="578"/>
      <c r="AW161" s="578"/>
      <c r="AX161" s="578"/>
    </row>
    <row r="162" spans="1:50" ht="14.25" customHeight="1">
      <c r="A162" s="177"/>
      <c r="B162" s="575"/>
      <c r="C162" s="575"/>
      <c r="D162" s="575"/>
      <c r="E162" s="180" t="s">
        <v>159</v>
      </c>
      <c r="F162" s="180" t="s">
        <v>378</v>
      </c>
      <c r="G162" s="180" t="s">
        <v>161</v>
      </c>
      <c r="H162" s="575"/>
      <c r="I162" s="181" t="s">
        <v>159</v>
      </c>
      <c r="J162" s="181" t="s">
        <v>378</v>
      </c>
      <c r="K162" s="181" t="s">
        <v>161</v>
      </c>
      <c r="L162" s="579"/>
      <c r="M162" s="579"/>
      <c r="N162" s="588"/>
      <c r="O162" s="578"/>
      <c r="P162" s="182" t="s">
        <v>159</v>
      </c>
      <c r="Q162" s="182" t="s">
        <v>378</v>
      </c>
      <c r="R162" s="182" t="s">
        <v>161</v>
      </c>
      <c r="S162" s="182" t="s">
        <v>165</v>
      </c>
      <c r="T162" s="578"/>
      <c r="U162" s="182" t="s">
        <v>159</v>
      </c>
      <c r="V162" s="182" t="s">
        <v>378</v>
      </c>
      <c r="W162" s="182" t="s">
        <v>161</v>
      </c>
      <c r="X162" s="182" t="s">
        <v>165</v>
      </c>
      <c r="Y162" s="578"/>
      <c r="Z162" s="182" t="s">
        <v>159</v>
      </c>
      <c r="AA162" s="182" t="s">
        <v>378</v>
      </c>
      <c r="AB162" s="182" t="s">
        <v>161</v>
      </c>
      <c r="AC162" s="182" t="s">
        <v>165</v>
      </c>
      <c r="AD162" s="578"/>
      <c r="AE162" s="182" t="s">
        <v>159</v>
      </c>
      <c r="AF162" s="182" t="s">
        <v>378</v>
      </c>
      <c r="AG162" s="182" t="s">
        <v>161</v>
      </c>
      <c r="AH162" s="182" t="s">
        <v>165</v>
      </c>
      <c r="AI162" s="578"/>
      <c r="AJ162" s="182" t="s">
        <v>159</v>
      </c>
      <c r="AK162" s="182" t="s">
        <v>378</v>
      </c>
      <c r="AL162" s="182" t="s">
        <v>161</v>
      </c>
      <c r="AM162" s="182" t="s">
        <v>165</v>
      </c>
      <c r="AN162" s="578"/>
      <c r="AO162" s="182" t="s">
        <v>159</v>
      </c>
      <c r="AP162" s="182" t="s">
        <v>378</v>
      </c>
      <c r="AQ162" s="182" t="s">
        <v>161</v>
      </c>
      <c r="AR162" s="182" t="s">
        <v>165</v>
      </c>
      <c r="AS162" s="578"/>
      <c r="AT162" s="182" t="s">
        <v>159</v>
      </c>
      <c r="AU162" s="182" t="s">
        <v>378</v>
      </c>
      <c r="AV162" s="182" t="s">
        <v>161</v>
      </c>
      <c r="AW162" s="182" t="s">
        <v>165</v>
      </c>
      <c r="AX162" s="578"/>
    </row>
    <row r="163" spans="1:50" ht="14.25" customHeight="1">
      <c r="B163" s="575" t="s">
        <v>379</v>
      </c>
      <c r="C163" s="180">
        <v>1</v>
      </c>
      <c r="D163" s="183" t="s">
        <v>404</v>
      </c>
      <c r="E163" s="184">
        <v>4</v>
      </c>
      <c r="F163" s="180">
        <v>3600</v>
      </c>
      <c r="G163" s="185">
        <f>F163/E163</f>
        <v>900</v>
      </c>
      <c r="H163" s="576">
        <f>AVERAGE(G163:G197)</f>
        <v>848.69463869463868</v>
      </c>
      <c r="I163" s="186">
        <f>AVERAGE(P163,U163,Z163,AE163,AJ163,AO163,AT163)</f>
        <v>4</v>
      </c>
      <c r="J163" s="186">
        <f>AVERAGE(Q163,V163,AA163,AF163,AK163,AP163,AU163)</f>
        <v>3183.5770589062586</v>
      </c>
      <c r="K163" s="187">
        <f>AVERAGE(R163,W163,AB163,AG163,AL163,AQ163,AV163)</f>
        <v>795.89426472656464</v>
      </c>
      <c r="L163" s="577">
        <f>IFERROR(AVERAGE(K163:K197),"-")</f>
        <v>754.59133104919283</v>
      </c>
      <c r="M163" s="186">
        <f>RANK(K163, K$163:$K$197)</f>
        <v>17</v>
      </c>
      <c r="N163" s="588"/>
      <c r="O163" s="578"/>
      <c r="P163" s="188">
        <v>4</v>
      </c>
      <c r="Q163" s="188">
        <v>3179.3643039924327</v>
      </c>
      <c r="R163" s="185">
        <f t="shared" ref="R163:R195" si="70">IFERROR(Q163/P163,"")</f>
        <v>794.84107599810818</v>
      </c>
      <c r="S163" s="182">
        <f>RANK(R163, R$163:R$197)</f>
        <v>17</v>
      </c>
      <c r="T163" s="574">
        <f>AVERAGE(R163:R197)</f>
        <v>754.59534297291793</v>
      </c>
      <c r="U163" s="188">
        <v>4</v>
      </c>
      <c r="V163" s="188">
        <v>3179.0043039924321</v>
      </c>
      <c r="W163" s="185">
        <f t="shared" ref="W163:W195" si="71">IFERROR(V163/U163,"")</f>
        <v>794.75107599810804</v>
      </c>
      <c r="X163" s="182">
        <f>RANK(W163, W$163:W$197)</f>
        <v>17</v>
      </c>
      <c r="Y163" s="574">
        <f>AVERAGE(W163:W197)</f>
        <v>754.62263193806371</v>
      </c>
      <c r="Z163" s="188">
        <v>4</v>
      </c>
      <c r="AA163" s="188">
        <v>3184.6141608717894</v>
      </c>
      <c r="AB163" s="185">
        <f>IFERROR(AA163/Z163,"")</f>
        <v>796.15354021794735</v>
      </c>
      <c r="AC163" s="182">
        <f>RANK(AB163, AB$163:AB$197)</f>
        <v>16</v>
      </c>
      <c r="AD163" s="574">
        <f>AVERAGE(AB163:AB197)</f>
        <v>754.70449809298657</v>
      </c>
      <c r="AE163" s="188">
        <v>4</v>
      </c>
      <c r="AF163" s="188">
        <v>3184.614160871789</v>
      </c>
      <c r="AG163" s="185">
        <f>IFERROR(AF163/AE163,"")</f>
        <v>796.15354021794724</v>
      </c>
      <c r="AH163" s="182">
        <f>RANK(AG163, AG$163:AG$197)</f>
        <v>16</v>
      </c>
      <c r="AI163" s="574">
        <f>AVERAGE(AG163:AG197)</f>
        <v>754.61017418311826</v>
      </c>
      <c r="AJ163" s="188">
        <v>4</v>
      </c>
      <c r="AK163" s="188">
        <v>3186.0541608717886</v>
      </c>
      <c r="AL163" s="185">
        <f>IFERROR(AK163/AJ163,"")</f>
        <v>796.51354021794714</v>
      </c>
      <c r="AM163" s="182">
        <f>RANK(AL163, AL$163:AL$197)</f>
        <v>15</v>
      </c>
      <c r="AN163" s="574">
        <f>AVERAGE(AL163:AL197)</f>
        <v>754.60773345452458</v>
      </c>
      <c r="AO163" s="188">
        <v>4</v>
      </c>
      <c r="AP163" s="188">
        <v>3186.4141608717882</v>
      </c>
      <c r="AQ163" s="185">
        <f>IFERROR(AP163/AO163,"")</f>
        <v>796.60354021794706</v>
      </c>
      <c r="AR163" s="182">
        <f>RANK(AQ163, AQ$163:AQ$197)</f>
        <v>15</v>
      </c>
      <c r="AS163" s="574">
        <f>AVERAGE(AQ163:AQ197)</f>
        <v>754.53169562409676</v>
      </c>
      <c r="AT163" s="188">
        <v>4</v>
      </c>
      <c r="AU163" s="188">
        <v>3184.9741608717877</v>
      </c>
      <c r="AV163" s="185">
        <f>IFERROR(AU163/AT163,"")</f>
        <v>796.24354021794693</v>
      </c>
      <c r="AW163" s="182">
        <f>RANK(AV163, AV$163:AV$197)</f>
        <v>16</v>
      </c>
      <c r="AX163" s="574">
        <f>AVERAGE(AV163:AV197)</f>
        <v>754.46724107864236</v>
      </c>
    </row>
    <row r="164" spans="1:50" ht="14.25" customHeight="1">
      <c r="B164" s="575"/>
      <c r="C164" s="180">
        <v>2</v>
      </c>
      <c r="D164" s="183" t="s">
        <v>402</v>
      </c>
      <c r="E164" s="184">
        <v>3</v>
      </c>
      <c r="F164" s="180">
        <v>3600</v>
      </c>
      <c r="G164" s="185">
        <f t="shared" ref="G164:G183" si="72">F164/E164</f>
        <v>1200</v>
      </c>
      <c r="H164" s="576"/>
      <c r="I164" s="186">
        <f t="shared" ref="I164:K193" si="73">AVERAGE(P164,U164,Z164,AE164,AJ164,AO164,AT164)</f>
        <v>3</v>
      </c>
      <c r="J164" s="186">
        <f t="shared" si="73"/>
        <v>3181.5653333603509</v>
      </c>
      <c r="K164" s="187">
        <f t="shared" si="73"/>
        <v>1060.5217777867836</v>
      </c>
      <c r="L164" s="577"/>
      <c r="M164" s="186">
        <f>RANK(K164, K$163:$K$197)</f>
        <v>6</v>
      </c>
      <c r="N164" s="588"/>
      <c r="O164" s="578"/>
      <c r="P164" s="188">
        <v>3</v>
      </c>
      <c r="Q164" s="188">
        <v>3182.6453333603504</v>
      </c>
      <c r="R164" s="185">
        <f t="shared" si="70"/>
        <v>1060.8817777867835</v>
      </c>
      <c r="S164" s="182">
        <f t="shared" ref="S164:S195" si="74">RANK(R164, R$163:R$197)</f>
        <v>5</v>
      </c>
      <c r="T164" s="574"/>
      <c r="U164" s="188">
        <v>3</v>
      </c>
      <c r="V164" s="188">
        <v>3181.9253333603497</v>
      </c>
      <c r="W164" s="185">
        <f t="shared" si="71"/>
        <v>1060.6417777867832</v>
      </c>
      <c r="X164" s="182">
        <f t="shared" ref="X164:X195" si="75">RANK(W164, W$163:W$197)</f>
        <v>6</v>
      </c>
      <c r="Y164" s="574"/>
      <c r="Z164" s="188">
        <v>3</v>
      </c>
      <c r="AA164" s="188">
        <v>3181.5653333603505</v>
      </c>
      <c r="AB164" s="185">
        <f t="shared" ref="AB164:AB195" si="76">IFERROR(AA164/Z164,"")</f>
        <v>1060.5217777867836</v>
      </c>
      <c r="AC164" s="182">
        <f t="shared" ref="AC164:AC195" si="77">RANK(AB164, AB$163:AB$197)</f>
        <v>6</v>
      </c>
      <c r="AD164" s="574"/>
      <c r="AE164" s="188">
        <v>3</v>
      </c>
      <c r="AF164" s="188">
        <v>3181.5653333603505</v>
      </c>
      <c r="AG164" s="185">
        <f t="shared" ref="AG164:AG195" si="78">IFERROR(AF164/AE164,"")</f>
        <v>1060.5217777867836</v>
      </c>
      <c r="AH164" s="182">
        <f t="shared" ref="AH164:AH195" si="79">RANK(AG164, AG$163:AG$197)</f>
        <v>6</v>
      </c>
      <c r="AI164" s="574"/>
      <c r="AJ164" s="188">
        <v>3</v>
      </c>
      <c r="AK164" s="188">
        <v>3181.5653333603505</v>
      </c>
      <c r="AL164" s="185">
        <f t="shared" ref="AL164:AL195" si="80">IFERROR(AK164/AJ164,"")</f>
        <v>1060.5217777867836</v>
      </c>
      <c r="AM164" s="182">
        <f t="shared" ref="AM164:AM195" si="81">RANK(AL164, AL$163:AL$197)</f>
        <v>6</v>
      </c>
      <c r="AN164" s="574"/>
      <c r="AO164" s="188">
        <v>3</v>
      </c>
      <c r="AP164" s="188">
        <v>3181.5653333603505</v>
      </c>
      <c r="AQ164" s="185">
        <f t="shared" ref="AQ164:AQ195" si="82">IFERROR(AP164/AO164,"")</f>
        <v>1060.5217777867836</v>
      </c>
      <c r="AR164" s="182">
        <f t="shared" ref="AR164:AR195" si="83">RANK(AQ164, AQ$163:AQ$197)</f>
        <v>6</v>
      </c>
      <c r="AS164" s="574"/>
      <c r="AT164" s="188">
        <v>3</v>
      </c>
      <c r="AU164" s="188">
        <v>3180.1253333603509</v>
      </c>
      <c r="AV164" s="185">
        <f t="shared" ref="AV164:AV195" si="84">IFERROR(AU164/AT164,"")</f>
        <v>1060.0417777867835</v>
      </c>
      <c r="AW164" s="182">
        <f t="shared" ref="AW164:AW195" si="85">RANK(AV164, AV$163:AV$197)</f>
        <v>6</v>
      </c>
      <c r="AX164" s="574"/>
    </row>
    <row r="165" spans="1:50" ht="14.25" customHeight="1">
      <c r="B165" s="575"/>
      <c r="C165" s="180">
        <v>3</v>
      </c>
      <c r="D165" s="183" t="s">
        <v>403</v>
      </c>
      <c r="E165" s="184">
        <v>5</v>
      </c>
      <c r="F165" s="180">
        <v>3600</v>
      </c>
      <c r="G165" s="185">
        <f t="shared" si="72"/>
        <v>720</v>
      </c>
      <c r="H165" s="576"/>
      <c r="I165" s="186">
        <f t="shared" si="73"/>
        <v>5</v>
      </c>
      <c r="J165" s="186">
        <f t="shared" si="73"/>
        <v>3185.2615419550525</v>
      </c>
      <c r="K165" s="187">
        <f t="shared" si="73"/>
        <v>637.05230839101046</v>
      </c>
      <c r="L165" s="577"/>
      <c r="M165" s="186">
        <f>RANK(K165, K$163:$K$197)</f>
        <v>24</v>
      </c>
      <c r="N165" s="588"/>
      <c r="O165" s="578"/>
      <c r="P165" s="188">
        <v>5</v>
      </c>
      <c r="Q165" s="188">
        <v>3183.6158276693386</v>
      </c>
      <c r="R165" s="185">
        <f t="shared" si="70"/>
        <v>636.7231655338677</v>
      </c>
      <c r="S165" s="182">
        <f t="shared" si="74"/>
        <v>24</v>
      </c>
      <c r="T165" s="574"/>
      <c r="U165" s="188">
        <v>5</v>
      </c>
      <c r="V165" s="188">
        <v>3184.6958276693381</v>
      </c>
      <c r="W165" s="185">
        <f t="shared" si="71"/>
        <v>636.93916553386759</v>
      </c>
      <c r="X165" s="182">
        <f t="shared" si="75"/>
        <v>24</v>
      </c>
      <c r="Y165" s="574"/>
      <c r="Z165" s="188">
        <v>5</v>
      </c>
      <c r="AA165" s="188">
        <v>3184.6958276693372</v>
      </c>
      <c r="AB165" s="185">
        <f t="shared" si="76"/>
        <v>636.93916553386748</v>
      </c>
      <c r="AC165" s="182">
        <f t="shared" si="77"/>
        <v>24</v>
      </c>
      <c r="AD165" s="574"/>
      <c r="AE165" s="188">
        <v>5</v>
      </c>
      <c r="AF165" s="188">
        <v>3186.1358276693372</v>
      </c>
      <c r="AG165" s="185">
        <f t="shared" si="78"/>
        <v>637.22716553386749</v>
      </c>
      <c r="AH165" s="182">
        <f t="shared" si="79"/>
        <v>24</v>
      </c>
      <c r="AI165" s="574"/>
      <c r="AJ165" s="188">
        <v>5</v>
      </c>
      <c r="AK165" s="188">
        <v>3185.0558276693378</v>
      </c>
      <c r="AL165" s="185">
        <f t="shared" si="80"/>
        <v>637.0111655338676</v>
      </c>
      <c r="AM165" s="182">
        <f t="shared" si="81"/>
        <v>24</v>
      </c>
      <c r="AN165" s="574"/>
      <c r="AO165" s="188">
        <v>5</v>
      </c>
      <c r="AP165" s="188">
        <v>3185.7758276693385</v>
      </c>
      <c r="AQ165" s="185">
        <f t="shared" si="82"/>
        <v>637.15516553386772</v>
      </c>
      <c r="AR165" s="182">
        <f t="shared" si="83"/>
        <v>24</v>
      </c>
      <c r="AS165" s="574"/>
      <c r="AT165" s="188">
        <v>5</v>
      </c>
      <c r="AU165" s="188">
        <v>3186.8558276693384</v>
      </c>
      <c r="AV165" s="185">
        <f t="shared" si="84"/>
        <v>637.37116553386772</v>
      </c>
      <c r="AW165" s="182">
        <f t="shared" si="85"/>
        <v>22</v>
      </c>
      <c r="AX165" s="574"/>
    </row>
    <row r="166" spans="1:50" ht="14.25" customHeight="1">
      <c r="B166" s="575"/>
      <c r="C166" s="180">
        <v>4</v>
      </c>
      <c r="D166" s="183" t="s">
        <v>229</v>
      </c>
      <c r="E166" s="184">
        <v>5</v>
      </c>
      <c r="F166" s="180">
        <v>3300</v>
      </c>
      <c r="G166" s="185">
        <f t="shared" si="72"/>
        <v>660</v>
      </c>
      <c r="H166" s="576"/>
      <c r="I166" s="186">
        <f t="shared" si="73"/>
        <v>5</v>
      </c>
      <c r="J166" s="186">
        <f t="shared" si="73"/>
        <v>2952.0174727125718</v>
      </c>
      <c r="K166" s="187">
        <f t="shared" si="73"/>
        <v>590.40349454251441</v>
      </c>
      <c r="L166" s="577"/>
      <c r="M166" s="186">
        <f>RANK(K166, K$163:$K$197)</f>
        <v>27</v>
      </c>
      <c r="N166" s="588"/>
      <c r="O166" s="578"/>
      <c r="P166" s="188">
        <v>5</v>
      </c>
      <c r="Q166" s="188">
        <v>2951.6874727125728</v>
      </c>
      <c r="R166" s="185">
        <f t="shared" si="70"/>
        <v>590.33749454251461</v>
      </c>
      <c r="S166" s="182">
        <f t="shared" si="74"/>
        <v>27</v>
      </c>
      <c r="T166" s="574"/>
      <c r="U166" s="188">
        <v>5</v>
      </c>
      <c r="V166" s="188">
        <v>2952.677472712573</v>
      </c>
      <c r="W166" s="185">
        <f t="shared" si="71"/>
        <v>590.53549454251458</v>
      </c>
      <c r="X166" s="182">
        <f t="shared" si="75"/>
        <v>27</v>
      </c>
      <c r="Y166" s="574"/>
      <c r="Z166" s="188">
        <v>5</v>
      </c>
      <c r="AA166" s="188">
        <v>2951.3574727125724</v>
      </c>
      <c r="AB166" s="185">
        <f t="shared" si="76"/>
        <v>590.27149454251446</v>
      </c>
      <c r="AC166" s="182">
        <f t="shared" si="77"/>
        <v>27</v>
      </c>
      <c r="AD166" s="574"/>
      <c r="AE166" s="188">
        <v>5</v>
      </c>
      <c r="AF166" s="188">
        <v>2952.0174727125718</v>
      </c>
      <c r="AG166" s="185">
        <f t="shared" si="78"/>
        <v>590.40349454251441</v>
      </c>
      <c r="AH166" s="182">
        <f t="shared" si="79"/>
        <v>27</v>
      </c>
      <c r="AI166" s="574"/>
      <c r="AJ166" s="188">
        <v>5</v>
      </c>
      <c r="AK166" s="188">
        <v>2952.6774727125717</v>
      </c>
      <c r="AL166" s="185">
        <f t="shared" si="80"/>
        <v>590.53549454251436</v>
      </c>
      <c r="AM166" s="182">
        <f t="shared" si="81"/>
        <v>27</v>
      </c>
      <c r="AN166" s="574"/>
      <c r="AO166" s="188">
        <v>5</v>
      </c>
      <c r="AP166" s="188">
        <v>2952.3474727125717</v>
      </c>
      <c r="AQ166" s="185">
        <f t="shared" si="82"/>
        <v>590.46949454251433</v>
      </c>
      <c r="AR166" s="182">
        <f t="shared" si="83"/>
        <v>27</v>
      </c>
      <c r="AS166" s="574"/>
      <c r="AT166" s="188">
        <v>5</v>
      </c>
      <c r="AU166" s="188">
        <v>2951.3574727125715</v>
      </c>
      <c r="AV166" s="185">
        <f t="shared" si="84"/>
        <v>590.27149454251435</v>
      </c>
      <c r="AW166" s="182">
        <f t="shared" si="85"/>
        <v>27</v>
      </c>
      <c r="AX166" s="574"/>
    </row>
    <row r="167" spans="1:50" ht="14.25" customHeight="1">
      <c r="B167" s="575"/>
      <c r="C167" s="180">
        <v>5</v>
      </c>
      <c r="D167" s="183" t="s">
        <v>399</v>
      </c>
      <c r="E167" s="184">
        <v>3</v>
      </c>
      <c r="F167" s="180">
        <v>3600</v>
      </c>
      <c r="G167" s="185">
        <f t="shared" si="72"/>
        <v>1200</v>
      </c>
      <c r="H167" s="576"/>
      <c r="I167" s="186">
        <f t="shared" si="73"/>
        <v>3</v>
      </c>
      <c r="J167" s="186">
        <f t="shared" si="73"/>
        <v>3183.2040007317141</v>
      </c>
      <c r="K167" s="187">
        <f t="shared" si="73"/>
        <v>1061.0680002439046</v>
      </c>
      <c r="L167" s="577"/>
      <c r="M167" s="186">
        <f>RANK(K167, K$163:$K$197)</f>
        <v>5</v>
      </c>
      <c r="N167" s="588"/>
      <c r="O167" s="578"/>
      <c r="P167" s="188">
        <v>3</v>
      </c>
      <c r="Q167" s="188">
        <v>3183.7182864459996</v>
      </c>
      <c r="R167" s="185">
        <f t="shared" si="70"/>
        <v>1061.2394288153332</v>
      </c>
      <c r="S167" s="182">
        <f t="shared" si="74"/>
        <v>4</v>
      </c>
      <c r="T167" s="574"/>
      <c r="U167" s="188">
        <v>3</v>
      </c>
      <c r="V167" s="188">
        <v>3182.9982864459998</v>
      </c>
      <c r="W167" s="185">
        <f t="shared" si="71"/>
        <v>1060.9994288153332</v>
      </c>
      <c r="X167" s="182">
        <f t="shared" si="75"/>
        <v>5</v>
      </c>
      <c r="Y167" s="574"/>
      <c r="Z167" s="188">
        <v>3</v>
      </c>
      <c r="AA167" s="188">
        <v>3184.4382864459994</v>
      </c>
      <c r="AB167" s="185">
        <f t="shared" si="76"/>
        <v>1061.4794288153332</v>
      </c>
      <c r="AC167" s="182">
        <f t="shared" si="77"/>
        <v>4</v>
      </c>
      <c r="AD167" s="574"/>
      <c r="AE167" s="188">
        <v>3</v>
      </c>
      <c r="AF167" s="188">
        <v>3183.3582864459995</v>
      </c>
      <c r="AG167" s="185">
        <f t="shared" si="78"/>
        <v>1061.1194288153331</v>
      </c>
      <c r="AH167" s="182">
        <f t="shared" si="79"/>
        <v>4</v>
      </c>
      <c r="AI167" s="574"/>
      <c r="AJ167" s="188">
        <v>3</v>
      </c>
      <c r="AK167" s="188">
        <v>3182.2782864459987</v>
      </c>
      <c r="AL167" s="185">
        <f t="shared" si="80"/>
        <v>1060.759428815333</v>
      </c>
      <c r="AM167" s="182">
        <f t="shared" si="81"/>
        <v>5</v>
      </c>
      <c r="AN167" s="574"/>
      <c r="AO167" s="188">
        <v>3</v>
      </c>
      <c r="AP167" s="188">
        <v>3182.2782864459991</v>
      </c>
      <c r="AQ167" s="185">
        <f t="shared" si="82"/>
        <v>1060.759428815333</v>
      </c>
      <c r="AR167" s="182">
        <f t="shared" si="83"/>
        <v>5</v>
      </c>
      <c r="AS167" s="574"/>
      <c r="AT167" s="188">
        <v>3</v>
      </c>
      <c r="AU167" s="188">
        <v>3183.3582864459991</v>
      </c>
      <c r="AV167" s="185">
        <f t="shared" si="84"/>
        <v>1061.1194288153331</v>
      </c>
      <c r="AW167" s="182">
        <f t="shared" si="85"/>
        <v>4</v>
      </c>
      <c r="AX167" s="574"/>
    </row>
    <row r="168" spans="1:50" ht="14.25" customHeight="1">
      <c r="B168" s="575"/>
      <c r="C168" s="180">
        <v>6</v>
      </c>
      <c r="D168" s="183" t="s">
        <v>341</v>
      </c>
      <c r="E168" s="184">
        <v>4</v>
      </c>
      <c r="F168" s="180">
        <v>3600</v>
      </c>
      <c r="G168" s="185">
        <f t="shared" si="72"/>
        <v>900</v>
      </c>
      <c r="H168" s="576"/>
      <c r="I168" s="186">
        <f t="shared" si="73"/>
        <v>4</v>
      </c>
      <c r="J168" s="186">
        <f t="shared" si="73"/>
        <v>3184.1485714285741</v>
      </c>
      <c r="K168" s="187">
        <f t="shared" si="73"/>
        <v>796.03714285714352</v>
      </c>
      <c r="L168" s="577"/>
      <c r="M168" s="186">
        <f>RANK(K168, K$163:$K$197)</f>
        <v>16</v>
      </c>
      <c r="N168" s="588"/>
      <c r="O168" s="578"/>
      <c r="P168" s="188">
        <v>4</v>
      </c>
      <c r="Q168" s="188">
        <v>3186.0000000000023</v>
      </c>
      <c r="R168" s="185">
        <f t="shared" si="70"/>
        <v>796.50000000000057</v>
      </c>
      <c r="S168" s="182">
        <f t="shared" si="74"/>
        <v>16</v>
      </c>
      <c r="T168" s="574"/>
      <c r="U168" s="188">
        <v>4</v>
      </c>
      <c r="V168" s="188">
        <v>3184.5600000000027</v>
      </c>
      <c r="W168" s="185">
        <f t="shared" si="71"/>
        <v>796.14000000000067</v>
      </c>
      <c r="X168" s="182">
        <f t="shared" si="75"/>
        <v>16</v>
      </c>
      <c r="Y168" s="574"/>
      <c r="Z168" s="188">
        <v>4</v>
      </c>
      <c r="AA168" s="188">
        <v>3183.4800000000032</v>
      </c>
      <c r="AB168" s="185">
        <f t="shared" si="76"/>
        <v>795.8700000000008</v>
      </c>
      <c r="AC168" s="182">
        <f t="shared" si="77"/>
        <v>17</v>
      </c>
      <c r="AD168" s="574"/>
      <c r="AE168" s="188">
        <v>4</v>
      </c>
      <c r="AF168" s="188">
        <v>3184.200000000003</v>
      </c>
      <c r="AG168" s="185">
        <f t="shared" si="78"/>
        <v>796.05000000000075</v>
      </c>
      <c r="AH168" s="182">
        <f t="shared" si="79"/>
        <v>17</v>
      </c>
      <c r="AI168" s="574"/>
      <c r="AJ168" s="188">
        <v>4</v>
      </c>
      <c r="AK168" s="188">
        <v>3183.4800000000032</v>
      </c>
      <c r="AL168" s="185">
        <f t="shared" si="80"/>
        <v>795.8700000000008</v>
      </c>
      <c r="AM168" s="182">
        <f t="shared" si="81"/>
        <v>17</v>
      </c>
      <c r="AN168" s="574"/>
      <c r="AO168" s="188">
        <v>4</v>
      </c>
      <c r="AP168" s="188">
        <v>3182.7600000000029</v>
      </c>
      <c r="AQ168" s="185">
        <f t="shared" si="82"/>
        <v>795.69000000000074</v>
      </c>
      <c r="AR168" s="182">
        <f t="shared" si="83"/>
        <v>17</v>
      </c>
      <c r="AS168" s="574"/>
      <c r="AT168" s="188">
        <v>4</v>
      </c>
      <c r="AU168" s="188">
        <v>3184.5600000000027</v>
      </c>
      <c r="AV168" s="185">
        <f t="shared" si="84"/>
        <v>796.14000000000067</v>
      </c>
      <c r="AW168" s="182">
        <f t="shared" si="85"/>
        <v>17</v>
      </c>
      <c r="AX168" s="574"/>
    </row>
    <row r="169" spans="1:50" ht="14.25" customHeight="1">
      <c r="B169" s="575"/>
      <c r="C169" s="180">
        <v>7</v>
      </c>
      <c r="D169" s="183" t="s">
        <v>401</v>
      </c>
      <c r="E169" s="184">
        <v>3</v>
      </c>
      <c r="F169" s="180">
        <v>3600</v>
      </c>
      <c r="G169" s="185">
        <f t="shared" si="72"/>
        <v>1200</v>
      </c>
      <c r="H169" s="576"/>
      <c r="I169" s="186">
        <f t="shared" si="73"/>
        <v>3</v>
      </c>
      <c r="J169" s="186">
        <f t="shared" si="73"/>
        <v>3183.4373359286051</v>
      </c>
      <c r="K169" s="187">
        <f t="shared" si="73"/>
        <v>1061.1457786428687</v>
      </c>
      <c r="L169" s="577"/>
      <c r="M169" s="186">
        <f>RANK(K169, K$163:$K$197)</f>
        <v>4</v>
      </c>
      <c r="N169" s="588"/>
      <c r="O169" s="578"/>
      <c r="P169" s="188">
        <v>3</v>
      </c>
      <c r="Q169" s="188">
        <v>3181.5859073571773</v>
      </c>
      <c r="R169" s="185">
        <f t="shared" si="70"/>
        <v>1060.5286357857258</v>
      </c>
      <c r="S169" s="182">
        <f t="shared" si="74"/>
        <v>6</v>
      </c>
      <c r="T169" s="574"/>
      <c r="U169" s="188">
        <v>3</v>
      </c>
      <c r="V169" s="188">
        <v>3183.3859073571771</v>
      </c>
      <c r="W169" s="185">
        <f t="shared" si="71"/>
        <v>1061.1286357857257</v>
      </c>
      <c r="X169" s="182">
        <f t="shared" si="75"/>
        <v>4</v>
      </c>
      <c r="Y169" s="574"/>
      <c r="Z169" s="188">
        <v>3</v>
      </c>
      <c r="AA169" s="188">
        <v>3182.6659073571773</v>
      </c>
      <c r="AB169" s="185">
        <f t="shared" si="76"/>
        <v>1060.8886357857257</v>
      </c>
      <c r="AC169" s="182">
        <f t="shared" si="77"/>
        <v>5</v>
      </c>
      <c r="AD169" s="574"/>
      <c r="AE169" s="188">
        <v>3</v>
      </c>
      <c r="AF169" s="188">
        <v>3182.3059073571767</v>
      </c>
      <c r="AG169" s="185">
        <f t="shared" si="78"/>
        <v>1060.7686357857256</v>
      </c>
      <c r="AH169" s="182">
        <f t="shared" si="79"/>
        <v>5</v>
      </c>
      <c r="AI169" s="574"/>
      <c r="AJ169" s="188">
        <v>3</v>
      </c>
      <c r="AK169" s="188">
        <v>3183.7459073571767</v>
      </c>
      <c r="AL169" s="185">
        <f t="shared" si="80"/>
        <v>1061.2486357857256</v>
      </c>
      <c r="AM169" s="182">
        <f t="shared" si="81"/>
        <v>4</v>
      </c>
      <c r="AN169" s="574"/>
      <c r="AO169" s="188">
        <v>3</v>
      </c>
      <c r="AP169" s="188">
        <v>3184.8259073571767</v>
      </c>
      <c r="AQ169" s="185">
        <f t="shared" si="82"/>
        <v>1061.6086357857255</v>
      </c>
      <c r="AR169" s="182">
        <f t="shared" si="83"/>
        <v>2</v>
      </c>
      <c r="AS169" s="574"/>
      <c r="AT169" s="188">
        <v>3</v>
      </c>
      <c r="AU169" s="188">
        <v>3185.5459073571765</v>
      </c>
      <c r="AV169" s="185">
        <f t="shared" si="84"/>
        <v>1061.8486357857255</v>
      </c>
      <c r="AW169" s="182">
        <f t="shared" si="85"/>
        <v>2</v>
      </c>
      <c r="AX169" s="574"/>
    </row>
    <row r="170" spans="1:50" ht="14.25" customHeight="1">
      <c r="B170" s="575"/>
      <c r="C170" s="180">
        <v>8</v>
      </c>
      <c r="D170" s="183" t="s">
        <v>400</v>
      </c>
      <c r="E170" s="184">
        <v>5</v>
      </c>
      <c r="F170" s="180">
        <v>3600</v>
      </c>
      <c r="G170" s="185">
        <f t="shared" si="72"/>
        <v>720</v>
      </c>
      <c r="H170" s="576"/>
      <c r="I170" s="186">
        <f t="shared" si="73"/>
        <v>5</v>
      </c>
      <c r="J170" s="186">
        <f t="shared" si="73"/>
        <v>3186.4962998570022</v>
      </c>
      <c r="K170" s="187">
        <f t="shared" si="73"/>
        <v>637.2992599714006</v>
      </c>
      <c r="L170" s="577"/>
      <c r="M170" s="186">
        <f>RANK(K170, K$163:$K$197)</f>
        <v>23</v>
      </c>
      <c r="N170" s="588"/>
      <c r="O170" s="578"/>
      <c r="P170" s="188">
        <v>5</v>
      </c>
      <c r="Q170" s="188">
        <v>3187.4220141427177</v>
      </c>
      <c r="R170" s="185">
        <f t="shared" si="70"/>
        <v>637.48440282854358</v>
      </c>
      <c r="S170" s="182">
        <f t="shared" si="74"/>
        <v>21</v>
      </c>
      <c r="T170" s="574"/>
      <c r="U170" s="188">
        <v>5</v>
      </c>
      <c r="V170" s="188">
        <v>3185.9820141427181</v>
      </c>
      <c r="W170" s="185">
        <f t="shared" si="71"/>
        <v>637.19640282854357</v>
      </c>
      <c r="X170" s="182">
        <f t="shared" si="75"/>
        <v>23</v>
      </c>
      <c r="Y170" s="574"/>
      <c r="Z170" s="188">
        <v>5</v>
      </c>
      <c r="AA170" s="188">
        <v>3187.7820141427169</v>
      </c>
      <c r="AB170" s="185">
        <f t="shared" si="76"/>
        <v>637.55640282854336</v>
      </c>
      <c r="AC170" s="182">
        <f t="shared" si="77"/>
        <v>22</v>
      </c>
      <c r="AD170" s="574"/>
      <c r="AE170" s="188">
        <v>5</v>
      </c>
      <c r="AF170" s="188">
        <v>3186.7020141427165</v>
      </c>
      <c r="AG170" s="185">
        <f t="shared" si="78"/>
        <v>637.34040282854335</v>
      </c>
      <c r="AH170" s="182">
        <f t="shared" si="79"/>
        <v>22</v>
      </c>
      <c r="AI170" s="574"/>
      <c r="AJ170" s="188">
        <v>5</v>
      </c>
      <c r="AK170" s="188">
        <v>3185.9820141427167</v>
      </c>
      <c r="AL170" s="185">
        <f t="shared" si="80"/>
        <v>637.19640282854334</v>
      </c>
      <c r="AM170" s="182">
        <f t="shared" si="81"/>
        <v>23</v>
      </c>
      <c r="AN170" s="574"/>
      <c r="AO170" s="188">
        <v>5</v>
      </c>
      <c r="AP170" s="188">
        <v>3185.9820141427167</v>
      </c>
      <c r="AQ170" s="185">
        <f t="shared" si="82"/>
        <v>637.19640282854334</v>
      </c>
      <c r="AR170" s="182">
        <f t="shared" si="83"/>
        <v>23</v>
      </c>
      <c r="AS170" s="574"/>
      <c r="AT170" s="188">
        <v>5</v>
      </c>
      <c r="AU170" s="188">
        <v>3185.6220141427161</v>
      </c>
      <c r="AV170" s="185">
        <f t="shared" si="84"/>
        <v>637.12440282854323</v>
      </c>
      <c r="AW170" s="182">
        <f t="shared" si="85"/>
        <v>23</v>
      </c>
      <c r="AX170" s="574"/>
    </row>
    <row r="171" spans="1:50" ht="14.25" customHeight="1">
      <c r="B171" s="575"/>
      <c r="C171" s="180">
        <v>9</v>
      </c>
      <c r="D171" s="183" t="s">
        <v>398</v>
      </c>
      <c r="E171" s="184">
        <v>5</v>
      </c>
      <c r="F171" s="180">
        <v>3600</v>
      </c>
      <c r="G171" s="185">
        <f t="shared" si="72"/>
        <v>720</v>
      </c>
      <c r="H171" s="576"/>
      <c r="I171" s="186">
        <f t="shared" si="73"/>
        <v>5</v>
      </c>
      <c r="J171" s="186">
        <f t="shared" si="73"/>
        <v>3187.0718373929449</v>
      </c>
      <c r="K171" s="187">
        <f t="shared" si="73"/>
        <v>637.41436747858904</v>
      </c>
      <c r="L171" s="577"/>
      <c r="M171" s="186">
        <f>RANK(K171, K$163:$K$197)</f>
        <v>22</v>
      </c>
      <c r="N171" s="588"/>
      <c r="O171" s="578"/>
      <c r="P171" s="188">
        <v>5</v>
      </c>
      <c r="Q171" s="188">
        <v>3187.7918373929433</v>
      </c>
      <c r="R171" s="185">
        <f t="shared" si="70"/>
        <v>637.55836747858871</v>
      </c>
      <c r="S171" s="182">
        <f t="shared" si="74"/>
        <v>20</v>
      </c>
      <c r="T171" s="574"/>
      <c r="U171" s="188">
        <v>5</v>
      </c>
      <c r="V171" s="188">
        <v>3188.511837392944</v>
      </c>
      <c r="W171" s="185">
        <f t="shared" si="71"/>
        <v>637.70236747858883</v>
      </c>
      <c r="X171" s="182">
        <f t="shared" si="75"/>
        <v>20</v>
      </c>
      <c r="Y171" s="574"/>
      <c r="Z171" s="188">
        <v>5</v>
      </c>
      <c r="AA171" s="188">
        <v>3187.431837392945</v>
      </c>
      <c r="AB171" s="185">
        <f t="shared" si="76"/>
        <v>637.48636747858905</v>
      </c>
      <c r="AC171" s="182">
        <f t="shared" si="77"/>
        <v>23</v>
      </c>
      <c r="AD171" s="574"/>
      <c r="AE171" s="188">
        <v>5</v>
      </c>
      <c r="AF171" s="188">
        <v>3187.7918373929451</v>
      </c>
      <c r="AG171" s="185">
        <f t="shared" si="78"/>
        <v>637.55836747858905</v>
      </c>
      <c r="AH171" s="182">
        <f t="shared" si="79"/>
        <v>21</v>
      </c>
      <c r="AI171" s="574"/>
      <c r="AJ171" s="188">
        <v>5</v>
      </c>
      <c r="AK171" s="188">
        <v>3187.0718373929458</v>
      </c>
      <c r="AL171" s="185">
        <f t="shared" si="80"/>
        <v>637.41436747858916</v>
      </c>
      <c r="AM171" s="182">
        <f t="shared" si="81"/>
        <v>22</v>
      </c>
      <c r="AN171" s="574"/>
      <c r="AO171" s="188">
        <v>5</v>
      </c>
      <c r="AP171" s="188">
        <v>3185.9918373929459</v>
      </c>
      <c r="AQ171" s="185">
        <f t="shared" si="82"/>
        <v>637.19836747858915</v>
      </c>
      <c r="AR171" s="182">
        <f t="shared" si="83"/>
        <v>22</v>
      </c>
      <c r="AS171" s="574"/>
      <c r="AT171" s="188">
        <v>5</v>
      </c>
      <c r="AU171" s="188">
        <v>3184.9118373929464</v>
      </c>
      <c r="AV171" s="185">
        <f t="shared" si="84"/>
        <v>636.98236747858925</v>
      </c>
      <c r="AW171" s="182">
        <f t="shared" si="85"/>
        <v>24</v>
      </c>
      <c r="AX171" s="574"/>
    </row>
    <row r="172" spans="1:50" ht="14.25" customHeight="1">
      <c r="B172" s="575"/>
      <c r="C172" s="180">
        <v>10</v>
      </c>
      <c r="D172" s="183" t="s">
        <v>228</v>
      </c>
      <c r="E172" s="184">
        <v>3</v>
      </c>
      <c r="F172" s="180">
        <v>3000</v>
      </c>
      <c r="G172" s="185">
        <f t="shared" si="72"/>
        <v>1000</v>
      </c>
      <c r="H172" s="576"/>
      <c r="I172" s="186">
        <f t="shared" si="73"/>
        <v>3</v>
      </c>
      <c r="J172" s="186">
        <f t="shared" si="73"/>
        <v>2706.1844155844115</v>
      </c>
      <c r="K172" s="187">
        <f t="shared" si="73"/>
        <v>902.06147186147052</v>
      </c>
      <c r="L172" s="577"/>
      <c r="M172" s="186">
        <f>RANK(K172, K$163:$K$197)</f>
        <v>12</v>
      </c>
      <c r="N172" s="588"/>
      <c r="O172" s="578"/>
      <c r="P172" s="188">
        <v>3</v>
      </c>
      <c r="Q172" s="188">
        <v>2705.4987012986976</v>
      </c>
      <c r="R172" s="185">
        <f t="shared" si="70"/>
        <v>901.83290043289924</v>
      </c>
      <c r="S172" s="182">
        <f t="shared" si="74"/>
        <v>12</v>
      </c>
      <c r="T172" s="574"/>
      <c r="U172" s="188">
        <v>3</v>
      </c>
      <c r="V172" s="188">
        <v>2704.8987012986977</v>
      </c>
      <c r="W172" s="185">
        <f t="shared" si="71"/>
        <v>901.63290043289919</v>
      </c>
      <c r="X172" s="182">
        <f t="shared" si="75"/>
        <v>13</v>
      </c>
      <c r="Y172" s="574"/>
      <c r="Z172" s="188">
        <v>3</v>
      </c>
      <c r="AA172" s="188">
        <v>2706.098701298698</v>
      </c>
      <c r="AB172" s="185">
        <f t="shared" si="76"/>
        <v>902.03290043289928</v>
      </c>
      <c r="AC172" s="182">
        <f t="shared" si="77"/>
        <v>12</v>
      </c>
      <c r="AD172" s="574"/>
      <c r="AE172" s="188">
        <v>3</v>
      </c>
      <c r="AF172" s="188">
        <v>2706.6987012986974</v>
      </c>
      <c r="AG172" s="185">
        <f t="shared" si="78"/>
        <v>902.2329004328991</v>
      </c>
      <c r="AH172" s="182">
        <f t="shared" si="79"/>
        <v>11</v>
      </c>
      <c r="AI172" s="574"/>
      <c r="AJ172" s="188">
        <v>3</v>
      </c>
      <c r="AK172" s="188">
        <v>2707.2987012986969</v>
      </c>
      <c r="AL172" s="185">
        <f t="shared" si="80"/>
        <v>902.43290043289892</v>
      </c>
      <c r="AM172" s="182">
        <f t="shared" si="81"/>
        <v>11</v>
      </c>
      <c r="AN172" s="574"/>
      <c r="AO172" s="188">
        <v>3</v>
      </c>
      <c r="AP172" s="188">
        <v>2706.9987012986967</v>
      </c>
      <c r="AQ172" s="185">
        <f t="shared" si="82"/>
        <v>902.3329004328989</v>
      </c>
      <c r="AR172" s="182">
        <f t="shared" si="83"/>
        <v>11</v>
      </c>
      <c r="AS172" s="574"/>
      <c r="AT172" s="188">
        <v>3</v>
      </c>
      <c r="AU172" s="188">
        <v>2705.7987012986973</v>
      </c>
      <c r="AV172" s="185">
        <f t="shared" si="84"/>
        <v>901.93290043289915</v>
      </c>
      <c r="AW172" s="182">
        <f t="shared" si="85"/>
        <v>12</v>
      </c>
      <c r="AX172" s="574"/>
    </row>
    <row r="173" spans="1:50" ht="14.25" customHeight="1">
      <c r="B173" s="575"/>
      <c r="C173" s="180">
        <v>11</v>
      </c>
      <c r="D173" s="183" t="s">
        <v>471</v>
      </c>
      <c r="E173" s="184">
        <v>12</v>
      </c>
      <c r="F173" s="180">
        <v>3600</v>
      </c>
      <c r="G173" s="185">
        <f t="shared" si="72"/>
        <v>300</v>
      </c>
      <c r="H173" s="576"/>
      <c r="I173" s="186">
        <f t="shared" si="73"/>
        <v>12</v>
      </c>
      <c r="J173" s="186">
        <f t="shared" si="73"/>
        <v>3124.1633170877212</v>
      </c>
      <c r="K173" s="187">
        <f t="shared" si="73"/>
        <v>260.34694309064344</v>
      </c>
      <c r="L173" s="577"/>
      <c r="M173" s="186">
        <f>RANK(K173, K$163:$K$197)</f>
        <v>32</v>
      </c>
      <c r="N173" s="588"/>
      <c r="O173" s="578"/>
      <c r="P173" s="188">
        <v>12</v>
      </c>
      <c r="Q173" s="188">
        <v>3123.1347456591502</v>
      </c>
      <c r="R173" s="185">
        <f t="shared" si="70"/>
        <v>260.2612288049292</v>
      </c>
      <c r="S173" s="182">
        <f t="shared" si="74"/>
        <v>32</v>
      </c>
      <c r="T173" s="574"/>
      <c r="U173" s="188">
        <v>12</v>
      </c>
      <c r="V173" s="188">
        <v>3122.0547456591503</v>
      </c>
      <c r="W173" s="185">
        <f t="shared" si="71"/>
        <v>260.17122880492917</v>
      </c>
      <c r="X173" s="182">
        <f t="shared" si="75"/>
        <v>32</v>
      </c>
      <c r="Y173" s="574"/>
      <c r="Z173" s="188">
        <v>12</v>
      </c>
      <c r="AA173" s="188">
        <v>3123.4947456591494</v>
      </c>
      <c r="AB173" s="185">
        <f t="shared" si="76"/>
        <v>260.29122880492912</v>
      </c>
      <c r="AC173" s="182">
        <f t="shared" si="77"/>
        <v>32</v>
      </c>
      <c r="AD173" s="574"/>
      <c r="AE173" s="188">
        <v>12</v>
      </c>
      <c r="AF173" s="188">
        <v>3123.8547456591496</v>
      </c>
      <c r="AG173" s="185">
        <f t="shared" si="78"/>
        <v>260.32122880492915</v>
      </c>
      <c r="AH173" s="182">
        <f t="shared" si="79"/>
        <v>32</v>
      </c>
      <c r="AI173" s="574"/>
      <c r="AJ173" s="188">
        <v>12</v>
      </c>
      <c r="AK173" s="188">
        <v>3124.934745659149</v>
      </c>
      <c r="AL173" s="185">
        <f t="shared" si="80"/>
        <v>260.41122880492907</v>
      </c>
      <c r="AM173" s="182">
        <f t="shared" si="81"/>
        <v>32</v>
      </c>
      <c r="AN173" s="574"/>
      <c r="AO173" s="188">
        <v>12</v>
      </c>
      <c r="AP173" s="188">
        <v>3125.6547456591493</v>
      </c>
      <c r="AQ173" s="185">
        <f t="shared" si="82"/>
        <v>260.47122880492913</v>
      </c>
      <c r="AR173" s="182">
        <f t="shared" si="83"/>
        <v>31</v>
      </c>
      <c r="AS173" s="574"/>
      <c r="AT173" s="188">
        <v>12</v>
      </c>
      <c r="AU173" s="188">
        <v>3126.0147456591499</v>
      </c>
      <c r="AV173" s="185">
        <f t="shared" si="84"/>
        <v>260.50122880492916</v>
      </c>
      <c r="AW173" s="182">
        <f t="shared" si="85"/>
        <v>31</v>
      </c>
      <c r="AX173" s="574"/>
    </row>
    <row r="174" spans="1:50" ht="14.25" customHeight="1">
      <c r="B174" s="575"/>
      <c r="C174" s="180">
        <v>12</v>
      </c>
      <c r="D174" s="183" t="s">
        <v>499</v>
      </c>
      <c r="E174" s="184">
        <v>3</v>
      </c>
      <c r="F174" s="180">
        <v>3300</v>
      </c>
      <c r="G174" s="185">
        <f t="shared" si="72"/>
        <v>1100</v>
      </c>
      <c r="H174" s="576"/>
      <c r="I174" s="186">
        <f t="shared" si="73"/>
        <v>3</v>
      </c>
      <c r="J174" s="186">
        <f t="shared" si="73"/>
        <v>2980.769806867715</v>
      </c>
      <c r="K174" s="187">
        <f t="shared" si="73"/>
        <v>993.58993562257172</v>
      </c>
      <c r="L174" s="577"/>
      <c r="M174" s="186">
        <f>RANK(K174, K$163:$K$197)</f>
        <v>9</v>
      </c>
      <c r="N174" s="588"/>
      <c r="O174" s="578"/>
      <c r="P174" s="188">
        <v>3</v>
      </c>
      <c r="Q174" s="188">
        <v>2980.7226640105723</v>
      </c>
      <c r="R174" s="185">
        <f t="shared" si="70"/>
        <v>993.57422133685748</v>
      </c>
      <c r="S174" s="182">
        <f t="shared" si="74"/>
        <v>9</v>
      </c>
      <c r="T174" s="574"/>
      <c r="U174" s="188">
        <v>3</v>
      </c>
      <c r="V174" s="188">
        <v>2979.7326640105721</v>
      </c>
      <c r="W174" s="185">
        <f t="shared" si="71"/>
        <v>993.24422133685732</v>
      </c>
      <c r="X174" s="182">
        <f t="shared" si="75"/>
        <v>9</v>
      </c>
      <c r="Y174" s="574"/>
      <c r="Z174" s="188">
        <v>3</v>
      </c>
      <c r="AA174" s="188">
        <v>2981.0526640105718</v>
      </c>
      <c r="AB174" s="185">
        <f t="shared" si="76"/>
        <v>993.68422133685726</v>
      </c>
      <c r="AC174" s="182">
        <f t="shared" si="77"/>
        <v>9</v>
      </c>
      <c r="AD174" s="574"/>
      <c r="AE174" s="188">
        <v>3</v>
      </c>
      <c r="AF174" s="188">
        <v>2980.7226640105719</v>
      </c>
      <c r="AG174" s="185">
        <f t="shared" si="78"/>
        <v>993.57422133685725</v>
      </c>
      <c r="AH174" s="182">
        <f t="shared" si="79"/>
        <v>9</v>
      </c>
      <c r="AI174" s="574"/>
      <c r="AJ174" s="188">
        <v>3</v>
      </c>
      <c r="AK174" s="188">
        <v>2981.0526640105713</v>
      </c>
      <c r="AL174" s="185">
        <f t="shared" si="80"/>
        <v>993.68422133685715</v>
      </c>
      <c r="AM174" s="182">
        <f t="shared" si="81"/>
        <v>9</v>
      </c>
      <c r="AN174" s="574"/>
      <c r="AO174" s="188">
        <v>3</v>
      </c>
      <c r="AP174" s="188">
        <v>2981.3826640105722</v>
      </c>
      <c r="AQ174" s="185">
        <f t="shared" si="82"/>
        <v>993.79422133685739</v>
      </c>
      <c r="AR174" s="182">
        <f t="shared" si="83"/>
        <v>9</v>
      </c>
      <c r="AS174" s="574"/>
      <c r="AT174" s="188">
        <v>3</v>
      </c>
      <c r="AU174" s="188">
        <v>2980.7226640105719</v>
      </c>
      <c r="AV174" s="185">
        <f t="shared" si="84"/>
        <v>993.57422133685725</v>
      </c>
      <c r="AW174" s="182">
        <f t="shared" si="85"/>
        <v>9</v>
      </c>
      <c r="AX174" s="574"/>
    </row>
    <row r="175" spans="1:50" ht="14.25" customHeight="1">
      <c r="B175" s="575"/>
      <c r="C175" s="180">
        <v>13</v>
      </c>
      <c r="D175" s="183" t="s">
        <v>713</v>
      </c>
      <c r="E175" s="184">
        <v>5</v>
      </c>
      <c r="F175" s="180">
        <v>3600</v>
      </c>
      <c r="G175" s="185">
        <f t="shared" si="72"/>
        <v>720</v>
      </c>
      <c r="H175" s="576"/>
      <c r="I175" s="186">
        <f t="shared" si="73"/>
        <v>5</v>
      </c>
      <c r="J175" s="186">
        <f t="shared" si="73"/>
        <v>3187.6903391034843</v>
      </c>
      <c r="K175" s="187">
        <f t="shared" si="73"/>
        <v>637.53806782069682</v>
      </c>
      <c r="L175" s="577"/>
      <c r="M175" s="186">
        <f>RANK(K175, K$163:$K$197)</f>
        <v>21</v>
      </c>
      <c r="N175" s="588"/>
      <c r="O175" s="578"/>
      <c r="P175" s="188">
        <v>5</v>
      </c>
      <c r="Q175" s="188">
        <v>3187.1760533891988</v>
      </c>
      <c r="R175" s="185">
        <f t="shared" si="70"/>
        <v>637.43521067783979</v>
      </c>
      <c r="S175" s="182">
        <f t="shared" si="74"/>
        <v>23</v>
      </c>
      <c r="T175" s="574"/>
      <c r="U175" s="188">
        <v>5</v>
      </c>
      <c r="V175" s="188">
        <v>3187.1760533891988</v>
      </c>
      <c r="W175" s="185">
        <f t="shared" si="71"/>
        <v>637.43521067783979</v>
      </c>
      <c r="X175" s="182">
        <f t="shared" si="75"/>
        <v>22</v>
      </c>
      <c r="Y175" s="574"/>
      <c r="Z175" s="188">
        <v>5</v>
      </c>
      <c r="AA175" s="188">
        <v>3187.8960533891986</v>
      </c>
      <c r="AB175" s="185">
        <f t="shared" si="76"/>
        <v>637.57921067783968</v>
      </c>
      <c r="AC175" s="182">
        <f t="shared" si="77"/>
        <v>21</v>
      </c>
      <c r="AD175" s="574"/>
      <c r="AE175" s="188">
        <v>5</v>
      </c>
      <c r="AF175" s="188">
        <v>3186.4560533891981</v>
      </c>
      <c r="AG175" s="185">
        <f t="shared" si="78"/>
        <v>637.29121067783967</v>
      </c>
      <c r="AH175" s="182">
        <f t="shared" si="79"/>
        <v>23</v>
      </c>
      <c r="AI175" s="574"/>
      <c r="AJ175" s="188">
        <v>5</v>
      </c>
      <c r="AK175" s="188">
        <v>3187.8960533891982</v>
      </c>
      <c r="AL175" s="185">
        <f t="shared" si="80"/>
        <v>637.57921067783968</v>
      </c>
      <c r="AM175" s="182">
        <f t="shared" si="81"/>
        <v>21</v>
      </c>
      <c r="AN175" s="574"/>
      <c r="AO175" s="188">
        <v>5</v>
      </c>
      <c r="AP175" s="188">
        <v>3189.3360533891978</v>
      </c>
      <c r="AQ175" s="185">
        <f t="shared" si="82"/>
        <v>637.86721067783958</v>
      </c>
      <c r="AR175" s="182">
        <f t="shared" si="83"/>
        <v>20</v>
      </c>
      <c r="AS175" s="574"/>
      <c r="AT175" s="188">
        <v>5</v>
      </c>
      <c r="AU175" s="188">
        <v>3187.8960533891977</v>
      </c>
      <c r="AV175" s="185">
        <f t="shared" si="84"/>
        <v>637.57921067783957</v>
      </c>
      <c r="AW175" s="182">
        <f t="shared" si="85"/>
        <v>21</v>
      </c>
      <c r="AX175" s="574"/>
    </row>
    <row r="176" spans="1:50" ht="14.25" customHeight="1">
      <c r="B176" s="575"/>
      <c r="C176" s="180">
        <v>14</v>
      </c>
      <c r="D176" s="183" t="s">
        <v>753</v>
      </c>
      <c r="E176" s="184">
        <v>3</v>
      </c>
      <c r="F176" s="180">
        <v>3600</v>
      </c>
      <c r="G176" s="185">
        <f t="shared" si="72"/>
        <v>1200</v>
      </c>
      <c r="H176" s="576"/>
      <c r="I176" s="186">
        <f t="shared" si="73"/>
        <v>3</v>
      </c>
      <c r="J176" s="186">
        <f t="shared" si="73"/>
        <v>3185.0187331314569</v>
      </c>
      <c r="K176" s="187">
        <f t="shared" si="73"/>
        <v>1061.6729110438189</v>
      </c>
      <c r="L176" s="577"/>
      <c r="M176" s="186">
        <f>RANK(K176, K$163:$K$197)</f>
        <v>3</v>
      </c>
      <c r="N176" s="588"/>
      <c r="O176" s="578"/>
      <c r="P176" s="188">
        <v>3</v>
      </c>
      <c r="Q176" s="188">
        <v>3187.2301617028852</v>
      </c>
      <c r="R176" s="185">
        <f t="shared" si="70"/>
        <v>1062.4100539009617</v>
      </c>
      <c r="S176" s="182">
        <f t="shared" si="74"/>
        <v>2</v>
      </c>
      <c r="T176" s="574"/>
      <c r="U176" s="188">
        <v>3</v>
      </c>
      <c r="V176" s="188">
        <v>3188.3101617028847</v>
      </c>
      <c r="W176" s="185">
        <f t="shared" si="71"/>
        <v>1062.7700539009616</v>
      </c>
      <c r="X176" s="182">
        <f t="shared" si="75"/>
        <v>2</v>
      </c>
      <c r="Y176" s="574"/>
      <c r="Z176" s="188">
        <v>3</v>
      </c>
      <c r="AA176" s="188">
        <v>3186.8701617028851</v>
      </c>
      <c r="AB176" s="185">
        <f t="shared" si="76"/>
        <v>1062.2900539009618</v>
      </c>
      <c r="AC176" s="182">
        <f t="shared" si="77"/>
        <v>3</v>
      </c>
      <c r="AD176" s="574"/>
      <c r="AE176" s="188">
        <v>3</v>
      </c>
      <c r="AF176" s="188">
        <v>3185.0701617028853</v>
      </c>
      <c r="AG176" s="185">
        <f t="shared" si="78"/>
        <v>1061.6900539009619</v>
      </c>
      <c r="AH176" s="182">
        <f t="shared" si="79"/>
        <v>3</v>
      </c>
      <c r="AI176" s="574"/>
      <c r="AJ176" s="188">
        <v>3</v>
      </c>
      <c r="AK176" s="188">
        <v>3183.9901617028854</v>
      </c>
      <c r="AL176" s="185">
        <f t="shared" si="80"/>
        <v>1061.3300539009617</v>
      </c>
      <c r="AM176" s="182">
        <f t="shared" si="81"/>
        <v>3</v>
      </c>
      <c r="AN176" s="574"/>
      <c r="AO176" s="188">
        <v>3</v>
      </c>
      <c r="AP176" s="188">
        <v>3182.5501617028854</v>
      </c>
      <c r="AQ176" s="185">
        <f t="shared" si="82"/>
        <v>1060.8500539009617</v>
      </c>
      <c r="AR176" s="182">
        <f t="shared" si="83"/>
        <v>4</v>
      </c>
      <c r="AS176" s="574"/>
      <c r="AT176" s="188">
        <v>3</v>
      </c>
      <c r="AU176" s="188">
        <v>3181.1101617028853</v>
      </c>
      <c r="AV176" s="185">
        <f t="shared" si="84"/>
        <v>1060.3700539009617</v>
      </c>
      <c r="AW176" s="182">
        <f t="shared" si="85"/>
        <v>5</v>
      </c>
      <c r="AX176" s="574"/>
    </row>
    <row r="177" spans="2:50" ht="14.25" customHeight="1">
      <c r="B177" s="575"/>
      <c r="C177" s="180">
        <v>15</v>
      </c>
      <c r="D177" s="183" t="s">
        <v>714</v>
      </c>
      <c r="E177" s="184">
        <v>5</v>
      </c>
      <c r="F177" s="180">
        <v>3600</v>
      </c>
      <c r="G177" s="185">
        <f t="shared" si="72"/>
        <v>720</v>
      </c>
      <c r="H177" s="576"/>
      <c r="I177" s="186">
        <f t="shared" si="73"/>
        <v>5</v>
      </c>
      <c r="J177" s="186">
        <f t="shared" si="73"/>
        <v>3182.1718280980981</v>
      </c>
      <c r="K177" s="187">
        <f t="shared" si="73"/>
        <v>636.43436561961971</v>
      </c>
      <c r="L177" s="577"/>
      <c r="M177" s="186">
        <f>RANK(K177, K$163:$K$197)</f>
        <v>26</v>
      </c>
      <c r="N177" s="588"/>
      <c r="O177" s="578"/>
      <c r="P177" s="188">
        <v>5</v>
      </c>
      <c r="Q177" s="188">
        <v>3181.2975423838125</v>
      </c>
      <c r="R177" s="185">
        <f t="shared" si="70"/>
        <v>636.25950847676245</v>
      </c>
      <c r="S177" s="182">
        <f t="shared" si="74"/>
        <v>26</v>
      </c>
      <c r="T177" s="574"/>
      <c r="U177" s="188">
        <v>5</v>
      </c>
      <c r="V177" s="188">
        <v>3181.6575423838121</v>
      </c>
      <c r="W177" s="185">
        <f t="shared" si="71"/>
        <v>636.33150847676245</v>
      </c>
      <c r="X177" s="182">
        <f t="shared" si="75"/>
        <v>26</v>
      </c>
      <c r="Y177" s="574"/>
      <c r="Z177" s="188">
        <v>5</v>
      </c>
      <c r="AA177" s="188">
        <v>3181.6575423838131</v>
      </c>
      <c r="AB177" s="185">
        <f t="shared" si="76"/>
        <v>636.33150847676256</v>
      </c>
      <c r="AC177" s="182">
        <f t="shared" si="77"/>
        <v>26</v>
      </c>
      <c r="AD177" s="574"/>
      <c r="AE177" s="188">
        <v>5</v>
      </c>
      <c r="AF177" s="188">
        <v>3183.4575423838128</v>
      </c>
      <c r="AG177" s="185">
        <f t="shared" si="78"/>
        <v>636.69150847676258</v>
      </c>
      <c r="AH177" s="182">
        <f t="shared" si="79"/>
        <v>25</v>
      </c>
      <c r="AI177" s="574"/>
      <c r="AJ177" s="188">
        <v>5</v>
      </c>
      <c r="AK177" s="188">
        <v>3182.3775423838129</v>
      </c>
      <c r="AL177" s="185">
        <f t="shared" si="80"/>
        <v>636.47550847676257</v>
      </c>
      <c r="AM177" s="182">
        <f t="shared" si="81"/>
        <v>26</v>
      </c>
      <c r="AN177" s="574"/>
      <c r="AO177" s="188">
        <v>5</v>
      </c>
      <c r="AP177" s="188">
        <v>3182.0175423838136</v>
      </c>
      <c r="AQ177" s="185">
        <f t="shared" si="82"/>
        <v>636.40350847676268</v>
      </c>
      <c r="AR177" s="182">
        <f t="shared" si="83"/>
        <v>26</v>
      </c>
      <c r="AS177" s="574"/>
      <c r="AT177" s="188">
        <v>5</v>
      </c>
      <c r="AU177" s="188">
        <v>3182.737542383813</v>
      </c>
      <c r="AV177" s="185">
        <f t="shared" si="84"/>
        <v>636.54750847676257</v>
      </c>
      <c r="AW177" s="182">
        <f t="shared" si="85"/>
        <v>26</v>
      </c>
      <c r="AX177" s="574"/>
    </row>
    <row r="178" spans="2:50" ht="14.25" customHeight="1">
      <c r="B178" s="575"/>
      <c r="C178" s="180">
        <v>16</v>
      </c>
      <c r="D178" s="183" t="s">
        <v>412</v>
      </c>
      <c r="E178" s="184">
        <v>5</v>
      </c>
      <c r="F178" s="180">
        <v>3600</v>
      </c>
      <c r="G178" s="185">
        <f t="shared" si="72"/>
        <v>720</v>
      </c>
      <c r="H178" s="576"/>
      <c r="I178" s="186">
        <f t="shared" si="73"/>
        <v>5</v>
      </c>
      <c r="J178" s="186">
        <f t="shared" si="73"/>
        <v>3192.7364688000262</v>
      </c>
      <c r="K178" s="187">
        <f t="shared" si="73"/>
        <v>638.54729376000523</v>
      </c>
      <c r="L178" s="577"/>
      <c r="M178" s="186">
        <f>RANK(K178, K$163:$K$197)</f>
        <v>19</v>
      </c>
      <c r="N178" s="588"/>
      <c r="O178" s="578"/>
      <c r="P178" s="188">
        <v>5</v>
      </c>
      <c r="Q178" s="188">
        <v>3192.0678973714544</v>
      </c>
      <c r="R178" s="185">
        <f t="shared" si="70"/>
        <v>638.41357947429083</v>
      </c>
      <c r="S178" s="182">
        <f t="shared" si="74"/>
        <v>19</v>
      </c>
      <c r="T178" s="574"/>
      <c r="U178" s="188">
        <v>5</v>
      </c>
      <c r="V178" s="188">
        <v>3193.8678973714541</v>
      </c>
      <c r="W178" s="185">
        <f t="shared" si="71"/>
        <v>638.77357947429084</v>
      </c>
      <c r="X178" s="182">
        <f t="shared" si="75"/>
        <v>19</v>
      </c>
      <c r="Y178" s="574"/>
      <c r="Z178" s="188">
        <v>5</v>
      </c>
      <c r="AA178" s="188">
        <v>3193.1478973714543</v>
      </c>
      <c r="AB178" s="185">
        <f t="shared" si="76"/>
        <v>638.62957947429084</v>
      </c>
      <c r="AC178" s="182">
        <f t="shared" si="77"/>
        <v>19</v>
      </c>
      <c r="AD178" s="574"/>
      <c r="AE178" s="188">
        <v>5</v>
      </c>
      <c r="AF178" s="188">
        <v>3192.7878973714542</v>
      </c>
      <c r="AG178" s="185">
        <f t="shared" si="78"/>
        <v>638.55757947429083</v>
      </c>
      <c r="AH178" s="182">
        <f t="shared" si="79"/>
        <v>19</v>
      </c>
      <c r="AI178" s="574"/>
      <c r="AJ178" s="188">
        <v>5</v>
      </c>
      <c r="AK178" s="188">
        <v>3192.4278973714545</v>
      </c>
      <c r="AL178" s="185">
        <f t="shared" si="80"/>
        <v>638.48557947429094</v>
      </c>
      <c r="AM178" s="182">
        <f t="shared" si="81"/>
        <v>19</v>
      </c>
      <c r="AN178" s="574"/>
      <c r="AO178" s="188">
        <v>5</v>
      </c>
      <c r="AP178" s="188">
        <v>3192.7878973714551</v>
      </c>
      <c r="AQ178" s="185">
        <f t="shared" si="82"/>
        <v>638.55757947429106</v>
      </c>
      <c r="AR178" s="182">
        <f t="shared" si="83"/>
        <v>19</v>
      </c>
      <c r="AS178" s="574"/>
      <c r="AT178" s="188">
        <v>5</v>
      </c>
      <c r="AU178" s="188">
        <v>3192.0678973714557</v>
      </c>
      <c r="AV178" s="185">
        <f t="shared" si="84"/>
        <v>638.41357947429117</v>
      </c>
      <c r="AW178" s="182">
        <f t="shared" si="85"/>
        <v>19</v>
      </c>
      <c r="AX178" s="574"/>
    </row>
    <row r="179" spans="2:50" ht="14.25" customHeight="1">
      <c r="B179" s="575"/>
      <c r="C179" s="180">
        <v>17</v>
      </c>
      <c r="D179" s="183" t="s">
        <v>411</v>
      </c>
      <c r="E179" s="184">
        <v>3</v>
      </c>
      <c r="F179" s="180">
        <v>3600</v>
      </c>
      <c r="G179" s="185">
        <f t="shared" si="72"/>
        <v>1200</v>
      </c>
      <c r="H179" s="576"/>
      <c r="I179" s="186">
        <f t="shared" si="73"/>
        <v>3</v>
      </c>
      <c r="J179" s="186">
        <f t="shared" si="73"/>
        <v>3185.6387703594528</v>
      </c>
      <c r="K179" s="187">
        <f t="shared" si="73"/>
        <v>1061.8795901198175</v>
      </c>
      <c r="L179" s="577"/>
      <c r="M179" s="186">
        <f>RANK(K179, K$163:$K$197)</f>
        <v>2</v>
      </c>
      <c r="N179" s="588"/>
      <c r="O179" s="578"/>
      <c r="P179" s="188">
        <v>3</v>
      </c>
      <c r="Q179" s="188">
        <v>3184.7644846451667</v>
      </c>
      <c r="R179" s="185">
        <f t="shared" si="70"/>
        <v>1061.5881615483888</v>
      </c>
      <c r="S179" s="182">
        <f t="shared" si="74"/>
        <v>3</v>
      </c>
      <c r="T179" s="574"/>
      <c r="U179" s="188">
        <v>3</v>
      </c>
      <c r="V179" s="188">
        <v>3186.2044846451663</v>
      </c>
      <c r="W179" s="185">
        <f t="shared" si="71"/>
        <v>1062.0681615483888</v>
      </c>
      <c r="X179" s="182">
        <f t="shared" si="75"/>
        <v>3</v>
      </c>
      <c r="Y179" s="574"/>
      <c r="Z179" s="188">
        <v>3</v>
      </c>
      <c r="AA179" s="188">
        <v>3188.0044846451665</v>
      </c>
      <c r="AB179" s="185">
        <f t="shared" si="76"/>
        <v>1062.6681615483888</v>
      </c>
      <c r="AC179" s="182">
        <f t="shared" si="77"/>
        <v>2</v>
      </c>
      <c r="AD179" s="574"/>
      <c r="AE179" s="188">
        <v>3</v>
      </c>
      <c r="AF179" s="188">
        <v>3186.9244846451666</v>
      </c>
      <c r="AG179" s="185">
        <f t="shared" si="78"/>
        <v>1062.3081615483889</v>
      </c>
      <c r="AH179" s="182">
        <f t="shared" si="79"/>
        <v>2</v>
      </c>
      <c r="AI179" s="574"/>
      <c r="AJ179" s="188">
        <v>3</v>
      </c>
      <c r="AK179" s="188">
        <v>3185.4844846451679</v>
      </c>
      <c r="AL179" s="185">
        <f t="shared" si="80"/>
        <v>1061.8281615483893</v>
      </c>
      <c r="AM179" s="182">
        <f t="shared" si="81"/>
        <v>2</v>
      </c>
      <c r="AN179" s="574"/>
      <c r="AO179" s="188">
        <v>3</v>
      </c>
      <c r="AP179" s="188">
        <v>3184.0444846451674</v>
      </c>
      <c r="AQ179" s="185">
        <f t="shared" si="82"/>
        <v>1061.348161548389</v>
      </c>
      <c r="AR179" s="182">
        <f t="shared" si="83"/>
        <v>3</v>
      </c>
      <c r="AS179" s="574"/>
      <c r="AT179" s="188">
        <v>3</v>
      </c>
      <c r="AU179" s="188">
        <v>3184.0444846451674</v>
      </c>
      <c r="AV179" s="185">
        <f t="shared" si="84"/>
        <v>1061.348161548389</v>
      </c>
      <c r="AW179" s="182">
        <f t="shared" si="85"/>
        <v>3</v>
      </c>
      <c r="AX179" s="574"/>
    </row>
    <row r="180" spans="2:50" ht="14.25" customHeight="1">
      <c r="B180" s="575"/>
      <c r="C180" s="180">
        <v>18</v>
      </c>
      <c r="D180" s="183" t="s">
        <v>413</v>
      </c>
      <c r="E180" s="184">
        <v>4</v>
      </c>
      <c r="F180" s="180">
        <v>3600</v>
      </c>
      <c r="G180" s="185">
        <f t="shared" si="72"/>
        <v>900</v>
      </c>
      <c r="H180" s="576"/>
      <c r="I180" s="186">
        <f t="shared" si="73"/>
        <v>4</v>
      </c>
      <c r="J180" s="186">
        <f t="shared" si="73"/>
        <v>3187.2850657573281</v>
      </c>
      <c r="K180" s="187">
        <f t="shared" si="73"/>
        <v>796.82126643933202</v>
      </c>
      <c r="L180" s="577"/>
      <c r="M180" s="186">
        <f>RANK(K180, K$163:$K$197)</f>
        <v>15</v>
      </c>
      <c r="N180" s="588"/>
      <c r="O180" s="578"/>
      <c r="P180" s="188">
        <v>4</v>
      </c>
      <c r="Q180" s="188">
        <v>3189.4964943287569</v>
      </c>
      <c r="R180" s="185">
        <f t="shared" si="70"/>
        <v>797.37412358218921</v>
      </c>
      <c r="S180" s="182">
        <f t="shared" si="74"/>
        <v>15</v>
      </c>
      <c r="T180" s="574"/>
      <c r="U180" s="188">
        <v>4</v>
      </c>
      <c r="V180" s="188">
        <v>3189.1364943287563</v>
      </c>
      <c r="W180" s="185">
        <f t="shared" si="71"/>
        <v>797.28412358218907</v>
      </c>
      <c r="X180" s="182">
        <f t="shared" si="75"/>
        <v>14</v>
      </c>
      <c r="Y180" s="574"/>
      <c r="Z180" s="188">
        <v>4</v>
      </c>
      <c r="AA180" s="188">
        <v>3187.6964943287567</v>
      </c>
      <c r="AB180" s="185">
        <f t="shared" si="76"/>
        <v>796.92412358218917</v>
      </c>
      <c r="AC180" s="182">
        <f t="shared" si="77"/>
        <v>15</v>
      </c>
      <c r="AD180" s="574"/>
      <c r="AE180" s="188">
        <v>4</v>
      </c>
      <c r="AF180" s="188">
        <v>3186.2564943287571</v>
      </c>
      <c r="AG180" s="185">
        <f t="shared" si="78"/>
        <v>796.56412358218927</v>
      </c>
      <c r="AH180" s="182">
        <f t="shared" si="79"/>
        <v>15</v>
      </c>
      <c r="AI180" s="574"/>
      <c r="AJ180" s="188">
        <v>4</v>
      </c>
      <c r="AK180" s="188">
        <v>3185.8964943287574</v>
      </c>
      <c r="AL180" s="185">
        <f t="shared" si="80"/>
        <v>796.47412358218935</v>
      </c>
      <c r="AM180" s="182">
        <f t="shared" si="81"/>
        <v>16</v>
      </c>
      <c r="AN180" s="574"/>
      <c r="AO180" s="188">
        <v>4</v>
      </c>
      <c r="AP180" s="188">
        <v>3185.5364943287577</v>
      </c>
      <c r="AQ180" s="185">
        <f t="shared" si="82"/>
        <v>796.38412358218943</v>
      </c>
      <c r="AR180" s="182">
        <f t="shared" si="83"/>
        <v>16</v>
      </c>
      <c r="AS180" s="574"/>
      <c r="AT180" s="188">
        <v>4</v>
      </c>
      <c r="AU180" s="188">
        <v>3186.9764943287573</v>
      </c>
      <c r="AV180" s="185">
        <f t="shared" si="84"/>
        <v>796.74412358218933</v>
      </c>
      <c r="AW180" s="182">
        <f t="shared" si="85"/>
        <v>14</v>
      </c>
      <c r="AX180" s="574"/>
    </row>
    <row r="181" spans="2:50" ht="14.25" customHeight="1">
      <c r="B181" s="575"/>
      <c r="C181" s="180">
        <v>19</v>
      </c>
      <c r="D181" s="183" t="s">
        <v>346</v>
      </c>
      <c r="E181" s="184">
        <v>5</v>
      </c>
      <c r="F181" s="180">
        <v>3300</v>
      </c>
      <c r="G181" s="185">
        <f t="shared" si="72"/>
        <v>660</v>
      </c>
      <c r="H181" s="576"/>
      <c r="I181" s="186">
        <f t="shared" si="73"/>
        <v>5</v>
      </c>
      <c r="J181" s="186">
        <f t="shared" si="73"/>
        <v>2950.4936493289656</v>
      </c>
      <c r="K181" s="187">
        <f t="shared" si="73"/>
        <v>590.09872986579319</v>
      </c>
      <c r="L181" s="577"/>
      <c r="M181" s="186">
        <f>RANK(K181, K$163:$K$197)</f>
        <v>28</v>
      </c>
      <c r="N181" s="588"/>
      <c r="O181" s="578"/>
      <c r="P181" s="188">
        <v>5</v>
      </c>
      <c r="Q181" s="188">
        <v>2949.8824517308876</v>
      </c>
      <c r="R181" s="185">
        <f t="shared" si="70"/>
        <v>589.97649034617757</v>
      </c>
      <c r="S181" s="182">
        <f t="shared" si="74"/>
        <v>28</v>
      </c>
      <c r="T181" s="574"/>
      <c r="U181" s="188">
        <v>5</v>
      </c>
      <c r="V181" s="188">
        <v>2950.8705155953121</v>
      </c>
      <c r="W181" s="185">
        <f t="shared" si="71"/>
        <v>590.17410311906247</v>
      </c>
      <c r="X181" s="182">
        <f t="shared" si="75"/>
        <v>28</v>
      </c>
      <c r="Y181" s="574"/>
      <c r="Z181" s="188">
        <v>5</v>
      </c>
      <c r="AA181" s="188">
        <v>2949.8805155953132</v>
      </c>
      <c r="AB181" s="185">
        <f t="shared" si="76"/>
        <v>589.9761031190626</v>
      </c>
      <c r="AC181" s="182">
        <f t="shared" si="77"/>
        <v>28</v>
      </c>
      <c r="AD181" s="574"/>
      <c r="AE181" s="188">
        <v>5</v>
      </c>
      <c r="AF181" s="188">
        <v>2949.8805155953128</v>
      </c>
      <c r="AG181" s="185">
        <f t="shared" si="78"/>
        <v>589.9761031190626</v>
      </c>
      <c r="AH181" s="182">
        <f t="shared" si="79"/>
        <v>28</v>
      </c>
      <c r="AI181" s="574"/>
      <c r="AJ181" s="188">
        <v>5</v>
      </c>
      <c r="AK181" s="188">
        <v>2951.2005155953129</v>
      </c>
      <c r="AL181" s="185">
        <f t="shared" si="80"/>
        <v>590.24010311906261</v>
      </c>
      <c r="AM181" s="182">
        <f t="shared" si="81"/>
        <v>28</v>
      </c>
      <c r="AN181" s="574"/>
      <c r="AO181" s="188">
        <v>5</v>
      </c>
      <c r="AP181" s="188">
        <v>2951.2005155953129</v>
      </c>
      <c r="AQ181" s="185">
        <f t="shared" si="82"/>
        <v>590.24010311906261</v>
      </c>
      <c r="AR181" s="182">
        <f t="shared" si="83"/>
        <v>28</v>
      </c>
      <c r="AS181" s="574"/>
      <c r="AT181" s="188">
        <v>5</v>
      </c>
      <c r="AU181" s="188">
        <v>2950.5405155953131</v>
      </c>
      <c r="AV181" s="185">
        <f t="shared" si="84"/>
        <v>590.10810311906266</v>
      </c>
      <c r="AW181" s="182">
        <f t="shared" si="85"/>
        <v>28</v>
      </c>
      <c r="AX181" s="574"/>
    </row>
    <row r="182" spans="2:50" ht="14.25" customHeight="1">
      <c r="B182" s="575"/>
      <c r="C182" s="180">
        <v>20</v>
      </c>
      <c r="D182" s="183" t="s">
        <v>406</v>
      </c>
      <c r="E182" s="184">
        <v>3</v>
      </c>
      <c r="F182" s="180">
        <v>3600</v>
      </c>
      <c r="G182" s="185">
        <f t="shared" si="72"/>
        <v>1200</v>
      </c>
      <c r="H182" s="576"/>
      <c r="I182" s="186">
        <f t="shared" si="73"/>
        <v>3</v>
      </c>
      <c r="J182" s="186">
        <f t="shared" si="73"/>
        <v>3177.3381430926124</v>
      </c>
      <c r="K182" s="187">
        <f t="shared" si="73"/>
        <v>1059.1127143642041</v>
      </c>
      <c r="L182" s="577"/>
      <c r="M182" s="186">
        <f>RANK(K182, K$163:$K$197)</f>
        <v>8</v>
      </c>
      <c r="N182" s="588"/>
      <c r="O182" s="578"/>
      <c r="P182" s="188">
        <v>3</v>
      </c>
      <c r="Q182" s="188">
        <v>3177.890718512258</v>
      </c>
      <c r="R182" s="185">
        <f t="shared" si="70"/>
        <v>1059.2969061707527</v>
      </c>
      <c r="S182" s="182">
        <f t="shared" si="74"/>
        <v>8</v>
      </c>
      <c r="T182" s="574"/>
      <c r="U182" s="188">
        <v>3</v>
      </c>
      <c r="V182" s="188">
        <v>3179.3307185122585</v>
      </c>
      <c r="W182" s="185">
        <f t="shared" si="71"/>
        <v>1059.7769061707529</v>
      </c>
      <c r="X182" s="182">
        <f t="shared" si="75"/>
        <v>7</v>
      </c>
      <c r="Y182" s="574"/>
      <c r="Z182" s="188">
        <v>3</v>
      </c>
      <c r="AA182" s="188">
        <v>3179.7826905747329</v>
      </c>
      <c r="AB182" s="185">
        <f t="shared" si="76"/>
        <v>1059.927563524911</v>
      </c>
      <c r="AC182" s="182">
        <f t="shared" si="77"/>
        <v>7</v>
      </c>
      <c r="AD182" s="574"/>
      <c r="AE182" s="188">
        <v>3</v>
      </c>
      <c r="AF182" s="188">
        <v>3177.8907185122589</v>
      </c>
      <c r="AG182" s="185">
        <f t="shared" si="78"/>
        <v>1059.2969061707529</v>
      </c>
      <c r="AH182" s="182">
        <f t="shared" si="79"/>
        <v>8</v>
      </c>
      <c r="AI182" s="574"/>
      <c r="AJ182" s="188">
        <v>3</v>
      </c>
      <c r="AK182" s="188">
        <v>3177.1707185122586</v>
      </c>
      <c r="AL182" s="185">
        <f t="shared" si="80"/>
        <v>1059.0569061707529</v>
      </c>
      <c r="AM182" s="182">
        <f t="shared" si="81"/>
        <v>8</v>
      </c>
      <c r="AN182" s="574"/>
      <c r="AO182" s="188">
        <v>3</v>
      </c>
      <c r="AP182" s="188">
        <v>3175.3707185122585</v>
      </c>
      <c r="AQ182" s="185">
        <f t="shared" si="82"/>
        <v>1058.4569061707527</v>
      </c>
      <c r="AR182" s="182">
        <f t="shared" si="83"/>
        <v>8</v>
      </c>
      <c r="AS182" s="574"/>
      <c r="AT182" s="188">
        <v>3</v>
      </c>
      <c r="AU182" s="188">
        <v>3173.9307185122584</v>
      </c>
      <c r="AV182" s="185">
        <f t="shared" si="84"/>
        <v>1057.9769061707527</v>
      </c>
      <c r="AW182" s="182">
        <f t="shared" si="85"/>
        <v>8</v>
      </c>
      <c r="AX182" s="574"/>
    </row>
    <row r="183" spans="2:50" ht="14.25" customHeight="1">
      <c r="B183" s="575"/>
      <c r="C183" s="180">
        <v>21</v>
      </c>
      <c r="D183" s="183" t="s">
        <v>651</v>
      </c>
      <c r="E183" s="184">
        <v>4</v>
      </c>
      <c r="F183" s="180">
        <v>3600</v>
      </c>
      <c r="G183" s="185">
        <f t="shared" si="72"/>
        <v>900</v>
      </c>
      <c r="H183" s="576"/>
      <c r="I183" s="186">
        <f t="shared" si="73"/>
        <v>4</v>
      </c>
      <c r="J183" s="186">
        <f t="shared" si="73"/>
        <v>3188.4685714285711</v>
      </c>
      <c r="K183" s="187">
        <f t="shared" si="73"/>
        <v>797.11714285714277</v>
      </c>
      <c r="L183" s="577"/>
      <c r="M183" s="186">
        <f>RANK(K183, K$163:$K$197)</f>
        <v>14</v>
      </c>
      <c r="N183" s="588"/>
      <c r="O183" s="578"/>
      <c r="P183" s="188">
        <v>4</v>
      </c>
      <c r="Q183" s="188">
        <v>3190.3199999999993</v>
      </c>
      <c r="R183" s="185">
        <f t="shared" si="70"/>
        <v>797.57999999999981</v>
      </c>
      <c r="S183" s="182">
        <f t="shared" si="74"/>
        <v>14</v>
      </c>
      <c r="T183" s="574"/>
      <c r="U183" s="188">
        <v>4</v>
      </c>
      <c r="V183" s="188">
        <v>3188.5199999999995</v>
      </c>
      <c r="W183" s="185">
        <f t="shared" si="71"/>
        <v>797.12999999999988</v>
      </c>
      <c r="X183" s="182">
        <f t="shared" si="75"/>
        <v>15</v>
      </c>
      <c r="Y183" s="574"/>
      <c r="Z183" s="188">
        <v>4</v>
      </c>
      <c r="AA183" s="188">
        <v>3188.8799999999992</v>
      </c>
      <c r="AB183" s="185">
        <f t="shared" si="76"/>
        <v>797.2199999999998</v>
      </c>
      <c r="AC183" s="182">
        <f t="shared" si="77"/>
        <v>14</v>
      </c>
      <c r="AD183" s="574"/>
      <c r="AE183" s="188">
        <v>4</v>
      </c>
      <c r="AF183" s="188">
        <v>3187.7999999999993</v>
      </c>
      <c r="AG183" s="185">
        <f t="shared" si="78"/>
        <v>796.94999999999982</v>
      </c>
      <c r="AH183" s="182">
        <f t="shared" si="79"/>
        <v>14</v>
      </c>
      <c r="AI183" s="574"/>
      <c r="AJ183" s="188">
        <v>4</v>
      </c>
      <c r="AK183" s="188">
        <v>3189.24</v>
      </c>
      <c r="AL183" s="185">
        <f t="shared" si="80"/>
        <v>797.31</v>
      </c>
      <c r="AM183" s="182">
        <f t="shared" si="81"/>
        <v>14</v>
      </c>
      <c r="AN183" s="574"/>
      <c r="AO183" s="188">
        <v>4</v>
      </c>
      <c r="AP183" s="188">
        <v>3187.7999999999993</v>
      </c>
      <c r="AQ183" s="185">
        <f t="shared" si="82"/>
        <v>796.94999999999982</v>
      </c>
      <c r="AR183" s="182">
        <f t="shared" si="83"/>
        <v>14</v>
      </c>
      <c r="AS183" s="574"/>
      <c r="AT183" s="188">
        <v>4</v>
      </c>
      <c r="AU183" s="188">
        <v>3186.7199999999993</v>
      </c>
      <c r="AV183" s="185">
        <f t="shared" si="84"/>
        <v>796.67999999999984</v>
      </c>
      <c r="AW183" s="182">
        <f t="shared" si="85"/>
        <v>15</v>
      </c>
      <c r="AX183" s="574"/>
    </row>
    <row r="184" spans="2:50" ht="14.25" customHeight="1">
      <c r="B184" s="575"/>
      <c r="C184" s="180">
        <v>22</v>
      </c>
      <c r="D184" s="183" t="s">
        <v>410</v>
      </c>
      <c r="E184" s="184">
        <v>3</v>
      </c>
      <c r="F184" s="180">
        <v>3600</v>
      </c>
      <c r="G184" s="185">
        <f>F184/E184</f>
        <v>1200</v>
      </c>
      <c r="H184" s="576"/>
      <c r="I184" s="186">
        <f t="shared" si="73"/>
        <v>3</v>
      </c>
      <c r="J184" s="186">
        <f t="shared" si="73"/>
        <v>3178.1460304205311</v>
      </c>
      <c r="K184" s="187">
        <f t="shared" si="73"/>
        <v>1059.3820101401768</v>
      </c>
      <c r="L184" s="577"/>
      <c r="M184" s="186">
        <f>RANK(K184, K$163:$K$197)</f>
        <v>7</v>
      </c>
      <c r="N184" s="588"/>
      <c r="O184" s="578"/>
      <c r="P184" s="188">
        <v>3</v>
      </c>
      <c r="Q184" s="188">
        <v>3180.2031732776732</v>
      </c>
      <c r="R184" s="185">
        <f t="shared" si="70"/>
        <v>1060.0677244258911</v>
      </c>
      <c r="S184" s="182">
        <f t="shared" si="74"/>
        <v>7</v>
      </c>
      <c r="T184" s="574"/>
      <c r="U184" s="188">
        <v>3</v>
      </c>
      <c r="V184" s="188">
        <v>3178.4031732776734</v>
      </c>
      <c r="W184" s="185">
        <f t="shared" si="71"/>
        <v>1059.4677244258912</v>
      </c>
      <c r="X184" s="182">
        <f t="shared" si="75"/>
        <v>8</v>
      </c>
      <c r="Y184" s="574"/>
      <c r="Z184" s="188">
        <v>3</v>
      </c>
      <c r="AA184" s="188">
        <v>3178.0431732776733</v>
      </c>
      <c r="AB184" s="185">
        <f t="shared" si="76"/>
        <v>1059.3477244258911</v>
      </c>
      <c r="AC184" s="182">
        <f t="shared" si="77"/>
        <v>8</v>
      </c>
      <c r="AD184" s="574"/>
      <c r="AE184" s="188">
        <v>3</v>
      </c>
      <c r="AF184" s="188">
        <v>3178.4031732776739</v>
      </c>
      <c r="AG184" s="185">
        <f t="shared" si="78"/>
        <v>1059.4677244258912</v>
      </c>
      <c r="AH184" s="182">
        <f t="shared" si="79"/>
        <v>7</v>
      </c>
      <c r="AI184" s="574"/>
      <c r="AJ184" s="188">
        <v>3</v>
      </c>
      <c r="AK184" s="188">
        <v>3178.7631732776731</v>
      </c>
      <c r="AL184" s="185">
        <f t="shared" si="80"/>
        <v>1059.5877244258911</v>
      </c>
      <c r="AM184" s="182">
        <f t="shared" si="81"/>
        <v>7</v>
      </c>
      <c r="AN184" s="574"/>
      <c r="AO184" s="188">
        <v>3</v>
      </c>
      <c r="AP184" s="188">
        <v>3177.323173277673</v>
      </c>
      <c r="AQ184" s="185">
        <f t="shared" si="82"/>
        <v>1059.1077244258911</v>
      </c>
      <c r="AR184" s="182">
        <f t="shared" si="83"/>
        <v>7</v>
      </c>
      <c r="AS184" s="574"/>
      <c r="AT184" s="188">
        <v>3</v>
      </c>
      <c r="AU184" s="188">
        <v>3175.8831732776734</v>
      </c>
      <c r="AV184" s="185">
        <f t="shared" si="84"/>
        <v>1058.6277244258911</v>
      </c>
      <c r="AW184" s="182">
        <f t="shared" si="85"/>
        <v>7</v>
      </c>
      <c r="AX184" s="574"/>
    </row>
    <row r="185" spans="2:50" ht="14.25" customHeight="1">
      <c r="B185" s="575"/>
      <c r="C185" s="180">
        <v>23</v>
      </c>
      <c r="D185" s="183" t="s">
        <v>409</v>
      </c>
      <c r="E185" s="184">
        <v>5</v>
      </c>
      <c r="F185" s="180">
        <v>3600</v>
      </c>
      <c r="G185" s="185">
        <f t="shared" ref="G185:G195" si="86">F185/E185</f>
        <v>720</v>
      </c>
      <c r="H185" s="576"/>
      <c r="I185" s="186">
        <f t="shared" si="73"/>
        <v>5</v>
      </c>
      <c r="J185" s="186">
        <f t="shared" si="73"/>
        <v>3188.3889204036495</v>
      </c>
      <c r="K185" s="187">
        <f t="shared" si="73"/>
        <v>637.67778408072991</v>
      </c>
      <c r="L185" s="577"/>
      <c r="M185" s="186">
        <f>RANK(K185, K$163:$K$197)</f>
        <v>20</v>
      </c>
      <c r="N185" s="588"/>
      <c r="O185" s="578"/>
      <c r="P185" s="188">
        <v>5</v>
      </c>
      <c r="Q185" s="188">
        <v>3187.2574918322207</v>
      </c>
      <c r="R185" s="185">
        <f t="shared" si="70"/>
        <v>637.45149836644418</v>
      </c>
      <c r="S185" s="182">
        <f t="shared" si="74"/>
        <v>22</v>
      </c>
      <c r="T185" s="574"/>
      <c r="U185" s="188">
        <v>5</v>
      </c>
      <c r="V185" s="188">
        <v>3187.6174918322204</v>
      </c>
      <c r="W185" s="185">
        <f t="shared" si="71"/>
        <v>637.52349836644407</v>
      </c>
      <c r="X185" s="182">
        <f t="shared" si="75"/>
        <v>21</v>
      </c>
      <c r="Y185" s="574"/>
      <c r="Z185" s="188">
        <v>5</v>
      </c>
      <c r="AA185" s="188">
        <v>3189.0574918322204</v>
      </c>
      <c r="AB185" s="185">
        <f t="shared" si="76"/>
        <v>637.81149836644408</v>
      </c>
      <c r="AC185" s="182">
        <f t="shared" si="77"/>
        <v>20</v>
      </c>
      <c r="AD185" s="574"/>
      <c r="AE185" s="188">
        <v>5</v>
      </c>
      <c r="AF185" s="188">
        <v>3189.0574918322209</v>
      </c>
      <c r="AG185" s="185">
        <f t="shared" si="78"/>
        <v>637.8114983664442</v>
      </c>
      <c r="AH185" s="182">
        <f t="shared" si="79"/>
        <v>20</v>
      </c>
      <c r="AI185" s="574"/>
      <c r="AJ185" s="188">
        <v>5</v>
      </c>
      <c r="AK185" s="188">
        <v>3188.6974918322212</v>
      </c>
      <c r="AL185" s="185">
        <f t="shared" si="80"/>
        <v>637.7394983664442</v>
      </c>
      <c r="AM185" s="182">
        <f t="shared" si="81"/>
        <v>20</v>
      </c>
      <c r="AN185" s="574"/>
      <c r="AO185" s="188">
        <v>5</v>
      </c>
      <c r="AP185" s="188">
        <v>3188.6974918322212</v>
      </c>
      <c r="AQ185" s="185">
        <f t="shared" si="82"/>
        <v>637.7394983664442</v>
      </c>
      <c r="AR185" s="182">
        <f t="shared" si="83"/>
        <v>21</v>
      </c>
      <c r="AS185" s="574"/>
      <c r="AT185" s="188">
        <v>5</v>
      </c>
      <c r="AU185" s="188">
        <v>3188.3374918322211</v>
      </c>
      <c r="AV185" s="185">
        <f t="shared" si="84"/>
        <v>637.66749836644419</v>
      </c>
      <c r="AW185" s="182">
        <f t="shared" si="85"/>
        <v>20</v>
      </c>
      <c r="AX185" s="574"/>
    </row>
    <row r="186" spans="2:50" ht="14.25" customHeight="1">
      <c r="B186" s="575"/>
      <c r="C186" s="180">
        <v>24</v>
      </c>
      <c r="D186" s="183" t="s">
        <v>405</v>
      </c>
      <c r="E186" s="184">
        <v>5</v>
      </c>
      <c r="F186" s="180">
        <v>3600</v>
      </c>
      <c r="G186" s="185">
        <f t="shared" si="86"/>
        <v>720</v>
      </c>
      <c r="H186" s="576"/>
      <c r="I186" s="186">
        <f t="shared" si="73"/>
        <v>5</v>
      </c>
      <c r="J186" s="186">
        <f t="shared" si="73"/>
        <v>3182.8603510659545</v>
      </c>
      <c r="K186" s="187">
        <f t="shared" si="73"/>
        <v>636.57207021319095</v>
      </c>
      <c r="L186" s="577"/>
      <c r="M186" s="186">
        <f>RANK(K186, K$163:$K$197)</f>
        <v>25</v>
      </c>
      <c r="N186" s="588"/>
      <c r="O186" s="578"/>
      <c r="P186" s="188">
        <v>5</v>
      </c>
      <c r="Q186" s="188">
        <v>3183.2717796373845</v>
      </c>
      <c r="R186" s="185">
        <f t="shared" si="70"/>
        <v>636.6543559274769</v>
      </c>
      <c r="S186" s="182">
        <f t="shared" si="74"/>
        <v>25</v>
      </c>
      <c r="T186" s="574"/>
      <c r="U186" s="188">
        <v>5</v>
      </c>
      <c r="V186" s="188">
        <v>3181.831779637384</v>
      </c>
      <c r="W186" s="185">
        <f t="shared" si="71"/>
        <v>636.36635592747677</v>
      </c>
      <c r="X186" s="182">
        <f t="shared" si="75"/>
        <v>25</v>
      </c>
      <c r="Y186" s="574"/>
      <c r="Z186" s="188">
        <v>5</v>
      </c>
      <c r="AA186" s="188">
        <v>3181.8317796373831</v>
      </c>
      <c r="AB186" s="185">
        <f t="shared" si="76"/>
        <v>636.36635592747666</v>
      </c>
      <c r="AC186" s="182">
        <f t="shared" si="77"/>
        <v>25</v>
      </c>
      <c r="AD186" s="574"/>
      <c r="AE186" s="188">
        <v>5</v>
      </c>
      <c r="AF186" s="188">
        <v>3181.4717796373834</v>
      </c>
      <c r="AG186" s="185">
        <f t="shared" si="78"/>
        <v>636.29435592747666</v>
      </c>
      <c r="AH186" s="182">
        <f t="shared" si="79"/>
        <v>26</v>
      </c>
      <c r="AI186" s="574"/>
      <c r="AJ186" s="188">
        <v>5</v>
      </c>
      <c r="AK186" s="188">
        <v>3182.911779637383</v>
      </c>
      <c r="AL186" s="185">
        <f t="shared" si="80"/>
        <v>636.58235592747656</v>
      </c>
      <c r="AM186" s="182">
        <f t="shared" si="81"/>
        <v>25</v>
      </c>
      <c r="AN186" s="574"/>
      <c r="AO186" s="188">
        <v>5</v>
      </c>
      <c r="AP186" s="188">
        <v>3184.3517796373826</v>
      </c>
      <c r="AQ186" s="185">
        <f t="shared" si="82"/>
        <v>636.87035592747657</v>
      </c>
      <c r="AR186" s="182">
        <f t="shared" si="83"/>
        <v>25</v>
      </c>
      <c r="AS186" s="574"/>
      <c r="AT186" s="188">
        <v>5</v>
      </c>
      <c r="AU186" s="188">
        <v>3184.3517796373826</v>
      </c>
      <c r="AV186" s="185">
        <f t="shared" si="84"/>
        <v>636.87035592747657</v>
      </c>
      <c r="AW186" s="182">
        <f t="shared" si="85"/>
        <v>25</v>
      </c>
      <c r="AX186" s="574"/>
    </row>
    <row r="187" spans="2:50" ht="14.25" customHeight="1">
      <c r="B187" s="575"/>
      <c r="C187" s="180">
        <v>25</v>
      </c>
      <c r="D187" s="183" t="s">
        <v>408</v>
      </c>
      <c r="E187" s="184">
        <v>3</v>
      </c>
      <c r="F187" s="180">
        <v>3000</v>
      </c>
      <c r="G187" s="185">
        <f t="shared" si="86"/>
        <v>1000</v>
      </c>
      <c r="H187" s="576"/>
      <c r="I187" s="186">
        <f t="shared" si="73"/>
        <v>3</v>
      </c>
      <c r="J187" s="186">
        <f t="shared" si="73"/>
        <v>2706.8387160066495</v>
      </c>
      <c r="K187" s="187">
        <f t="shared" si="73"/>
        <v>902.27957200221647</v>
      </c>
      <c r="L187" s="577"/>
      <c r="M187" s="186">
        <f>RANK(K187, K$163:$K$197)</f>
        <v>11</v>
      </c>
      <c r="N187" s="588"/>
      <c r="O187" s="578"/>
      <c r="P187" s="188">
        <v>3</v>
      </c>
      <c r="Q187" s="188">
        <v>2708.6387160066492</v>
      </c>
      <c r="R187" s="185">
        <f t="shared" si="70"/>
        <v>902.87957200221638</v>
      </c>
      <c r="S187" s="182">
        <f t="shared" si="74"/>
        <v>11</v>
      </c>
      <c r="T187" s="574"/>
      <c r="U187" s="188">
        <v>3</v>
      </c>
      <c r="V187" s="188">
        <v>2708.0387160066493</v>
      </c>
      <c r="W187" s="185">
        <f t="shared" si="71"/>
        <v>902.67957200221645</v>
      </c>
      <c r="X187" s="182">
        <f t="shared" si="75"/>
        <v>11</v>
      </c>
      <c r="Y187" s="574"/>
      <c r="Z187" s="188">
        <v>3</v>
      </c>
      <c r="AA187" s="188">
        <v>2706.83871600665</v>
      </c>
      <c r="AB187" s="185">
        <f t="shared" si="76"/>
        <v>902.2795720022167</v>
      </c>
      <c r="AC187" s="182">
        <f t="shared" si="77"/>
        <v>11</v>
      </c>
      <c r="AD187" s="574"/>
      <c r="AE187" s="188">
        <v>3</v>
      </c>
      <c r="AF187" s="188">
        <v>2705.6387160066502</v>
      </c>
      <c r="AG187" s="185">
        <f t="shared" si="78"/>
        <v>901.87957200221672</v>
      </c>
      <c r="AH187" s="182">
        <f t="shared" si="79"/>
        <v>12</v>
      </c>
      <c r="AI187" s="574"/>
      <c r="AJ187" s="188">
        <v>3</v>
      </c>
      <c r="AK187" s="188">
        <v>2706.5387160066493</v>
      </c>
      <c r="AL187" s="185">
        <f t="shared" si="80"/>
        <v>902.17957200221645</v>
      </c>
      <c r="AM187" s="182">
        <f t="shared" si="81"/>
        <v>12</v>
      </c>
      <c r="AN187" s="574"/>
      <c r="AO187" s="188">
        <v>3</v>
      </c>
      <c r="AP187" s="188">
        <v>2705.6387160066492</v>
      </c>
      <c r="AQ187" s="185">
        <f t="shared" si="82"/>
        <v>901.87957200221638</v>
      </c>
      <c r="AR187" s="182">
        <f t="shared" si="83"/>
        <v>13</v>
      </c>
      <c r="AS187" s="574"/>
      <c r="AT187" s="188">
        <v>3</v>
      </c>
      <c r="AU187" s="188">
        <v>2706.5387160066484</v>
      </c>
      <c r="AV187" s="185">
        <f t="shared" si="84"/>
        <v>902.1795720022161</v>
      </c>
      <c r="AW187" s="182">
        <f t="shared" si="85"/>
        <v>11</v>
      </c>
      <c r="AX187" s="574"/>
    </row>
    <row r="188" spans="2:50" ht="14.25" customHeight="1">
      <c r="B188" s="575"/>
      <c r="C188" s="180">
        <v>26</v>
      </c>
      <c r="D188" s="183" t="s">
        <v>463</v>
      </c>
      <c r="E188" s="184">
        <v>3</v>
      </c>
      <c r="F188" s="180">
        <v>3600</v>
      </c>
      <c r="G188" s="185">
        <f t="shared" si="86"/>
        <v>1200</v>
      </c>
      <c r="H188" s="576"/>
      <c r="I188" s="186">
        <f t="shared" si="73"/>
        <v>3</v>
      </c>
      <c r="J188" s="186">
        <f t="shared" si="73"/>
        <v>3197.8218985103836</v>
      </c>
      <c r="K188" s="187">
        <f t="shared" si="73"/>
        <v>1065.9406328367945</v>
      </c>
      <c r="L188" s="577"/>
      <c r="M188" s="186">
        <f>RANK(K188, K$163:$K$197)</f>
        <v>1</v>
      </c>
      <c r="N188" s="588"/>
      <c r="O188" s="578"/>
      <c r="P188" s="188">
        <v>3</v>
      </c>
      <c r="Q188" s="188">
        <v>3197.92475565324</v>
      </c>
      <c r="R188" s="185">
        <f t="shared" si="70"/>
        <v>1065.97491855108</v>
      </c>
      <c r="S188" s="182">
        <f t="shared" si="74"/>
        <v>1</v>
      </c>
      <c r="T188" s="574"/>
      <c r="U188" s="188">
        <v>3</v>
      </c>
      <c r="V188" s="188">
        <v>3198.6447556532403</v>
      </c>
      <c r="W188" s="185">
        <f t="shared" si="71"/>
        <v>1066.21491855108</v>
      </c>
      <c r="X188" s="182">
        <f t="shared" si="75"/>
        <v>1</v>
      </c>
      <c r="Y188" s="574"/>
      <c r="Z188" s="188">
        <v>3</v>
      </c>
      <c r="AA188" s="188">
        <v>3200.0847556532399</v>
      </c>
      <c r="AB188" s="185">
        <f t="shared" si="76"/>
        <v>1066.69491855108</v>
      </c>
      <c r="AC188" s="182">
        <f t="shared" si="77"/>
        <v>1</v>
      </c>
      <c r="AD188" s="574"/>
      <c r="AE188" s="188">
        <v>3</v>
      </c>
      <c r="AF188" s="188">
        <v>3198.2847556532406</v>
      </c>
      <c r="AG188" s="185">
        <f t="shared" si="78"/>
        <v>1066.0949185510801</v>
      </c>
      <c r="AH188" s="182">
        <f t="shared" si="79"/>
        <v>1</v>
      </c>
      <c r="AI188" s="574"/>
      <c r="AJ188" s="188">
        <v>3</v>
      </c>
      <c r="AK188" s="188">
        <v>3196.8447556532406</v>
      </c>
      <c r="AL188" s="185">
        <f t="shared" si="80"/>
        <v>1065.6149185510801</v>
      </c>
      <c r="AM188" s="182">
        <f t="shared" si="81"/>
        <v>1</v>
      </c>
      <c r="AN188" s="574"/>
      <c r="AO188" s="188">
        <v>3</v>
      </c>
      <c r="AP188" s="188">
        <v>3196.1247556532408</v>
      </c>
      <c r="AQ188" s="185">
        <f t="shared" si="82"/>
        <v>1065.3749185510803</v>
      </c>
      <c r="AR188" s="182">
        <f t="shared" si="83"/>
        <v>1</v>
      </c>
      <c r="AS188" s="574"/>
      <c r="AT188" s="188">
        <v>3</v>
      </c>
      <c r="AU188" s="188">
        <v>3196.8447556532401</v>
      </c>
      <c r="AV188" s="185">
        <f t="shared" si="84"/>
        <v>1065.6149185510801</v>
      </c>
      <c r="AW188" s="182">
        <f t="shared" si="85"/>
        <v>1</v>
      </c>
      <c r="AX188" s="574"/>
    </row>
    <row r="189" spans="2:50" ht="14.25" customHeight="1">
      <c r="B189" s="575"/>
      <c r="C189" s="180">
        <v>27</v>
      </c>
      <c r="D189" s="183" t="s">
        <v>472</v>
      </c>
      <c r="E189" s="184">
        <v>4</v>
      </c>
      <c r="F189" s="180">
        <v>3000</v>
      </c>
      <c r="G189" s="185">
        <f t="shared" si="86"/>
        <v>750</v>
      </c>
      <c r="H189" s="576"/>
      <c r="I189" s="186">
        <f t="shared" si="73"/>
        <v>4</v>
      </c>
      <c r="J189" s="186">
        <f t="shared" si="73"/>
        <v>2687.1991257927575</v>
      </c>
      <c r="K189" s="187">
        <f t="shared" si="73"/>
        <v>671.79978144818938</v>
      </c>
      <c r="L189" s="577"/>
      <c r="M189" s="186">
        <f>RANK(K189, K$163:$K$197)</f>
        <v>18</v>
      </c>
      <c r="N189" s="588"/>
      <c r="O189" s="578"/>
      <c r="P189" s="188">
        <v>4</v>
      </c>
      <c r="Q189" s="188">
        <v>2686.8248078299384</v>
      </c>
      <c r="R189" s="185">
        <f t="shared" si="70"/>
        <v>671.70620195748461</v>
      </c>
      <c r="S189" s="182">
        <f t="shared" si="74"/>
        <v>18</v>
      </c>
      <c r="T189" s="574"/>
      <c r="U189" s="188">
        <v>4</v>
      </c>
      <c r="V189" s="188">
        <v>2686.8248078299384</v>
      </c>
      <c r="W189" s="185">
        <f t="shared" si="71"/>
        <v>671.70620195748461</v>
      </c>
      <c r="X189" s="182">
        <f t="shared" si="75"/>
        <v>18</v>
      </c>
      <c r="Y189" s="574"/>
      <c r="Z189" s="188">
        <v>4</v>
      </c>
      <c r="AA189" s="188">
        <v>2686.8248078299384</v>
      </c>
      <c r="AB189" s="185">
        <f t="shared" si="76"/>
        <v>671.70620195748461</v>
      </c>
      <c r="AC189" s="182">
        <f t="shared" si="77"/>
        <v>18</v>
      </c>
      <c r="AD189" s="574"/>
      <c r="AE189" s="188">
        <v>4</v>
      </c>
      <c r="AF189" s="188">
        <v>2686.6476913985784</v>
      </c>
      <c r="AG189" s="185">
        <f t="shared" si="78"/>
        <v>671.66192284964461</v>
      </c>
      <c r="AH189" s="182">
        <f t="shared" si="79"/>
        <v>18</v>
      </c>
      <c r="AI189" s="574"/>
      <c r="AJ189" s="188">
        <v>4</v>
      </c>
      <c r="AK189" s="188">
        <v>2688.2572552203023</v>
      </c>
      <c r="AL189" s="185">
        <f t="shared" si="80"/>
        <v>672.06431380507559</v>
      </c>
      <c r="AM189" s="182">
        <f t="shared" si="81"/>
        <v>18</v>
      </c>
      <c r="AN189" s="574"/>
      <c r="AO189" s="188">
        <v>4</v>
      </c>
      <c r="AP189" s="188">
        <v>2687.0572552203025</v>
      </c>
      <c r="AQ189" s="185">
        <f t="shared" si="82"/>
        <v>671.76431380507563</v>
      </c>
      <c r="AR189" s="182">
        <f t="shared" si="83"/>
        <v>18</v>
      </c>
      <c r="AS189" s="574"/>
      <c r="AT189" s="188">
        <v>4</v>
      </c>
      <c r="AU189" s="188">
        <v>2687.9572552203022</v>
      </c>
      <c r="AV189" s="185">
        <f t="shared" si="84"/>
        <v>671.98931380507554</v>
      </c>
      <c r="AW189" s="182">
        <f t="shared" si="85"/>
        <v>18</v>
      </c>
      <c r="AX189" s="574"/>
    </row>
    <row r="190" spans="2:50" ht="14.25" customHeight="1">
      <c r="B190" s="575"/>
      <c r="C190" s="180">
        <v>28</v>
      </c>
      <c r="D190" s="183" t="s">
        <v>617</v>
      </c>
      <c r="E190" s="184">
        <v>5</v>
      </c>
      <c r="F190" s="180">
        <v>3000</v>
      </c>
      <c r="G190" s="185">
        <f t="shared" si="86"/>
        <v>600</v>
      </c>
      <c r="H190" s="576"/>
      <c r="I190" s="186">
        <f t="shared" si="73"/>
        <v>5</v>
      </c>
      <c r="J190" s="186">
        <f t="shared" si="73"/>
        <v>2688.3235860555101</v>
      </c>
      <c r="K190" s="187">
        <f t="shared" si="73"/>
        <v>537.6647172111019</v>
      </c>
      <c r="L190" s="577"/>
      <c r="M190" s="186">
        <f>RANK(K190, K$163:$K$197)</f>
        <v>29</v>
      </c>
      <c r="N190" s="588"/>
      <c r="O190" s="578"/>
      <c r="P190" s="188">
        <v>5</v>
      </c>
      <c r="Q190" s="188">
        <v>2687.2950146269395</v>
      </c>
      <c r="R190" s="185">
        <f t="shared" si="70"/>
        <v>537.45900292538795</v>
      </c>
      <c r="S190" s="182">
        <f t="shared" si="74"/>
        <v>29</v>
      </c>
      <c r="T190" s="574"/>
      <c r="U190" s="188">
        <v>5</v>
      </c>
      <c r="V190" s="188">
        <v>2688.7950146269391</v>
      </c>
      <c r="W190" s="185">
        <f t="shared" si="71"/>
        <v>537.75900292538779</v>
      </c>
      <c r="X190" s="182">
        <f t="shared" si="75"/>
        <v>29</v>
      </c>
      <c r="Y190" s="574"/>
      <c r="Z190" s="188">
        <v>5</v>
      </c>
      <c r="AA190" s="188">
        <v>2689.6950146269382</v>
      </c>
      <c r="AB190" s="185">
        <f t="shared" si="76"/>
        <v>537.93900292538763</v>
      </c>
      <c r="AC190" s="182">
        <f t="shared" si="77"/>
        <v>29</v>
      </c>
      <c r="AD190" s="574"/>
      <c r="AE190" s="188">
        <v>5</v>
      </c>
      <c r="AF190" s="188">
        <v>2688.7950146269382</v>
      </c>
      <c r="AG190" s="185">
        <f t="shared" si="78"/>
        <v>537.75900292538768</v>
      </c>
      <c r="AH190" s="182">
        <f t="shared" si="79"/>
        <v>29</v>
      </c>
      <c r="AI190" s="574"/>
      <c r="AJ190" s="188">
        <v>5</v>
      </c>
      <c r="AK190" s="188">
        <v>2688.4950146269384</v>
      </c>
      <c r="AL190" s="185">
        <f t="shared" si="80"/>
        <v>537.69900292538773</v>
      </c>
      <c r="AM190" s="182">
        <f t="shared" si="81"/>
        <v>29</v>
      </c>
      <c r="AN190" s="574"/>
      <c r="AO190" s="188">
        <v>5</v>
      </c>
      <c r="AP190" s="188">
        <v>2687.8950146269385</v>
      </c>
      <c r="AQ190" s="185">
        <f t="shared" si="82"/>
        <v>537.57900292538773</v>
      </c>
      <c r="AR190" s="182">
        <f t="shared" si="83"/>
        <v>29</v>
      </c>
      <c r="AS190" s="574"/>
      <c r="AT190" s="188">
        <v>5</v>
      </c>
      <c r="AU190" s="188">
        <v>2687.2950146269391</v>
      </c>
      <c r="AV190" s="185">
        <f t="shared" si="84"/>
        <v>537.45900292538784</v>
      </c>
      <c r="AW190" s="182">
        <f t="shared" si="85"/>
        <v>29</v>
      </c>
      <c r="AX190" s="574"/>
    </row>
    <row r="191" spans="2:50" ht="14.25" customHeight="1">
      <c r="B191" s="575"/>
      <c r="C191" s="180">
        <v>29</v>
      </c>
      <c r="D191" s="183" t="s">
        <v>652</v>
      </c>
      <c r="E191" s="184">
        <v>3</v>
      </c>
      <c r="F191" s="180">
        <v>3300</v>
      </c>
      <c r="G191" s="185">
        <f t="shared" si="86"/>
        <v>1100</v>
      </c>
      <c r="H191" s="576"/>
      <c r="I191" s="186">
        <f t="shared" si="73"/>
        <v>3</v>
      </c>
      <c r="J191" s="186">
        <f t="shared" si="73"/>
        <v>2979.098487021558</v>
      </c>
      <c r="K191" s="187">
        <f t="shared" si="73"/>
        <v>993.03282900718602</v>
      </c>
      <c r="L191" s="577"/>
      <c r="M191" s="186">
        <f>RANK(K191, K$163:$K$197)</f>
        <v>10</v>
      </c>
      <c r="N191" s="588"/>
      <c r="O191" s="578"/>
      <c r="P191" s="188">
        <v>3</v>
      </c>
      <c r="Q191" s="188">
        <v>2978.5455790602532</v>
      </c>
      <c r="R191" s="185">
        <f t="shared" si="70"/>
        <v>992.8485263534177</v>
      </c>
      <c r="S191" s="182">
        <f t="shared" si="74"/>
        <v>10</v>
      </c>
      <c r="T191" s="574"/>
      <c r="U191" s="188">
        <v>3</v>
      </c>
      <c r="V191" s="188">
        <v>2979.535579060253</v>
      </c>
      <c r="W191" s="185">
        <f t="shared" si="71"/>
        <v>993.17852635341762</v>
      </c>
      <c r="X191" s="182">
        <f t="shared" si="75"/>
        <v>10</v>
      </c>
      <c r="Y191" s="574"/>
      <c r="Z191" s="188">
        <v>3</v>
      </c>
      <c r="AA191" s="188">
        <v>2980.1955790602533</v>
      </c>
      <c r="AB191" s="185">
        <f t="shared" si="76"/>
        <v>993.39852635341776</v>
      </c>
      <c r="AC191" s="182">
        <f t="shared" si="77"/>
        <v>10</v>
      </c>
      <c r="AD191" s="574"/>
      <c r="AE191" s="188">
        <v>3</v>
      </c>
      <c r="AF191" s="188">
        <v>2979.8655790602538</v>
      </c>
      <c r="AG191" s="185">
        <f t="shared" si="78"/>
        <v>993.28852635341798</v>
      </c>
      <c r="AH191" s="182">
        <f t="shared" si="79"/>
        <v>10</v>
      </c>
      <c r="AI191" s="574"/>
      <c r="AJ191" s="188">
        <v>3</v>
      </c>
      <c r="AK191" s="188">
        <v>2979.2055790602544</v>
      </c>
      <c r="AL191" s="185">
        <f t="shared" si="80"/>
        <v>993.06852635341818</v>
      </c>
      <c r="AM191" s="182">
        <f t="shared" si="81"/>
        <v>10</v>
      </c>
      <c r="AN191" s="574"/>
      <c r="AO191" s="188">
        <v>3</v>
      </c>
      <c r="AP191" s="188">
        <v>2978.5007569248205</v>
      </c>
      <c r="AQ191" s="185">
        <f t="shared" si="82"/>
        <v>992.83358564160687</v>
      </c>
      <c r="AR191" s="182">
        <f t="shared" si="83"/>
        <v>10</v>
      </c>
      <c r="AS191" s="574"/>
      <c r="AT191" s="188">
        <v>3</v>
      </c>
      <c r="AU191" s="188">
        <v>2977.8407569248207</v>
      </c>
      <c r="AV191" s="185">
        <f t="shared" si="84"/>
        <v>992.61358564160685</v>
      </c>
      <c r="AW191" s="182">
        <f t="shared" si="85"/>
        <v>10</v>
      </c>
      <c r="AX191" s="574"/>
    </row>
    <row r="192" spans="2:50" ht="14.25" customHeight="1">
      <c r="B192" s="575"/>
      <c r="C192" s="180">
        <v>30</v>
      </c>
      <c r="D192" s="183" t="s">
        <v>551</v>
      </c>
      <c r="E192" s="184">
        <v>12</v>
      </c>
      <c r="F192" s="180">
        <v>3600</v>
      </c>
      <c r="G192" s="185">
        <f t="shared" si="86"/>
        <v>300</v>
      </c>
      <c r="H192" s="576"/>
      <c r="I192" s="186">
        <f t="shared" si="73"/>
        <v>12</v>
      </c>
      <c r="J192" s="186">
        <f t="shared" si="73"/>
        <v>3262.7936581121253</v>
      </c>
      <c r="K192" s="187">
        <f t="shared" si="73"/>
        <v>271.89947150934375</v>
      </c>
      <c r="L192" s="577"/>
      <c r="M192" s="186">
        <f>RANK(K192, K$163:$K$197)</f>
        <v>30</v>
      </c>
      <c r="N192" s="588"/>
      <c r="O192" s="578"/>
      <c r="P192" s="188">
        <v>12</v>
      </c>
      <c r="Q192" s="188">
        <v>3261.7413902918724</v>
      </c>
      <c r="R192" s="185">
        <f t="shared" si="70"/>
        <v>271.81178252432272</v>
      </c>
      <c r="S192" s="182">
        <f t="shared" si="74"/>
        <v>30</v>
      </c>
      <c r="T192" s="574"/>
      <c r="U192" s="188">
        <v>12</v>
      </c>
      <c r="V192" s="188">
        <v>3261.741390291872</v>
      </c>
      <c r="W192" s="185">
        <f t="shared" si="71"/>
        <v>271.81178252432267</v>
      </c>
      <c r="X192" s="182">
        <f t="shared" si="75"/>
        <v>30</v>
      </c>
      <c r="Y192" s="574"/>
      <c r="Z192" s="188">
        <v>12</v>
      </c>
      <c r="AA192" s="188">
        <v>3260.6613902918721</v>
      </c>
      <c r="AB192" s="185">
        <f t="shared" si="76"/>
        <v>271.72178252432269</v>
      </c>
      <c r="AC192" s="182">
        <f t="shared" si="77"/>
        <v>30</v>
      </c>
      <c r="AD192" s="574"/>
      <c r="AE192" s="188">
        <v>12</v>
      </c>
      <c r="AF192" s="188">
        <v>3262.9528589773149</v>
      </c>
      <c r="AG192" s="185">
        <f t="shared" si="78"/>
        <v>271.91273824810958</v>
      </c>
      <c r="AH192" s="182">
        <f t="shared" si="79"/>
        <v>30</v>
      </c>
      <c r="AI192" s="574"/>
      <c r="AJ192" s="188">
        <v>12</v>
      </c>
      <c r="AK192" s="188">
        <v>3264.0328589773153</v>
      </c>
      <c r="AL192" s="185">
        <f t="shared" si="80"/>
        <v>272.00273824810961</v>
      </c>
      <c r="AM192" s="182">
        <f t="shared" si="81"/>
        <v>30</v>
      </c>
      <c r="AN192" s="574"/>
      <c r="AO192" s="188">
        <v>12</v>
      </c>
      <c r="AP192" s="188">
        <v>3264.7528589773146</v>
      </c>
      <c r="AQ192" s="185">
        <f t="shared" si="82"/>
        <v>272.06273824810955</v>
      </c>
      <c r="AR192" s="182">
        <f t="shared" si="83"/>
        <v>30</v>
      </c>
      <c r="AS192" s="574"/>
      <c r="AT192" s="188">
        <v>12</v>
      </c>
      <c r="AU192" s="188">
        <v>3263.6728589773152</v>
      </c>
      <c r="AV192" s="185">
        <f t="shared" si="84"/>
        <v>271.97273824810958</v>
      </c>
      <c r="AW192" s="182">
        <f t="shared" si="85"/>
        <v>30</v>
      </c>
      <c r="AX192" s="574"/>
    </row>
    <row r="193" spans="2:50" ht="14.25" customHeight="1">
      <c r="B193" s="575"/>
      <c r="C193" s="180">
        <v>31</v>
      </c>
      <c r="D193" s="183" t="s">
        <v>584</v>
      </c>
      <c r="E193" s="180">
        <v>13</v>
      </c>
      <c r="F193" s="180">
        <v>3600</v>
      </c>
      <c r="G193" s="185">
        <f t="shared" si="86"/>
        <v>276.92307692307691</v>
      </c>
      <c r="H193" s="576"/>
      <c r="I193" s="186">
        <f t="shared" si="73"/>
        <v>13</v>
      </c>
      <c r="J193" s="186">
        <f t="shared" si="73"/>
        <v>3262.7767640778516</v>
      </c>
      <c r="K193" s="187">
        <f t="shared" si="73"/>
        <v>250.98282800598855</v>
      </c>
      <c r="L193" s="577"/>
      <c r="M193" s="186">
        <f>RANK(K193, K$163:$K$197)</f>
        <v>33</v>
      </c>
      <c r="N193" s="588"/>
      <c r="O193" s="578"/>
      <c r="P193" s="188">
        <v>13</v>
      </c>
      <c r="Q193" s="188">
        <v>3261.1340256417689</v>
      </c>
      <c r="R193" s="185">
        <f t="shared" si="70"/>
        <v>250.85646351090529</v>
      </c>
      <c r="S193" s="182">
        <f t="shared" si="74"/>
        <v>33</v>
      </c>
      <c r="T193" s="574"/>
      <c r="U193" s="188">
        <v>13</v>
      </c>
      <c r="V193" s="188">
        <v>3260.0540256417689</v>
      </c>
      <c r="W193" s="185">
        <f t="shared" si="71"/>
        <v>250.77338658782838</v>
      </c>
      <c r="X193" s="182">
        <f t="shared" si="75"/>
        <v>33</v>
      </c>
      <c r="Y193" s="574"/>
      <c r="Z193" s="188">
        <v>13</v>
      </c>
      <c r="AA193" s="188">
        <v>3261.8540256417682</v>
      </c>
      <c r="AB193" s="185">
        <f t="shared" si="76"/>
        <v>250.91184812628987</v>
      </c>
      <c r="AC193" s="182">
        <f t="shared" si="77"/>
        <v>33</v>
      </c>
      <c r="AD193" s="574"/>
      <c r="AE193" s="188">
        <v>13</v>
      </c>
      <c r="AF193" s="188">
        <v>3263.3788179049134</v>
      </c>
      <c r="AG193" s="185">
        <f t="shared" si="78"/>
        <v>251.02913983883948</v>
      </c>
      <c r="AH193" s="182">
        <f t="shared" si="79"/>
        <v>33</v>
      </c>
      <c r="AI193" s="574"/>
      <c r="AJ193" s="188">
        <v>13</v>
      </c>
      <c r="AK193" s="188">
        <v>3264.0988179049136</v>
      </c>
      <c r="AL193" s="185">
        <f t="shared" si="80"/>
        <v>251.08452445422412</v>
      </c>
      <c r="AM193" s="182">
        <f t="shared" si="81"/>
        <v>33</v>
      </c>
      <c r="AN193" s="574"/>
      <c r="AO193" s="188">
        <v>13</v>
      </c>
      <c r="AP193" s="188">
        <v>3264.4588179049142</v>
      </c>
      <c r="AQ193" s="185">
        <f t="shared" si="82"/>
        <v>251.11221676191647</v>
      </c>
      <c r="AR193" s="182">
        <f t="shared" si="83"/>
        <v>33</v>
      </c>
      <c r="AS193" s="574"/>
      <c r="AT193" s="188">
        <v>13</v>
      </c>
      <c r="AU193" s="188">
        <v>3264.4588179049142</v>
      </c>
      <c r="AV193" s="185">
        <f t="shared" si="84"/>
        <v>251.11221676191647</v>
      </c>
      <c r="AW193" s="182">
        <f t="shared" si="85"/>
        <v>33</v>
      </c>
      <c r="AX193" s="574"/>
    </row>
    <row r="194" spans="2:50" ht="14.25" customHeight="1">
      <c r="B194" s="575"/>
      <c r="C194" s="180">
        <v>32</v>
      </c>
      <c r="D194" s="183" t="s">
        <v>347</v>
      </c>
      <c r="E194" s="180">
        <v>3</v>
      </c>
      <c r="F194" s="180">
        <v>3000</v>
      </c>
      <c r="G194" s="185">
        <f t="shared" si="86"/>
        <v>1000</v>
      </c>
      <c r="H194" s="576"/>
      <c r="I194" s="186">
        <f t="shared" ref="I194:K195" si="87">AVERAGE(P194,U194,Z194,AE194,AJ194,AO194,AT194)</f>
        <v>3</v>
      </c>
      <c r="J194" s="186">
        <f t="shared" si="87"/>
        <v>2705.158031442244</v>
      </c>
      <c r="K194" s="187">
        <f t="shared" si="87"/>
        <v>901.7193438140813</v>
      </c>
      <c r="L194" s="577"/>
      <c r="M194" s="186">
        <f>RANK(K194, K$163:$K$197)</f>
        <v>13</v>
      </c>
      <c r="N194" s="588"/>
      <c r="O194" s="578"/>
      <c r="P194" s="188">
        <v>3</v>
      </c>
      <c r="Q194" s="188">
        <v>2703.9151742993877</v>
      </c>
      <c r="R194" s="185">
        <f t="shared" si="70"/>
        <v>901.30505809979593</v>
      </c>
      <c r="S194" s="182">
        <f t="shared" si="74"/>
        <v>13</v>
      </c>
      <c r="T194" s="574"/>
      <c r="U194" s="188">
        <v>3</v>
      </c>
      <c r="V194" s="188">
        <v>2705.115174299387</v>
      </c>
      <c r="W194" s="185">
        <f t="shared" si="71"/>
        <v>901.70505809979568</v>
      </c>
      <c r="X194" s="182">
        <f t="shared" si="75"/>
        <v>12</v>
      </c>
      <c r="Y194" s="574"/>
      <c r="Z194" s="188">
        <v>3</v>
      </c>
      <c r="AA194" s="188">
        <v>2705.7151742993869</v>
      </c>
      <c r="AB194" s="185">
        <f t="shared" si="76"/>
        <v>901.90505809979561</v>
      </c>
      <c r="AC194" s="182">
        <f t="shared" si="77"/>
        <v>13</v>
      </c>
      <c r="AD194" s="574"/>
      <c r="AE194" s="188">
        <v>3</v>
      </c>
      <c r="AF194" s="188">
        <v>2705.4151742993863</v>
      </c>
      <c r="AG194" s="185">
        <f t="shared" si="78"/>
        <v>901.80505809979547</v>
      </c>
      <c r="AH194" s="182">
        <f t="shared" si="79"/>
        <v>13</v>
      </c>
      <c r="AI194" s="574"/>
      <c r="AJ194" s="188">
        <v>3</v>
      </c>
      <c r="AK194" s="188">
        <v>2704.5151742993867</v>
      </c>
      <c r="AL194" s="185">
        <f t="shared" si="80"/>
        <v>901.50505809979552</v>
      </c>
      <c r="AM194" s="182">
        <f t="shared" si="81"/>
        <v>13</v>
      </c>
      <c r="AN194" s="574"/>
      <c r="AO194" s="188">
        <v>3</v>
      </c>
      <c r="AP194" s="188">
        <v>2705.7151742993865</v>
      </c>
      <c r="AQ194" s="185">
        <f t="shared" si="82"/>
        <v>901.9050580997955</v>
      </c>
      <c r="AR194" s="182">
        <f t="shared" si="83"/>
        <v>12</v>
      </c>
      <c r="AS194" s="574"/>
      <c r="AT194" s="188">
        <v>3</v>
      </c>
      <c r="AU194" s="188">
        <v>2705.7151742993865</v>
      </c>
      <c r="AV194" s="185">
        <f t="shared" si="84"/>
        <v>901.9050580997955</v>
      </c>
      <c r="AW194" s="182">
        <f t="shared" si="85"/>
        <v>13</v>
      </c>
      <c r="AX194" s="574"/>
    </row>
    <row r="195" spans="2:50" ht="14.25" customHeight="1">
      <c r="B195" s="575"/>
      <c r="C195" s="180">
        <v>33</v>
      </c>
      <c r="D195" s="183" t="s">
        <v>468</v>
      </c>
      <c r="E195" s="180">
        <v>12</v>
      </c>
      <c r="F195" s="180">
        <v>3600</v>
      </c>
      <c r="G195" s="185">
        <f t="shared" si="86"/>
        <v>300</v>
      </c>
      <c r="H195" s="576"/>
      <c r="I195" s="186">
        <f t="shared" si="87"/>
        <v>12</v>
      </c>
      <c r="J195" s="186">
        <f t="shared" si="87"/>
        <v>3126.0726869816181</v>
      </c>
      <c r="K195" s="187">
        <f t="shared" si="87"/>
        <v>260.50605724846821</v>
      </c>
      <c r="L195" s="577"/>
      <c r="M195" s="186">
        <f>RANK(K195, K$163:$K$197)</f>
        <v>31</v>
      </c>
      <c r="N195" s="588"/>
      <c r="O195" s="578"/>
      <c r="P195" s="188">
        <v>12</v>
      </c>
      <c r="Q195" s="188">
        <v>3126.4137592842353</v>
      </c>
      <c r="R195" s="185">
        <f t="shared" si="70"/>
        <v>260.53447994035292</v>
      </c>
      <c r="S195" s="182">
        <f t="shared" si="74"/>
        <v>31</v>
      </c>
      <c r="T195" s="574"/>
      <c r="U195" s="188">
        <v>12</v>
      </c>
      <c r="V195" s="188">
        <v>3126.4137592842349</v>
      </c>
      <c r="W195" s="185">
        <f t="shared" si="71"/>
        <v>260.53447994035292</v>
      </c>
      <c r="X195" s="182">
        <f t="shared" si="75"/>
        <v>31</v>
      </c>
      <c r="Y195" s="574"/>
      <c r="Z195" s="188">
        <v>12</v>
      </c>
      <c r="AA195" s="188">
        <v>3125.3337592842354</v>
      </c>
      <c r="AB195" s="185">
        <f t="shared" si="76"/>
        <v>260.44447994035295</v>
      </c>
      <c r="AC195" s="182">
        <f t="shared" si="77"/>
        <v>31</v>
      </c>
      <c r="AD195" s="574"/>
      <c r="AE195" s="188">
        <v>12</v>
      </c>
      <c r="AF195" s="188">
        <v>3126.4137592842349</v>
      </c>
      <c r="AG195" s="185">
        <f t="shared" si="78"/>
        <v>260.53447994035292</v>
      </c>
      <c r="AH195" s="182">
        <f t="shared" si="79"/>
        <v>31</v>
      </c>
      <c r="AI195" s="574"/>
      <c r="AJ195" s="188">
        <v>12</v>
      </c>
      <c r="AK195" s="188">
        <v>3126.5779239114627</v>
      </c>
      <c r="AL195" s="185">
        <f t="shared" si="80"/>
        <v>260.54816032595522</v>
      </c>
      <c r="AM195" s="182">
        <f t="shared" si="81"/>
        <v>31</v>
      </c>
      <c r="AN195" s="574"/>
      <c r="AO195" s="188">
        <v>12</v>
      </c>
      <c r="AP195" s="188">
        <v>3125.4979239114627</v>
      </c>
      <c r="AQ195" s="185">
        <f t="shared" si="82"/>
        <v>260.45816032595525</v>
      </c>
      <c r="AR195" s="182">
        <f t="shared" si="83"/>
        <v>32</v>
      </c>
      <c r="AS195" s="574"/>
      <c r="AT195" s="188">
        <v>12</v>
      </c>
      <c r="AU195" s="188">
        <v>3125.8579239114629</v>
      </c>
      <c r="AV195" s="185">
        <f t="shared" si="84"/>
        <v>260.48816032595522</v>
      </c>
      <c r="AW195" s="182">
        <f t="shared" si="85"/>
        <v>32</v>
      </c>
      <c r="AX195" s="574"/>
    </row>
    <row r="196" spans="2:50" ht="14.25" customHeight="1">
      <c r="B196" s="575"/>
      <c r="C196" s="180">
        <v>34</v>
      </c>
      <c r="D196" s="183"/>
      <c r="E196" s="180"/>
      <c r="F196" s="180"/>
      <c r="G196" s="185"/>
      <c r="H196" s="576"/>
      <c r="I196" s="186"/>
      <c r="J196" s="186"/>
      <c r="K196" s="187"/>
      <c r="L196" s="577"/>
      <c r="M196" s="186"/>
      <c r="N196" s="588"/>
      <c r="O196" s="578"/>
      <c r="P196" s="188"/>
      <c r="Q196" s="188"/>
      <c r="R196" s="185"/>
      <c r="S196" s="182"/>
      <c r="T196" s="574"/>
      <c r="U196" s="188"/>
      <c r="V196" s="188"/>
      <c r="W196" s="185"/>
      <c r="X196" s="182"/>
      <c r="Y196" s="574"/>
      <c r="Z196" s="188"/>
      <c r="AA196" s="188"/>
      <c r="AB196" s="185"/>
      <c r="AC196" s="182"/>
      <c r="AD196" s="574"/>
      <c r="AE196" s="188"/>
      <c r="AF196" s="188"/>
      <c r="AG196" s="185"/>
      <c r="AH196" s="182"/>
      <c r="AI196" s="574"/>
      <c r="AJ196" s="188"/>
      <c r="AK196" s="188"/>
      <c r="AL196" s="185"/>
      <c r="AM196" s="182"/>
      <c r="AN196" s="574"/>
      <c r="AO196" s="188"/>
      <c r="AP196" s="188"/>
      <c r="AQ196" s="185"/>
      <c r="AR196" s="182"/>
      <c r="AS196" s="574"/>
      <c r="AT196" s="188"/>
      <c r="AU196" s="188"/>
      <c r="AV196" s="185"/>
      <c r="AW196" s="182"/>
      <c r="AX196" s="574"/>
    </row>
    <row r="197" spans="2:50" ht="14.25" customHeight="1">
      <c r="B197" s="575"/>
      <c r="C197" s="180">
        <v>35</v>
      </c>
      <c r="D197" s="183"/>
      <c r="E197" s="180"/>
      <c r="F197" s="180"/>
      <c r="G197" s="185"/>
      <c r="H197" s="576"/>
      <c r="I197" s="186"/>
      <c r="J197" s="186"/>
      <c r="K197" s="187"/>
      <c r="L197" s="577"/>
      <c r="M197" s="186"/>
      <c r="N197" s="588"/>
      <c r="O197" s="578"/>
      <c r="P197" s="188"/>
      <c r="Q197" s="188"/>
      <c r="R197" s="185"/>
      <c r="S197" s="182"/>
      <c r="T197" s="574"/>
      <c r="U197" s="188"/>
      <c r="V197" s="188"/>
      <c r="W197" s="185"/>
      <c r="X197" s="182"/>
      <c r="Y197" s="574"/>
      <c r="Z197" s="188"/>
      <c r="AA197" s="188"/>
      <c r="AB197" s="185"/>
      <c r="AC197" s="182"/>
      <c r="AD197" s="574"/>
      <c r="AE197" s="188"/>
      <c r="AF197" s="188"/>
      <c r="AG197" s="185"/>
      <c r="AH197" s="182"/>
      <c r="AI197" s="574"/>
      <c r="AJ197" s="188"/>
      <c r="AK197" s="188"/>
      <c r="AL197" s="185"/>
      <c r="AM197" s="182"/>
      <c r="AN197" s="574"/>
      <c r="AO197" s="188"/>
      <c r="AP197" s="188"/>
      <c r="AQ197" s="185"/>
      <c r="AR197" s="182"/>
      <c r="AS197" s="574"/>
      <c r="AT197" s="188"/>
      <c r="AU197" s="188"/>
      <c r="AV197" s="185"/>
      <c r="AW197" s="182"/>
      <c r="AX197" s="574"/>
    </row>
  </sheetData>
  <mergeCells count="295">
    <mergeCell ref="AX163:AX197"/>
    <mergeCell ref="B163:B197"/>
    <mergeCell ref="H163:H197"/>
    <mergeCell ref="L163:L197"/>
    <mergeCell ref="T163:T197"/>
    <mergeCell ref="Y163:Y197"/>
    <mergeCell ref="AD163:AD197"/>
    <mergeCell ref="AI163:AI197"/>
    <mergeCell ref="AN163:AN197"/>
    <mergeCell ref="AS163:AS197"/>
    <mergeCell ref="AI160:AI162"/>
    <mergeCell ref="AJ160:AM160"/>
    <mergeCell ref="AN160:AN162"/>
    <mergeCell ref="AO160:AR160"/>
    <mergeCell ref="AS160:AS162"/>
    <mergeCell ref="AT160:AW160"/>
    <mergeCell ref="AX160:AX162"/>
    <mergeCell ref="E161:G161"/>
    <mergeCell ref="I161:K161"/>
    <mergeCell ref="P161:S161"/>
    <mergeCell ref="U161:X161"/>
    <mergeCell ref="Z161:AC161"/>
    <mergeCell ref="AE161:AH161"/>
    <mergeCell ref="AJ161:AM161"/>
    <mergeCell ref="AO161:AR161"/>
    <mergeCell ref="AT161:AW161"/>
    <mergeCell ref="AT158:AX158"/>
    <mergeCell ref="P159:T159"/>
    <mergeCell ref="U159:Y159"/>
    <mergeCell ref="Z159:AD159"/>
    <mergeCell ref="AE159:AI159"/>
    <mergeCell ref="AJ159:AN159"/>
    <mergeCell ref="AO159:AS159"/>
    <mergeCell ref="AT159:AX159"/>
    <mergeCell ref="B160:B162"/>
    <mergeCell ref="C160:D162"/>
    <mergeCell ref="E160:G160"/>
    <mergeCell ref="H160:H162"/>
    <mergeCell ref="I160:K160"/>
    <mergeCell ref="L160:L162"/>
    <mergeCell ref="M160:M162"/>
    <mergeCell ref="N160:N197"/>
    <mergeCell ref="O160:O197"/>
    <mergeCell ref="P160:S160"/>
    <mergeCell ref="T160:T162"/>
    <mergeCell ref="U160:X160"/>
    <mergeCell ref="Y160:Y162"/>
    <mergeCell ref="Z160:AC160"/>
    <mergeCell ref="AD160:AD162"/>
    <mergeCell ref="AE160:AH160"/>
    <mergeCell ref="B158:M159"/>
    <mergeCell ref="N158:N159"/>
    <mergeCell ref="O158:O159"/>
    <mergeCell ref="P158:T158"/>
    <mergeCell ref="U158:Y158"/>
    <mergeCell ref="Z158:AD158"/>
    <mergeCell ref="AE158:AI158"/>
    <mergeCell ref="AJ158:AN158"/>
    <mergeCell ref="AO158:AS158"/>
    <mergeCell ref="AX123:AX157"/>
    <mergeCell ref="B123:B157"/>
    <mergeCell ref="H123:H157"/>
    <mergeCell ref="L123:L157"/>
    <mergeCell ref="T123:T157"/>
    <mergeCell ref="Y123:Y157"/>
    <mergeCell ref="AD123:AD157"/>
    <mergeCell ref="AI123:AI157"/>
    <mergeCell ref="AN123:AN157"/>
    <mergeCell ref="AS123:AS157"/>
    <mergeCell ref="AI120:AI122"/>
    <mergeCell ref="AJ120:AM120"/>
    <mergeCell ref="AN120:AN122"/>
    <mergeCell ref="AO120:AR120"/>
    <mergeCell ref="AS120:AS122"/>
    <mergeCell ref="AT120:AW120"/>
    <mergeCell ref="AX120:AX122"/>
    <mergeCell ref="E121:G121"/>
    <mergeCell ref="I121:K121"/>
    <mergeCell ref="P121:S121"/>
    <mergeCell ref="U121:X121"/>
    <mergeCell ref="Z121:AC121"/>
    <mergeCell ref="AE121:AH121"/>
    <mergeCell ref="AJ121:AM121"/>
    <mergeCell ref="AO121:AR121"/>
    <mergeCell ref="AT121:AW121"/>
    <mergeCell ref="AT118:AX118"/>
    <mergeCell ref="P119:T119"/>
    <mergeCell ref="U119:Y119"/>
    <mergeCell ref="Z119:AD119"/>
    <mergeCell ref="AE119:AI119"/>
    <mergeCell ref="AJ119:AN119"/>
    <mergeCell ref="AO119:AS119"/>
    <mergeCell ref="AT119:AX119"/>
    <mergeCell ref="B120:B122"/>
    <mergeCell ref="C120:D122"/>
    <mergeCell ref="E120:G120"/>
    <mergeCell ref="H120:H122"/>
    <mergeCell ref="I120:K120"/>
    <mergeCell ref="L120:L122"/>
    <mergeCell ref="M120:M122"/>
    <mergeCell ref="N120:N157"/>
    <mergeCell ref="O120:O157"/>
    <mergeCell ref="P120:S120"/>
    <mergeCell ref="T120:T122"/>
    <mergeCell ref="U120:X120"/>
    <mergeCell ref="Y120:Y122"/>
    <mergeCell ref="Z120:AC120"/>
    <mergeCell ref="AD120:AD122"/>
    <mergeCell ref="AE120:AH120"/>
    <mergeCell ref="B118:M119"/>
    <mergeCell ref="N118:N119"/>
    <mergeCell ref="O118:O119"/>
    <mergeCell ref="P118:T118"/>
    <mergeCell ref="U118:Y118"/>
    <mergeCell ref="Z118:AD118"/>
    <mergeCell ref="AE118:AI118"/>
    <mergeCell ref="AJ118:AN118"/>
    <mergeCell ref="AO118:AS118"/>
    <mergeCell ref="AX83:AX117"/>
    <mergeCell ref="B83:B117"/>
    <mergeCell ref="H83:H117"/>
    <mergeCell ref="L83:L117"/>
    <mergeCell ref="T83:T117"/>
    <mergeCell ref="Y83:Y117"/>
    <mergeCell ref="AD83:AD117"/>
    <mergeCell ref="AI83:AI117"/>
    <mergeCell ref="AN83:AN117"/>
    <mergeCell ref="AS83:AS117"/>
    <mergeCell ref="AI80:AI82"/>
    <mergeCell ref="AJ80:AM80"/>
    <mergeCell ref="AN80:AN82"/>
    <mergeCell ref="AO80:AR80"/>
    <mergeCell ref="AS80:AS82"/>
    <mergeCell ref="AT80:AW80"/>
    <mergeCell ref="AX80:AX82"/>
    <mergeCell ref="E81:G81"/>
    <mergeCell ref="I81:K81"/>
    <mergeCell ref="P81:S81"/>
    <mergeCell ref="U81:X81"/>
    <mergeCell ref="Z81:AC81"/>
    <mergeCell ref="AE81:AH81"/>
    <mergeCell ref="AJ81:AM81"/>
    <mergeCell ref="AO81:AR81"/>
    <mergeCell ref="AT81:AW81"/>
    <mergeCell ref="AT78:AX78"/>
    <mergeCell ref="P79:T79"/>
    <mergeCell ref="U79:Y79"/>
    <mergeCell ref="Z79:AD79"/>
    <mergeCell ref="AE79:AI79"/>
    <mergeCell ref="AJ79:AN79"/>
    <mergeCell ref="AO79:AS79"/>
    <mergeCell ref="AT79:AX79"/>
    <mergeCell ref="B80:B82"/>
    <mergeCell ref="C80:D82"/>
    <mergeCell ref="E80:G80"/>
    <mergeCell ref="H80:H82"/>
    <mergeCell ref="I80:K80"/>
    <mergeCell ref="L80:L82"/>
    <mergeCell ref="M80:M82"/>
    <mergeCell ref="N80:N117"/>
    <mergeCell ref="O80:O117"/>
    <mergeCell ref="P80:S80"/>
    <mergeCell ref="T80:T82"/>
    <mergeCell ref="U80:X80"/>
    <mergeCell ref="Y80:Y82"/>
    <mergeCell ref="Z80:AC80"/>
    <mergeCell ref="AD80:AD82"/>
    <mergeCell ref="AE80:AH80"/>
    <mergeCell ref="B78:M79"/>
    <mergeCell ref="N78:N79"/>
    <mergeCell ref="O78:O79"/>
    <mergeCell ref="P78:T78"/>
    <mergeCell ref="U78:Y78"/>
    <mergeCell ref="Z78:AD78"/>
    <mergeCell ref="AE78:AI78"/>
    <mergeCell ref="AJ78:AN78"/>
    <mergeCell ref="AO78:AS78"/>
    <mergeCell ref="AX7:AX39"/>
    <mergeCell ref="B7:B39"/>
    <mergeCell ref="H7:H39"/>
    <mergeCell ref="L7:L39"/>
    <mergeCell ref="T7:T39"/>
    <mergeCell ref="Y7:Y39"/>
    <mergeCell ref="AD7:AD39"/>
    <mergeCell ref="AI7:AI39"/>
    <mergeCell ref="AN7:AN39"/>
    <mergeCell ref="AS7:AS39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39"/>
    <mergeCell ref="O4:O39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0:M41"/>
    <mergeCell ref="N40:N41"/>
    <mergeCell ref="O40:O41"/>
    <mergeCell ref="P40:T40"/>
    <mergeCell ref="U40:Y40"/>
    <mergeCell ref="Z40:AD40"/>
    <mergeCell ref="AE40:AI40"/>
    <mergeCell ref="AJ40:AN40"/>
    <mergeCell ref="AO40:AS40"/>
    <mergeCell ref="AT40:AX40"/>
    <mergeCell ref="P41:T41"/>
    <mergeCell ref="U41:Y41"/>
    <mergeCell ref="Z41:AD41"/>
    <mergeCell ref="AE41:AI41"/>
    <mergeCell ref="AJ41:AN41"/>
    <mergeCell ref="AO41:AS41"/>
    <mergeCell ref="AT41:AX41"/>
    <mergeCell ref="B42:B44"/>
    <mergeCell ref="C42:D44"/>
    <mergeCell ref="E42:G42"/>
    <mergeCell ref="H42:H44"/>
    <mergeCell ref="I42:K42"/>
    <mergeCell ref="L42:L44"/>
    <mergeCell ref="M42:M44"/>
    <mergeCell ref="N42:N77"/>
    <mergeCell ref="O42:O77"/>
    <mergeCell ref="P42:S42"/>
    <mergeCell ref="T42:T44"/>
    <mergeCell ref="U42:X42"/>
    <mergeCell ref="Y42:Y44"/>
    <mergeCell ref="Z42:AC42"/>
    <mergeCell ref="AD42:AD44"/>
    <mergeCell ref="AE42:AH42"/>
    <mergeCell ref="AI42:AI44"/>
    <mergeCell ref="AJ42:AM42"/>
    <mergeCell ref="AN42:AN44"/>
    <mergeCell ref="AO42:AR42"/>
    <mergeCell ref="AS42:AS44"/>
    <mergeCell ref="AT42:AW42"/>
    <mergeCell ref="AX42:AX44"/>
    <mergeCell ref="E43:G43"/>
    <mergeCell ref="I43:K43"/>
    <mergeCell ref="P43:S43"/>
    <mergeCell ref="U43:X43"/>
    <mergeCell ref="Z43:AC43"/>
    <mergeCell ref="AE43:AH43"/>
    <mergeCell ref="AJ43:AM43"/>
    <mergeCell ref="AO43:AR43"/>
    <mergeCell ref="AT43:AW43"/>
    <mergeCell ref="AX45:AX77"/>
    <mergeCell ref="B45:B77"/>
    <mergeCell ref="H45:H77"/>
    <mergeCell ref="L45:L77"/>
    <mergeCell ref="T45:T77"/>
    <mergeCell ref="Y45:Y77"/>
    <mergeCell ref="AD45:AD77"/>
    <mergeCell ref="AI45:AI77"/>
    <mergeCell ref="AN45:AN77"/>
    <mergeCell ref="AS45:AS77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>
    <tabColor rgb="FFFFFFCC"/>
  </sheetPr>
  <dimension ref="A1:AX101"/>
  <sheetViews>
    <sheetView zoomScaleNormal="100" workbookViewId="0">
      <pane xSplit="13" ySplit="1" topLeftCell="N80" activePane="bottomRight" state="frozen"/>
      <selection activeCell="E31" sqref="E31"/>
      <selection pane="topRight" activeCell="E31" sqref="E31"/>
      <selection pane="bottomLeft" activeCell="E31" sqref="E31"/>
      <selection pane="bottomRight" activeCell="M87" sqref="M87:M10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5" t="s">
        <v>656</v>
      </c>
      <c r="C1" s="175">
        <f>AVERAGE(L7,L27,L47,L67)</f>
        <v>320.67204374311393</v>
      </c>
    </row>
    <row r="2" spans="1:50" ht="14.25" customHeight="1" collapsed="1">
      <c r="B2" s="589" t="s">
        <v>539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600"/>
      <c r="N2" s="609" t="s">
        <v>374</v>
      </c>
      <c r="O2" s="609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2"/>
      <c r="N3" s="611"/>
      <c r="O3" s="611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375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376</v>
      </c>
      <c r="F5" s="575"/>
      <c r="G5" s="575"/>
      <c r="H5" s="575"/>
      <c r="I5" s="579" t="s">
        <v>376</v>
      </c>
      <c r="J5" s="579"/>
      <c r="K5" s="579"/>
      <c r="L5" s="579"/>
      <c r="M5" s="579"/>
      <c r="N5" s="575"/>
      <c r="O5" s="575"/>
      <c r="P5" s="575" t="s">
        <v>377</v>
      </c>
      <c r="Q5" s="575"/>
      <c r="R5" s="575"/>
      <c r="S5" s="575"/>
      <c r="T5" s="575"/>
      <c r="U5" s="575" t="s">
        <v>377</v>
      </c>
      <c r="V5" s="575"/>
      <c r="W5" s="575"/>
      <c r="X5" s="575"/>
      <c r="Y5" s="575"/>
      <c r="Z5" s="575" t="s">
        <v>377</v>
      </c>
      <c r="AA5" s="575"/>
      <c r="AB5" s="575"/>
      <c r="AC5" s="575"/>
      <c r="AD5" s="575"/>
      <c r="AE5" s="575" t="s">
        <v>377</v>
      </c>
      <c r="AF5" s="575"/>
      <c r="AG5" s="575"/>
      <c r="AH5" s="575"/>
      <c r="AI5" s="575"/>
      <c r="AJ5" s="575" t="s">
        <v>377</v>
      </c>
      <c r="AK5" s="575"/>
      <c r="AL5" s="575"/>
      <c r="AM5" s="575"/>
      <c r="AN5" s="575"/>
      <c r="AO5" s="575" t="s">
        <v>377</v>
      </c>
      <c r="AP5" s="575"/>
      <c r="AQ5" s="575"/>
      <c r="AR5" s="575"/>
      <c r="AS5" s="575"/>
      <c r="AT5" s="575" t="s">
        <v>377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378</v>
      </c>
      <c r="G6" s="180" t="s">
        <v>161</v>
      </c>
      <c r="H6" s="575"/>
      <c r="I6" s="181" t="s">
        <v>159</v>
      </c>
      <c r="J6" s="181" t="s">
        <v>378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378</v>
      </c>
      <c r="R6" s="180" t="s">
        <v>161</v>
      </c>
      <c r="S6" s="182" t="s">
        <v>165</v>
      </c>
      <c r="T6" s="575"/>
      <c r="U6" s="180" t="s">
        <v>159</v>
      </c>
      <c r="V6" s="180" t="s">
        <v>378</v>
      </c>
      <c r="W6" s="180" t="s">
        <v>161</v>
      </c>
      <c r="X6" s="182" t="s">
        <v>165</v>
      </c>
      <c r="Y6" s="575"/>
      <c r="Z6" s="180" t="s">
        <v>159</v>
      </c>
      <c r="AA6" s="180" t="s">
        <v>378</v>
      </c>
      <c r="AB6" s="180" t="s">
        <v>161</v>
      </c>
      <c r="AC6" s="182" t="s">
        <v>165</v>
      </c>
      <c r="AD6" s="575"/>
      <c r="AE6" s="180" t="s">
        <v>159</v>
      </c>
      <c r="AF6" s="180" t="s">
        <v>378</v>
      </c>
      <c r="AG6" s="180" t="s">
        <v>161</v>
      </c>
      <c r="AH6" s="182" t="s">
        <v>165</v>
      </c>
      <c r="AI6" s="575"/>
      <c r="AJ6" s="180" t="s">
        <v>159</v>
      </c>
      <c r="AK6" s="180" t="s">
        <v>378</v>
      </c>
      <c r="AL6" s="180" t="s">
        <v>161</v>
      </c>
      <c r="AM6" s="182" t="s">
        <v>165</v>
      </c>
      <c r="AN6" s="575"/>
      <c r="AO6" s="180" t="s">
        <v>159</v>
      </c>
      <c r="AP6" s="180" t="s">
        <v>378</v>
      </c>
      <c r="AQ6" s="180" t="s">
        <v>161</v>
      </c>
      <c r="AR6" s="182" t="s">
        <v>165</v>
      </c>
      <c r="AS6" s="575"/>
      <c r="AT6" s="180" t="s">
        <v>159</v>
      </c>
      <c r="AU6" s="180" t="s">
        <v>378</v>
      </c>
      <c r="AV6" s="180" t="s">
        <v>161</v>
      </c>
      <c r="AW6" s="182" t="s">
        <v>165</v>
      </c>
      <c r="AX6" s="575"/>
    </row>
    <row r="7" spans="1:50" ht="14.25" customHeight="1">
      <c r="B7" s="575" t="s">
        <v>380</v>
      </c>
      <c r="C7" s="180">
        <v>1</v>
      </c>
      <c r="D7" s="183" t="s">
        <v>349</v>
      </c>
      <c r="E7" s="180">
        <v>12</v>
      </c>
      <c r="F7" s="180">
        <v>3600</v>
      </c>
      <c r="G7" s="185">
        <f t="shared" ref="G7:G16" si="10">F7/E7</f>
        <v>300</v>
      </c>
      <c r="H7" s="576">
        <f>AVERAGE(G7:G21)</f>
        <v>355.45454545454538</v>
      </c>
      <c r="I7" s="186">
        <f>AVERAGE(P7,U7,Z7,AE7,AJ7,AO7,AT7)</f>
        <v>12</v>
      </c>
      <c r="J7" s="186">
        <f>AVERAGE(Q7,V7,AA7,AF7,AK7,AP7,AU7)</f>
        <v>3147.1343289887091</v>
      </c>
      <c r="K7" s="187">
        <f>AVERAGE(R7,W7,AB7,AG7,AL7,AQ7,AV7)</f>
        <v>262.26119408239236</v>
      </c>
      <c r="L7" s="577">
        <f>IFERROR(AVERAGE(K7:K21),"-")</f>
        <v>316.08100089952649</v>
      </c>
      <c r="M7" s="186">
        <f>RANK(K7, K$7:$K$21)</f>
        <v>8</v>
      </c>
      <c r="N7" s="575"/>
      <c r="O7" s="575"/>
      <c r="P7" s="188">
        <v>12</v>
      </c>
      <c r="Q7" s="188">
        <v>3146.9436675988813</v>
      </c>
      <c r="R7" s="185">
        <f>IFERROR(Q7/P7,"")</f>
        <v>262.24530563324009</v>
      </c>
      <c r="S7" s="182">
        <f>RANK(R7, R$7:R$21)</f>
        <v>9</v>
      </c>
      <c r="T7" s="576">
        <f>AVERAGE(R7:R21)</f>
        <v>316.06276712305277</v>
      </c>
      <c r="U7" s="188">
        <v>12</v>
      </c>
      <c r="V7" s="188">
        <v>3146.9140782573613</v>
      </c>
      <c r="W7" s="185">
        <f t="shared" ref="W7:W16" si="11">IFERROR(V7/U7,"")</f>
        <v>262.24283985478013</v>
      </c>
      <c r="X7" s="182">
        <f>RANK(W7, W$7:W$21)</f>
        <v>9</v>
      </c>
      <c r="Y7" s="576">
        <f>AVERAGE(W7:W21)</f>
        <v>316.02878876362627</v>
      </c>
      <c r="Z7" s="188">
        <v>12</v>
      </c>
      <c r="AA7" s="188">
        <v>3147.216494845361</v>
      </c>
      <c r="AB7" s="185">
        <f t="shared" ref="AB7:AB16" si="12">IFERROR(AA7/Z7,"")</f>
        <v>262.26804123711344</v>
      </c>
      <c r="AC7" s="182">
        <f>RANK(AB7, AB$7:AB$21)</f>
        <v>7</v>
      </c>
      <c r="AD7" s="576">
        <f>AVERAGE(AB7:AB21)</f>
        <v>316.03087004427135</v>
      </c>
      <c r="AE7" s="188">
        <v>12</v>
      </c>
      <c r="AF7" s="188">
        <v>3146.694648478493</v>
      </c>
      <c r="AG7" s="185">
        <f>IFERROR(AF7/AE7,"")</f>
        <v>262.22455403987442</v>
      </c>
      <c r="AH7" s="182">
        <f>RANK(AG7, AG$7:AG$21)</f>
        <v>8</v>
      </c>
      <c r="AI7" s="576">
        <f>AVERAGE(AG7:AG21)</f>
        <v>316.08141589602019</v>
      </c>
      <c r="AJ7" s="188">
        <v>12</v>
      </c>
      <c r="AK7" s="188">
        <v>3147.3515248796157</v>
      </c>
      <c r="AL7" s="185">
        <f t="shared" ref="AL7:AL16" si="13">IFERROR(AK7/AJ7,"")</f>
        <v>262.27929373996795</v>
      </c>
      <c r="AM7" s="182">
        <f>RANK(AL7, AL$7:AL$21)</f>
        <v>8</v>
      </c>
      <c r="AN7" s="576">
        <f>AVERAGE(AL7:AL21)</f>
        <v>316.12612017537691</v>
      </c>
      <c r="AO7" s="188">
        <v>12</v>
      </c>
      <c r="AP7" s="188">
        <v>3147.4392136575243</v>
      </c>
      <c r="AQ7" s="185">
        <f t="shared" ref="AQ7:AQ16" si="14">IFERROR(AP7/AO7,"")</f>
        <v>262.28660113812703</v>
      </c>
      <c r="AR7" s="182">
        <f>RANK(AQ7, AQ$7:AQ$21)</f>
        <v>7</v>
      </c>
      <c r="AS7" s="576">
        <f>AVERAGE(AQ7:AQ21)</f>
        <v>316.11160717936946</v>
      </c>
      <c r="AT7" s="188">
        <v>12</v>
      </c>
      <c r="AU7" s="188">
        <v>3147.3806752037253</v>
      </c>
      <c r="AV7" s="185">
        <f t="shared" ref="AV7:AV16" si="15">IFERROR(AU7/AT7,"")</f>
        <v>262.28172293364378</v>
      </c>
      <c r="AW7" s="182">
        <f>RANK(AV7, AV$7:AV$21)</f>
        <v>8</v>
      </c>
      <c r="AX7" s="576">
        <f>AVERAGE(AV7:AV21)</f>
        <v>329.59966139328651</v>
      </c>
    </row>
    <row r="8" spans="1:50" ht="14.25" customHeight="1">
      <c r="B8" s="575"/>
      <c r="C8" s="180">
        <v>2</v>
      </c>
      <c r="D8" s="183" t="s">
        <v>350</v>
      </c>
      <c r="E8" s="180">
        <v>12</v>
      </c>
      <c r="F8" s="180">
        <v>3600</v>
      </c>
      <c r="G8" s="185">
        <f t="shared" si="10"/>
        <v>300</v>
      </c>
      <c r="H8" s="576"/>
      <c r="I8" s="186">
        <f t="shared" ref="I8:K16" si="16">AVERAGE(P8,U8,Z8,AE8,AJ8,AO8,AT8)</f>
        <v>12</v>
      </c>
      <c r="J8" s="186">
        <f t="shared" si="16"/>
        <v>3147.3181783382001</v>
      </c>
      <c r="K8" s="187">
        <f t="shared" si="16"/>
        <v>262.27651486151672</v>
      </c>
      <c r="L8" s="577"/>
      <c r="M8" s="186">
        <f>RANK(K8, K$7:$K$21)</f>
        <v>7</v>
      </c>
      <c r="N8" s="575"/>
      <c r="O8" s="575"/>
      <c r="P8" s="188">
        <v>12</v>
      </c>
      <c r="Q8" s="188">
        <v>3147.8107032286644</v>
      </c>
      <c r="R8" s="185">
        <f t="shared" ref="R8:R16" si="17">IFERROR(Q8/P8,"")</f>
        <v>262.31755860238871</v>
      </c>
      <c r="S8" s="182">
        <f t="shared" ref="S8:S16" si="18">RANK(R8, R$7:R$21)</f>
        <v>7</v>
      </c>
      <c r="T8" s="576"/>
      <c r="U8" s="188">
        <v>12</v>
      </c>
      <c r="V8" s="188">
        <v>3147.1900089206038</v>
      </c>
      <c r="W8" s="185">
        <f t="shared" si="11"/>
        <v>262.265834076717</v>
      </c>
      <c r="X8" s="182">
        <f t="shared" ref="X8:X16" si="19">RANK(W8, W$7:W$21)</f>
        <v>8</v>
      </c>
      <c r="Y8" s="576"/>
      <c r="Z8" s="188">
        <v>12</v>
      </c>
      <c r="AA8" s="188">
        <v>3146.6967814793898</v>
      </c>
      <c r="AB8" s="185">
        <f t="shared" si="12"/>
        <v>262.22473178994915</v>
      </c>
      <c r="AC8" s="182">
        <f t="shared" ref="AC8:AC16" si="20">RANK(AB8, AB$7:AB$21)</f>
        <v>9</v>
      </c>
      <c r="AD8" s="576"/>
      <c r="AE8" s="188">
        <v>12</v>
      </c>
      <c r="AF8" s="188">
        <v>3147.1698113207549</v>
      </c>
      <c r="AG8" s="185">
        <f t="shared" ref="AG8:AG16" si="21">IFERROR(AF8/AE8,"")</f>
        <v>262.26415094339626</v>
      </c>
      <c r="AH8" s="182">
        <f t="shared" ref="AH8:AH16" si="22">RANK(AG8, AG$7:AG$21)</f>
        <v>7</v>
      </c>
      <c r="AI8" s="576"/>
      <c r="AJ8" s="188">
        <v>12</v>
      </c>
      <c r="AK8" s="188">
        <v>3147.4633596392323</v>
      </c>
      <c r="AL8" s="185">
        <f t="shared" si="13"/>
        <v>262.28861330326936</v>
      </c>
      <c r="AM8" s="182">
        <f t="shared" ref="AM8:AM16" si="23">RANK(AL8, AL$7:AL$21)</f>
        <v>7</v>
      </c>
      <c r="AN8" s="576"/>
      <c r="AO8" s="188">
        <v>12</v>
      </c>
      <c r="AP8" s="188">
        <v>3147.032967032967</v>
      </c>
      <c r="AQ8" s="185">
        <f t="shared" si="14"/>
        <v>262.25274725274727</v>
      </c>
      <c r="AR8" s="182">
        <f t="shared" ref="AR8:AR16" si="24">RANK(AQ8, AQ$7:AQ$21)</f>
        <v>10</v>
      </c>
      <c r="AS8" s="576"/>
      <c r="AT8" s="188">
        <v>12</v>
      </c>
      <c r="AU8" s="188">
        <v>3147.8636167457935</v>
      </c>
      <c r="AV8" s="185">
        <f t="shared" si="15"/>
        <v>262.32196806214944</v>
      </c>
      <c r="AW8" s="182">
        <f t="shared" ref="AW8:AW16" si="25">RANK(AV8, AV$7:AV$21)</f>
        <v>7</v>
      </c>
      <c r="AX8" s="576"/>
    </row>
    <row r="9" spans="1:50" ht="14.25" customHeight="1">
      <c r="B9" s="575"/>
      <c r="C9" s="180">
        <v>3</v>
      </c>
      <c r="D9" s="183" t="s">
        <v>348</v>
      </c>
      <c r="E9" s="180">
        <v>11</v>
      </c>
      <c r="F9" s="180">
        <v>3600</v>
      </c>
      <c r="G9" s="185">
        <f t="shared" si="10"/>
        <v>327.27272727272725</v>
      </c>
      <c r="H9" s="576"/>
      <c r="I9" s="186">
        <f t="shared" si="16"/>
        <v>11</v>
      </c>
      <c r="J9" s="186">
        <f t="shared" si="16"/>
        <v>3182.7206885116507</v>
      </c>
      <c r="K9" s="187">
        <f t="shared" si="16"/>
        <v>289.33824441015003</v>
      </c>
      <c r="L9" s="577"/>
      <c r="M9" s="186">
        <f>RANK(K9, K$7:$K$21)</f>
        <v>6</v>
      </c>
      <c r="N9" s="575"/>
      <c r="O9" s="575"/>
      <c r="P9" s="188">
        <v>11</v>
      </c>
      <c r="Q9" s="188">
        <v>3182.8151498021452</v>
      </c>
      <c r="R9" s="185">
        <f t="shared" si="17"/>
        <v>289.34683180019505</v>
      </c>
      <c r="S9" s="182">
        <f t="shared" si="18"/>
        <v>6</v>
      </c>
      <c r="T9" s="576"/>
      <c r="U9" s="188">
        <v>11</v>
      </c>
      <c r="V9" s="188">
        <v>3182.0638820638846</v>
      </c>
      <c r="W9" s="185">
        <f t="shared" si="11"/>
        <v>289.27853473308045</v>
      </c>
      <c r="X9" s="182">
        <f t="shared" si="19"/>
        <v>6</v>
      </c>
      <c r="Y9" s="576"/>
      <c r="Z9" s="188">
        <v>11</v>
      </c>
      <c r="AA9" s="188">
        <v>3182.7721221613242</v>
      </c>
      <c r="AB9" s="185">
        <f t="shared" si="12"/>
        <v>289.34292019648404</v>
      </c>
      <c r="AC9" s="182">
        <f t="shared" si="20"/>
        <v>6</v>
      </c>
      <c r="AD9" s="576"/>
      <c r="AE9" s="188">
        <v>11</v>
      </c>
      <c r="AF9" s="188">
        <v>3183.8318512530359</v>
      </c>
      <c r="AG9" s="185">
        <f t="shared" si="21"/>
        <v>289.43925920482144</v>
      </c>
      <c r="AH9" s="182">
        <f t="shared" si="22"/>
        <v>5</v>
      </c>
      <c r="AI9" s="576"/>
      <c r="AJ9" s="188">
        <v>11</v>
      </c>
      <c r="AK9" s="188">
        <v>3182.0840950639808</v>
      </c>
      <c r="AL9" s="185">
        <f t="shared" si="13"/>
        <v>289.28037227854372</v>
      </c>
      <c r="AM9" s="182">
        <f t="shared" si="23"/>
        <v>6</v>
      </c>
      <c r="AN9" s="576"/>
      <c r="AO9" s="188">
        <v>11</v>
      </c>
      <c r="AP9" s="188">
        <v>3182.4742268041246</v>
      </c>
      <c r="AQ9" s="185">
        <f t="shared" si="14"/>
        <v>289.31583880037493</v>
      </c>
      <c r="AR9" s="182">
        <f t="shared" si="24"/>
        <v>6</v>
      </c>
      <c r="AS9" s="576"/>
      <c r="AT9" s="188">
        <v>11</v>
      </c>
      <c r="AU9" s="188">
        <v>3183.0034924330557</v>
      </c>
      <c r="AV9" s="185">
        <f t="shared" si="15"/>
        <v>289.36395385755054</v>
      </c>
      <c r="AW9" s="182">
        <f t="shared" si="25"/>
        <v>6</v>
      </c>
      <c r="AX9" s="576"/>
    </row>
    <row r="10" spans="1:50" ht="14.25" customHeight="1">
      <c r="B10" s="575"/>
      <c r="C10" s="180">
        <v>4</v>
      </c>
      <c r="D10" s="183" t="s">
        <v>464</v>
      </c>
      <c r="E10" s="180">
        <v>6</v>
      </c>
      <c r="F10" s="180">
        <v>2600</v>
      </c>
      <c r="G10" s="185">
        <f t="shared" si="10"/>
        <v>433.33333333333331</v>
      </c>
      <c r="H10" s="576"/>
      <c r="I10" s="186">
        <f t="shared" si="16"/>
        <v>6</v>
      </c>
      <c r="J10" s="186">
        <f t="shared" si="16"/>
        <v>2340.3482577837344</v>
      </c>
      <c r="K10" s="187">
        <f t="shared" si="16"/>
        <v>390.05804296395581</v>
      </c>
      <c r="L10" s="577"/>
      <c r="M10" s="186">
        <f>RANK(K10, K$7:$K$21)</f>
        <v>2</v>
      </c>
      <c r="N10" s="575"/>
      <c r="O10" s="575"/>
      <c r="P10" s="188">
        <v>6</v>
      </c>
      <c r="Q10" s="188">
        <v>2340.3123192596895</v>
      </c>
      <c r="R10" s="185">
        <f t="shared" si="17"/>
        <v>390.05205320994827</v>
      </c>
      <c r="S10" s="182">
        <f t="shared" si="18"/>
        <v>2</v>
      </c>
      <c r="T10" s="576"/>
      <c r="U10" s="188">
        <v>6</v>
      </c>
      <c r="V10" s="188">
        <v>2340.2135231316734</v>
      </c>
      <c r="W10" s="185">
        <f t="shared" si="11"/>
        <v>390.03558718861223</v>
      </c>
      <c r="X10" s="182">
        <f t="shared" si="19"/>
        <v>1</v>
      </c>
      <c r="Y10" s="576"/>
      <c r="Z10" s="188">
        <v>6</v>
      </c>
      <c r="AA10" s="188">
        <v>2340.9015025041699</v>
      </c>
      <c r="AB10" s="185">
        <f t="shared" si="12"/>
        <v>390.15025041736163</v>
      </c>
      <c r="AC10" s="182">
        <f t="shared" si="20"/>
        <v>1</v>
      </c>
      <c r="AD10" s="576"/>
      <c r="AE10" s="188">
        <v>6</v>
      </c>
      <c r="AF10" s="188">
        <v>2340.4958677686004</v>
      </c>
      <c r="AG10" s="185">
        <f t="shared" si="21"/>
        <v>390.08264462810007</v>
      </c>
      <c r="AH10" s="182">
        <f t="shared" si="22"/>
        <v>1</v>
      </c>
      <c r="AI10" s="576"/>
      <c r="AJ10" s="188">
        <v>6</v>
      </c>
      <c r="AK10" s="188">
        <v>2340.9045226130638</v>
      </c>
      <c r="AL10" s="185">
        <f t="shared" si="13"/>
        <v>390.15075376884397</v>
      </c>
      <c r="AM10" s="182">
        <f t="shared" si="23"/>
        <v>2</v>
      </c>
      <c r="AN10" s="576"/>
      <c r="AO10" s="188">
        <v>6</v>
      </c>
      <c r="AP10" s="188">
        <v>2339.8359161349194</v>
      </c>
      <c r="AQ10" s="185">
        <f t="shared" si="14"/>
        <v>389.97265268915322</v>
      </c>
      <c r="AR10" s="182">
        <f t="shared" si="24"/>
        <v>2</v>
      </c>
      <c r="AS10" s="576"/>
      <c r="AT10" s="188">
        <v>6</v>
      </c>
      <c r="AU10" s="188">
        <v>2339.7741530740254</v>
      </c>
      <c r="AV10" s="185">
        <f t="shared" si="15"/>
        <v>389.96235884567091</v>
      </c>
      <c r="AW10" s="182">
        <f t="shared" si="25"/>
        <v>2</v>
      </c>
      <c r="AX10" s="576"/>
    </row>
    <row r="11" spans="1:50" ht="14.25" customHeight="1">
      <c r="B11" s="575"/>
      <c r="C11" s="180">
        <v>5</v>
      </c>
      <c r="D11" s="183" t="s">
        <v>467</v>
      </c>
      <c r="E11" s="180">
        <v>6</v>
      </c>
      <c r="F11" s="180">
        <v>2600</v>
      </c>
      <c r="G11" s="185">
        <f t="shared" si="10"/>
        <v>433.33333333333331</v>
      </c>
      <c r="H11" s="576"/>
      <c r="I11" s="186">
        <f t="shared" si="16"/>
        <v>6</v>
      </c>
      <c r="J11" s="186">
        <f t="shared" si="16"/>
        <v>2340.6250136555805</v>
      </c>
      <c r="K11" s="187">
        <f t="shared" si="16"/>
        <v>390.10416894259663</v>
      </c>
      <c r="L11" s="577"/>
      <c r="M11" s="186">
        <f>RANK(K11, K$7:$K$21)</f>
        <v>1</v>
      </c>
      <c r="N11" s="575"/>
      <c r="O11" s="575"/>
      <c r="P11" s="188">
        <v>6</v>
      </c>
      <c r="Q11" s="188">
        <v>2340.9574468085157</v>
      </c>
      <c r="R11" s="185">
        <f t="shared" si="17"/>
        <v>390.15957446808596</v>
      </c>
      <c r="S11" s="182">
        <f t="shared" si="18"/>
        <v>1</v>
      </c>
      <c r="T11" s="576"/>
      <c r="U11" s="188">
        <v>6</v>
      </c>
      <c r="V11" s="188">
        <v>2340.1301518438172</v>
      </c>
      <c r="W11" s="185">
        <f t="shared" si="11"/>
        <v>390.02169197396955</v>
      </c>
      <c r="X11" s="182">
        <f t="shared" si="19"/>
        <v>2</v>
      </c>
      <c r="Y11" s="576"/>
      <c r="Z11" s="188">
        <v>6</v>
      </c>
      <c r="AA11" s="188">
        <v>2340.6976744186086</v>
      </c>
      <c r="AB11" s="185">
        <f t="shared" si="12"/>
        <v>390.1162790697681</v>
      </c>
      <c r="AC11" s="182">
        <f t="shared" si="20"/>
        <v>2</v>
      </c>
      <c r="AD11" s="576"/>
      <c r="AE11" s="188">
        <v>6</v>
      </c>
      <c r="AF11" s="188">
        <v>2339.4072447859576</v>
      </c>
      <c r="AG11" s="185">
        <f t="shared" si="21"/>
        <v>389.90120746432626</v>
      </c>
      <c r="AH11" s="182">
        <f t="shared" si="22"/>
        <v>2</v>
      </c>
      <c r="AI11" s="576"/>
      <c r="AJ11" s="188">
        <v>6</v>
      </c>
      <c r="AK11" s="188">
        <v>2341.2887828162338</v>
      </c>
      <c r="AL11" s="185">
        <f t="shared" si="13"/>
        <v>390.21479713603895</v>
      </c>
      <c r="AM11" s="182">
        <f t="shared" si="23"/>
        <v>1</v>
      </c>
      <c r="AN11" s="576"/>
      <c r="AO11" s="188">
        <v>6</v>
      </c>
      <c r="AP11" s="188">
        <v>2340.7258064516132</v>
      </c>
      <c r="AQ11" s="185">
        <f t="shared" si="14"/>
        <v>390.12096774193554</v>
      </c>
      <c r="AR11" s="182">
        <f t="shared" si="24"/>
        <v>1</v>
      </c>
      <c r="AS11" s="576"/>
      <c r="AT11" s="188">
        <v>6</v>
      </c>
      <c r="AU11" s="188">
        <v>2341.1679884643149</v>
      </c>
      <c r="AV11" s="185">
        <f t="shared" si="15"/>
        <v>390.19466474405249</v>
      </c>
      <c r="AW11" s="182">
        <f t="shared" si="25"/>
        <v>1</v>
      </c>
      <c r="AX11" s="576"/>
    </row>
    <row r="12" spans="1:50" ht="14.25" customHeight="1">
      <c r="B12" s="575"/>
      <c r="C12" s="180">
        <v>6</v>
      </c>
      <c r="D12" s="183" t="s">
        <v>538</v>
      </c>
      <c r="E12" s="180">
        <v>6</v>
      </c>
      <c r="F12" s="180">
        <v>2500</v>
      </c>
      <c r="G12" s="185">
        <f t="shared" si="10"/>
        <v>416.66666666666669</v>
      </c>
      <c r="H12" s="576"/>
      <c r="I12" s="186">
        <f t="shared" si="16"/>
        <v>6</v>
      </c>
      <c r="J12" s="186">
        <f t="shared" si="16"/>
        <v>2258.8431108831473</v>
      </c>
      <c r="K12" s="187">
        <f t="shared" si="16"/>
        <v>376.47385181385789</v>
      </c>
      <c r="L12" s="577"/>
      <c r="M12" s="186">
        <f>RANK(K12, K$7:$K$21)</f>
        <v>3</v>
      </c>
      <c r="N12" s="575"/>
      <c r="O12" s="575"/>
      <c r="P12" s="188">
        <v>6</v>
      </c>
      <c r="Q12" s="188">
        <v>2258.4362139917685</v>
      </c>
      <c r="R12" s="185">
        <f t="shared" si="17"/>
        <v>376.40603566529472</v>
      </c>
      <c r="S12" s="182">
        <f t="shared" si="18"/>
        <v>3</v>
      </c>
      <c r="T12" s="576"/>
      <c r="U12" s="188">
        <v>6</v>
      </c>
      <c r="V12" s="188">
        <v>2258.4172661870502</v>
      </c>
      <c r="W12" s="185">
        <f t="shared" si="11"/>
        <v>376.40287769784169</v>
      </c>
      <c r="X12" s="182">
        <f t="shared" si="19"/>
        <v>3</v>
      </c>
      <c r="Y12" s="576"/>
      <c r="Z12" s="188">
        <v>6</v>
      </c>
      <c r="AA12" s="188">
        <v>2256.5488565488563</v>
      </c>
      <c r="AB12" s="185">
        <f t="shared" si="12"/>
        <v>376.09147609147607</v>
      </c>
      <c r="AC12" s="182">
        <f t="shared" si="20"/>
        <v>4</v>
      </c>
      <c r="AD12" s="576"/>
      <c r="AE12" s="188">
        <v>6</v>
      </c>
      <c r="AF12" s="188">
        <v>2259.0909090909113</v>
      </c>
      <c r="AG12" s="185">
        <f t="shared" si="21"/>
        <v>376.5151515151519</v>
      </c>
      <c r="AH12" s="182">
        <f t="shared" si="22"/>
        <v>4</v>
      </c>
      <c r="AI12" s="576"/>
      <c r="AJ12" s="188">
        <v>6</v>
      </c>
      <c r="AK12" s="188">
        <v>2259.520451339924</v>
      </c>
      <c r="AL12" s="185">
        <f t="shared" si="13"/>
        <v>376.58674188998731</v>
      </c>
      <c r="AM12" s="182">
        <f t="shared" si="23"/>
        <v>4</v>
      </c>
      <c r="AN12" s="576"/>
      <c r="AO12" s="188">
        <v>6</v>
      </c>
      <c r="AP12" s="188">
        <v>2259.8202824133496</v>
      </c>
      <c r="AQ12" s="185">
        <f t="shared" si="14"/>
        <v>376.63671373555826</v>
      </c>
      <c r="AR12" s="182">
        <f t="shared" si="24"/>
        <v>3</v>
      </c>
      <c r="AS12" s="576"/>
      <c r="AT12" s="188">
        <v>6</v>
      </c>
      <c r="AU12" s="188">
        <v>2260.0677966101712</v>
      </c>
      <c r="AV12" s="185">
        <f t="shared" si="15"/>
        <v>376.67796610169518</v>
      </c>
      <c r="AW12" s="182">
        <f t="shared" si="25"/>
        <v>3</v>
      </c>
      <c r="AX12" s="576"/>
    </row>
    <row r="13" spans="1:50" ht="14.25" customHeight="1">
      <c r="B13" s="575"/>
      <c r="C13" s="180">
        <v>7</v>
      </c>
      <c r="D13" s="183" t="s">
        <v>579</v>
      </c>
      <c r="E13" s="180">
        <v>6</v>
      </c>
      <c r="F13" s="180">
        <v>2500</v>
      </c>
      <c r="G13" s="185">
        <f t="shared" si="10"/>
        <v>416.66666666666669</v>
      </c>
      <c r="H13" s="576"/>
      <c r="I13" s="186">
        <f t="shared" si="16"/>
        <v>6</v>
      </c>
      <c r="J13" s="186">
        <f t="shared" si="16"/>
        <v>2258.6161131123072</v>
      </c>
      <c r="K13" s="187">
        <f t="shared" si="16"/>
        <v>376.43601885205123</v>
      </c>
      <c r="L13" s="577"/>
      <c r="M13" s="186">
        <f>RANK(K13, K$7:$K$21)</f>
        <v>4</v>
      </c>
      <c r="N13" s="575"/>
      <c r="O13" s="575"/>
      <c r="P13" s="188">
        <v>6</v>
      </c>
      <c r="Q13" s="188">
        <v>2257.6957695769574</v>
      </c>
      <c r="R13" s="185">
        <f t="shared" si="17"/>
        <v>376.28262826282622</v>
      </c>
      <c r="S13" s="182">
        <f t="shared" si="18"/>
        <v>4</v>
      </c>
      <c r="T13" s="576"/>
      <c r="U13" s="188">
        <v>6</v>
      </c>
      <c r="V13" s="188">
        <v>2257.6271186440663</v>
      </c>
      <c r="W13" s="185">
        <f t="shared" si="11"/>
        <v>376.2711864406777</v>
      </c>
      <c r="X13" s="182">
        <f t="shared" si="19"/>
        <v>4</v>
      </c>
      <c r="Y13" s="576"/>
      <c r="Z13" s="188">
        <v>6</v>
      </c>
      <c r="AA13" s="188">
        <v>2257.5684766938998</v>
      </c>
      <c r="AB13" s="185">
        <f t="shared" si="12"/>
        <v>376.26141278231665</v>
      </c>
      <c r="AC13" s="182">
        <f t="shared" si="20"/>
        <v>3</v>
      </c>
      <c r="AD13" s="576"/>
      <c r="AE13" s="188">
        <v>6</v>
      </c>
      <c r="AF13" s="188">
        <v>2259.3238822246449</v>
      </c>
      <c r="AG13" s="185">
        <f t="shared" si="21"/>
        <v>376.55398037077413</v>
      </c>
      <c r="AH13" s="182">
        <f t="shared" si="22"/>
        <v>3</v>
      </c>
      <c r="AI13" s="576"/>
      <c r="AJ13" s="188">
        <v>6</v>
      </c>
      <c r="AK13" s="188">
        <v>2259.5294117647054</v>
      </c>
      <c r="AL13" s="185">
        <f t="shared" si="13"/>
        <v>376.58823529411757</v>
      </c>
      <c r="AM13" s="182">
        <f t="shared" si="23"/>
        <v>3</v>
      </c>
      <c r="AN13" s="576"/>
      <c r="AO13" s="188">
        <v>6</v>
      </c>
      <c r="AP13" s="188">
        <v>2259.3381940549607</v>
      </c>
      <c r="AQ13" s="185">
        <f t="shared" si="14"/>
        <v>376.55636567582678</v>
      </c>
      <c r="AR13" s="182">
        <f t="shared" si="24"/>
        <v>4</v>
      </c>
      <c r="AS13" s="576"/>
      <c r="AT13" s="188">
        <v>6</v>
      </c>
      <c r="AU13" s="188">
        <v>2259.2299388269166</v>
      </c>
      <c r="AV13" s="185">
        <f t="shared" si="15"/>
        <v>376.53832313781942</v>
      </c>
      <c r="AW13" s="182">
        <f t="shared" si="25"/>
        <v>4</v>
      </c>
      <c r="AX13" s="576"/>
    </row>
    <row r="14" spans="1:50" ht="14.25" customHeight="1">
      <c r="B14" s="575"/>
      <c r="C14" s="180">
        <v>8</v>
      </c>
      <c r="D14" s="183" t="s">
        <v>352</v>
      </c>
      <c r="E14" s="180">
        <v>12</v>
      </c>
      <c r="F14" s="180">
        <v>3600</v>
      </c>
      <c r="G14" s="185">
        <f t="shared" si="10"/>
        <v>300</v>
      </c>
      <c r="H14" s="576"/>
      <c r="I14" s="186">
        <f t="shared" si="16"/>
        <v>12</v>
      </c>
      <c r="J14" s="186">
        <f t="shared" si="16"/>
        <v>3146.4360593420611</v>
      </c>
      <c r="K14" s="187">
        <f t="shared" si="16"/>
        <v>262.20300494517176</v>
      </c>
      <c r="L14" s="577"/>
      <c r="M14" s="186">
        <f>RANK(K14, K$7:$K$21)</f>
        <v>10</v>
      </c>
      <c r="N14" s="575"/>
      <c r="O14" s="575"/>
      <c r="P14" s="188">
        <v>12</v>
      </c>
      <c r="Q14" s="188">
        <v>3145.2948557089089</v>
      </c>
      <c r="R14" s="185">
        <f t="shared" si="17"/>
        <v>262.1079046424091</v>
      </c>
      <c r="S14" s="182">
        <f t="shared" si="18"/>
        <v>10</v>
      </c>
      <c r="T14" s="576"/>
      <c r="U14" s="188">
        <v>12</v>
      </c>
      <c r="V14" s="188">
        <v>3145.7103949160296</v>
      </c>
      <c r="W14" s="185">
        <f t="shared" si="11"/>
        <v>262.14253290966911</v>
      </c>
      <c r="X14" s="182">
        <f t="shared" si="19"/>
        <v>10</v>
      </c>
      <c r="Y14" s="576"/>
      <c r="Z14" s="188">
        <v>12</v>
      </c>
      <c r="AA14" s="188">
        <v>3146.6524973432465</v>
      </c>
      <c r="AB14" s="185">
        <f t="shared" si="12"/>
        <v>262.22104144527054</v>
      </c>
      <c r="AC14" s="182">
        <f t="shared" si="20"/>
        <v>10</v>
      </c>
      <c r="AD14" s="576"/>
      <c r="AE14" s="188">
        <v>12</v>
      </c>
      <c r="AF14" s="188">
        <v>3146.6092572658781</v>
      </c>
      <c r="AG14" s="185">
        <f t="shared" si="21"/>
        <v>262.21743810548986</v>
      </c>
      <c r="AH14" s="182">
        <f t="shared" si="22"/>
        <v>9</v>
      </c>
      <c r="AI14" s="576"/>
      <c r="AJ14" s="188">
        <v>12</v>
      </c>
      <c r="AK14" s="188">
        <v>3147.3053892215466</v>
      </c>
      <c r="AL14" s="185">
        <f t="shared" si="13"/>
        <v>262.27544910179557</v>
      </c>
      <c r="AM14" s="182">
        <f t="shared" si="23"/>
        <v>9</v>
      </c>
      <c r="AN14" s="576"/>
      <c r="AO14" s="188">
        <v>12</v>
      </c>
      <c r="AP14" s="188">
        <v>3147.0439615967571</v>
      </c>
      <c r="AQ14" s="185">
        <f t="shared" si="14"/>
        <v>262.2536634663964</v>
      </c>
      <c r="AR14" s="182">
        <f t="shared" si="24"/>
        <v>9</v>
      </c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 t="s">
        <v>353</v>
      </c>
      <c r="E15" s="180">
        <v>12</v>
      </c>
      <c r="F15" s="180">
        <v>3600</v>
      </c>
      <c r="G15" s="185">
        <f t="shared" si="10"/>
        <v>300</v>
      </c>
      <c r="H15" s="576"/>
      <c r="I15" s="186">
        <f t="shared" si="16"/>
        <v>12</v>
      </c>
      <c r="J15" s="186">
        <f t="shared" si="16"/>
        <v>3147.0489006986536</v>
      </c>
      <c r="K15" s="187">
        <f t="shared" si="16"/>
        <v>262.25407505822119</v>
      </c>
      <c r="L15" s="577"/>
      <c r="M15" s="186">
        <f>RANK(K15, K$7:$K$21)</f>
        <v>9</v>
      </c>
      <c r="N15" s="575"/>
      <c r="O15" s="575"/>
      <c r="P15" s="188">
        <v>12</v>
      </c>
      <c r="Q15" s="188">
        <v>3147.2099202834352</v>
      </c>
      <c r="R15" s="185">
        <f t="shared" si="17"/>
        <v>262.26749335695291</v>
      </c>
      <c r="S15" s="182">
        <f t="shared" si="18"/>
        <v>8</v>
      </c>
      <c r="T15" s="576"/>
      <c r="U15" s="188">
        <v>12</v>
      </c>
      <c r="V15" s="188">
        <v>3147.6529160739633</v>
      </c>
      <c r="W15" s="185">
        <f t="shared" si="11"/>
        <v>262.30440967283027</v>
      </c>
      <c r="X15" s="182">
        <f t="shared" si="19"/>
        <v>7</v>
      </c>
      <c r="Y15" s="576"/>
      <c r="Z15" s="188">
        <v>12</v>
      </c>
      <c r="AA15" s="188">
        <v>3147.0842332613415</v>
      </c>
      <c r="AB15" s="185">
        <f t="shared" si="12"/>
        <v>262.25701943844513</v>
      </c>
      <c r="AC15" s="182">
        <f t="shared" si="20"/>
        <v>8</v>
      </c>
      <c r="AD15" s="576"/>
      <c r="AE15" s="188">
        <v>12</v>
      </c>
      <c r="AF15" s="188">
        <v>3146.2520821765684</v>
      </c>
      <c r="AG15" s="185">
        <f t="shared" si="21"/>
        <v>262.18767351471405</v>
      </c>
      <c r="AH15" s="182">
        <f t="shared" si="22"/>
        <v>10</v>
      </c>
      <c r="AI15" s="576"/>
      <c r="AJ15" s="188">
        <v>12</v>
      </c>
      <c r="AK15" s="188">
        <v>3147.0483005366664</v>
      </c>
      <c r="AL15" s="185">
        <f t="shared" si="13"/>
        <v>262.2540250447222</v>
      </c>
      <c r="AM15" s="182">
        <f t="shared" si="23"/>
        <v>10</v>
      </c>
      <c r="AN15" s="576"/>
      <c r="AO15" s="188">
        <v>12</v>
      </c>
      <c r="AP15" s="188">
        <v>3147.0459518599491</v>
      </c>
      <c r="AQ15" s="185">
        <f t="shared" si="14"/>
        <v>262.25382932166241</v>
      </c>
      <c r="AR15" s="182">
        <f t="shared" si="24"/>
        <v>8</v>
      </c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 t="s">
        <v>351</v>
      </c>
      <c r="E16" s="180">
        <v>11</v>
      </c>
      <c r="F16" s="180">
        <v>3600</v>
      </c>
      <c r="G16" s="185">
        <f t="shared" si="10"/>
        <v>327.27272727272725</v>
      </c>
      <c r="H16" s="576"/>
      <c r="I16" s="186">
        <f t="shared" si="16"/>
        <v>11</v>
      </c>
      <c r="J16" s="186">
        <f t="shared" si="16"/>
        <v>3183.4538237188617</v>
      </c>
      <c r="K16" s="187">
        <f t="shared" si="16"/>
        <v>289.40489306535113</v>
      </c>
      <c r="L16" s="577"/>
      <c r="M16" s="186">
        <f>RANK(K16, K$7:$K$21)</f>
        <v>5</v>
      </c>
      <c r="N16" s="575"/>
      <c r="O16" s="575"/>
      <c r="P16" s="188">
        <v>11</v>
      </c>
      <c r="Q16" s="188">
        <v>3183.8651414810465</v>
      </c>
      <c r="R16" s="185">
        <f t="shared" si="17"/>
        <v>289.44228558918604</v>
      </c>
      <c r="S16" s="182">
        <f t="shared" si="18"/>
        <v>5</v>
      </c>
      <c r="T16" s="576"/>
      <c r="U16" s="188">
        <v>11</v>
      </c>
      <c r="V16" s="188">
        <v>3182.5463239689257</v>
      </c>
      <c r="W16" s="185">
        <f t="shared" si="11"/>
        <v>289.32239308808414</v>
      </c>
      <c r="X16" s="182">
        <f t="shared" si="19"/>
        <v>5</v>
      </c>
      <c r="Y16" s="576"/>
      <c r="Z16" s="188">
        <v>11</v>
      </c>
      <c r="AA16" s="188">
        <v>3183.1308077198114</v>
      </c>
      <c r="AB16" s="185">
        <f t="shared" si="12"/>
        <v>289.37552797452832</v>
      </c>
      <c r="AC16" s="182">
        <f t="shared" si="20"/>
        <v>5</v>
      </c>
      <c r="AD16" s="576"/>
      <c r="AE16" s="188">
        <v>11</v>
      </c>
      <c r="AF16" s="188">
        <v>3183.7090909090894</v>
      </c>
      <c r="AG16" s="185">
        <f t="shared" si="21"/>
        <v>289.42809917355356</v>
      </c>
      <c r="AH16" s="182">
        <f t="shared" si="22"/>
        <v>6</v>
      </c>
      <c r="AI16" s="576"/>
      <c r="AJ16" s="188">
        <v>11</v>
      </c>
      <c r="AK16" s="188">
        <v>3182.7721221613119</v>
      </c>
      <c r="AL16" s="185">
        <f t="shared" si="13"/>
        <v>289.34292019648291</v>
      </c>
      <c r="AM16" s="182">
        <f t="shared" si="23"/>
        <v>5</v>
      </c>
      <c r="AN16" s="576"/>
      <c r="AO16" s="188">
        <v>11</v>
      </c>
      <c r="AP16" s="188">
        <v>3184.1336116910352</v>
      </c>
      <c r="AQ16" s="185">
        <f t="shared" si="14"/>
        <v>289.46669197191227</v>
      </c>
      <c r="AR16" s="182">
        <f t="shared" si="24"/>
        <v>5</v>
      </c>
      <c r="AS16" s="576"/>
      <c r="AT16" s="188">
        <v>11</v>
      </c>
      <c r="AU16" s="188">
        <v>3184.0196681008142</v>
      </c>
      <c r="AV16" s="185">
        <f t="shared" si="15"/>
        <v>289.45633346371039</v>
      </c>
      <c r="AW16" s="182">
        <f t="shared" si="25"/>
        <v>5</v>
      </c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589" t="s">
        <v>657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09" t="s">
        <v>374</v>
      </c>
      <c r="O22" s="609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1"/>
      <c r="O23" s="611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375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376</v>
      </c>
      <c r="F25" s="575"/>
      <c r="G25" s="575"/>
      <c r="H25" s="575"/>
      <c r="I25" s="579" t="s">
        <v>376</v>
      </c>
      <c r="J25" s="579"/>
      <c r="K25" s="579"/>
      <c r="L25" s="579"/>
      <c r="M25" s="579"/>
      <c r="N25" s="575"/>
      <c r="O25" s="575"/>
      <c r="P25" s="575" t="s">
        <v>377</v>
      </c>
      <c r="Q25" s="575"/>
      <c r="R25" s="575"/>
      <c r="S25" s="575"/>
      <c r="T25" s="575"/>
      <c r="U25" s="575" t="s">
        <v>377</v>
      </c>
      <c r="V25" s="575"/>
      <c r="W25" s="575"/>
      <c r="X25" s="575"/>
      <c r="Y25" s="575"/>
      <c r="Z25" s="575" t="s">
        <v>377</v>
      </c>
      <c r="AA25" s="575"/>
      <c r="AB25" s="575"/>
      <c r="AC25" s="575"/>
      <c r="AD25" s="575"/>
      <c r="AE25" s="575" t="s">
        <v>377</v>
      </c>
      <c r="AF25" s="575"/>
      <c r="AG25" s="575"/>
      <c r="AH25" s="575"/>
      <c r="AI25" s="575"/>
      <c r="AJ25" s="575" t="s">
        <v>377</v>
      </c>
      <c r="AK25" s="575"/>
      <c r="AL25" s="575"/>
      <c r="AM25" s="575"/>
      <c r="AN25" s="575"/>
      <c r="AO25" s="575" t="s">
        <v>377</v>
      </c>
      <c r="AP25" s="575"/>
      <c r="AQ25" s="575"/>
      <c r="AR25" s="575"/>
      <c r="AS25" s="575"/>
      <c r="AT25" s="575" t="s">
        <v>377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378</v>
      </c>
      <c r="G26" s="180" t="s">
        <v>161</v>
      </c>
      <c r="H26" s="575"/>
      <c r="I26" s="181" t="s">
        <v>159</v>
      </c>
      <c r="J26" s="181" t="s">
        <v>378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378</v>
      </c>
      <c r="R26" s="180" t="s">
        <v>161</v>
      </c>
      <c r="S26" s="182" t="s">
        <v>165</v>
      </c>
      <c r="T26" s="575"/>
      <c r="U26" s="180" t="s">
        <v>159</v>
      </c>
      <c r="V26" s="180" t="s">
        <v>378</v>
      </c>
      <c r="W26" s="180" t="s">
        <v>161</v>
      </c>
      <c r="X26" s="182" t="s">
        <v>165</v>
      </c>
      <c r="Y26" s="575"/>
      <c r="Z26" s="180" t="s">
        <v>159</v>
      </c>
      <c r="AA26" s="180" t="s">
        <v>378</v>
      </c>
      <c r="AB26" s="180" t="s">
        <v>161</v>
      </c>
      <c r="AC26" s="182" t="s">
        <v>165</v>
      </c>
      <c r="AD26" s="575"/>
      <c r="AE26" s="180" t="s">
        <v>159</v>
      </c>
      <c r="AF26" s="180" t="s">
        <v>378</v>
      </c>
      <c r="AG26" s="180" t="s">
        <v>161</v>
      </c>
      <c r="AH26" s="182" t="s">
        <v>165</v>
      </c>
      <c r="AI26" s="575"/>
      <c r="AJ26" s="180" t="s">
        <v>159</v>
      </c>
      <c r="AK26" s="180" t="s">
        <v>378</v>
      </c>
      <c r="AL26" s="180" t="s">
        <v>161</v>
      </c>
      <c r="AM26" s="182" t="s">
        <v>165</v>
      </c>
      <c r="AN26" s="575"/>
      <c r="AO26" s="180" t="s">
        <v>159</v>
      </c>
      <c r="AP26" s="180" t="s">
        <v>378</v>
      </c>
      <c r="AQ26" s="180" t="s">
        <v>161</v>
      </c>
      <c r="AR26" s="182" t="s">
        <v>165</v>
      </c>
      <c r="AS26" s="575"/>
      <c r="AT26" s="180" t="s">
        <v>159</v>
      </c>
      <c r="AU26" s="180" t="s">
        <v>378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380</v>
      </c>
      <c r="C27" s="180">
        <v>1</v>
      </c>
      <c r="D27" s="183" t="s">
        <v>348</v>
      </c>
      <c r="E27" s="180">
        <v>11</v>
      </c>
      <c r="F27" s="180">
        <v>3600</v>
      </c>
      <c r="G27" s="185">
        <f t="shared" ref="G27:G34" si="26">F27/E27</f>
        <v>327.27272727272725</v>
      </c>
      <c r="H27" s="576">
        <f>AVERAGE(G27:G41)</f>
        <v>369.31818181818176</v>
      </c>
      <c r="I27" s="186">
        <f>AVERAGE(P27,U27,Z27,AE27,AJ27,AO27,AT27)</f>
        <v>11</v>
      </c>
      <c r="J27" s="186">
        <f>AVERAGE(Q27,V27,AA27,AF27,AK27,AP27,AU27)</f>
        <v>3183.0783101723177</v>
      </c>
      <c r="K27" s="187">
        <f>AVERAGE(R27,W27,AB27,AG27,AL27,AQ27,AV27)</f>
        <v>289.37075547021067</v>
      </c>
      <c r="L27" s="577">
        <f>IFERROR(AVERAGE(K27:K41),"-")</f>
        <v>328.5787466992781</v>
      </c>
      <c r="M27" s="186">
        <f>RANK(K27, K$27:$K$41)</f>
        <v>5</v>
      </c>
      <c r="N27" s="575"/>
      <c r="O27" s="575"/>
      <c r="P27" s="188">
        <v>11</v>
      </c>
      <c r="Q27" s="188">
        <v>3182.1011673151825</v>
      </c>
      <c r="R27" s="185">
        <f>IFERROR(Q27/P27,"")</f>
        <v>289.28192430138023</v>
      </c>
      <c r="S27" s="182">
        <f>RANK(R27, R$27:R$41)</f>
        <v>6</v>
      </c>
      <c r="T27" s="576">
        <f>AVERAGE(R27:R41)</f>
        <v>325.89333541271043</v>
      </c>
      <c r="U27" s="188">
        <v>11</v>
      </c>
      <c r="V27" s="188">
        <v>3182.1011673151729</v>
      </c>
      <c r="W27" s="185">
        <f t="shared" ref="W27:W34" si="27">IFERROR(V27/U27,"")</f>
        <v>289.28192430137938</v>
      </c>
      <c r="X27" s="182">
        <f>RANK(W27, W$27:W$41)</f>
        <v>6</v>
      </c>
      <c r="Y27" s="576">
        <f>AVERAGE(W27:W41)</f>
        <v>327.14090609042961</v>
      </c>
      <c r="Z27" s="188">
        <v>11</v>
      </c>
      <c r="AA27" s="188">
        <v>3182.8211673151732</v>
      </c>
      <c r="AB27" s="185">
        <f t="shared" ref="AB27:AB34" si="28">IFERROR(AA27/Z27,"")</f>
        <v>289.34737884683392</v>
      </c>
      <c r="AC27" s="182">
        <f>RANK(AB27, AB$27:AB$41)</f>
        <v>5</v>
      </c>
      <c r="AD27" s="576">
        <f>AVERAGE(AB27:AB41)</f>
        <v>328.3594497365246</v>
      </c>
      <c r="AE27" s="188">
        <v>11</v>
      </c>
      <c r="AF27" s="188">
        <v>3182.4611673151735</v>
      </c>
      <c r="AG27" s="185">
        <f>IFERROR(AF27/AE27,"")</f>
        <v>289.31465157410668</v>
      </c>
      <c r="AH27" s="182">
        <f>RANK(AG27, AG$27:AG$41)</f>
        <v>5</v>
      </c>
      <c r="AI27" s="576">
        <f>AVERAGE(AG27:AG41)</f>
        <v>329.64159001311725</v>
      </c>
      <c r="AJ27" s="188">
        <v>11</v>
      </c>
      <c r="AK27" s="188">
        <v>3182.8211673151736</v>
      </c>
      <c r="AL27" s="185">
        <f t="shared" ref="AL27:AL34" si="29">IFERROR(AK27/AJ27,"")</f>
        <v>289.34737884683398</v>
      </c>
      <c r="AM27" s="182">
        <f>RANK(AL27, AL$27:AL$41)</f>
        <v>5</v>
      </c>
      <c r="AN27" s="576">
        <f>AVERAGE(AL27:AL41)</f>
        <v>329.64212530616749</v>
      </c>
      <c r="AO27" s="188">
        <v>11</v>
      </c>
      <c r="AP27" s="188">
        <v>3184.6211673151743</v>
      </c>
      <c r="AQ27" s="185">
        <f t="shared" ref="AQ27:AQ34" si="30">IFERROR(AP27/AO27,"")</f>
        <v>289.51101521047036</v>
      </c>
      <c r="AR27" s="182">
        <f>RANK(AQ27, AQ$27:AQ$41)</f>
        <v>5</v>
      </c>
      <c r="AS27" s="576">
        <f>AVERAGE(AQ27:AQ41)</f>
        <v>329.68293970010689</v>
      </c>
      <c r="AT27" s="188">
        <v>11</v>
      </c>
      <c r="AU27" s="188">
        <v>3184.6211673151743</v>
      </c>
      <c r="AV27" s="185">
        <f t="shared" ref="AV27:AV33" si="31">IFERROR(AU27/AT27,"")</f>
        <v>289.51101521047036</v>
      </c>
      <c r="AW27" s="182">
        <f>RANK(AV27, AV$27:AV$41)</f>
        <v>5</v>
      </c>
      <c r="AX27" s="576">
        <f>AVERAGE(AV27:AV41)</f>
        <v>335.45762181104038</v>
      </c>
    </row>
    <row r="28" spans="2:50" ht="14.25" customHeight="1">
      <c r="B28" s="575"/>
      <c r="C28" s="180">
        <v>2</v>
      </c>
      <c r="D28" s="183" t="s">
        <v>464</v>
      </c>
      <c r="E28" s="180">
        <v>6</v>
      </c>
      <c r="F28" s="180">
        <v>2600</v>
      </c>
      <c r="G28" s="185">
        <f t="shared" si="26"/>
        <v>433.33333333333331</v>
      </c>
      <c r="H28" s="576"/>
      <c r="I28" s="186">
        <f t="shared" ref="I28:K34" si="32">AVERAGE(P28,U28,Z28,AE28,AJ28,AO28,AT28)</f>
        <v>6</v>
      </c>
      <c r="J28" s="186">
        <f t="shared" si="32"/>
        <v>2340.1058081467359</v>
      </c>
      <c r="K28" s="187">
        <f t="shared" si="32"/>
        <v>390.01763469112262</v>
      </c>
      <c r="L28" s="577"/>
      <c r="M28" s="186">
        <f>RANK(K28, K$27:$K$41)</f>
        <v>1</v>
      </c>
      <c r="N28" s="575"/>
      <c r="O28" s="575"/>
      <c r="P28" s="188">
        <v>6</v>
      </c>
      <c r="Q28" s="188">
        <v>2340.121375590023</v>
      </c>
      <c r="R28" s="185">
        <f t="shared" ref="R28:R34" si="33">IFERROR(Q28/P28,"")</f>
        <v>390.02022926500382</v>
      </c>
      <c r="S28" s="182">
        <f t="shared" ref="S28:S34" si="34">RANK(R28, R$27:R$41)</f>
        <v>1</v>
      </c>
      <c r="T28" s="576"/>
      <c r="U28" s="188">
        <v>6</v>
      </c>
      <c r="V28" s="188">
        <v>2340.1197604790418</v>
      </c>
      <c r="W28" s="185">
        <f t="shared" si="27"/>
        <v>390.0199600798403</v>
      </c>
      <c r="X28" s="182">
        <f t="shared" ref="X28:X34" si="35">RANK(W28, W$27:W$41)</f>
        <v>2</v>
      </c>
      <c r="Y28" s="576"/>
      <c r="Z28" s="188">
        <v>6</v>
      </c>
      <c r="AA28" s="188">
        <v>2339.3397604790421</v>
      </c>
      <c r="AB28" s="185">
        <f t="shared" si="28"/>
        <v>389.88996007984036</v>
      </c>
      <c r="AC28" s="182">
        <f t="shared" ref="AC28:AC34" si="36">RANK(AB28, AB$27:AB$41)</f>
        <v>1</v>
      </c>
      <c r="AD28" s="576"/>
      <c r="AE28" s="188">
        <v>6</v>
      </c>
      <c r="AF28" s="188">
        <v>2339.3397604790421</v>
      </c>
      <c r="AG28" s="185">
        <f t="shared" ref="AG28:AG34" si="37">IFERROR(AF28/AE28,"")</f>
        <v>389.88996007984036</v>
      </c>
      <c r="AH28" s="182">
        <f t="shared" ref="AH28:AH34" si="38">RANK(AG28, AG$27:AG$41)</f>
        <v>2</v>
      </c>
      <c r="AI28" s="576"/>
      <c r="AJ28" s="188">
        <v>6</v>
      </c>
      <c r="AK28" s="188">
        <v>2340</v>
      </c>
      <c r="AL28" s="185">
        <f t="shared" si="29"/>
        <v>390</v>
      </c>
      <c r="AM28" s="182">
        <f t="shared" ref="AM28:AM34" si="39">RANK(AL28, AL$27:AL$41)</f>
        <v>1</v>
      </c>
      <c r="AN28" s="576"/>
      <c r="AO28" s="188">
        <v>6</v>
      </c>
      <c r="AP28" s="188">
        <v>2341.04</v>
      </c>
      <c r="AQ28" s="185">
        <f t="shared" si="30"/>
        <v>390.17333333333335</v>
      </c>
      <c r="AR28" s="182">
        <f t="shared" ref="AR28:AR34" si="40">RANK(AQ28, AQ$27:AQ$41)</f>
        <v>1</v>
      </c>
      <c r="AS28" s="576"/>
      <c r="AT28" s="188">
        <v>6</v>
      </c>
      <c r="AU28" s="188">
        <v>2340.7800000000002</v>
      </c>
      <c r="AV28" s="185">
        <f t="shared" si="31"/>
        <v>390.13000000000005</v>
      </c>
      <c r="AW28" s="182">
        <f t="shared" ref="AW28:AW33" si="41">RANK(AV28, AV$27:AV$41)</f>
        <v>1</v>
      </c>
      <c r="AX28" s="576"/>
    </row>
    <row r="29" spans="2:50" ht="14.25" customHeight="1">
      <c r="B29" s="575"/>
      <c r="C29" s="180">
        <v>3</v>
      </c>
      <c r="D29" s="183" t="s">
        <v>467</v>
      </c>
      <c r="E29" s="180">
        <v>6</v>
      </c>
      <c r="F29" s="180">
        <v>2600</v>
      </c>
      <c r="G29" s="185">
        <f t="shared" si="26"/>
        <v>433.33333333333331</v>
      </c>
      <c r="H29" s="576"/>
      <c r="I29" s="186">
        <f t="shared" si="32"/>
        <v>6</v>
      </c>
      <c r="J29" s="186">
        <f t="shared" si="32"/>
        <v>2339.6700246290989</v>
      </c>
      <c r="K29" s="187">
        <f t="shared" si="32"/>
        <v>389.94500410484972</v>
      </c>
      <c r="L29" s="577"/>
      <c r="M29" s="186">
        <f>RANK(K29, K$27:$K$41)</f>
        <v>2</v>
      </c>
      <c r="N29" s="575"/>
      <c r="O29" s="575"/>
      <c r="P29" s="188">
        <v>6</v>
      </c>
      <c r="Q29" s="188">
        <v>2339.5683453237339</v>
      </c>
      <c r="R29" s="185">
        <f t="shared" si="33"/>
        <v>389.92805755395563</v>
      </c>
      <c r="S29" s="182">
        <f t="shared" si="34"/>
        <v>2</v>
      </c>
      <c r="T29" s="576"/>
      <c r="U29" s="188">
        <v>6</v>
      </c>
      <c r="V29" s="188">
        <v>2340.2936378466593</v>
      </c>
      <c r="W29" s="185">
        <f t="shared" si="27"/>
        <v>390.04893964110988</v>
      </c>
      <c r="X29" s="182">
        <f t="shared" si="35"/>
        <v>1</v>
      </c>
      <c r="Y29" s="576"/>
      <c r="Z29" s="188">
        <v>6</v>
      </c>
      <c r="AA29" s="188">
        <v>2339.2536378466593</v>
      </c>
      <c r="AB29" s="185">
        <f t="shared" si="28"/>
        <v>389.87560630777654</v>
      </c>
      <c r="AC29" s="182">
        <f t="shared" si="36"/>
        <v>2</v>
      </c>
      <c r="AD29" s="576"/>
      <c r="AE29" s="188">
        <v>6</v>
      </c>
      <c r="AF29" s="188">
        <v>2340.0336378466591</v>
      </c>
      <c r="AG29" s="185">
        <f t="shared" si="37"/>
        <v>390.00560630777653</v>
      </c>
      <c r="AH29" s="182">
        <f t="shared" si="38"/>
        <v>1</v>
      </c>
      <c r="AI29" s="576"/>
      <c r="AJ29" s="188">
        <v>6</v>
      </c>
      <c r="AK29" s="188">
        <v>2339.5136378466591</v>
      </c>
      <c r="AL29" s="185">
        <f t="shared" si="29"/>
        <v>389.91893964110983</v>
      </c>
      <c r="AM29" s="182">
        <f t="shared" si="39"/>
        <v>2</v>
      </c>
      <c r="AN29" s="576"/>
      <c r="AO29" s="188">
        <v>6</v>
      </c>
      <c r="AP29" s="188">
        <v>2339.5136378466591</v>
      </c>
      <c r="AQ29" s="185">
        <f t="shared" si="30"/>
        <v>389.91893964110983</v>
      </c>
      <c r="AR29" s="182">
        <f t="shared" si="40"/>
        <v>2</v>
      </c>
      <c r="AS29" s="576"/>
      <c r="AT29" s="188">
        <v>6</v>
      </c>
      <c r="AU29" s="188">
        <v>2339.5136378466591</v>
      </c>
      <c r="AV29" s="185">
        <f t="shared" si="31"/>
        <v>389.91893964110983</v>
      </c>
      <c r="AW29" s="182">
        <f t="shared" si="41"/>
        <v>2</v>
      </c>
      <c r="AX29" s="576"/>
    </row>
    <row r="30" spans="2:50" ht="14.25" customHeight="1">
      <c r="B30" s="575"/>
      <c r="C30" s="180">
        <v>4</v>
      </c>
      <c r="D30" s="183" t="s">
        <v>538</v>
      </c>
      <c r="E30" s="180">
        <v>6</v>
      </c>
      <c r="F30" s="180">
        <v>2500</v>
      </c>
      <c r="G30" s="185">
        <f t="shared" si="26"/>
        <v>416.66666666666669</v>
      </c>
      <c r="H30" s="576"/>
      <c r="I30" s="186">
        <f t="shared" si="32"/>
        <v>6</v>
      </c>
      <c r="J30" s="186">
        <f t="shared" si="32"/>
        <v>2259.6392489555301</v>
      </c>
      <c r="K30" s="187">
        <f t="shared" si="32"/>
        <v>376.60654149258829</v>
      </c>
      <c r="L30" s="577"/>
      <c r="M30" s="186">
        <f>RANK(K30, K$27:$K$41)</f>
        <v>4</v>
      </c>
      <c r="N30" s="575"/>
      <c r="O30" s="575"/>
      <c r="P30" s="188">
        <v>6</v>
      </c>
      <c r="Q30" s="188">
        <v>2259.9856836077292</v>
      </c>
      <c r="R30" s="185">
        <f t="shared" si="33"/>
        <v>376.66428060128823</v>
      </c>
      <c r="S30" s="182">
        <f t="shared" si="34"/>
        <v>3</v>
      </c>
      <c r="T30" s="576"/>
      <c r="U30" s="188">
        <v>6</v>
      </c>
      <c r="V30" s="188">
        <v>2260.8315098468297</v>
      </c>
      <c r="W30" s="185">
        <f t="shared" si="27"/>
        <v>376.80525164113828</v>
      </c>
      <c r="X30" s="182">
        <f t="shared" si="35"/>
        <v>3</v>
      </c>
      <c r="Y30" s="576"/>
      <c r="Z30" s="188">
        <v>6</v>
      </c>
      <c r="AA30" s="188">
        <v>2260.5815098468297</v>
      </c>
      <c r="AB30" s="185">
        <f t="shared" si="28"/>
        <v>376.7635849744716</v>
      </c>
      <c r="AC30" s="182">
        <f t="shared" si="36"/>
        <v>3</v>
      </c>
      <c r="AD30" s="576"/>
      <c r="AE30" s="188">
        <v>6</v>
      </c>
      <c r="AF30" s="188">
        <v>2259.8315098468297</v>
      </c>
      <c r="AG30" s="185">
        <f t="shared" si="37"/>
        <v>376.6385849744716</v>
      </c>
      <c r="AH30" s="182">
        <f t="shared" si="38"/>
        <v>4</v>
      </c>
      <c r="AI30" s="576"/>
      <c r="AJ30" s="188">
        <v>6</v>
      </c>
      <c r="AK30" s="188">
        <v>2258.8315098468302</v>
      </c>
      <c r="AL30" s="185">
        <f t="shared" si="29"/>
        <v>376.47191830780503</v>
      </c>
      <c r="AM30" s="182">
        <f t="shared" si="39"/>
        <v>4</v>
      </c>
      <c r="AN30" s="576"/>
      <c r="AO30" s="188">
        <v>6</v>
      </c>
      <c r="AP30" s="188">
        <v>2259.0815098468297</v>
      </c>
      <c r="AQ30" s="185">
        <f t="shared" si="30"/>
        <v>376.5135849744716</v>
      </c>
      <c r="AR30" s="182">
        <f t="shared" si="40"/>
        <v>4</v>
      </c>
      <c r="AS30" s="576"/>
      <c r="AT30" s="188">
        <v>6</v>
      </c>
      <c r="AU30" s="188">
        <v>2258.3315098468302</v>
      </c>
      <c r="AV30" s="185">
        <f t="shared" si="31"/>
        <v>376.38858497447171</v>
      </c>
      <c r="AW30" s="182">
        <f t="shared" si="41"/>
        <v>4</v>
      </c>
      <c r="AX30" s="576"/>
    </row>
    <row r="31" spans="2:50" ht="14.25" customHeight="1">
      <c r="B31" s="575"/>
      <c r="C31" s="180">
        <v>5</v>
      </c>
      <c r="D31" s="183" t="s">
        <v>579</v>
      </c>
      <c r="E31" s="180">
        <v>6</v>
      </c>
      <c r="F31" s="180">
        <v>2500</v>
      </c>
      <c r="G31" s="185">
        <f t="shared" si="26"/>
        <v>416.66666666666669</v>
      </c>
      <c r="H31" s="576"/>
      <c r="I31" s="186">
        <f t="shared" si="32"/>
        <v>6</v>
      </c>
      <c r="J31" s="186">
        <f t="shared" si="32"/>
        <v>2260.2733959398965</v>
      </c>
      <c r="K31" s="187">
        <f t="shared" si="32"/>
        <v>376.71223265664946</v>
      </c>
      <c r="L31" s="577"/>
      <c r="M31" s="186">
        <f>RANK(K31, K$27:$K$41)</f>
        <v>3</v>
      </c>
      <c r="N31" s="575"/>
      <c r="O31" s="575"/>
      <c r="P31" s="188">
        <v>6</v>
      </c>
      <c r="Q31" s="188">
        <v>2259.055982436882</v>
      </c>
      <c r="R31" s="185">
        <f t="shared" si="33"/>
        <v>376.509330406147</v>
      </c>
      <c r="S31" s="182">
        <f t="shared" si="34"/>
        <v>4</v>
      </c>
      <c r="T31" s="576"/>
      <c r="U31" s="188">
        <v>6</v>
      </c>
      <c r="V31" s="188">
        <v>2258.8512981904005</v>
      </c>
      <c r="W31" s="185">
        <f t="shared" si="27"/>
        <v>376.47521636506673</v>
      </c>
      <c r="X31" s="182">
        <f t="shared" si="35"/>
        <v>4</v>
      </c>
      <c r="Y31" s="576"/>
      <c r="Z31" s="188">
        <v>6</v>
      </c>
      <c r="AA31" s="188">
        <v>2260.1012981903996</v>
      </c>
      <c r="AB31" s="185">
        <f t="shared" si="28"/>
        <v>376.68354969839993</v>
      </c>
      <c r="AC31" s="182">
        <f t="shared" si="36"/>
        <v>4</v>
      </c>
      <c r="AD31" s="576"/>
      <c r="AE31" s="188">
        <v>6</v>
      </c>
      <c r="AF31" s="188">
        <v>2260.6012981903991</v>
      </c>
      <c r="AG31" s="185">
        <f t="shared" si="37"/>
        <v>376.76688303173319</v>
      </c>
      <c r="AH31" s="182">
        <f t="shared" si="38"/>
        <v>3</v>
      </c>
      <c r="AI31" s="576"/>
      <c r="AJ31" s="188">
        <v>6</v>
      </c>
      <c r="AK31" s="188">
        <v>2261.6012981903982</v>
      </c>
      <c r="AL31" s="185">
        <f t="shared" si="29"/>
        <v>376.9335496983997</v>
      </c>
      <c r="AM31" s="182">
        <f t="shared" si="39"/>
        <v>3</v>
      </c>
      <c r="AN31" s="576"/>
      <c r="AO31" s="188">
        <v>6</v>
      </c>
      <c r="AP31" s="188">
        <v>2260.6012981903982</v>
      </c>
      <c r="AQ31" s="185">
        <f t="shared" si="30"/>
        <v>376.76688303173302</v>
      </c>
      <c r="AR31" s="182">
        <f t="shared" si="40"/>
        <v>3</v>
      </c>
      <c r="AS31" s="576"/>
      <c r="AT31" s="188">
        <v>6</v>
      </c>
      <c r="AU31" s="188">
        <v>2261.1012981903982</v>
      </c>
      <c r="AV31" s="185">
        <f t="shared" si="31"/>
        <v>376.85021636506639</v>
      </c>
      <c r="AW31" s="182">
        <f t="shared" si="41"/>
        <v>3</v>
      </c>
      <c r="AX31" s="576"/>
    </row>
    <row r="32" spans="2:50" ht="14.25" customHeight="1">
      <c r="B32" s="575"/>
      <c r="C32" s="180">
        <v>6</v>
      </c>
      <c r="D32" s="183" t="s">
        <v>654</v>
      </c>
      <c r="E32" s="180">
        <v>12</v>
      </c>
      <c r="F32" s="180">
        <v>3600</v>
      </c>
      <c r="G32" s="185">
        <f t="shared" si="26"/>
        <v>300</v>
      </c>
      <c r="H32" s="576"/>
      <c r="I32" s="186">
        <f t="shared" si="32"/>
        <v>12</v>
      </c>
      <c r="J32" s="186">
        <f t="shared" si="32"/>
        <v>3100.0297565262649</v>
      </c>
      <c r="K32" s="187">
        <f t="shared" si="32"/>
        <v>258.33581304385541</v>
      </c>
      <c r="L32" s="577"/>
      <c r="M32" s="186">
        <f>RANK(K32, K$27:$K$41)</f>
        <v>7</v>
      </c>
      <c r="N32" s="575"/>
      <c r="O32" s="575"/>
      <c r="P32" s="188">
        <v>12</v>
      </c>
      <c r="Q32" s="188">
        <v>2972.0388349514578</v>
      </c>
      <c r="R32" s="185">
        <f t="shared" si="33"/>
        <v>247.6699029126215</v>
      </c>
      <c r="S32" s="182">
        <f t="shared" si="34"/>
        <v>8</v>
      </c>
      <c r="T32" s="576"/>
      <c r="U32" s="188">
        <v>12</v>
      </c>
      <c r="V32" s="188">
        <v>3030.0845070422529</v>
      </c>
      <c r="W32" s="185">
        <f t="shared" si="27"/>
        <v>252.50704225352106</v>
      </c>
      <c r="X32" s="182">
        <f t="shared" si="35"/>
        <v>8</v>
      </c>
      <c r="Y32" s="576"/>
      <c r="Z32" s="188">
        <v>12</v>
      </c>
      <c r="AA32" s="188">
        <v>3089.5845971830981</v>
      </c>
      <c r="AB32" s="185">
        <f t="shared" si="28"/>
        <v>257.46538309859153</v>
      </c>
      <c r="AC32" s="182">
        <f t="shared" si="36"/>
        <v>8</v>
      </c>
      <c r="AD32" s="576"/>
      <c r="AE32" s="188">
        <v>12</v>
      </c>
      <c r="AF32" s="188">
        <v>3152.8450891267603</v>
      </c>
      <c r="AG32" s="185">
        <f t="shared" si="37"/>
        <v>262.73709076056338</v>
      </c>
      <c r="AH32" s="182">
        <f t="shared" si="38"/>
        <v>7</v>
      </c>
      <c r="AI32" s="576"/>
      <c r="AJ32" s="188">
        <v>12</v>
      </c>
      <c r="AK32" s="188">
        <v>3151.0450891267615</v>
      </c>
      <c r="AL32" s="185">
        <f t="shared" si="29"/>
        <v>262.58709076056346</v>
      </c>
      <c r="AM32" s="182">
        <f t="shared" si="39"/>
        <v>7</v>
      </c>
      <c r="AN32" s="576"/>
      <c r="AO32" s="188">
        <v>12</v>
      </c>
      <c r="AP32" s="188">
        <v>3152.1250891267614</v>
      </c>
      <c r="AQ32" s="185">
        <f t="shared" si="30"/>
        <v>262.67709076056343</v>
      </c>
      <c r="AR32" s="182">
        <f t="shared" si="40"/>
        <v>7</v>
      </c>
      <c r="AS32" s="576"/>
      <c r="AT32" s="188">
        <v>12</v>
      </c>
      <c r="AU32" s="188">
        <v>3152.4850891267611</v>
      </c>
      <c r="AV32" s="185">
        <f t="shared" si="31"/>
        <v>262.7070907605634</v>
      </c>
      <c r="AW32" s="182">
        <f t="shared" si="41"/>
        <v>6</v>
      </c>
      <c r="AX32" s="576"/>
    </row>
    <row r="33" spans="2:50" ht="14.25" customHeight="1">
      <c r="B33" s="575"/>
      <c r="C33" s="180">
        <v>7</v>
      </c>
      <c r="D33" s="183" t="s">
        <v>655</v>
      </c>
      <c r="E33" s="180">
        <v>12</v>
      </c>
      <c r="F33" s="180">
        <v>3600</v>
      </c>
      <c r="G33" s="185">
        <f t="shared" si="26"/>
        <v>300</v>
      </c>
      <c r="H33" s="576"/>
      <c r="I33" s="186">
        <f t="shared" si="32"/>
        <v>12</v>
      </c>
      <c r="J33" s="186">
        <f t="shared" si="32"/>
        <v>3099.8195967013266</v>
      </c>
      <c r="K33" s="187">
        <f t="shared" si="32"/>
        <v>258.31829972511053</v>
      </c>
      <c r="L33" s="577"/>
      <c r="M33" s="186">
        <f>RANK(K33, K$27:$K$41)</f>
        <v>8</v>
      </c>
      <c r="N33" s="575"/>
      <c r="O33" s="575"/>
      <c r="P33" s="188">
        <v>12</v>
      </c>
      <c r="Q33" s="188">
        <v>2972.6213592233003</v>
      </c>
      <c r="R33" s="185">
        <f t="shared" si="33"/>
        <v>247.71844660194168</v>
      </c>
      <c r="S33" s="182">
        <f t="shared" si="34"/>
        <v>7</v>
      </c>
      <c r="T33" s="576"/>
      <c r="U33" s="188">
        <v>12</v>
      </c>
      <c r="V33" s="188">
        <v>3030.7213578500682</v>
      </c>
      <c r="W33" s="185">
        <f t="shared" si="27"/>
        <v>252.56011315417234</v>
      </c>
      <c r="X33" s="182">
        <f t="shared" si="35"/>
        <v>7</v>
      </c>
      <c r="Y33" s="576"/>
      <c r="Z33" s="188">
        <v>12</v>
      </c>
      <c r="AA33" s="188">
        <v>3090.2341850070693</v>
      </c>
      <c r="AB33" s="185">
        <f t="shared" si="28"/>
        <v>257.51951541725577</v>
      </c>
      <c r="AC33" s="182">
        <f t="shared" si="36"/>
        <v>7</v>
      </c>
      <c r="AD33" s="576"/>
      <c r="AE33" s="188">
        <v>12</v>
      </c>
      <c r="AF33" s="188">
        <v>3150.5700687072112</v>
      </c>
      <c r="AG33" s="185">
        <f t="shared" si="37"/>
        <v>262.54750572560096</v>
      </c>
      <c r="AH33" s="182">
        <f t="shared" si="38"/>
        <v>8</v>
      </c>
      <c r="AI33" s="576"/>
      <c r="AJ33" s="188">
        <v>12</v>
      </c>
      <c r="AK33" s="188">
        <v>3150.5700687072117</v>
      </c>
      <c r="AL33" s="185">
        <f t="shared" si="29"/>
        <v>262.54750572560096</v>
      </c>
      <c r="AM33" s="182">
        <f t="shared" si="39"/>
        <v>8</v>
      </c>
      <c r="AN33" s="576"/>
      <c r="AO33" s="188">
        <v>12</v>
      </c>
      <c r="AP33" s="188">
        <v>3151.6500687072121</v>
      </c>
      <c r="AQ33" s="185">
        <f t="shared" si="30"/>
        <v>262.63750572560099</v>
      </c>
      <c r="AR33" s="182">
        <f t="shared" si="40"/>
        <v>8</v>
      </c>
      <c r="AS33" s="576"/>
      <c r="AT33" s="188">
        <v>12</v>
      </c>
      <c r="AU33" s="188">
        <v>3152.3700687072114</v>
      </c>
      <c r="AV33" s="185">
        <f t="shared" si="31"/>
        <v>262.69750572560093</v>
      </c>
      <c r="AW33" s="182">
        <f t="shared" si="41"/>
        <v>7</v>
      </c>
      <c r="AX33" s="576"/>
    </row>
    <row r="34" spans="2:50" ht="14.25" customHeight="1">
      <c r="B34" s="575"/>
      <c r="C34" s="180">
        <v>8</v>
      </c>
      <c r="D34" s="183" t="s">
        <v>351</v>
      </c>
      <c r="E34" s="180">
        <v>11</v>
      </c>
      <c r="F34" s="180">
        <v>3600</v>
      </c>
      <c r="G34" s="185">
        <f t="shared" si="26"/>
        <v>327.27272727272725</v>
      </c>
      <c r="H34" s="576"/>
      <c r="I34" s="186">
        <f t="shared" si="32"/>
        <v>11</v>
      </c>
      <c r="J34" s="186">
        <f t="shared" si="32"/>
        <v>3182.5606165082158</v>
      </c>
      <c r="K34" s="187">
        <f t="shared" si="32"/>
        <v>289.3236924098378</v>
      </c>
      <c r="L34" s="577"/>
      <c r="M34" s="186">
        <f>RANK(K34, K$27:$K$41)</f>
        <v>6</v>
      </c>
      <c r="N34" s="575"/>
      <c r="O34" s="575"/>
      <c r="P34" s="188">
        <v>11</v>
      </c>
      <c r="Q34" s="188">
        <v>3182.899628252801</v>
      </c>
      <c r="R34" s="185">
        <f t="shared" si="33"/>
        <v>289.35451165934552</v>
      </c>
      <c r="S34" s="182">
        <f t="shared" si="34"/>
        <v>5</v>
      </c>
      <c r="T34" s="576"/>
      <c r="U34" s="188">
        <v>11</v>
      </c>
      <c r="V34" s="188">
        <v>3183.7168141592988</v>
      </c>
      <c r="W34" s="185">
        <f t="shared" si="27"/>
        <v>289.42880128720896</v>
      </c>
      <c r="X34" s="182">
        <f t="shared" si="35"/>
        <v>5</v>
      </c>
      <c r="Y34" s="576"/>
      <c r="Z34" s="188">
        <v>11</v>
      </c>
      <c r="AA34" s="188">
        <v>3182.6368141592989</v>
      </c>
      <c r="AB34" s="185">
        <f t="shared" si="28"/>
        <v>289.33061946902717</v>
      </c>
      <c r="AC34" s="182">
        <f t="shared" si="36"/>
        <v>6</v>
      </c>
      <c r="AD34" s="576"/>
      <c r="AE34" s="188">
        <v>11</v>
      </c>
      <c r="AF34" s="188">
        <v>3181.5568141592994</v>
      </c>
      <c r="AG34" s="185">
        <f t="shared" si="37"/>
        <v>289.23243765084538</v>
      </c>
      <c r="AH34" s="182">
        <f t="shared" si="38"/>
        <v>6</v>
      </c>
      <c r="AI34" s="576"/>
      <c r="AJ34" s="188">
        <v>11</v>
      </c>
      <c r="AK34" s="188">
        <v>3182.6368141592993</v>
      </c>
      <c r="AL34" s="185">
        <f t="shared" si="29"/>
        <v>289.33061946902723</v>
      </c>
      <c r="AM34" s="182">
        <f t="shared" si="39"/>
        <v>6</v>
      </c>
      <c r="AN34" s="576"/>
      <c r="AO34" s="188">
        <v>11</v>
      </c>
      <c r="AP34" s="188">
        <v>3181.9168141592991</v>
      </c>
      <c r="AQ34" s="185">
        <f t="shared" si="30"/>
        <v>289.26516492357263</v>
      </c>
      <c r="AR34" s="182">
        <f t="shared" si="40"/>
        <v>6</v>
      </c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589" t="s">
        <v>715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09" t="s">
        <v>374</v>
      </c>
      <c r="O42" s="609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1"/>
      <c r="O43" s="611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375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376</v>
      </c>
      <c r="F45" s="575"/>
      <c r="G45" s="575"/>
      <c r="H45" s="575"/>
      <c r="I45" s="579" t="s">
        <v>376</v>
      </c>
      <c r="J45" s="579"/>
      <c r="K45" s="579"/>
      <c r="L45" s="579"/>
      <c r="M45" s="579"/>
      <c r="N45" s="575"/>
      <c r="O45" s="575"/>
      <c r="P45" s="575" t="s">
        <v>377</v>
      </c>
      <c r="Q45" s="575"/>
      <c r="R45" s="575"/>
      <c r="S45" s="575"/>
      <c r="T45" s="575"/>
      <c r="U45" s="575" t="s">
        <v>377</v>
      </c>
      <c r="V45" s="575"/>
      <c r="W45" s="575"/>
      <c r="X45" s="575"/>
      <c r="Y45" s="575"/>
      <c r="Z45" s="575" t="s">
        <v>377</v>
      </c>
      <c r="AA45" s="575"/>
      <c r="AB45" s="575"/>
      <c r="AC45" s="575"/>
      <c r="AD45" s="575"/>
      <c r="AE45" s="575" t="s">
        <v>377</v>
      </c>
      <c r="AF45" s="575"/>
      <c r="AG45" s="575"/>
      <c r="AH45" s="575"/>
      <c r="AI45" s="575"/>
      <c r="AJ45" s="575" t="s">
        <v>377</v>
      </c>
      <c r="AK45" s="575"/>
      <c r="AL45" s="575"/>
      <c r="AM45" s="575"/>
      <c r="AN45" s="575"/>
      <c r="AO45" s="575" t="s">
        <v>377</v>
      </c>
      <c r="AP45" s="575"/>
      <c r="AQ45" s="575"/>
      <c r="AR45" s="575"/>
      <c r="AS45" s="575"/>
      <c r="AT45" s="575" t="s">
        <v>377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378</v>
      </c>
      <c r="G46" s="180" t="s">
        <v>161</v>
      </c>
      <c r="H46" s="575"/>
      <c r="I46" s="181" t="s">
        <v>159</v>
      </c>
      <c r="J46" s="181" t="s">
        <v>378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378</v>
      </c>
      <c r="R46" s="180" t="s">
        <v>161</v>
      </c>
      <c r="S46" s="182" t="s">
        <v>165</v>
      </c>
      <c r="T46" s="575"/>
      <c r="U46" s="180" t="s">
        <v>159</v>
      </c>
      <c r="V46" s="180" t="s">
        <v>378</v>
      </c>
      <c r="W46" s="180" t="s">
        <v>161</v>
      </c>
      <c r="X46" s="182" t="s">
        <v>165</v>
      </c>
      <c r="Y46" s="575"/>
      <c r="Z46" s="180" t="s">
        <v>159</v>
      </c>
      <c r="AA46" s="180" t="s">
        <v>378</v>
      </c>
      <c r="AB46" s="180" t="s">
        <v>161</v>
      </c>
      <c r="AC46" s="182" t="s">
        <v>165</v>
      </c>
      <c r="AD46" s="575"/>
      <c r="AE46" s="180" t="s">
        <v>159</v>
      </c>
      <c r="AF46" s="180" t="s">
        <v>378</v>
      </c>
      <c r="AG46" s="180" t="s">
        <v>161</v>
      </c>
      <c r="AH46" s="182" t="s">
        <v>165</v>
      </c>
      <c r="AI46" s="575"/>
      <c r="AJ46" s="180" t="s">
        <v>159</v>
      </c>
      <c r="AK46" s="180" t="s">
        <v>378</v>
      </c>
      <c r="AL46" s="180" t="s">
        <v>161</v>
      </c>
      <c r="AM46" s="182" t="s">
        <v>165</v>
      </c>
      <c r="AN46" s="575"/>
      <c r="AO46" s="180" t="s">
        <v>159</v>
      </c>
      <c r="AP46" s="180" t="s">
        <v>378</v>
      </c>
      <c r="AQ46" s="180" t="s">
        <v>161</v>
      </c>
      <c r="AR46" s="182" t="s">
        <v>165</v>
      </c>
      <c r="AS46" s="575"/>
      <c r="AT46" s="180" t="s">
        <v>159</v>
      </c>
      <c r="AU46" s="180" t="s">
        <v>378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380</v>
      </c>
      <c r="C47" s="180">
        <v>1</v>
      </c>
      <c r="D47" s="183" t="s">
        <v>348</v>
      </c>
      <c r="E47" s="180">
        <v>11</v>
      </c>
      <c r="F47" s="180">
        <v>3600</v>
      </c>
      <c r="G47" s="185">
        <f t="shared" ref="G47:G51" si="42">F47/E47</f>
        <v>327.27272727272725</v>
      </c>
      <c r="H47" s="576">
        <f>AVERAGE(G47:G61)</f>
        <v>358.78787878787875</v>
      </c>
      <c r="I47" s="186">
        <f>AVERAGE(P47,U47,Z47,AE47,AJ47,AO47,AT47)</f>
        <v>11</v>
      </c>
      <c r="J47" s="186">
        <f>AVERAGE(Q47,V47,AA47,AF47,AK47,AP47,AU47)</f>
        <v>3183.4383101723179</v>
      </c>
      <c r="K47" s="187">
        <f>AVERAGE(R47,W47,AB47,AG47,AL47,AQ47,AV47)</f>
        <v>289.40348274293802</v>
      </c>
      <c r="L47" s="577">
        <f>IFERROR(AVERAGE(K47:K61),"-")</f>
        <v>319.00267830889322</v>
      </c>
      <c r="M47" s="186">
        <f>RANK(K47, K$47:$K$61)</f>
        <v>3</v>
      </c>
      <c r="N47" s="575"/>
      <c r="O47" s="575"/>
      <c r="P47" s="188">
        <v>11</v>
      </c>
      <c r="Q47" s="188">
        <v>3185.7011673151742</v>
      </c>
      <c r="R47" s="185">
        <f>IFERROR(Q47/P47,"")</f>
        <v>289.6091970286522</v>
      </c>
      <c r="S47" s="182">
        <f>RANK(R47, R$47:R$61)</f>
        <v>3</v>
      </c>
      <c r="T47" s="576">
        <f>AVERAGE(R47:R61)</f>
        <v>318.94582116603607</v>
      </c>
      <c r="U47" s="188">
        <v>11</v>
      </c>
      <c r="V47" s="188">
        <v>3184.261167315175</v>
      </c>
      <c r="W47" s="185">
        <f t="shared" ref="W47:W51" si="43">IFERROR(V47/U47,"")</f>
        <v>289.47828793774318</v>
      </c>
      <c r="X47" s="182">
        <f>RANK(W47, W$47:W$61)</f>
        <v>3</v>
      </c>
      <c r="Y47" s="576">
        <f>AVERAGE(W47:W61)</f>
        <v>318.9589726811875</v>
      </c>
      <c r="Z47" s="188">
        <v>11</v>
      </c>
      <c r="AA47" s="188">
        <v>3182.8211673151754</v>
      </c>
      <c r="AB47" s="185">
        <f t="shared" ref="AB47:AB51" si="44">IFERROR(AA47/Z47,"")</f>
        <v>289.34737884683415</v>
      </c>
      <c r="AC47" s="182">
        <f>RANK(AB47, AB$47:AB$61)</f>
        <v>3</v>
      </c>
      <c r="AD47" s="637">
        <f>AVERAGE(AB47:AB61)</f>
        <v>319.00879086300574</v>
      </c>
      <c r="AE47" s="188">
        <v>11</v>
      </c>
      <c r="AF47" s="188">
        <v>3184.6211673151756</v>
      </c>
      <c r="AG47" s="185">
        <f>IFERROR(AF47/AE47,"")</f>
        <v>289.51101521047053</v>
      </c>
      <c r="AH47" s="182">
        <f>RANK(AG47, AG$47:AG$61)</f>
        <v>3</v>
      </c>
      <c r="AI47" s="576">
        <f>AVERAGE(AG47:AG61)</f>
        <v>319.03485146906644</v>
      </c>
      <c r="AJ47" s="188">
        <v>11</v>
      </c>
      <c r="AK47" s="188">
        <v>3183.181167315176</v>
      </c>
      <c r="AL47" s="185">
        <f t="shared" ref="AL47:AL51" si="45">IFERROR(AK47/AJ47,"")</f>
        <v>289.38010611956145</v>
      </c>
      <c r="AM47" s="182">
        <f>RANK(AL47, AL$47:AL$61)</f>
        <v>3</v>
      </c>
      <c r="AN47" s="576">
        <f>AVERAGE(AL47:AL61)</f>
        <v>319.01933631755116</v>
      </c>
      <c r="AO47" s="188">
        <v>11</v>
      </c>
      <c r="AP47" s="188">
        <v>3182.4611673151758</v>
      </c>
      <c r="AQ47" s="185">
        <f t="shared" ref="AQ47:AQ51" si="46">IFERROR(AP47/AO47,"")</f>
        <v>289.3146515741069</v>
      </c>
      <c r="AR47" s="182">
        <f>RANK(AQ47, AQ$47:AQ$61)</f>
        <v>3</v>
      </c>
      <c r="AS47" s="576">
        <f>AVERAGE(AQ47:AQ61)</f>
        <v>319.03291207512694</v>
      </c>
      <c r="AT47" s="188">
        <v>11</v>
      </c>
      <c r="AU47" s="188">
        <v>3181.0211673151762</v>
      </c>
      <c r="AV47" s="185">
        <f t="shared" ref="AV47:AV51" si="47">IFERROR(AU47/AT47,"")</f>
        <v>289.18374248319782</v>
      </c>
      <c r="AW47" s="182">
        <f>RANK(AV47, AV$47:AV$61)</f>
        <v>3</v>
      </c>
      <c r="AX47" s="576">
        <f>AVERAGE(AV47:AV61)</f>
        <v>319.01806359027853</v>
      </c>
    </row>
    <row r="48" spans="2:50" ht="14.25" customHeight="1">
      <c r="B48" s="575"/>
      <c r="C48" s="180">
        <v>2</v>
      </c>
      <c r="D48" s="183" t="s">
        <v>464</v>
      </c>
      <c r="E48" s="180">
        <v>6</v>
      </c>
      <c r="F48" s="180">
        <v>2600</v>
      </c>
      <c r="G48" s="185">
        <f t="shared" si="42"/>
        <v>433.33333333333331</v>
      </c>
      <c r="H48" s="576"/>
      <c r="I48" s="186">
        <f t="shared" ref="I48:K51" si="48">AVERAGE(P48,U48,Z48,AE48,AJ48,AO48,AT48)</f>
        <v>6</v>
      </c>
      <c r="J48" s="186">
        <f t="shared" si="48"/>
        <v>2340.0610931883798</v>
      </c>
      <c r="K48" s="187">
        <f t="shared" si="48"/>
        <v>390.01018219806326</v>
      </c>
      <c r="L48" s="577"/>
      <c r="M48" s="186">
        <f>RANK(K48, K$47:$K$61)</f>
        <v>2</v>
      </c>
      <c r="N48" s="575"/>
      <c r="O48" s="575"/>
      <c r="P48" s="188">
        <v>6</v>
      </c>
      <c r="Q48" s="188">
        <v>2339.5782360455228</v>
      </c>
      <c r="R48" s="185">
        <f t="shared" ref="R48:R51" si="49">IFERROR(Q48/P48,"")</f>
        <v>389.92970600758713</v>
      </c>
      <c r="S48" s="182">
        <f t="shared" ref="S48:S51" si="50">RANK(R48, R$47:R$61)</f>
        <v>1</v>
      </c>
      <c r="T48" s="576"/>
      <c r="U48" s="188">
        <v>6</v>
      </c>
      <c r="V48" s="188">
        <v>2339.5782360455228</v>
      </c>
      <c r="W48" s="185">
        <f t="shared" si="43"/>
        <v>389.92970600758713</v>
      </c>
      <c r="X48" s="182">
        <f t="shared" ref="X48:X51" si="51">RANK(W48, W$47:W$61)</f>
        <v>1</v>
      </c>
      <c r="Y48" s="576"/>
      <c r="Z48" s="188">
        <v>6</v>
      </c>
      <c r="AA48" s="188">
        <v>2340.3582360455225</v>
      </c>
      <c r="AB48" s="185">
        <f t="shared" si="44"/>
        <v>390.05970600758707</v>
      </c>
      <c r="AC48" s="182">
        <f t="shared" ref="AC48:AC51" si="52">RANK(AB48, AB$47:AB$61)</f>
        <v>1</v>
      </c>
      <c r="AD48" s="638"/>
      <c r="AE48" s="188">
        <v>6</v>
      </c>
      <c r="AF48" s="188">
        <v>2339.5782360455223</v>
      </c>
      <c r="AG48" s="185">
        <f t="shared" ref="AG48:AG51" si="53">IFERROR(AF48/AE48,"")</f>
        <v>389.92970600758707</v>
      </c>
      <c r="AH48" s="182">
        <f t="shared" ref="AH48:AH51" si="54">RANK(AG48, AG$47:AG$61)</f>
        <v>2</v>
      </c>
      <c r="AI48" s="576"/>
      <c r="AJ48" s="188">
        <v>6</v>
      </c>
      <c r="AK48" s="188">
        <v>2340.0982360455218</v>
      </c>
      <c r="AL48" s="185">
        <f t="shared" si="45"/>
        <v>390.01637267425366</v>
      </c>
      <c r="AM48" s="182">
        <f t="shared" ref="AM48:AM51" si="55">RANK(AL48, AL$47:AL$61)</f>
        <v>2</v>
      </c>
      <c r="AN48" s="576"/>
      <c r="AO48" s="188">
        <v>6</v>
      </c>
      <c r="AP48" s="188">
        <v>2340.3582360455221</v>
      </c>
      <c r="AQ48" s="185">
        <f t="shared" si="46"/>
        <v>390.05970600758701</v>
      </c>
      <c r="AR48" s="182">
        <f t="shared" ref="AR48:AR51" si="56">RANK(AQ48, AQ$47:AQ$61)</f>
        <v>2</v>
      </c>
      <c r="AS48" s="576"/>
      <c r="AT48" s="188">
        <v>6</v>
      </c>
      <c r="AU48" s="188">
        <v>2340.8782360455225</v>
      </c>
      <c r="AV48" s="185">
        <f t="shared" si="47"/>
        <v>390.14637267425377</v>
      </c>
      <c r="AW48" s="182">
        <f t="shared" ref="AW48:AW51" si="57">RANK(AV48, AV$47:AV$61)</f>
        <v>2</v>
      </c>
      <c r="AX48" s="576"/>
    </row>
    <row r="49" spans="2:50" ht="14.25" customHeight="1">
      <c r="B49" s="575"/>
      <c r="C49" s="180">
        <v>3</v>
      </c>
      <c r="D49" s="183" t="s">
        <v>467</v>
      </c>
      <c r="E49" s="180">
        <v>6</v>
      </c>
      <c r="F49" s="180">
        <v>2600</v>
      </c>
      <c r="G49" s="185">
        <f t="shared" si="42"/>
        <v>433.33333333333331</v>
      </c>
      <c r="H49" s="576"/>
      <c r="I49" s="186">
        <f t="shared" si="48"/>
        <v>6</v>
      </c>
      <c r="J49" s="186">
        <f t="shared" si="48"/>
        <v>2340.5536378466591</v>
      </c>
      <c r="K49" s="187">
        <f t="shared" si="48"/>
        <v>390.09227297444323</v>
      </c>
      <c r="L49" s="577"/>
      <c r="M49" s="186">
        <f>RANK(K49, K$47:$K$61)</f>
        <v>1</v>
      </c>
      <c r="N49" s="575"/>
      <c r="O49" s="575"/>
      <c r="P49" s="188">
        <v>6</v>
      </c>
      <c r="Q49" s="188">
        <v>2339.2536378466584</v>
      </c>
      <c r="R49" s="185">
        <f t="shared" si="49"/>
        <v>389.87560630777642</v>
      </c>
      <c r="S49" s="182">
        <f t="shared" si="50"/>
        <v>2</v>
      </c>
      <c r="T49" s="576"/>
      <c r="U49" s="188">
        <v>6</v>
      </c>
      <c r="V49" s="188">
        <v>2338.9936378466587</v>
      </c>
      <c r="W49" s="185">
        <f t="shared" si="43"/>
        <v>389.83227297444313</v>
      </c>
      <c r="X49" s="182">
        <f t="shared" si="51"/>
        <v>2</v>
      </c>
      <c r="Y49" s="576"/>
      <c r="Z49" s="188">
        <v>6</v>
      </c>
      <c r="AA49" s="188">
        <v>2339.7736378466593</v>
      </c>
      <c r="AB49" s="185">
        <f t="shared" si="44"/>
        <v>389.96227297444324</v>
      </c>
      <c r="AC49" s="182">
        <f t="shared" si="52"/>
        <v>2</v>
      </c>
      <c r="AD49" s="638"/>
      <c r="AE49" s="188">
        <v>6</v>
      </c>
      <c r="AF49" s="188">
        <v>2341.0736378466595</v>
      </c>
      <c r="AG49" s="185">
        <f t="shared" si="53"/>
        <v>390.17893964110993</v>
      </c>
      <c r="AH49" s="182">
        <f t="shared" si="54"/>
        <v>1</v>
      </c>
      <c r="AI49" s="576"/>
      <c r="AJ49" s="188">
        <v>6</v>
      </c>
      <c r="AK49" s="188">
        <v>2341.5936378466599</v>
      </c>
      <c r="AL49" s="185">
        <f t="shared" si="45"/>
        <v>390.26560630777664</v>
      </c>
      <c r="AM49" s="182">
        <f t="shared" si="55"/>
        <v>1</v>
      </c>
      <c r="AN49" s="576"/>
      <c r="AO49" s="188">
        <v>6</v>
      </c>
      <c r="AP49" s="188">
        <v>2341.5936378466599</v>
      </c>
      <c r="AQ49" s="185">
        <f t="shared" si="46"/>
        <v>390.26560630777664</v>
      </c>
      <c r="AR49" s="182">
        <f t="shared" si="56"/>
        <v>1</v>
      </c>
      <c r="AS49" s="576"/>
      <c r="AT49" s="188">
        <v>6</v>
      </c>
      <c r="AU49" s="188">
        <v>2341.5936378466599</v>
      </c>
      <c r="AV49" s="185">
        <f t="shared" si="47"/>
        <v>390.26560630777664</v>
      </c>
      <c r="AW49" s="182">
        <f t="shared" si="57"/>
        <v>1</v>
      </c>
      <c r="AX49" s="576"/>
    </row>
    <row r="50" spans="2:50" ht="14.25" customHeight="1">
      <c r="B50" s="575"/>
      <c r="C50" s="180">
        <v>4</v>
      </c>
      <c r="D50" s="183" t="s">
        <v>654</v>
      </c>
      <c r="E50" s="180">
        <v>12</v>
      </c>
      <c r="F50" s="180">
        <v>3600</v>
      </c>
      <c r="G50" s="185">
        <f t="shared" si="42"/>
        <v>300</v>
      </c>
      <c r="H50" s="576"/>
      <c r="I50" s="186">
        <f t="shared" si="48"/>
        <v>12</v>
      </c>
      <c r="J50" s="186">
        <f t="shared" si="48"/>
        <v>3152.7422319839038</v>
      </c>
      <c r="K50" s="187">
        <f t="shared" si="48"/>
        <v>262.728519331992</v>
      </c>
      <c r="L50" s="577"/>
      <c r="M50" s="186">
        <f>RANK(K50, K$47:$K$61)</f>
        <v>5</v>
      </c>
      <c r="N50" s="575"/>
      <c r="O50" s="575"/>
      <c r="P50" s="188">
        <v>12</v>
      </c>
      <c r="Q50" s="188">
        <v>3152.1250891267605</v>
      </c>
      <c r="R50" s="185">
        <f t="shared" si="49"/>
        <v>262.67709076056337</v>
      </c>
      <c r="S50" s="182">
        <f t="shared" si="50"/>
        <v>4</v>
      </c>
      <c r="T50" s="576"/>
      <c r="U50" s="188">
        <v>12</v>
      </c>
      <c r="V50" s="188">
        <v>3153.9250891267607</v>
      </c>
      <c r="W50" s="185">
        <f t="shared" si="43"/>
        <v>262.82709076056341</v>
      </c>
      <c r="X50" s="182">
        <f t="shared" si="51"/>
        <v>4</v>
      </c>
      <c r="Y50" s="576"/>
      <c r="Z50" s="188">
        <v>12</v>
      </c>
      <c r="AA50" s="188">
        <v>3153.9250891267611</v>
      </c>
      <c r="AB50" s="185">
        <f t="shared" si="44"/>
        <v>262.82709076056341</v>
      </c>
      <c r="AC50" s="182">
        <f t="shared" si="52"/>
        <v>5</v>
      </c>
      <c r="AD50" s="638"/>
      <c r="AE50" s="188">
        <v>12</v>
      </c>
      <c r="AF50" s="188">
        <v>3152.1250891267609</v>
      </c>
      <c r="AG50" s="185">
        <f t="shared" si="53"/>
        <v>262.67709076056343</v>
      </c>
      <c r="AH50" s="182">
        <f t="shared" si="54"/>
        <v>5</v>
      </c>
      <c r="AI50" s="576"/>
      <c r="AJ50" s="188">
        <v>12</v>
      </c>
      <c r="AK50" s="188">
        <v>3151.045089126761</v>
      </c>
      <c r="AL50" s="185">
        <f t="shared" si="45"/>
        <v>262.5870907605634</v>
      </c>
      <c r="AM50" s="182">
        <f t="shared" si="55"/>
        <v>5</v>
      </c>
      <c r="AN50" s="576"/>
      <c r="AO50" s="188">
        <v>12</v>
      </c>
      <c r="AP50" s="188">
        <v>3152.4850891267606</v>
      </c>
      <c r="AQ50" s="185">
        <f t="shared" si="46"/>
        <v>262.7070907605634</v>
      </c>
      <c r="AR50" s="182">
        <f t="shared" si="56"/>
        <v>5</v>
      </c>
      <c r="AS50" s="576"/>
      <c r="AT50" s="188">
        <v>12</v>
      </c>
      <c r="AU50" s="188">
        <v>3153.5650891267601</v>
      </c>
      <c r="AV50" s="185">
        <f t="shared" si="47"/>
        <v>262.79709076056332</v>
      </c>
      <c r="AW50" s="182">
        <f t="shared" si="57"/>
        <v>4</v>
      </c>
      <c r="AX50" s="576"/>
    </row>
    <row r="51" spans="2:50" ht="14.25" customHeight="1">
      <c r="B51" s="575"/>
      <c r="C51" s="180">
        <v>5</v>
      </c>
      <c r="D51" s="183" t="s">
        <v>655</v>
      </c>
      <c r="E51" s="180">
        <v>12</v>
      </c>
      <c r="F51" s="180">
        <v>3600</v>
      </c>
      <c r="G51" s="185">
        <f t="shared" si="42"/>
        <v>300</v>
      </c>
      <c r="H51" s="576"/>
      <c r="I51" s="186">
        <f t="shared" si="48"/>
        <v>12</v>
      </c>
      <c r="J51" s="186">
        <f t="shared" si="48"/>
        <v>3153.3472115643535</v>
      </c>
      <c r="K51" s="187">
        <f t="shared" si="48"/>
        <v>262.77893429702948</v>
      </c>
      <c r="L51" s="577"/>
      <c r="M51" s="186">
        <f>RANK(K51, K$47:$K$61)</f>
        <v>4</v>
      </c>
      <c r="N51" s="575"/>
      <c r="O51" s="575"/>
      <c r="P51" s="188">
        <v>12</v>
      </c>
      <c r="Q51" s="188">
        <v>3151.6500687072112</v>
      </c>
      <c r="R51" s="185">
        <f t="shared" si="49"/>
        <v>262.63750572560093</v>
      </c>
      <c r="S51" s="182">
        <f t="shared" si="50"/>
        <v>5</v>
      </c>
      <c r="T51" s="576"/>
      <c r="U51" s="188">
        <v>12</v>
      </c>
      <c r="V51" s="188">
        <v>3152.7300687072111</v>
      </c>
      <c r="W51" s="185">
        <f t="shared" si="43"/>
        <v>262.72750572560091</v>
      </c>
      <c r="X51" s="182">
        <f t="shared" si="51"/>
        <v>5</v>
      </c>
      <c r="Y51" s="576"/>
      <c r="Z51" s="188">
        <v>12</v>
      </c>
      <c r="AA51" s="188">
        <v>3154.1700687072107</v>
      </c>
      <c r="AB51" s="185">
        <f t="shared" si="44"/>
        <v>262.84750572560091</v>
      </c>
      <c r="AC51" s="182">
        <f t="shared" si="52"/>
        <v>4</v>
      </c>
      <c r="AD51" s="638"/>
      <c r="AE51" s="188">
        <v>12</v>
      </c>
      <c r="AF51" s="188">
        <v>3154.5300687072113</v>
      </c>
      <c r="AG51" s="185">
        <f t="shared" si="53"/>
        <v>262.87750572560094</v>
      </c>
      <c r="AH51" s="182">
        <f t="shared" si="54"/>
        <v>4</v>
      </c>
      <c r="AI51" s="576"/>
      <c r="AJ51" s="188">
        <v>12</v>
      </c>
      <c r="AK51" s="188">
        <v>3154.1700687072112</v>
      </c>
      <c r="AL51" s="185">
        <f t="shared" si="45"/>
        <v>262.84750572560091</v>
      </c>
      <c r="AM51" s="182">
        <f t="shared" si="55"/>
        <v>4</v>
      </c>
      <c r="AN51" s="576"/>
      <c r="AO51" s="188">
        <v>12</v>
      </c>
      <c r="AP51" s="188">
        <v>3153.8100687072106</v>
      </c>
      <c r="AQ51" s="185">
        <f t="shared" si="46"/>
        <v>262.81750572560088</v>
      </c>
      <c r="AR51" s="182">
        <f t="shared" si="56"/>
        <v>4</v>
      </c>
      <c r="AS51" s="576"/>
      <c r="AT51" s="188">
        <v>12</v>
      </c>
      <c r="AU51" s="188">
        <v>3152.3700687072105</v>
      </c>
      <c r="AV51" s="185">
        <f t="shared" si="47"/>
        <v>262.69750572560088</v>
      </c>
      <c r="AW51" s="182">
        <f t="shared" si="57"/>
        <v>5</v>
      </c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638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638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638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638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638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638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638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638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638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639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  <row r="62" spans="2:50" ht="14.25" customHeight="1">
      <c r="B62" s="643" t="s">
        <v>754</v>
      </c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4"/>
      <c r="N62" s="609" t="s">
        <v>374</v>
      </c>
      <c r="O62" s="609" t="s">
        <v>105</v>
      </c>
      <c r="P62" s="655">
        <v>46133</v>
      </c>
      <c r="Q62" s="656"/>
      <c r="R62" s="656"/>
      <c r="S62" s="656"/>
      <c r="T62" s="656"/>
      <c r="U62" s="657">
        <v>46134</v>
      </c>
      <c r="V62" s="658"/>
      <c r="W62" s="658"/>
      <c r="X62" s="658"/>
      <c r="Y62" s="658"/>
      <c r="Z62" s="655">
        <v>46135</v>
      </c>
      <c r="AA62" s="656"/>
      <c r="AB62" s="656"/>
      <c r="AC62" s="656"/>
      <c r="AD62" s="656"/>
      <c r="AE62" s="657">
        <v>46136</v>
      </c>
      <c r="AF62" s="658"/>
      <c r="AG62" s="658"/>
      <c r="AH62" s="658"/>
      <c r="AI62" s="658"/>
      <c r="AJ62" s="647">
        <v>46137</v>
      </c>
      <c r="AK62" s="648"/>
      <c r="AL62" s="648"/>
      <c r="AM62" s="648"/>
      <c r="AN62" s="649"/>
      <c r="AO62" s="657">
        <v>46138</v>
      </c>
      <c r="AP62" s="658"/>
      <c r="AQ62" s="658"/>
      <c r="AR62" s="658"/>
      <c r="AS62" s="658"/>
      <c r="AT62" s="647">
        <v>46139</v>
      </c>
      <c r="AU62" s="648"/>
      <c r="AV62" s="648"/>
      <c r="AW62" s="648"/>
      <c r="AX62" s="649"/>
    </row>
    <row r="63" spans="2:50" ht="14.25" customHeight="1"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6"/>
      <c r="N63" s="611"/>
      <c r="O63" s="611"/>
      <c r="P63" s="650">
        <v>46133</v>
      </c>
      <c r="Q63" s="650"/>
      <c r="R63" s="650"/>
      <c r="S63" s="650"/>
      <c r="T63" s="650"/>
      <c r="U63" s="651">
        <v>46134</v>
      </c>
      <c r="V63" s="651"/>
      <c r="W63" s="651"/>
      <c r="X63" s="651"/>
      <c r="Y63" s="651"/>
      <c r="Z63" s="650">
        <v>46135</v>
      </c>
      <c r="AA63" s="650"/>
      <c r="AB63" s="650"/>
      <c r="AC63" s="650"/>
      <c r="AD63" s="650"/>
      <c r="AE63" s="651">
        <v>46136</v>
      </c>
      <c r="AF63" s="651"/>
      <c r="AG63" s="651"/>
      <c r="AH63" s="651"/>
      <c r="AI63" s="651"/>
      <c r="AJ63" s="652">
        <v>46137</v>
      </c>
      <c r="AK63" s="653"/>
      <c r="AL63" s="653"/>
      <c r="AM63" s="653"/>
      <c r="AN63" s="654"/>
      <c r="AO63" s="651">
        <v>46138</v>
      </c>
      <c r="AP63" s="651"/>
      <c r="AQ63" s="651"/>
      <c r="AR63" s="651"/>
      <c r="AS63" s="651"/>
      <c r="AT63" s="652">
        <v>46139</v>
      </c>
      <c r="AU63" s="653"/>
      <c r="AV63" s="653"/>
      <c r="AW63" s="653"/>
      <c r="AX63" s="654"/>
    </row>
    <row r="64" spans="2:50" ht="14.25" customHeight="1">
      <c r="B64" s="575" t="s">
        <v>162</v>
      </c>
      <c r="C64" s="575" t="s">
        <v>157</v>
      </c>
      <c r="D64" s="575"/>
      <c r="E64" s="575" t="s">
        <v>158</v>
      </c>
      <c r="F64" s="575"/>
      <c r="G64" s="575"/>
      <c r="H64" s="575" t="s">
        <v>163</v>
      </c>
      <c r="I64" s="579" t="s">
        <v>375</v>
      </c>
      <c r="J64" s="579"/>
      <c r="K64" s="579"/>
      <c r="L64" s="579" t="s">
        <v>163</v>
      </c>
      <c r="M64" s="579" t="s">
        <v>165</v>
      </c>
      <c r="N64" s="575"/>
      <c r="O64" s="575" t="s">
        <v>164</v>
      </c>
      <c r="P64" s="575" t="s">
        <v>160</v>
      </c>
      <c r="Q64" s="575"/>
      <c r="R64" s="575"/>
      <c r="S64" s="575"/>
      <c r="T64" s="575" t="s">
        <v>163</v>
      </c>
      <c r="U64" s="575" t="s">
        <v>160</v>
      </c>
      <c r="V64" s="575"/>
      <c r="W64" s="575"/>
      <c r="X64" s="575"/>
      <c r="Y64" s="575" t="s">
        <v>163</v>
      </c>
      <c r="Z64" s="575" t="s">
        <v>160</v>
      </c>
      <c r="AA64" s="575"/>
      <c r="AB64" s="575"/>
      <c r="AC64" s="575"/>
      <c r="AD64" s="575" t="s">
        <v>163</v>
      </c>
      <c r="AE64" s="575" t="s">
        <v>160</v>
      </c>
      <c r="AF64" s="575"/>
      <c r="AG64" s="575"/>
      <c r="AH64" s="575"/>
      <c r="AI64" s="575" t="s">
        <v>163</v>
      </c>
      <c r="AJ64" s="575" t="s">
        <v>160</v>
      </c>
      <c r="AK64" s="575"/>
      <c r="AL64" s="575"/>
      <c r="AM64" s="575"/>
      <c r="AN64" s="575" t="s">
        <v>163</v>
      </c>
      <c r="AO64" s="575" t="s">
        <v>160</v>
      </c>
      <c r="AP64" s="575"/>
      <c r="AQ64" s="575"/>
      <c r="AR64" s="575"/>
      <c r="AS64" s="575" t="s">
        <v>163</v>
      </c>
      <c r="AT64" s="575" t="s">
        <v>160</v>
      </c>
      <c r="AU64" s="575"/>
      <c r="AV64" s="575"/>
      <c r="AW64" s="575"/>
      <c r="AX64" s="575" t="s">
        <v>163</v>
      </c>
    </row>
    <row r="65" spans="2:50" ht="14.25" customHeight="1">
      <c r="B65" s="575"/>
      <c r="C65" s="575"/>
      <c r="D65" s="575"/>
      <c r="E65" s="575" t="s">
        <v>376</v>
      </c>
      <c r="F65" s="575"/>
      <c r="G65" s="575"/>
      <c r="H65" s="575"/>
      <c r="I65" s="579" t="s">
        <v>376</v>
      </c>
      <c r="J65" s="579"/>
      <c r="K65" s="579"/>
      <c r="L65" s="579"/>
      <c r="M65" s="579"/>
      <c r="N65" s="575"/>
      <c r="O65" s="575"/>
      <c r="P65" s="575" t="s">
        <v>377</v>
      </c>
      <c r="Q65" s="575"/>
      <c r="R65" s="575"/>
      <c r="S65" s="575"/>
      <c r="T65" s="575"/>
      <c r="U65" s="575" t="s">
        <v>377</v>
      </c>
      <c r="V65" s="575"/>
      <c r="W65" s="575"/>
      <c r="X65" s="575"/>
      <c r="Y65" s="575"/>
      <c r="Z65" s="575" t="s">
        <v>377</v>
      </c>
      <c r="AA65" s="575"/>
      <c r="AB65" s="575"/>
      <c r="AC65" s="575"/>
      <c r="AD65" s="575"/>
      <c r="AE65" s="575" t="s">
        <v>377</v>
      </c>
      <c r="AF65" s="575"/>
      <c r="AG65" s="575"/>
      <c r="AH65" s="575"/>
      <c r="AI65" s="575"/>
      <c r="AJ65" s="575" t="s">
        <v>377</v>
      </c>
      <c r="AK65" s="575"/>
      <c r="AL65" s="575"/>
      <c r="AM65" s="575"/>
      <c r="AN65" s="575"/>
      <c r="AO65" s="575" t="s">
        <v>377</v>
      </c>
      <c r="AP65" s="575"/>
      <c r="AQ65" s="575"/>
      <c r="AR65" s="575"/>
      <c r="AS65" s="575"/>
      <c r="AT65" s="575" t="s">
        <v>377</v>
      </c>
      <c r="AU65" s="575"/>
      <c r="AV65" s="575"/>
      <c r="AW65" s="575"/>
      <c r="AX65" s="575"/>
    </row>
    <row r="66" spans="2:50" ht="14.25" customHeight="1">
      <c r="B66" s="575"/>
      <c r="C66" s="575"/>
      <c r="D66" s="575"/>
      <c r="E66" s="180" t="s">
        <v>159</v>
      </c>
      <c r="F66" s="180" t="s">
        <v>378</v>
      </c>
      <c r="G66" s="180" t="s">
        <v>161</v>
      </c>
      <c r="H66" s="575"/>
      <c r="I66" s="181" t="s">
        <v>159</v>
      </c>
      <c r="J66" s="181" t="s">
        <v>378</v>
      </c>
      <c r="K66" s="181" t="s">
        <v>161</v>
      </c>
      <c r="L66" s="579"/>
      <c r="M66" s="579"/>
      <c r="N66" s="575"/>
      <c r="O66" s="575"/>
      <c r="P66" s="180" t="s">
        <v>159</v>
      </c>
      <c r="Q66" s="180" t="s">
        <v>378</v>
      </c>
      <c r="R66" s="180" t="s">
        <v>161</v>
      </c>
      <c r="S66" s="182" t="s">
        <v>165</v>
      </c>
      <c r="T66" s="575"/>
      <c r="U66" s="180" t="s">
        <v>159</v>
      </c>
      <c r="V66" s="180" t="s">
        <v>378</v>
      </c>
      <c r="W66" s="180" t="s">
        <v>161</v>
      </c>
      <c r="X66" s="182" t="s">
        <v>165</v>
      </c>
      <c r="Y66" s="575"/>
      <c r="Z66" s="180" t="s">
        <v>159</v>
      </c>
      <c r="AA66" s="180" t="s">
        <v>378</v>
      </c>
      <c r="AB66" s="180" t="s">
        <v>161</v>
      </c>
      <c r="AC66" s="182" t="s">
        <v>165</v>
      </c>
      <c r="AD66" s="575"/>
      <c r="AE66" s="180" t="s">
        <v>159</v>
      </c>
      <c r="AF66" s="180" t="s">
        <v>378</v>
      </c>
      <c r="AG66" s="180" t="s">
        <v>161</v>
      </c>
      <c r="AH66" s="182" t="s">
        <v>165</v>
      </c>
      <c r="AI66" s="575"/>
      <c r="AJ66" s="180" t="s">
        <v>159</v>
      </c>
      <c r="AK66" s="180" t="s">
        <v>378</v>
      </c>
      <c r="AL66" s="180" t="s">
        <v>161</v>
      </c>
      <c r="AM66" s="182" t="s">
        <v>165</v>
      </c>
      <c r="AN66" s="575"/>
      <c r="AO66" s="180" t="s">
        <v>159</v>
      </c>
      <c r="AP66" s="180" t="s">
        <v>378</v>
      </c>
      <c r="AQ66" s="180" t="s">
        <v>161</v>
      </c>
      <c r="AR66" s="182" t="s">
        <v>165</v>
      </c>
      <c r="AS66" s="575"/>
      <c r="AT66" s="180" t="s">
        <v>159</v>
      </c>
      <c r="AU66" s="180" t="s">
        <v>378</v>
      </c>
      <c r="AV66" s="180" t="s">
        <v>161</v>
      </c>
      <c r="AW66" s="182" t="s">
        <v>165</v>
      </c>
      <c r="AX66" s="575"/>
    </row>
    <row r="67" spans="2:50" ht="14.25" customHeight="1">
      <c r="B67" s="575" t="s">
        <v>380</v>
      </c>
      <c r="C67" s="180">
        <v>1</v>
      </c>
      <c r="D67" s="183" t="s">
        <v>348</v>
      </c>
      <c r="E67" s="180">
        <v>11</v>
      </c>
      <c r="F67" s="180">
        <v>3600</v>
      </c>
      <c r="G67" s="185">
        <f t="shared" ref="G67:G71" si="58">F67/E67</f>
        <v>327.27272727272725</v>
      </c>
      <c r="H67" s="576">
        <f>AVERAGE(G67:G81)</f>
        <v>358.78787878787875</v>
      </c>
      <c r="I67" s="186">
        <f>AVERAGE(P67,U67,Z67,AE67,AJ67,AO67,AT67)</f>
        <v>11</v>
      </c>
      <c r="J67" s="186">
        <f>AVERAGE(Q67,V67,AA67,AF67,AK67,AP67,AU67)</f>
        <v>3182.0346784134504</v>
      </c>
      <c r="K67" s="187">
        <f>AVERAGE(R67,W67,AB67,AG67,AL67,AQ67,AV67)</f>
        <v>289.27587985576821</v>
      </c>
      <c r="L67" s="577">
        <f>IFERROR(AVERAGE(K67:K81),"-")</f>
        <v>319.02574906475786</v>
      </c>
      <c r="M67" s="186">
        <f>RANK(K67, K$67:$K$81)</f>
        <v>3</v>
      </c>
      <c r="N67" s="575"/>
      <c r="O67" s="575"/>
      <c r="P67" s="188">
        <v>11</v>
      </c>
      <c r="Q67" s="188">
        <v>3181.0211673151762</v>
      </c>
      <c r="R67" s="185">
        <f>IFERROR(Q67/P67,"")</f>
        <v>289.18374248319782</v>
      </c>
      <c r="S67" s="182">
        <f>RANK(R67, R$67:R$81)</f>
        <v>3</v>
      </c>
      <c r="T67" s="576">
        <f>AVERAGE(R67:R81)</f>
        <v>318.97273025694523</v>
      </c>
      <c r="U67" s="188">
        <v>11</v>
      </c>
      <c r="V67" s="188">
        <v>3182.1011673151761</v>
      </c>
      <c r="W67" s="185">
        <f t="shared" ref="W67:W71" si="59">IFERROR(V67/U67,"")</f>
        <v>289.28192430137966</v>
      </c>
      <c r="X67" s="182">
        <f>RANK(W67, W$67:W$81)</f>
        <v>3</v>
      </c>
      <c r="Y67" s="576">
        <f>AVERAGE(W67:W81)</f>
        <v>318.94951823279752</v>
      </c>
      <c r="Z67" s="188">
        <v>11</v>
      </c>
      <c r="AA67" s="188">
        <v>3182.8211673151764</v>
      </c>
      <c r="AB67" s="185">
        <f t="shared" ref="AB67:AB71" si="60">IFERROR(AA67/Z67,"")</f>
        <v>289.3473788468342</v>
      </c>
      <c r="AC67" s="182">
        <f>RANK(AB67, AB$67:AB$81)</f>
        <v>3</v>
      </c>
      <c r="AD67" s="576">
        <f>AVERAGE(AB67:AB81)</f>
        <v>318.97660914188845</v>
      </c>
      <c r="AE67" s="188">
        <v>11</v>
      </c>
      <c r="AF67" s="188">
        <v>3182.8211673151764</v>
      </c>
      <c r="AG67" s="185">
        <f>IFERROR(AF67/AE67,"")</f>
        <v>289.3473788468342</v>
      </c>
      <c r="AH67" s="182">
        <f>RANK(AG67, AG$67:AG$81)</f>
        <v>3</v>
      </c>
      <c r="AI67" s="576">
        <f>AVERAGE(AG67:AG81)</f>
        <v>319.01860914188836</v>
      </c>
      <c r="AJ67" s="188">
        <v>11</v>
      </c>
      <c r="AK67" s="188">
        <v>3182.1011673151766</v>
      </c>
      <c r="AL67" s="185">
        <f t="shared" ref="AL67:AL71" si="61">IFERROR(AK67/AJ67,"")</f>
        <v>289.28192430137966</v>
      </c>
      <c r="AM67" s="182">
        <f>RANK(AL67, AL$67:AL$81)</f>
        <v>3</v>
      </c>
      <c r="AN67" s="576">
        <f>AVERAGE(AL67:AL81)</f>
        <v>319.08193092933124</v>
      </c>
      <c r="AO67" s="188">
        <v>11</v>
      </c>
      <c r="AP67" s="188">
        <v>3181.0211673151771</v>
      </c>
      <c r="AQ67" s="185">
        <f t="shared" ref="AQ67:AQ71" si="62">IFERROR(AP67/AO67,"")</f>
        <v>289.18374248319793</v>
      </c>
      <c r="AR67" s="182">
        <f>RANK(AQ67, AQ$67:AQ$81)</f>
        <v>3</v>
      </c>
      <c r="AS67" s="576">
        <f>AVERAGE(AQ67:AQ81)</f>
        <v>319.08229035079177</v>
      </c>
      <c r="AT67" s="188">
        <v>11</v>
      </c>
      <c r="AU67" s="188">
        <v>3182.355745003093</v>
      </c>
      <c r="AV67" s="185">
        <f t="shared" ref="AV67:AV71" si="63">IFERROR(AU67/AT67,"")</f>
        <v>289.30506772755393</v>
      </c>
      <c r="AW67" s="182">
        <f>RANK(AV67, AV$67:AV$81)</f>
        <v>3</v>
      </c>
      <c r="AX67" s="576">
        <f>AVERAGE(AV67:AV81)</f>
        <v>319.09855539966293</v>
      </c>
    </row>
    <row r="68" spans="2:50" ht="14.25" customHeight="1">
      <c r="B68" s="575"/>
      <c r="C68" s="180">
        <v>2</v>
      </c>
      <c r="D68" s="183" t="s">
        <v>464</v>
      </c>
      <c r="E68" s="180">
        <v>6</v>
      </c>
      <c r="F68" s="180">
        <v>2600</v>
      </c>
      <c r="G68" s="185">
        <f t="shared" si="58"/>
        <v>433.33333333333331</v>
      </c>
      <c r="H68" s="576"/>
      <c r="I68" s="186">
        <f t="shared" ref="I68:K71" si="64">AVERAGE(P68,U68,Z68,AE68,AJ68,AO68,AT68)</f>
        <v>6</v>
      </c>
      <c r="J68" s="186">
        <f t="shared" si="64"/>
        <v>2340.3507060739344</v>
      </c>
      <c r="K68" s="187">
        <f t="shared" si="64"/>
        <v>390.05845101232234</v>
      </c>
      <c r="L68" s="577"/>
      <c r="M68" s="186">
        <f>RANK(K68, K$67:$K$81)</f>
        <v>1</v>
      </c>
      <c r="N68" s="575"/>
      <c r="O68" s="575"/>
      <c r="P68" s="188">
        <v>6</v>
      </c>
      <c r="Q68" s="188">
        <v>2339.5782360455228</v>
      </c>
      <c r="R68" s="185">
        <f t="shared" ref="R68:R71" si="65">IFERROR(Q68/P68,"")</f>
        <v>389.92970600758713</v>
      </c>
      <c r="S68" s="182">
        <f t="shared" ref="S68:S71" si="66">RANK(R68, R$67:R$81)</f>
        <v>2</v>
      </c>
      <c r="T68" s="576"/>
      <c r="U68" s="188">
        <v>6</v>
      </c>
      <c r="V68" s="188">
        <v>2340.1327844120033</v>
      </c>
      <c r="W68" s="185">
        <f t="shared" si="59"/>
        <v>390.02213073533386</v>
      </c>
      <c r="X68" s="182">
        <f t="shared" ref="X68:X71" si="67">RANK(W68, W$67:W$81)</f>
        <v>1</v>
      </c>
      <c r="Y68" s="576"/>
      <c r="Z68" s="188">
        <v>6</v>
      </c>
      <c r="AA68" s="188">
        <v>2341.1727844120028</v>
      </c>
      <c r="AB68" s="185">
        <f t="shared" si="60"/>
        <v>390.19546406866715</v>
      </c>
      <c r="AC68" s="182">
        <f t="shared" ref="AC68:AC71" si="68">RANK(AB68, AB$67:AB$81)</f>
        <v>1</v>
      </c>
      <c r="AD68" s="576"/>
      <c r="AE68" s="188">
        <v>6</v>
      </c>
      <c r="AF68" s="188">
        <v>2341.1727844120028</v>
      </c>
      <c r="AG68" s="185">
        <f t="shared" ref="AG68:AG71" si="69">IFERROR(AF68/AE68,"")</f>
        <v>390.19546406866715</v>
      </c>
      <c r="AH68" s="182">
        <f t="shared" ref="AH68:AH71" si="70">RANK(AG68, AG$67:AG$81)</f>
        <v>1</v>
      </c>
      <c r="AI68" s="576"/>
      <c r="AJ68" s="188">
        <v>6</v>
      </c>
      <c r="AK68" s="188">
        <v>2340.1327844120033</v>
      </c>
      <c r="AL68" s="185">
        <f t="shared" si="61"/>
        <v>390.02213073533386</v>
      </c>
      <c r="AM68" s="182">
        <f t="shared" ref="AM68:AM71" si="71">RANK(AL68, AL$67:AL$81)</f>
        <v>1</v>
      </c>
      <c r="AN68" s="576"/>
      <c r="AO68" s="188">
        <v>6</v>
      </c>
      <c r="AP68" s="188">
        <v>2340.1327844120033</v>
      </c>
      <c r="AQ68" s="185">
        <f t="shared" si="62"/>
        <v>390.02213073533386</v>
      </c>
      <c r="AR68" s="182">
        <f t="shared" ref="AR68:AR71" si="72">RANK(AQ68, AQ$67:AQ$81)</f>
        <v>2</v>
      </c>
      <c r="AS68" s="576"/>
      <c r="AT68" s="188">
        <v>6</v>
      </c>
      <c r="AU68" s="188">
        <v>2340.1327844120028</v>
      </c>
      <c r="AV68" s="185">
        <f t="shared" si="63"/>
        <v>390.0221307353338</v>
      </c>
      <c r="AW68" s="182">
        <f t="shared" ref="AW68:AW71" si="73">RANK(AV68, AV$67:AV$81)</f>
        <v>1</v>
      </c>
      <c r="AX68" s="576"/>
    </row>
    <row r="69" spans="2:50" ht="14.25" customHeight="1">
      <c r="B69" s="575"/>
      <c r="C69" s="180">
        <v>3</v>
      </c>
      <c r="D69" s="183" t="s">
        <v>467</v>
      </c>
      <c r="E69" s="180">
        <v>6</v>
      </c>
      <c r="F69" s="180">
        <v>2600</v>
      </c>
      <c r="G69" s="185">
        <f t="shared" si="58"/>
        <v>433.33333333333331</v>
      </c>
      <c r="H69" s="576"/>
      <c r="I69" s="186">
        <f t="shared" si="64"/>
        <v>6</v>
      </c>
      <c r="J69" s="186">
        <f t="shared" si="64"/>
        <v>2339.7373702506779</v>
      </c>
      <c r="K69" s="187">
        <f t="shared" si="64"/>
        <v>389.95622837511303</v>
      </c>
      <c r="L69" s="577"/>
      <c r="M69" s="186">
        <f>RANK(K69, K$67:$K$81)</f>
        <v>2</v>
      </c>
      <c r="N69" s="575"/>
      <c r="O69" s="575"/>
      <c r="P69" s="188">
        <v>6</v>
      </c>
      <c r="Q69" s="188">
        <v>2340.8136378466602</v>
      </c>
      <c r="R69" s="185">
        <f t="shared" si="65"/>
        <v>390.1356063077767</v>
      </c>
      <c r="S69" s="182">
        <f t="shared" si="66"/>
        <v>1</v>
      </c>
      <c r="T69" s="576"/>
      <c r="U69" s="188">
        <v>6</v>
      </c>
      <c r="V69" s="188">
        <v>2339.5136378466605</v>
      </c>
      <c r="W69" s="185">
        <f t="shared" si="59"/>
        <v>389.91893964111006</v>
      </c>
      <c r="X69" s="182">
        <f t="shared" si="67"/>
        <v>2</v>
      </c>
      <c r="Y69" s="576"/>
      <c r="Z69" s="188">
        <v>6</v>
      </c>
      <c r="AA69" s="188">
        <v>2339.2536378466602</v>
      </c>
      <c r="AB69" s="185">
        <f t="shared" si="60"/>
        <v>389.87560630777671</v>
      </c>
      <c r="AC69" s="182">
        <f t="shared" si="68"/>
        <v>2</v>
      </c>
      <c r="AD69" s="576"/>
      <c r="AE69" s="188">
        <v>6</v>
      </c>
      <c r="AF69" s="188">
        <v>2339.2536378466602</v>
      </c>
      <c r="AG69" s="185">
        <f t="shared" si="69"/>
        <v>389.87560630777671</v>
      </c>
      <c r="AH69" s="182">
        <f t="shared" si="70"/>
        <v>2</v>
      </c>
      <c r="AI69" s="576"/>
      <c r="AJ69" s="188">
        <v>6</v>
      </c>
      <c r="AK69" s="188">
        <v>2339.6890134560354</v>
      </c>
      <c r="AL69" s="185">
        <f t="shared" si="61"/>
        <v>389.94816890933924</v>
      </c>
      <c r="AM69" s="182">
        <f t="shared" si="71"/>
        <v>2</v>
      </c>
      <c r="AN69" s="576"/>
      <c r="AO69" s="188">
        <v>6</v>
      </c>
      <c r="AP69" s="188">
        <v>2340.2090134560358</v>
      </c>
      <c r="AQ69" s="185">
        <f t="shared" si="62"/>
        <v>390.03483557600595</v>
      </c>
      <c r="AR69" s="182">
        <f t="shared" si="72"/>
        <v>1</v>
      </c>
      <c r="AS69" s="576"/>
      <c r="AT69" s="188">
        <v>6</v>
      </c>
      <c r="AU69" s="188">
        <v>2339.429013456036</v>
      </c>
      <c r="AV69" s="185">
        <f t="shared" si="63"/>
        <v>389.90483557600601</v>
      </c>
      <c r="AW69" s="182">
        <f t="shared" si="73"/>
        <v>2</v>
      </c>
      <c r="AX69" s="576"/>
    </row>
    <row r="70" spans="2:50" ht="14.25" customHeight="1">
      <c r="B70" s="575"/>
      <c r="C70" s="180">
        <v>4</v>
      </c>
      <c r="D70" s="183" t="s">
        <v>654</v>
      </c>
      <c r="E70" s="180">
        <v>12</v>
      </c>
      <c r="F70" s="180">
        <v>3600</v>
      </c>
      <c r="G70" s="185">
        <f t="shared" si="58"/>
        <v>300</v>
      </c>
      <c r="H70" s="576"/>
      <c r="I70" s="186">
        <f t="shared" si="64"/>
        <v>12</v>
      </c>
      <c r="J70" s="186">
        <f t="shared" si="64"/>
        <v>3154.5053793724474</v>
      </c>
      <c r="K70" s="187">
        <f t="shared" si="64"/>
        <v>262.87544828103734</v>
      </c>
      <c r="L70" s="577"/>
      <c r="M70" s="186">
        <f>RANK(K70, K$67:$K$81)</f>
        <v>5</v>
      </c>
      <c r="N70" s="575"/>
      <c r="O70" s="575"/>
      <c r="P70" s="188">
        <v>12</v>
      </c>
      <c r="Q70" s="188">
        <v>3153.5650891267596</v>
      </c>
      <c r="R70" s="185">
        <f t="shared" si="65"/>
        <v>262.79709076056332</v>
      </c>
      <c r="S70" s="182">
        <f t="shared" si="66"/>
        <v>5</v>
      </c>
      <c r="T70" s="576"/>
      <c r="U70" s="188">
        <v>12</v>
      </c>
      <c r="V70" s="188">
        <v>3152.12508912676</v>
      </c>
      <c r="W70" s="185">
        <f t="shared" si="59"/>
        <v>262.67709076056332</v>
      </c>
      <c r="X70" s="182">
        <f t="shared" si="67"/>
        <v>5</v>
      </c>
      <c r="Y70" s="576"/>
      <c r="Z70" s="188">
        <v>12</v>
      </c>
      <c r="AA70" s="188">
        <v>3151.4050891267598</v>
      </c>
      <c r="AB70" s="185">
        <f t="shared" si="60"/>
        <v>262.61709076056331</v>
      </c>
      <c r="AC70" s="182">
        <f t="shared" si="68"/>
        <v>5</v>
      </c>
      <c r="AD70" s="576"/>
      <c r="AE70" s="188">
        <v>12</v>
      </c>
      <c r="AF70" s="188">
        <v>3152.8450891267598</v>
      </c>
      <c r="AG70" s="185">
        <f t="shared" si="69"/>
        <v>262.73709076056332</v>
      </c>
      <c r="AH70" s="182">
        <f t="shared" si="70"/>
        <v>5</v>
      </c>
      <c r="AI70" s="576"/>
      <c r="AJ70" s="188">
        <v>12</v>
      </c>
      <c r="AK70" s="188">
        <v>3158.2790997000307</v>
      </c>
      <c r="AL70" s="185">
        <f t="shared" si="61"/>
        <v>263.18992497500255</v>
      </c>
      <c r="AM70" s="182">
        <f t="shared" si="71"/>
        <v>4</v>
      </c>
      <c r="AN70" s="576"/>
      <c r="AO70" s="188">
        <v>12</v>
      </c>
      <c r="AP70" s="188">
        <v>3156.8390997000306</v>
      </c>
      <c r="AQ70" s="185">
        <f t="shared" si="62"/>
        <v>263.06992497500255</v>
      </c>
      <c r="AR70" s="182">
        <f t="shared" si="72"/>
        <v>5</v>
      </c>
      <c r="AS70" s="576"/>
      <c r="AT70" s="188">
        <v>12</v>
      </c>
      <c r="AU70" s="188">
        <v>3156.4790997000309</v>
      </c>
      <c r="AV70" s="185">
        <f t="shared" si="63"/>
        <v>263.03992497500258</v>
      </c>
      <c r="AW70" s="182">
        <f t="shared" si="73"/>
        <v>5</v>
      </c>
      <c r="AX70" s="576"/>
    </row>
    <row r="71" spans="2:50" ht="14.25" customHeight="1">
      <c r="B71" s="575"/>
      <c r="C71" s="180">
        <v>5</v>
      </c>
      <c r="D71" s="183" t="s">
        <v>655</v>
      </c>
      <c r="E71" s="180">
        <v>12</v>
      </c>
      <c r="F71" s="180">
        <v>3600</v>
      </c>
      <c r="G71" s="185">
        <f t="shared" si="58"/>
        <v>300</v>
      </c>
      <c r="H71" s="576"/>
      <c r="I71" s="186">
        <f t="shared" si="64"/>
        <v>12</v>
      </c>
      <c r="J71" s="186">
        <f t="shared" si="64"/>
        <v>3155.5528535945841</v>
      </c>
      <c r="K71" s="187">
        <f t="shared" si="64"/>
        <v>262.96273779954873</v>
      </c>
      <c r="L71" s="577"/>
      <c r="M71" s="186">
        <f>RANK(K71, K$67:$K$81)</f>
        <v>4</v>
      </c>
      <c r="N71" s="575"/>
      <c r="O71" s="575"/>
      <c r="P71" s="188">
        <v>12</v>
      </c>
      <c r="Q71" s="188">
        <v>3153.8100687072106</v>
      </c>
      <c r="R71" s="185">
        <f t="shared" si="65"/>
        <v>262.81750572560088</v>
      </c>
      <c r="S71" s="182">
        <f t="shared" si="66"/>
        <v>4</v>
      </c>
      <c r="T71" s="576"/>
      <c r="U71" s="188">
        <v>12</v>
      </c>
      <c r="V71" s="188">
        <v>3154.1700687072102</v>
      </c>
      <c r="W71" s="185">
        <f t="shared" si="59"/>
        <v>262.84750572560085</v>
      </c>
      <c r="X71" s="182">
        <f t="shared" si="67"/>
        <v>4</v>
      </c>
      <c r="Y71" s="576"/>
      <c r="Z71" s="188">
        <v>12</v>
      </c>
      <c r="AA71" s="188">
        <v>3154.1700687072102</v>
      </c>
      <c r="AB71" s="185">
        <f t="shared" si="60"/>
        <v>262.84750572560085</v>
      </c>
      <c r="AC71" s="182">
        <f t="shared" si="68"/>
        <v>4</v>
      </c>
      <c r="AD71" s="576"/>
      <c r="AE71" s="188">
        <v>12</v>
      </c>
      <c r="AF71" s="188">
        <v>3155.2500687072093</v>
      </c>
      <c r="AG71" s="185">
        <f t="shared" si="69"/>
        <v>262.93750572560077</v>
      </c>
      <c r="AH71" s="182">
        <f t="shared" si="70"/>
        <v>4</v>
      </c>
      <c r="AI71" s="576"/>
      <c r="AJ71" s="188">
        <v>12</v>
      </c>
      <c r="AK71" s="188">
        <v>3155.6100687072089</v>
      </c>
      <c r="AL71" s="185">
        <f t="shared" si="61"/>
        <v>262.96750572560074</v>
      </c>
      <c r="AM71" s="182">
        <f t="shared" si="71"/>
        <v>5</v>
      </c>
      <c r="AN71" s="576"/>
      <c r="AO71" s="188">
        <v>12</v>
      </c>
      <c r="AP71" s="188">
        <v>3157.2098158130202</v>
      </c>
      <c r="AQ71" s="185">
        <f t="shared" si="62"/>
        <v>263.10081798441837</v>
      </c>
      <c r="AR71" s="182">
        <f t="shared" si="72"/>
        <v>4</v>
      </c>
      <c r="AS71" s="576"/>
      <c r="AT71" s="188">
        <v>12</v>
      </c>
      <c r="AU71" s="188">
        <v>3158.6498158130198</v>
      </c>
      <c r="AV71" s="185">
        <f t="shared" si="63"/>
        <v>263.22081798441832</v>
      </c>
      <c r="AW71" s="182">
        <f t="shared" si="73"/>
        <v>4</v>
      </c>
      <c r="AX71" s="576"/>
    </row>
    <row r="72" spans="2:50" ht="14.25" customHeight="1">
      <c r="B72" s="575"/>
      <c r="C72" s="180">
        <v>6</v>
      </c>
      <c r="D72" s="183"/>
      <c r="E72" s="180"/>
      <c r="F72" s="180"/>
      <c r="G72" s="185"/>
      <c r="H72" s="576"/>
      <c r="I72" s="186"/>
      <c r="J72" s="186"/>
      <c r="K72" s="187"/>
      <c r="L72" s="577"/>
      <c r="M72" s="186"/>
      <c r="N72" s="575"/>
      <c r="O72" s="575"/>
      <c r="P72" s="188"/>
      <c r="Q72" s="188"/>
      <c r="R72" s="185"/>
      <c r="S72" s="182"/>
      <c r="T72" s="576"/>
      <c r="U72" s="188"/>
      <c r="V72" s="188"/>
      <c r="W72" s="185"/>
      <c r="X72" s="182"/>
      <c r="Y72" s="576"/>
      <c r="Z72" s="188"/>
      <c r="AA72" s="188"/>
      <c r="AB72" s="185"/>
      <c r="AC72" s="182"/>
      <c r="AD72" s="576"/>
      <c r="AE72" s="188"/>
      <c r="AF72" s="188"/>
      <c r="AG72" s="185"/>
      <c r="AH72" s="182"/>
      <c r="AI72" s="576"/>
      <c r="AJ72" s="188"/>
      <c r="AK72" s="188"/>
      <c r="AL72" s="185"/>
      <c r="AM72" s="182"/>
      <c r="AN72" s="576"/>
      <c r="AO72" s="188"/>
      <c r="AP72" s="188"/>
      <c r="AQ72" s="185"/>
      <c r="AR72" s="182"/>
      <c r="AS72" s="576"/>
      <c r="AT72" s="188"/>
      <c r="AU72" s="188"/>
      <c r="AV72" s="185"/>
      <c r="AW72" s="182"/>
      <c r="AX72" s="576"/>
    </row>
    <row r="73" spans="2:50" ht="14.25" customHeight="1">
      <c r="B73" s="575"/>
      <c r="C73" s="180">
        <v>7</v>
      </c>
      <c r="D73" s="183"/>
      <c r="E73" s="180"/>
      <c r="F73" s="180"/>
      <c r="G73" s="185"/>
      <c r="H73" s="576"/>
      <c r="I73" s="186"/>
      <c r="J73" s="186"/>
      <c r="K73" s="187"/>
      <c r="L73" s="577"/>
      <c r="M73" s="186"/>
      <c r="N73" s="575"/>
      <c r="O73" s="575"/>
      <c r="P73" s="188"/>
      <c r="Q73" s="188"/>
      <c r="R73" s="185"/>
      <c r="S73" s="182"/>
      <c r="T73" s="576"/>
      <c r="U73" s="188"/>
      <c r="V73" s="188"/>
      <c r="W73" s="185"/>
      <c r="X73" s="182"/>
      <c r="Y73" s="576"/>
      <c r="Z73" s="188"/>
      <c r="AA73" s="188"/>
      <c r="AB73" s="185"/>
      <c r="AC73" s="182"/>
      <c r="AD73" s="576"/>
      <c r="AE73" s="188"/>
      <c r="AF73" s="188"/>
      <c r="AG73" s="185"/>
      <c r="AH73" s="182"/>
      <c r="AI73" s="576"/>
      <c r="AJ73" s="188"/>
      <c r="AK73" s="188"/>
      <c r="AL73" s="185"/>
      <c r="AM73" s="182"/>
      <c r="AN73" s="576"/>
      <c r="AO73" s="188"/>
      <c r="AP73" s="188"/>
      <c r="AQ73" s="185"/>
      <c r="AR73" s="182"/>
      <c r="AS73" s="576"/>
      <c r="AT73" s="188"/>
      <c r="AU73" s="188"/>
      <c r="AV73" s="185"/>
      <c r="AW73" s="182"/>
      <c r="AX73" s="576"/>
    </row>
    <row r="74" spans="2:50" ht="14.25" customHeight="1">
      <c r="B74" s="575"/>
      <c r="C74" s="180">
        <v>8</v>
      </c>
      <c r="D74" s="183"/>
      <c r="E74" s="180"/>
      <c r="F74" s="180"/>
      <c r="G74" s="185"/>
      <c r="H74" s="576"/>
      <c r="I74" s="186"/>
      <c r="J74" s="186"/>
      <c r="K74" s="187"/>
      <c r="L74" s="577"/>
      <c r="M74" s="186"/>
      <c r="N74" s="575"/>
      <c r="O74" s="575"/>
      <c r="P74" s="188"/>
      <c r="Q74" s="188"/>
      <c r="R74" s="185"/>
      <c r="S74" s="182"/>
      <c r="T74" s="576"/>
      <c r="U74" s="188"/>
      <c r="V74" s="188"/>
      <c r="W74" s="185"/>
      <c r="X74" s="182"/>
      <c r="Y74" s="576"/>
      <c r="Z74" s="188"/>
      <c r="AA74" s="188"/>
      <c r="AB74" s="185"/>
      <c r="AC74" s="182"/>
      <c r="AD74" s="576"/>
      <c r="AE74" s="188"/>
      <c r="AF74" s="188"/>
      <c r="AG74" s="185"/>
      <c r="AH74" s="182"/>
      <c r="AI74" s="576"/>
      <c r="AJ74" s="188"/>
      <c r="AK74" s="188"/>
      <c r="AL74" s="185"/>
      <c r="AM74" s="182"/>
      <c r="AN74" s="576"/>
      <c r="AO74" s="188"/>
      <c r="AP74" s="188"/>
      <c r="AQ74" s="185"/>
      <c r="AR74" s="182"/>
      <c r="AS74" s="576"/>
      <c r="AT74" s="188"/>
      <c r="AU74" s="188"/>
      <c r="AV74" s="185"/>
      <c r="AW74" s="182"/>
      <c r="AX74" s="576"/>
    </row>
    <row r="75" spans="2:50" ht="14.25" customHeight="1">
      <c r="B75" s="575"/>
      <c r="C75" s="180">
        <v>9</v>
      </c>
      <c r="D75" s="183"/>
      <c r="E75" s="180"/>
      <c r="F75" s="180"/>
      <c r="G75" s="185"/>
      <c r="H75" s="576"/>
      <c r="I75" s="186"/>
      <c r="J75" s="186"/>
      <c r="K75" s="187"/>
      <c r="L75" s="577"/>
      <c r="M75" s="186"/>
      <c r="N75" s="575"/>
      <c r="O75" s="575"/>
      <c r="P75" s="188"/>
      <c r="Q75" s="188"/>
      <c r="R75" s="185"/>
      <c r="S75" s="182"/>
      <c r="T75" s="576"/>
      <c r="U75" s="188"/>
      <c r="V75" s="188"/>
      <c r="W75" s="185"/>
      <c r="X75" s="182"/>
      <c r="Y75" s="576"/>
      <c r="Z75" s="188"/>
      <c r="AA75" s="188"/>
      <c r="AB75" s="185"/>
      <c r="AC75" s="182"/>
      <c r="AD75" s="576"/>
      <c r="AE75" s="188"/>
      <c r="AF75" s="188"/>
      <c r="AG75" s="185"/>
      <c r="AH75" s="182"/>
      <c r="AI75" s="576"/>
      <c r="AJ75" s="188"/>
      <c r="AK75" s="188"/>
      <c r="AL75" s="185"/>
      <c r="AM75" s="182"/>
      <c r="AN75" s="576"/>
      <c r="AO75" s="188"/>
      <c r="AP75" s="188"/>
      <c r="AQ75" s="185"/>
      <c r="AR75" s="182"/>
      <c r="AS75" s="576"/>
      <c r="AT75" s="188"/>
      <c r="AU75" s="188"/>
      <c r="AV75" s="185"/>
      <c r="AW75" s="182"/>
      <c r="AX75" s="576"/>
    </row>
    <row r="76" spans="2:50" ht="14.25" customHeight="1">
      <c r="B76" s="575"/>
      <c r="C76" s="180">
        <v>10</v>
      </c>
      <c r="D76" s="183"/>
      <c r="E76" s="180"/>
      <c r="F76" s="180"/>
      <c r="G76" s="185"/>
      <c r="H76" s="576"/>
      <c r="I76" s="186"/>
      <c r="J76" s="186"/>
      <c r="K76" s="187"/>
      <c r="L76" s="577"/>
      <c r="M76" s="186"/>
      <c r="N76" s="575"/>
      <c r="O76" s="575"/>
      <c r="P76" s="188"/>
      <c r="Q76" s="188"/>
      <c r="R76" s="185"/>
      <c r="S76" s="182"/>
      <c r="T76" s="576"/>
      <c r="U76" s="188"/>
      <c r="V76" s="188"/>
      <c r="W76" s="185"/>
      <c r="X76" s="182"/>
      <c r="Y76" s="576"/>
      <c r="Z76" s="188"/>
      <c r="AA76" s="188"/>
      <c r="AB76" s="185"/>
      <c r="AC76" s="182"/>
      <c r="AD76" s="576"/>
      <c r="AE76" s="188"/>
      <c r="AF76" s="188"/>
      <c r="AG76" s="185"/>
      <c r="AH76" s="182"/>
      <c r="AI76" s="576"/>
      <c r="AJ76" s="188"/>
      <c r="AK76" s="188"/>
      <c r="AL76" s="185"/>
      <c r="AM76" s="182"/>
      <c r="AN76" s="576"/>
      <c r="AO76" s="188"/>
      <c r="AP76" s="188"/>
      <c r="AQ76" s="185"/>
      <c r="AR76" s="182"/>
      <c r="AS76" s="576"/>
      <c r="AT76" s="188"/>
      <c r="AU76" s="188"/>
      <c r="AV76" s="185"/>
      <c r="AW76" s="182"/>
      <c r="AX76" s="576"/>
    </row>
    <row r="77" spans="2:50" ht="14.25" customHeight="1">
      <c r="B77" s="575"/>
      <c r="C77" s="180">
        <v>11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75"/>
      <c r="O77" s="575"/>
      <c r="P77" s="188"/>
      <c r="Q77" s="188"/>
      <c r="R77" s="185"/>
      <c r="S77" s="182"/>
      <c r="T77" s="576"/>
      <c r="U77" s="188"/>
      <c r="V77" s="188"/>
      <c r="W77" s="185"/>
      <c r="X77" s="182"/>
      <c r="Y77" s="576"/>
      <c r="Z77" s="188"/>
      <c r="AA77" s="188"/>
      <c r="AB77" s="185"/>
      <c r="AC77" s="182"/>
      <c r="AD77" s="576"/>
      <c r="AE77" s="188"/>
      <c r="AF77" s="188"/>
      <c r="AG77" s="185"/>
      <c r="AH77" s="182"/>
      <c r="AI77" s="576"/>
      <c r="AJ77" s="188"/>
      <c r="AK77" s="188"/>
      <c r="AL77" s="185"/>
      <c r="AM77" s="182"/>
      <c r="AN77" s="576"/>
      <c r="AO77" s="188"/>
      <c r="AP77" s="188"/>
      <c r="AQ77" s="185"/>
      <c r="AR77" s="182"/>
      <c r="AS77" s="576"/>
      <c r="AT77" s="188"/>
      <c r="AU77" s="188"/>
      <c r="AV77" s="185"/>
      <c r="AW77" s="182"/>
      <c r="AX77" s="576"/>
    </row>
    <row r="78" spans="2:50" ht="14.25" customHeight="1">
      <c r="B78" s="575"/>
      <c r="C78" s="180">
        <v>12</v>
      </c>
      <c r="D78" s="183"/>
      <c r="E78" s="180"/>
      <c r="F78" s="180"/>
      <c r="G78" s="185"/>
      <c r="H78" s="576"/>
      <c r="I78" s="186"/>
      <c r="J78" s="186"/>
      <c r="K78" s="187"/>
      <c r="L78" s="577"/>
      <c r="M78" s="186"/>
      <c r="N78" s="575"/>
      <c r="O78" s="575"/>
      <c r="P78" s="188"/>
      <c r="Q78" s="188"/>
      <c r="R78" s="185"/>
      <c r="S78" s="182"/>
      <c r="T78" s="576"/>
      <c r="U78" s="188"/>
      <c r="V78" s="188"/>
      <c r="W78" s="185"/>
      <c r="X78" s="182"/>
      <c r="Y78" s="576"/>
      <c r="Z78" s="188"/>
      <c r="AA78" s="188"/>
      <c r="AB78" s="185"/>
      <c r="AC78" s="182"/>
      <c r="AD78" s="576"/>
      <c r="AE78" s="188"/>
      <c r="AF78" s="188"/>
      <c r="AG78" s="185"/>
      <c r="AH78" s="182"/>
      <c r="AI78" s="576"/>
      <c r="AJ78" s="188"/>
      <c r="AK78" s="188"/>
      <c r="AL78" s="185"/>
      <c r="AM78" s="182"/>
      <c r="AN78" s="576"/>
      <c r="AO78" s="188"/>
      <c r="AP78" s="188"/>
      <c r="AQ78" s="185"/>
      <c r="AR78" s="182"/>
      <c r="AS78" s="576"/>
      <c r="AT78" s="188"/>
      <c r="AU78" s="188"/>
      <c r="AV78" s="185"/>
      <c r="AW78" s="182"/>
      <c r="AX78" s="576"/>
    </row>
    <row r="79" spans="2:50" ht="14.25" customHeight="1">
      <c r="B79" s="575"/>
      <c r="C79" s="180">
        <v>13</v>
      </c>
      <c r="D79" s="183"/>
      <c r="E79" s="180"/>
      <c r="F79" s="180"/>
      <c r="G79" s="185"/>
      <c r="H79" s="576"/>
      <c r="I79" s="186"/>
      <c r="J79" s="186"/>
      <c r="K79" s="187"/>
      <c r="L79" s="577"/>
      <c r="M79" s="186"/>
      <c r="N79" s="575"/>
      <c r="O79" s="575"/>
      <c r="P79" s="188"/>
      <c r="Q79" s="188"/>
      <c r="R79" s="185"/>
      <c r="S79" s="182"/>
      <c r="T79" s="576"/>
      <c r="U79" s="188"/>
      <c r="V79" s="188"/>
      <c r="W79" s="185"/>
      <c r="X79" s="182"/>
      <c r="Y79" s="576"/>
      <c r="Z79" s="188"/>
      <c r="AA79" s="188"/>
      <c r="AB79" s="185"/>
      <c r="AC79" s="182"/>
      <c r="AD79" s="576"/>
      <c r="AE79" s="188"/>
      <c r="AF79" s="188"/>
      <c r="AG79" s="185"/>
      <c r="AH79" s="182"/>
      <c r="AI79" s="576"/>
      <c r="AJ79" s="188"/>
      <c r="AK79" s="188"/>
      <c r="AL79" s="185"/>
      <c r="AM79" s="182"/>
      <c r="AN79" s="576"/>
      <c r="AO79" s="188"/>
      <c r="AP79" s="188"/>
      <c r="AQ79" s="185"/>
      <c r="AR79" s="182"/>
      <c r="AS79" s="576"/>
      <c r="AT79" s="188"/>
      <c r="AU79" s="188"/>
      <c r="AV79" s="185"/>
      <c r="AW79" s="182"/>
      <c r="AX79" s="576"/>
    </row>
    <row r="80" spans="2:50" ht="14.25" customHeight="1">
      <c r="B80" s="575"/>
      <c r="C80" s="180">
        <v>14</v>
      </c>
      <c r="D80" s="183"/>
      <c r="E80" s="180"/>
      <c r="F80" s="180"/>
      <c r="G80" s="185"/>
      <c r="H80" s="576"/>
      <c r="I80" s="186"/>
      <c r="J80" s="186"/>
      <c r="K80" s="187"/>
      <c r="L80" s="577"/>
      <c r="M80" s="186"/>
      <c r="N80" s="575"/>
      <c r="O80" s="575"/>
      <c r="P80" s="188"/>
      <c r="Q80" s="188"/>
      <c r="R80" s="185"/>
      <c r="S80" s="182"/>
      <c r="T80" s="576"/>
      <c r="U80" s="188"/>
      <c r="V80" s="188"/>
      <c r="W80" s="185"/>
      <c r="X80" s="182"/>
      <c r="Y80" s="576"/>
      <c r="Z80" s="188"/>
      <c r="AA80" s="188"/>
      <c r="AB80" s="185"/>
      <c r="AC80" s="182"/>
      <c r="AD80" s="576"/>
      <c r="AE80" s="188"/>
      <c r="AF80" s="188"/>
      <c r="AG80" s="185"/>
      <c r="AH80" s="182"/>
      <c r="AI80" s="576"/>
      <c r="AJ80" s="188"/>
      <c r="AK80" s="188"/>
      <c r="AL80" s="185"/>
      <c r="AM80" s="182"/>
      <c r="AN80" s="576"/>
      <c r="AO80" s="188"/>
      <c r="AP80" s="188"/>
      <c r="AQ80" s="185"/>
      <c r="AR80" s="182"/>
      <c r="AS80" s="576"/>
      <c r="AT80" s="188"/>
      <c r="AU80" s="188"/>
      <c r="AV80" s="185"/>
      <c r="AW80" s="182"/>
      <c r="AX80" s="576"/>
    </row>
    <row r="81" spans="2:50" ht="14.25" customHeight="1">
      <c r="B81" s="575"/>
      <c r="C81" s="180">
        <v>15</v>
      </c>
      <c r="D81" s="183"/>
      <c r="E81" s="180"/>
      <c r="F81" s="180"/>
      <c r="G81" s="185"/>
      <c r="H81" s="576"/>
      <c r="I81" s="186"/>
      <c r="J81" s="186"/>
      <c r="K81" s="187"/>
      <c r="L81" s="577"/>
      <c r="M81" s="186"/>
      <c r="N81" s="575"/>
      <c r="O81" s="575"/>
      <c r="P81" s="188"/>
      <c r="Q81" s="188"/>
      <c r="R81" s="185"/>
      <c r="S81" s="182"/>
      <c r="T81" s="576"/>
      <c r="U81" s="188"/>
      <c r="V81" s="188"/>
      <c r="W81" s="185"/>
      <c r="X81" s="182"/>
      <c r="Y81" s="576"/>
      <c r="Z81" s="188"/>
      <c r="AA81" s="188"/>
      <c r="AB81" s="185"/>
      <c r="AC81" s="182"/>
      <c r="AD81" s="576"/>
      <c r="AE81" s="188"/>
      <c r="AF81" s="188"/>
      <c r="AG81" s="185"/>
      <c r="AH81" s="182"/>
      <c r="AI81" s="576"/>
      <c r="AJ81" s="188"/>
      <c r="AK81" s="188"/>
      <c r="AL81" s="185"/>
      <c r="AM81" s="182"/>
      <c r="AN81" s="576"/>
      <c r="AO81" s="188"/>
      <c r="AP81" s="188"/>
      <c r="AQ81" s="185"/>
      <c r="AR81" s="182"/>
      <c r="AS81" s="576"/>
      <c r="AT81" s="188"/>
      <c r="AU81" s="188"/>
      <c r="AV81" s="185"/>
      <c r="AW81" s="182"/>
      <c r="AX81" s="576"/>
    </row>
    <row r="82" spans="2:50" ht="14.25" customHeight="1">
      <c r="B82" s="643" t="s">
        <v>784</v>
      </c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4"/>
      <c r="N82" s="609" t="s">
        <v>374</v>
      </c>
      <c r="O82" s="609" t="s">
        <v>105</v>
      </c>
      <c r="P82" s="655">
        <v>46140</v>
      </c>
      <c r="Q82" s="656"/>
      <c r="R82" s="656"/>
      <c r="S82" s="656"/>
      <c r="T82" s="656"/>
      <c r="U82" s="657">
        <v>46141</v>
      </c>
      <c r="V82" s="658"/>
      <c r="W82" s="658"/>
      <c r="X82" s="658"/>
      <c r="Y82" s="658"/>
      <c r="Z82" s="655">
        <v>46142</v>
      </c>
      <c r="AA82" s="656"/>
      <c r="AB82" s="656"/>
      <c r="AC82" s="656"/>
      <c r="AD82" s="656"/>
      <c r="AE82" s="657">
        <v>46143</v>
      </c>
      <c r="AF82" s="658"/>
      <c r="AG82" s="658"/>
      <c r="AH82" s="658"/>
      <c r="AI82" s="658"/>
      <c r="AJ82" s="647">
        <v>46144</v>
      </c>
      <c r="AK82" s="648"/>
      <c r="AL82" s="648"/>
      <c r="AM82" s="648"/>
      <c r="AN82" s="649"/>
      <c r="AO82" s="657">
        <v>46145</v>
      </c>
      <c r="AP82" s="658"/>
      <c r="AQ82" s="658"/>
      <c r="AR82" s="658"/>
      <c r="AS82" s="658"/>
      <c r="AT82" s="647">
        <v>46146</v>
      </c>
      <c r="AU82" s="648"/>
      <c r="AV82" s="648"/>
      <c r="AW82" s="648"/>
      <c r="AX82" s="649"/>
    </row>
    <row r="83" spans="2:50" ht="14.25" customHeight="1">
      <c r="B83" s="645"/>
      <c r="C83" s="645"/>
      <c r="D83" s="645"/>
      <c r="E83" s="645"/>
      <c r="F83" s="645"/>
      <c r="G83" s="645"/>
      <c r="H83" s="645"/>
      <c r="I83" s="645"/>
      <c r="J83" s="645"/>
      <c r="K83" s="645"/>
      <c r="L83" s="645"/>
      <c r="M83" s="646"/>
      <c r="N83" s="611"/>
      <c r="O83" s="611"/>
      <c r="P83" s="650">
        <v>46140</v>
      </c>
      <c r="Q83" s="650"/>
      <c r="R83" s="650"/>
      <c r="S83" s="650"/>
      <c r="T83" s="650"/>
      <c r="U83" s="651">
        <v>46141</v>
      </c>
      <c r="V83" s="651"/>
      <c r="W83" s="651"/>
      <c r="X83" s="651"/>
      <c r="Y83" s="651"/>
      <c r="Z83" s="650">
        <v>46142</v>
      </c>
      <c r="AA83" s="650"/>
      <c r="AB83" s="650"/>
      <c r="AC83" s="650"/>
      <c r="AD83" s="650"/>
      <c r="AE83" s="651">
        <v>46143</v>
      </c>
      <c r="AF83" s="651"/>
      <c r="AG83" s="651"/>
      <c r="AH83" s="651"/>
      <c r="AI83" s="651"/>
      <c r="AJ83" s="652">
        <v>46144</v>
      </c>
      <c r="AK83" s="653"/>
      <c r="AL83" s="653"/>
      <c r="AM83" s="653"/>
      <c r="AN83" s="654"/>
      <c r="AO83" s="651">
        <v>46145</v>
      </c>
      <c r="AP83" s="651"/>
      <c r="AQ83" s="651"/>
      <c r="AR83" s="651"/>
      <c r="AS83" s="651"/>
      <c r="AT83" s="652">
        <v>46146</v>
      </c>
      <c r="AU83" s="653"/>
      <c r="AV83" s="653"/>
      <c r="AW83" s="653"/>
      <c r="AX83" s="654"/>
    </row>
    <row r="84" spans="2:50" ht="14.25" customHeight="1">
      <c r="B84" s="575" t="s">
        <v>162</v>
      </c>
      <c r="C84" s="575" t="s">
        <v>157</v>
      </c>
      <c r="D84" s="575"/>
      <c r="E84" s="575" t="s">
        <v>158</v>
      </c>
      <c r="F84" s="575"/>
      <c r="G84" s="575"/>
      <c r="H84" s="575" t="s">
        <v>163</v>
      </c>
      <c r="I84" s="579" t="s">
        <v>375</v>
      </c>
      <c r="J84" s="579"/>
      <c r="K84" s="579"/>
      <c r="L84" s="579" t="s">
        <v>163</v>
      </c>
      <c r="M84" s="579" t="s">
        <v>165</v>
      </c>
      <c r="N84" s="575"/>
      <c r="O84" s="575" t="s">
        <v>164</v>
      </c>
      <c r="P84" s="575" t="s">
        <v>160</v>
      </c>
      <c r="Q84" s="575"/>
      <c r="R84" s="575"/>
      <c r="S84" s="575"/>
      <c r="T84" s="575" t="s">
        <v>163</v>
      </c>
      <c r="U84" s="575" t="s">
        <v>160</v>
      </c>
      <c r="V84" s="575"/>
      <c r="W84" s="575"/>
      <c r="X84" s="575"/>
      <c r="Y84" s="575" t="s">
        <v>163</v>
      </c>
      <c r="Z84" s="575" t="s">
        <v>160</v>
      </c>
      <c r="AA84" s="575"/>
      <c r="AB84" s="575"/>
      <c r="AC84" s="575"/>
      <c r="AD84" s="575" t="s">
        <v>163</v>
      </c>
      <c r="AE84" s="575" t="s">
        <v>160</v>
      </c>
      <c r="AF84" s="575"/>
      <c r="AG84" s="575"/>
      <c r="AH84" s="575"/>
      <c r="AI84" s="575" t="s">
        <v>163</v>
      </c>
      <c r="AJ84" s="575" t="s">
        <v>160</v>
      </c>
      <c r="AK84" s="575"/>
      <c r="AL84" s="575"/>
      <c r="AM84" s="575"/>
      <c r="AN84" s="575" t="s">
        <v>163</v>
      </c>
      <c r="AO84" s="575" t="s">
        <v>160</v>
      </c>
      <c r="AP84" s="575"/>
      <c r="AQ84" s="575"/>
      <c r="AR84" s="575"/>
      <c r="AS84" s="575" t="s">
        <v>163</v>
      </c>
      <c r="AT84" s="575" t="s">
        <v>160</v>
      </c>
      <c r="AU84" s="575"/>
      <c r="AV84" s="575"/>
      <c r="AW84" s="575"/>
      <c r="AX84" s="575" t="s">
        <v>163</v>
      </c>
    </row>
    <row r="85" spans="2:50" ht="14.25" customHeight="1">
      <c r="B85" s="575"/>
      <c r="C85" s="575"/>
      <c r="D85" s="575"/>
      <c r="E85" s="575" t="s">
        <v>376</v>
      </c>
      <c r="F85" s="575"/>
      <c r="G85" s="575"/>
      <c r="H85" s="575"/>
      <c r="I85" s="579" t="s">
        <v>376</v>
      </c>
      <c r="J85" s="579"/>
      <c r="K85" s="579"/>
      <c r="L85" s="579"/>
      <c r="M85" s="579"/>
      <c r="N85" s="575"/>
      <c r="O85" s="575"/>
      <c r="P85" s="575" t="s">
        <v>377</v>
      </c>
      <c r="Q85" s="575"/>
      <c r="R85" s="575"/>
      <c r="S85" s="575"/>
      <c r="T85" s="575"/>
      <c r="U85" s="575" t="s">
        <v>377</v>
      </c>
      <c r="V85" s="575"/>
      <c r="W85" s="575"/>
      <c r="X85" s="575"/>
      <c r="Y85" s="575"/>
      <c r="Z85" s="575" t="s">
        <v>377</v>
      </c>
      <c r="AA85" s="575"/>
      <c r="AB85" s="575"/>
      <c r="AC85" s="575"/>
      <c r="AD85" s="575"/>
      <c r="AE85" s="575" t="s">
        <v>377</v>
      </c>
      <c r="AF85" s="575"/>
      <c r="AG85" s="575"/>
      <c r="AH85" s="575"/>
      <c r="AI85" s="575"/>
      <c r="AJ85" s="575" t="s">
        <v>377</v>
      </c>
      <c r="AK85" s="575"/>
      <c r="AL85" s="575"/>
      <c r="AM85" s="575"/>
      <c r="AN85" s="575"/>
      <c r="AO85" s="575" t="s">
        <v>377</v>
      </c>
      <c r="AP85" s="575"/>
      <c r="AQ85" s="575"/>
      <c r="AR85" s="575"/>
      <c r="AS85" s="575"/>
      <c r="AT85" s="575" t="s">
        <v>377</v>
      </c>
      <c r="AU85" s="575"/>
      <c r="AV85" s="575"/>
      <c r="AW85" s="575"/>
      <c r="AX85" s="575"/>
    </row>
    <row r="86" spans="2:50" ht="14.25" customHeight="1">
      <c r="B86" s="575"/>
      <c r="C86" s="575"/>
      <c r="D86" s="575"/>
      <c r="E86" s="180" t="s">
        <v>159</v>
      </c>
      <c r="F86" s="180" t="s">
        <v>378</v>
      </c>
      <c r="G86" s="180" t="s">
        <v>161</v>
      </c>
      <c r="H86" s="575"/>
      <c r="I86" s="181" t="s">
        <v>159</v>
      </c>
      <c r="J86" s="181" t="s">
        <v>378</v>
      </c>
      <c r="K86" s="181" t="s">
        <v>161</v>
      </c>
      <c r="L86" s="579"/>
      <c r="M86" s="579"/>
      <c r="N86" s="575"/>
      <c r="O86" s="575"/>
      <c r="P86" s="180" t="s">
        <v>159</v>
      </c>
      <c r="Q86" s="180" t="s">
        <v>378</v>
      </c>
      <c r="R86" s="180" t="s">
        <v>161</v>
      </c>
      <c r="S86" s="182" t="s">
        <v>165</v>
      </c>
      <c r="T86" s="575"/>
      <c r="U86" s="180" t="s">
        <v>159</v>
      </c>
      <c r="V86" s="180" t="s">
        <v>378</v>
      </c>
      <c r="W86" s="180" t="s">
        <v>161</v>
      </c>
      <c r="X86" s="182" t="s">
        <v>165</v>
      </c>
      <c r="Y86" s="575"/>
      <c r="Z86" s="180" t="s">
        <v>159</v>
      </c>
      <c r="AA86" s="180" t="s">
        <v>378</v>
      </c>
      <c r="AB86" s="180" t="s">
        <v>161</v>
      </c>
      <c r="AC86" s="182" t="s">
        <v>165</v>
      </c>
      <c r="AD86" s="575"/>
      <c r="AE86" s="180" t="s">
        <v>159</v>
      </c>
      <c r="AF86" s="180" t="s">
        <v>378</v>
      </c>
      <c r="AG86" s="180" t="s">
        <v>161</v>
      </c>
      <c r="AH86" s="182" t="s">
        <v>165</v>
      </c>
      <c r="AI86" s="575"/>
      <c r="AJ86" s="180" t="s">
        <v>159</v>
      </c>
      <c r="AK86" s="180" t="s">
        <v>378</v>
      </c>
      <c r="AL86" s="180" t="s">
        <v>161</v>
      </c>
      <c r="AM86" s="182" t="s">
        <v>165</v>
      </c>
      <c r="AN86" s="575"/>
      <c r="AO86" s="180" t="s">
        <v>159</v>
      </c>
      <c r="AP86" s="180" t="s">
        <v>378</v>
      </c>
      <c r="AQ86" s="180" t="s">
        <v>161</v>
      </c>
      <c r="AR86" s="182" t="s">
        <v>165</v>
      </c>
      <c r="AS86" s="575"/>
      <c r="AT86" s="180" t="s">
        <v>159</v>
      </c>
      <c r="AU86" s="180" t="s">
        <v>378</v>
      </c>
      <c r="AV86" s="180" t="s">
        <v>161</v>
      </c>
      <c r="AW86" s="182" t="s">
        <v>165</v>
      </c>
      <c r="AX86" s="575"/>
    </row>
    <row r="87" spans="2:50" ht="14.25" customHeight="1">
      <c r="B87" s="575" t="s">
        <v>380</v>
      </c>
      <c r="C87" s="180">
        <v>1</v>
      </c>
      <c r="D87" s="183" t="s">
        <v>348</v>
      </c>
      <c r="E87" s="180">
        <v>11</v>
      </c>
      <c r="F87" s="180">
        <v>3600</v>
      </c>
      <c r="G87" s="185">
        <f t="shared" ref="G87:G91" si="74">F87/E87</f>
        <v>327.27272727272725</v>
      </c>
      <c r="H87" s="576">
        <f>AVERAGE(G87:G101)</f>
        <v>358.78787878787875</v>
      </c>
      <c r="I87" s="186">
        <f>AVERAGE(P87,U87,Z87,AE87,AJ87,AO87,AT87)</f>
        <v>11</v>
      </c>
      <c r="J87" s="186">
        <f>AVERAGE(Q87,V87,AA87,AF87,AK87,AP87,AU87)</f>
        <v>3182.9214592888088</v>
      </c>
      <c r="K87" s="187">
        <f>AVERAGE(R87,W87,AB87,AG87,AL87,AQ87,AV87)</f>
        <v>289.35649629898256</v>
      </c>
      <c r="L87" s="577">
        <f>IFERROR(AVERAGE(K87:K101),"-")</f>
        <v>319.3525945658962</v>
      </c>
      <c r="M87" s="186">
        <f>RANK(K87, K$87:$K$101)</f>
        <v>3</v>
      </c>
      <c r="N87" s="575"/>
      <c r="O87" s="575"/>
      <c r="P87" s="188">
        <v>11</v>
      </c>
      <c r="Q87" s="188">
        <v>3182.7157450030936</v>
      </c>
      <c r="R87" s="185">
        <f>IFERROR(Q87/P87,"")</f>
        <v>289.33779500028123</v>
      </c>
      <c r="S87" s="182">
        <f>RANK(R87, R$87:R$101)</f>
        <v>3</v>
      </c>
      <c r="T87" s="576">
        <f>AVERAGE(R87:R101)</f>
        <v>319.09547804171746</v>
      </c>
      <c r="U87" s="188">
        <v>11</v>
      </c>
      <c r="V87" s="188">
        <v>3181.6357450030937</v>
      </c>
      <c r="W87" s="185">
        <f t="shared" ref="W87:W91" si="75">IFERROR(V87/U87,"")</f>
        <v>289.23961318209945</v>
      </c>
      <c r="X87" s="182">
        <f>RANK(W87, W$87:W$101)</f>
        <v>3</v>
      </c>
      <c r="Y87" s="576">
        <f>AVERAGE(W87:W101)</f>
        <v>319.08184167808116</v>
      </c>
      <c r="Z87" s="188">
        <v>11</v>
      </c>
      <c r="AA87" s="188">
        <v>3181.9957450030943</v>
      </c>
      <c r="AB87" s="185">
        <f t="shared" ref="AB87:AB91" si="76">IFERROR(AA87/Z87,"")</f>
        <v>289.27234045482675</v>
      </c>
      <c r="AC87" s="182">
        <f>RANK(AB87, AB$87:AB$101)</f>
        <v>3</v>
      </c>
      <c r="AD87" s="576">
        <f>AVERAGE(AB87:AB101)</f>
        <v>319.46271137799562</v>
      </c>
      <c r="AE87" s="188">
        <v>11</v>
      </c>
      <c r="AF87" s="188">
        <v>3183.0757450030951</v>
      </c>
      <c r="AG87" s="185">
        <f>IFERROR(AF87/AE87,"")</f>
        <v>289.37052227300865</v>
      </c>
      <c r="AH87" s="182">
        <f>RANK(AG87, AG$87:AG$101)</f>
        <v>3</v>
      </c>
      <c r="AI87" s="576">
        <f>AVERAGE(AG87:AG101)</f>
        <v>319.49926903501438</v>
      </c>
      <c r="AJ87" s="188">
        <v>11</v>
      </c>
      <c r="AK87" s="188">
        <v>3183.0757450030951</v>
      </c>
      <c r="AL87" s="185">
        <f t="shared" ref="AL87:AL91" si="77">IFERROR(AK87/AJ87,"")</f>
        <v>289.37052227300865</v>
      </c>
      <c r="AM87" s="182">
        <f>RANK(AL87, AL$87:AL$101)</f>
        <v>3</v>
      </c>
      <c r="AN87" s="576">
        <f>AVERAGE(AL87:AL101)</f>
        <v>319.39993570168104</v>
      </c>
      <c r="AO87" s="188">
        <v>11</v>
      </c>
      <c r="AP87" s="188">
        <v>3183.7957450030954</v>
      </c>
      <c r="AQ87" s="185">
        <f t="shared" ref="AQ87:AQ91" si="78">IFERROR(AP87/AO87,"")</f>
        <v>289.43597681846319</v>
      </c>
      <c r="AR87" s="182">
        <f>RANK(AQ87, AQ$87:AQ$101)</f>
        <v>3</v>
      </c>
      <c r="AS87" s="576">
        <f>AVERAGE(AQ87:AQ101)</f>
        <v>319.48785165352024</v>
      </c>
      <c r="AT87" s="188">
        <v>11</v>
      </c>
      <c r="AU87" s="188">
        <v>3184.155745003095</v>
      </c>
      <c r="AV87" s="185">
        <f t="shared" ref="AV87:AV91" si="79">IFERROR(AU87/AT87,"")</f>
        <v>289.46870409119043</v>
      </c>
      <c r="AW87" s="182">
        <f>RANK(AV87, AV$87:AV$101)</f>
        <v>3</v>
      </c>
      <c r="AX87" s="576">
        <f>AVERAGE(AV87:AV101)</f>
        <v>319.44107447326331</v>
      </c>
    </row>
    <row r="88" spans="2:50" ht="14.25" customHeight="1">
      <c r="B88" s="575"/>
      <c r="C88" s="180">
        <v>2</v>
      </c>
      <c r="D88" s="183" t="s">
        <v>464</v>
      </c>
      <c r="E88" s="180">
        <v>6</v>
      </c>
      <c r="F88" s="180">
        <v>2600</v>
      </c>
      <c r="G88" s="185">
        <f t="shared" si="74"/>
        <v>433.33333333333331</v>
      </c>
      <c r="H88" s="576"/>
      <c r="I88" s="186">
        <f t="shared" ref="I88:K91" si="80">AVERAGE(P88,U88,Z88,AE88,AJ88,AO88,AT88)</f>
        <v>6</v>
      </c>
      <c r="J88" s="186">
        <f t="shared" si="80"/>
        <v>2343.4885080000886</v>
      </c>
      <c r="K88" s="187">
        <f t="shared" si="80"/>
        <v>390.58141800001471</v>
      </c>
      <c r="L88" s="577"/>
      <c r="M88" s="186">
        <f>RANK(K88, K$87:$K$101)</f>
        <v>2</v>
      </c>
      <c r="N88" s="575"/>
      <c r="O88" s="575"/>
      <c r="P88" s="188">
        <v>6</v>
      </c>
      <c r="Q88" s="188">
        <v>2339.0927844120024</v>
      </c>
      <c r="R88" s="185">
        <f t="shared" ref="R88:R91" si="81">IFERROR(Q88/P88,"")</f>
        <v>389.8487974020004</v>
      </c>
      <c r="S88" s="182">
        <f t="shared" ref="S88:S91" si="82">RANK(R88, R$87:R$101)</f>
        <v>2</v>
      </c>
      <c r="T88" s="576"/>
      <c r="U88" s="188">
        <v>6</v>
      </c>
      <c r="V88" s="188">
        <v>2339.8727844120021</v>
      </c>
      <c r="W88" s="185">
        <f t="shared" si="75"/>
        <v>389.97879740200034</v>
      </c>
      <c r="X88" s="182">
        <f t="shared" ref="X88:X91" si="83">RANK(W88, W$87:W$101)</f>
        <v>1</v>
      </c>
      <c r="Y88" s="576"/>
      <c r="Z88" s="188">
        <v>6</v>
      </c>
      <c r="AA88" s="188">
        <v>2344.1246863941474</v>
      </c>
      <c r="AB88" s="185">
        <f t="shared" si="76"/>
        <v>390.6874477323579</v>
      </c>
      <c r="AC88" s="182">
        <f t="shared" ref="AC88:AC91" si="84">RANK(AB88, AB$87:AB$101)</f>
        <v>2</v>
      </c>
      <c r="AD88" s="576"/>
      <c r="AE88" s="188">
        <v>6</v>
      </c>
      <c r="AF88" s="188">
        <v>2345.8523251956167</v>
      </c>
      <c r="AG88" s="185">
        <f t="shared" ref="AG88:AG91" si="85">IFERROR(AF88/AE88,"")</f>
        <v>390.97538753260278</v>
      </c>
      <c r="AH88" s="182">
        <f t="shared" ref="AH88:AH91" si="86">RANK(AG88, AG$87:AG$101)</f>
        <v>1</v>
      </c>
      <c r="AI88" s="576"/>
      <c r="AJ88" s="188">
        <v>6</v>
      </c>
      <c r="AK88" s="188">
        <v>2344.8123251956167</v>
      </c>
      <c r="AL88" s="185">
        <f t="shared" si="77"/>
        <v>390.80205419926943</v>
      </c>
      <c r="AM88" s="182">
        <f t="shared" ref="AM88:AM91" si="87">RANK(AL88, AL$87:AL$101)</f>
        <v>1</v>
      </c>
      <c r="AN88" s="576"/>
      <c r="AO88" s="188">
        <v>6</v>
      </c>
      <c r="AP88" s="188">
        <v>2345.5923251956165</v>
      </c>
      <c r="AQ88" s="185">
        <f t="shared" si="78"/>
        <v>390.93205419926943</v>
      </c>
      <c r="AR88" s="182">
        <f t="shared" ref="AR88:AR91" si="88">RANK(AQ88, AQ$87:AQ$101)</f>
        <v>1</v>
      </c>
      <c r="AS88" s="576"/>
      <c r="AT88" s="188">
        <v>6</v>
      </c>
      <c r="AU88" s="188">
        <v>2345.0723251956169</v>
      </c>
      <c r="AV88" s="185">
        <f t="shared" si="79"/>
        <v>390.84538753260284</v>
      </c>
      <c r="AW88" s="182">
        <f t="shared" ref="AW88:AW91" si="89">RANK(AV88, AV$87:AV$101)</f>
        <v>1</v>
      </c>
      <c r="AX88" s="576"/>
    </row>
    <row r="89" spans="2:50" ht="14.25" customHeight="1">
      <c r="B89" s="575"/>
      <c r="C89" s="180">
        <v>3</v>
      </c>
      <c r="D89" s="183" t="s">
        <v>467</v>
      </c>
      <c r="E89" s="180">
        <v>6</v>
      </c>
      <c r="F89" s="180">
        <v>2600</v>
      </c>
      <c r="G89" s="185">
        <f t="shared" si="74"/>
        <v>433.33333333333331</v>
      </c>
      <c r="H89" s="576"/>
      <c r="I89" s="186">
        <f t="shared" si="80"/>
        <v>6</v>
      </c>
      <c r="J89" s="186">
        <f t="shared" si="80"/>
        <v>2343.5017458695552</v>
      </c>
      <c r="K89" s="187">
        <f t="shared" si="80"/>
        <v>390.58362431159247</v>
      </c>
      <c r="L89" s="577"/>
      <c r="M89" s="186">
        <f>RANK(K89, K$87:$K$101)</f>
        <v>1</v>
      </c>
      <c r="N89" s="575"/>
      <c r="O89" s="575"/>
      <c r="P89" s="188">
        <v>6</v>
      </c>
      <c r="Q89" s="188">
        <v>2339.949013456036</v>
      </c>
      <c r="R89" s="185">
        <f t="shared" si="81"/>
        <v>389.99150224267265</v>
      </c>
      <c r="S89" s="182">
        <f t="shared" si="82"/>
        <v>1</v>
      </c>
      <c r="T89" s="576"/>
      <c r="U89" s="188">
        <v>6</v>
      </c>
      <c r="V89" s="188">
        <v>2339.1690134560367</v>
      </c>
      <c r="W89" s="185">
        <f t="shared" si="75"/>
        <v>389.86150224267277</v>
      </c>
      <c r="X89" s="182">
        <f t="shared" si="83"/>
        <v>2</v>
      </c>
      <c r="Y89" s="576"/>
      <c r="Z89" s="188">
        <v>6</v>
      </c>
      <c r="AA89" s="188">
        <v>2346.3268388349625</v>
      </c>
      <c r="AB89" s="185">
        <f t="shared" si="76"/>
        <v>391.05447313916039</v>
      </c>
      <c r="AC89" s="182">
        <f t="shared" si="84"/>
        <v>1</v>
      </c>
      <c r="AD89" s="576"/>
      <c r="AE89" s="188">
        <v>6</v>
      </c>
      <c r="AF89" s="188">
        <v>2345.2868388349625</v>
      </c>
      <c r="AG89" s="185">
        <f t="shared" si="85"/>
        <v>390.8811398058271</v>
      </c>
      <c r="AH89" s="182">
        <f t="shared" si="86"/>
        <v>2</v>
      </c>
      <c r="AI89" s="576"/>
      <c r="AJ89" s="188">
        <v>6</v>
      </c>
      <c r="AK89" s="188">
        <v>2344.246838834963</v>
      </c>
      <c r="AL89" s="185">
        <f t="shared" si="77"/>
        <v>390.70780647249381</v>
      </c>
      <c r="AM89" s="182">
        <f t="shared" si="87"/>
        <v>2</v>
      </c>
      <c r="AN89" s="576"/>
      <c r="AO89" s="188">
        <v>6</v>
      </c>
      <c r="AP89" s="188">
        <v>2345.2868388349625</v>
      </c>
      <c r="AQ89" s="185">
        <f t="shared" si="78"/>
        <v>390.8811398058271</v>
      </c>
      <c r="AR89" s="182">
        <f t="shared" si="88"/>
        <v>2</v>
      </c>
      <c r="AS89" s="576"/>
      <c r="AT89" s="188">
        <v>6</v>
      </c>
      <c r="AU89" s="188">
        <v>2344.2468388349625</v>
      </c>
      <c r="AV89" s="185">
        <f t="shared" si="79"/>
        <v>390.70780647249376</v>
      </c>
      <c r="AW89" s="182">
        <f t="shared" si="89"/>
        <v>2</v>
      </c>
      <c r="AX89" s="576"/>
    </row>
    <row r="90" spans="2:50" ht="14.25" customHeight="1">
      <c r="B90" s="575"/>
      <c r="C90" s="180">
        <v>4</v>
      </c>
      <c r="D90" s="183" t="s">
        <v>654</v>
      </c>
      <c r="E90" s="180">
        <v>12</v>
      </c>
      <c r="F90" s="180">
        <v>3600</v>
      </c>
      <c r="G90" s="185">
        <f t="shared" si="74"/>
        <v>300</v>
      </c>
      <c r="H90" s="576"/>
      <c r="I90" s="186">
        <f t="shared" si="80"/>
        <v>12</v>
      </c>
      <c r="J90" s="186">
        <f t="shared" si="80"/>
        <v>3158.0217309505797</v>
      </c>
      <c r="K90" s="187">
        <f t="shared" si="80"/>
        <v>263.16847757921494</v>
      </c>
      <c r="L90" s="577"/>
      <c r="M90" s="186">
        <f>RANK(K90, K$87:$K$101)</f>
        <v>4</v>
      </c>
      <c r="N90" s="575"/>
      <c r="O90" s="575"/>
      <c r="P90" s="188">
        <v>12</v>
      </c>
      <c r="Q90" s="188">
        <v>3156.9417309505793</v>
      </c>
      <c r="R90" s="185">
        <f t="shared" si="81"/>
        <v>263.07847757921496</v>
      </c>
      <c r="S90" s="182">
        <f t="shared" si="82"/>
        <v>5</v>
      </c>
      <c r="T90" s="576"/>
      <c r="U90" s="188">
        <v>12</v>
      </c>
      <c r="V90" s="188">
        <v>3158.3817309505798</v>
      </c>
      <c r="W90" s="185">
        <f t="shared" si="75"/>
        <v>263.19847757921497</v>
      </c>
      <c r="X90" s="182">
        <f t="shared" si="83"/>
        <v>4</v>
      </c>
      <c r="Y90" s="576"/>
      <c r="Z90" s="188">
        <v>12</v>
      </c>
      <c r="AA90" s="188">
        <v>3158.0217309505792</v>
      </c>
      <c r="AB90" s="185">
        <f t="shared" si="76"/>
        <v>263.16847757921494</v>
      </c>
      <c r="AC90" s="182">
        <f t="shared" si="84"/>
        <v>4</v>
      </c>
      <c r="AD90" s="576"/>
      <c r="AE90" s="188">
        <v>12</v>
      </c>
      <c r="AF90" s="188">
        <v>3158.741730950579</v>
      </c>
      <c r="AG90" s="185">
        <f t="shared" si="85"/>
        <v>263.22847757921494</v>
      </c>
      <c r="AH90" s="182">
        <f t="shared" si="86"/>
        <v>4</v>
      </c>
      <c r="AI90" s="576"/>
      <c r="AJ90" s="188">
        <v>12</v>
      </c>
      <c r="AK90" s="188">
        <v>3157.6617309505796</v>
      </c>
      <c r="AL90" s="185">
        <f t="shared" si="77"/>
        <v>263.13847757921496</v>
      </c>
      <c r="AM90" s="182">
        <f t="shared" si="87"/>
        <v>4</v>
      </c>
      <c r="AN90" s="576"/>
      <c r="AO90" s="188">
        <v>12</v>
      </c>
      <c r="AP90" s="188">
        <v>3158.3817309505794</v>
      </c>
      <c r="AQ90" s="185">
        <f t="shared" si="78"/>
        <v>263.19847757921497</v>
      </c>
      <c r="AR90" s="182">
        <f t="shared" si="88"/>
        <v>4</v>
      </c>
      <c r="AS90" s="576"/>
      <c r="AT90" s="188">
        <v>12</v>
      </c>
      <c r="AU90" s="188">
        <v>3158.0217309505792</v>
      </c>
      <c r="AV90" s="185">
        <f t="shared" si="79"/>
        <v>263.16847757921494</v>
      </c>
      <c r="AW90" s="182">
        <f t="shared" si="89"/>
        <v>4</v>
      </c>
      <c r="AX90" s="576"/>
    </row>
    <row r="91" spans="2:50" ht="14.25" customHeight="1">
      <c r="B91" s="575"/>
      <c r="C91" s="180">
        <v>5</v>
      </c>
      <c r="D91" s="183" t="s">
        <v>655</v>
      </c>
      <c r="E91" s="180">
        <v>12</v>
      </c>
      <c r="F91" s="180">
        <v>3600</v>
      </c>
      <c r="G91" s="185">
        <f t="shared" si="74"/>
        <v>300</v>
      </c>
      <c r="H91" s="576"/>
      <c r="I91" s="186">
        <f t="shared" si="80"/>
        <v>12</v>
      </c>
      <c r="J91" s="186">
        <f t="shared" si="80"/>
        <v>3156.8754796761132</v>
      </c>
      <c r="K91" s="187">
        <f t="shared" si="80"/>
        <v>263.07295663967614</v>
      </c>
      <c r="L91" s="577"/>
      <c r="M91" s="186">
        <f>RANK(K91, K$87:$K$101)</f>
        <v>5</v>
      </c>
      <c r="N91" s="575"/>
      <c r="O91" s="575"/>
      <c r="P91" s="188">
        <v>12</v>
      </c>
      <c r="Q91" s="188">
        <v>3158.6498158130198</v>
      </c>
      <c r="R91" s="185">
        <f t="shared" si="81"/>
        <v>263.22081798441832</v>
      </c>
      <c r="S91" s="182">
        <f t="shared" si="82"/>
        <v>4</v>
      </c>
      <c r="T91" s="576"/>
      <c r="U91" s="188">
        <v>12</v>
      </c>
      <c r="V91" s="188">
        <v>3157.5698158130199</v>
      </c>
      <c r="W91" s="185">
        <f t="shared" si="75"/>
        <v>263.13081798441834</v>
      </c>
      <c r="X91" s="182">
        <f t="shared" si="83"/>
        <v>5</v>
      </c>
      <c r="Y91" s="576"/>
      <c r="Z91" s="188">
        <v>12</v>
      </c>
      <c r="AA91" s="188">
        <v>3157.5698158130203</v>
      </c>
      <c r="AB91" s="185">
        <f t="shared" si="76"/>
        <v>263.13081798441834</v>
      </c>
      <c r="AC91" s="182">
        <f t="shared" si="84"/>
        <v>5</v>
      </c>
      <c r="AD91" s="576"/>
      <c r="AE91" s="188">
        <v>12</v>
      </c>
      <c r="AF91" s="188">
        <v>3156.48981581302</v>
      </c>
      <c r="AG91" s="185">
        <f t="shared" si="85"/>
        <v>263.04081798441831</v>
      </c>
      <c r="AH91" s="182">
        <f t="shared" si="86"/>
        <v>5</v>
      </c>
      <c r="AI91" s="576"/>
      <c r="AJ91" s="188">
        <v>12</v>
      </c>
      <c r="AK91" s="188">
        <v>3155.7698158130197</v>
      </c>
      <c r="AL91" s="185">
        <f t="shared" si="77"/>
        <v>262.98081798441831</v>
      </c>
      <c r="AM91" s="182">
        <f t="shared" si="87"/>
        <v>5</v>
      </c>
      <c r="AN91" s="576"/>
      <c r="AO91" s="188">
        <v>12</v>
      </c>
      <c r="AP91" s="188">
        <v>3155.8993183779157</v>
      </c>
      <c r="AQ91" s="185">
        <f t="shared" si="78"/>
        <v>262.99160986482633</v>
      </c>
      <c r="AR91" s="182">
        <f t="shared" si="88"/>
        <v>5</v>
      </c>
      <c r="AS91" s="576"/>
      <c r="AT91" s="188">
        <v>12</v>
      </c>
      <c r="AU91" s="188">
        <v>3156.1799602897763</v>
      </c>
      <c r="AV91" s="185">
        <f t="shared" si="79"/>
        <v>263.01499669081471</v>
      </c>
      <c r="AW91" s="182">
        <f t="shared" si="89"/>
        <v>5</v>
      </c>
      <c r="AX91" s="576"/>
    </row>
    <row r="92" spans="2:50" ht="14.25" customHeight="1">
      <c r="B92" s="575"/>
      <c r="C92" s="180">
        <v>6</v>
      </c>
      <c r="D92" s="183"/>
      <c r="E92" s="180"/>
      <c r="F92" s="180"/>
      <c r="G92" s="185"/>
      <c r="H92" s="576"/>
      <c r="I92" s="186"/>
      <c r="J92" s="186"/>
      <c r="K92" s="187"/>
      <c r="L92" s="577"/>
      <c r="M92" s="186"/>
      <c r="N92" s="575"/>
      <c r="O92" s="575"/>
      <c r="P92" s="188"/>
      <c r="Q92" s="188"/>
      <c r="R92" s="185"/>
      <c r="S92" s="182"/>
      <c r="T92" s="576"/>
      <c r="U92" s="188"/>
      <c r="V92" s="188"/>
      <c r="W92" s="185"/>
      <c r="X92" s="182"/>
      <c r="Y92" s="576"/>
      <c r="Z92" s="188"/>
      <c r="AA92" s="188"/>
      <c r="AB92" s="185"/>
      <c r="AC92" s="182"/>
      <c r="AD92" s="576"/>
      <c r="AE92" s="188"/>
      <c r="AF92" s="188"/>
      <c r="AG92" s="185"/>
      <c r="AH92" s="182"/>
      <c r="AI92" s="576"/>
      <c r="AJ92" s="188"/>
      <c r="AK92" s="188"/>
      <c r="AL92" s="185"/>
      <c r="AM92" s="182"/>
      <c r="AN92" s="576"/>
      <c r="AO92" s="188"/>
      <c r="AP92" s="188"/>
      <c r="AQ92" s="185"/>
      <c r="AR92" s="182"/>
      <c r="AS92" s="576"/>
      <c r="AT92" s="188"/>
      <c r="AU92" s="188"/>
      <c r="AV92" s="185"/>
      <c r="AW92" s="182"/>
      <c r="AX92" s="576"/>
    </row>
    <row r="93" spans="2:50" ht="14.25" customHeight="1">
      <c r="B93" s="575"/>
      <c r="C93" s="180">
        <v>7</v>
      </c>
      <c r="D93" s="183"/>
      <c r="E93" s="180"/>
      <c r="F93" s="180"/>
      <c r="G93" s="185"/>
      <c r="H93" s="576"/>
      <c r="I93" s="186"/>
      <c r="J93" s="186"/>
      <c r="K93" s="187"/>
      <c r="L93" s="577"/>
      <c r="M93" s="186"/>
      <c r="N93" s="575"/>
      <c r="O93" s="575"/>
      <c r="P93" s="188"/>
      <c r="Q93" s="188"/>
      <c r="R93" s="185"/>
      <c r="S93" s="182"/>
      <c r="T93" s="576"/>
      <c r="U93" s="188"/>
      <c r="V93" s="188"/>
      <c r="W93" s="185"/>
      <c r="X93" s="182"/>
      <c r="Y93" s="576"/>
      <c r="Z93" s="188"/>
      <c r="AA93" s="188"/>
      <c r="AB93" s="185"/>
      <c r="AC93" s="182"/>
      <c r="AD93" s="576"/>
      <c r="AE93" s="188"/>
      <c r="AF93" s="188"/>
      <c r="AG93" s="185"/>
      <c r="AH93" s="182"/>
      <c r="AI93" s="576"/>
      <c r="AJ93" s="188"/>
      <c r="AK93" s="188"/>
      <c r="AL93" s="185"/>
      <c r="AM93" s="182"/>
      <c r="AN93" s="576"/>
      <c r="AO93" s="188"/>
      <c r="AP93" s="188"/>
      <c r="AQ93" s="185"/>
      <c r="AR93" s="182"/>
      <c r="AS93" s="576"/>
      <c r="AT93" s="188"/>
      <c r="AU93" s="188"/>
      <c r="AV93" s="185"/>
      <c r="AW93" s="182"/>
      <c r="AX93" s="576"/>
    </row>
    <row r="94" spans="2:50" ht="14.25" customHeight="1">
      <c r="B94" s="575"/>
      <c r="C94" s="180">
        <v>8</v>
      </c>
      <c r="D94" s="183"/>
      <c r="E94" s="180"/>
      <c r="F94" s="180"/>
      <c r="G94" s="185"/>
      <c r="H94" s="576"/>
      <c r="I94" s="186"/>
      <c r="J94" s="186"/>
      <c r="K94" s="187"/>
      <c r="L94" s="577"/>
      <c r="M94" s="186"/>
      <c r="N94" s="575"/>
      <c r="O94" s="575"/>
      <c r="P94" s="188"/>
      <c r="Q94" s="188"/>
      <c r="R94" s="185"/>
      <c r="S94" s="182"/>
      <c r="T94" s="576"/>
      <c r="U94" s="188"/>
      <c r="V94" s="188"/>
      <c r="W94" s="185"/>
      <c r="X94" s="182"/>
      <c r="Y94" s="576"/>
      <c r="Z94" s="188"/>
      <c r="AA94" s="188"/>
      <c r="AB94" s="185"/>
      <c r="AC94" s="182"/>
      <c r="AD94" s="576"/>
      <c r="AE94" s="188"/>
      <c r="AF94" s="188"/>
      <c r="AG94" s="185"/>
      <c r="AH94" s="182"/>
      <c r="AI94" s="576"/>
      <c r="AJ94" s="188"/>
      <c r="AK94" s="188"/>
      <c r="AL94" s="185"/>
      <c r="AM94" s="182"/>
      <c r="AN94" s="576"/>
      <c r="AO94" s="188"/>
      <c r="AP94" s="188"/>
      <c r="AQ94" s="185"/>
      <c r="AR94" s="182"/>
      <c r="AS94" s="576"/>
      <c r="AT94" s="188"/>
      <c r="AU94" s="188"/>
      <c r="AV94" s="185"/>
      <c r="AW94" s="182"/>
      <c r="AX94" s="576"/>
    </row>
    <row r="95" spans="2:50" ht="14.25" customHeight="1">
      <c r="B95" s="575"/>
      <c r="C95" s="180">
        <v>9</v>
      </c>
      <c r="D95" s="183"/>
      <c r="E95" s="180"/>
      <c r="F95" s="180"/>
      <c r="G95" s="185"/>
      <c r="H95" s="576"/>
      <c r="I95" s="186"/>
      <c r="J95" s="186"/>
      <c r="K95" s="187"/>
      <c r="L95" s="577"/>
      <c r="M95" s="186"/>
      <c r="N95" s="575"/>
      <c r="O95" s="575"/>
      <c r="P95" s="188"/>
      <c r="Q95" s="188"/>
      <c r="R95" s="185"/>
      <c r="S95" s="182"/>
      <c r="T95" s="576"/>
      <c r="U95" s="188"/>
      <c r="V95" s="188"/>
      <c r="W95" s="185"/>
      <c r="X95" s="182"/>
      <c r="Y95" s="576"/>
      <c r="Z95" s="188"/>
      <c r="AA95" s="188"/>
      <c r="AB95" s="185"/>
      <c r="AC95" s="182"/>
      <c r="AD95" s="576"/>
      <c r="AE95" s="188"/>
      <c r="AF95" s="188"/>
      <c r="AG95" s="185"/>
      <c r="AH95" s="182"/>
      <c r="AI95" s="576"/>
      <c r="AJ95" s="188"/>
      <c r="AK95" s="188"/>
      <c r="AL95" s="185"/>
      <c r="AM95" s="182"/>
      <c r="AN95" s="576"/>
      <c r="AO95" s="188"/>
      <c r="AP95" s="188"/>
      <c r="AQ95" s="185"/>
      <c r="AR95" s="182"/>
      <c r="AS95" s="576"/>
      <c r="AT95" s="188"/>
      <c r="AU95" s="188"/>
      <c r="AV95" s="185"/>
      <c r="AW95" s="182"/>
      <c r="AX95" s="576"/>
    </row>
    <row r="96" spans="2:50" ht="14.25" customHeight="1">
      <c r="B96" s="575"/>
      <c r="C96" s="180">
        <v>10</v>
      </c>
      <c r="D96" s="183"/>
      <c r="E96" s="180"/>
      <c r="F96" s="180"/>
      <c r="G96" s="185"/>
      <c r="H96" s="576"/>
      <c r="I96" s="186"/>
      <c r="J96" s="186"/>
      <c r="K96" s="187"/>
      <c r="L96" s="577"/>
      <c r="M96" s="186"/>
      <c r="N96" s="575"/>
      <c r="O96" s="575"/>
      <c r="P96" s="188"/>
      <c r="Q96" s="188"/>
      <c r="R96" s="185"/>
      <c r="S96" s="182"/>
      <c r="T96" s="576"/>
      <c r="U96" s="188"/>
      <c r="V96" s="188"/>
      <c r="W96" s="185"/>
      <c r="X96" s="182"/>
      <c r="Y96" s="576"/>
      <c r="Z96" s="188"/>
      <c r="AA96" s="188"/>
      <c r="AB96" s="185"/>
      <c r="AC96" s="182"/>
      <c r="AD96" s="576"/>
      <c r="AE96" s="188"/>
      <c r="AF96" s="188"/>
      <c r="AG96" s="185"/>
      <c r="AH96" s="182"/>
      <c r="AI96" s="576"/>
      <c r="AJ96" s="188"/>
      <c r="AK96" s="188"/>
      <c r="AL96" s="185"/>
      <c r="AM96" s="182"/>
      <c r="AN96" s="576"/>
      <c r="AO96" s="188"/>
      <c r="AP96" s="188"/>
      <c r="AQ96" s="185"/>
      <c r="AR96" s="182"/>
      <c r="AS96" s="576"/>
      <c r="AT96" s="188"/>
      <c r="AU96" s="188"/>
      <c r="AV96" s="185"/>
      <c r="AW96" s="182"/>
      <c r="AX96" s="576"/>
    </row>
    <row r="97" spans="2:50" ht="14.25" customHeight="1">
      <c r="B97" s="575"/>
      <c r="C97" s="180">
        <v>11</v>
      </c>
      <c r="D97" s="183"/>
      <c r="E97" s="180"/>
      <c r="F97" s="180"/>
      <c r="G97" s="185"/>
      <c r="H97" s="576"/>
      <c r="I97" s="186"/>
      <c r="J97" s="186"/>
      <c r="K97" s="187"/>
      <c r="L97" s="577"/>
      <c r="M97" s="186"/>
      <c r="N97" s="575"/>
      <c r="O97" s="575"/>
      <c r="P97" s="188"/>
      <c r="Q97" s="188"/>
      <c r="R97" s="185"/>
      <c r="S97" s="182"/>
      <c r="T97" s="576"/>
      <c r="U97" s="188"/>
      <c r="V97" s="188"/>
      <c r="W97" s="185"/>
      <c r="X97" s="182"/>
      <c r="Y97" s="576"/>
      <c r="Z97" s="188"/>
      <c r="AA97" s="188"/>
      <c r="AB97" s="185"/>
      <c r="AC97" s="182"/>
      <c r="AD97" s="576"/>
      <c r="AE97" s="188"/>
      <c r="AF97" s="188"/>
      <c r="AG97" s="185"/>
      <c r="AH97" s="182"/>
      <c r="AI97" s="576"/>
      <c r="AJ97" s="188"/>
      <c r="AK97" s="188"/>
      <c r="AL97" s="185"/>
      <c r="AM97" s="182"/>
      <c r="AN97" s="576"/>
      <c r="AO97" s="188"/>
      <c r="AP97" s="188"/>
      <c r="AQ97" s="185"/>
      <c r="AR97" s="182"/>
      <c r="AS97" s="576"/>
      <c r="AT97" s="188"/>
      <c r="AU97" s="188"/>
      <c r="AV97" s="185"/>
      <c r="AW97" s="182"/>
      <c r="AX97" s="576"/>
    </row>
    <row r="98" spans="2:50" ht="14.25" customHeight="1">
      <c r="B98" s="575"/>
      <c r="C98" s="180">
        <v>12</v>
      </c>
      <c r="D98" s="183"/>
      <c r="E98" s="180"/>
      <c r="F98" s="180"/>
      <c r="G98" s="185"/>
      <c r="H98" s="576"/>
      <c r="I98" s="186"/>
      <c r="J98" s="186"/>
      <c r="K98" s="187"/>
      <c r="L98" s="577"/>
      <c r="M98" s="186"/>
      <c r="N98" s="575"/>
      <c r="O98" s="575"/>
      <c r="P98" s="188"/>
      <c r="Q98" s="188"/>
      <c r="R98" s="185"/>
      <c r="S98" s="182"/>
      <c r="T98" s="576"/>
      <c r="U98" s="188"/>
      <c r="V98" s="188"/>
      <c r="W98" s="185"/>
      <c r="X98" s="182"/>
      <c r="Y98" s="576"/>
      <c r="Z98" s="188"/>
      <c r="AA98" s="188"/>
      <c r="AB98" s="185"/>
      <c r="AC98" s="182"/>
      <c r="AD98" s="576"/>
      <c r="AE98" s="188"/>
      <c r="AF98" s="188"/>
      <c r="AG98" s="185"/>
      <c r="AH98" s="182"/>
      <c r="AI98" s="576"/>
      <c r="AJ98" s="188"/>
      <c r="AK98" s="188"/>
      <c r="AL98" s="185"/>
      <c r="AM98" s="182"/>
      <c r="AN98" s="576"/>
      <c r="AO98" s="188"/>
      <c r="AP98" s="188"/>
      <c r="AQ98" s="185"/>
      <c r="AR98" s="182"/>
      <c r="AS98" s="576"/>
      <c r="AT98" s="188"/>
      <c r="AU98" s="188"/>
      <c r="AV98" s="185"/>
      <c r="AW98" s="182"/>
      <c r="AX98" s="576"/>
    </row>
    <row r="99" spans="2:50" ht="14.25" customHeight="1">
      <c r="B99" s="575"/>
      <c r="C99" s="180">
        <v>13</v>
      </c>
      <c r="D99" s="183"/>
      <c r="E99" s="180"/>
      <c r="F99" s="180"/>
      <c r="G99" s="185"/>
      <c r="H99" s="576"/>
      <c r="I99" s="186"/>
      <c r="J99" s="186"/>
      <c r="K99" s="187"/>
      <c r="L99" s="577"/>
      <c r="M99" s="186"/>
      <c r="N99" s="575"/>
      <c r="O99" s="575"/>
      <c r="P99" s="188"/>
      <c r="Q99" s="188"/>
      <c r="R99" s="185"/>
      <c r="S99" s="182"/>
      <c r="T99" s="576"/>
      <c r="U99" s="188"/>
      <c r="V99" s="188"/>
      <c r="W99" s="185"/>
      <c r="X99" s="182"/>
      <c r="Y99" s="576"/>
      <c r="Z99" s="188"/>
      <c r="AA99" s="188"/>
      <c r="AB99" s="185"/>
      <c r="AC99" s="182"/>
      <c r="AD99" s="576"/>
      <c r="AE99" s="188"/>
      <c r="AF99" s="188"/>
      <c r="AG99" s="185"/>
      <c r="AH99" s="182"/>
      <c r="AI99" s="576"/>
      <c r="AJ99" s="188"/>
      <c r="AK99" s="188"/>
      <c r="AL99" s="185"/>
      <c r="AM99" s="182"/>
      <c r="AN99" s="576"/>
      <c r="AO99" s="188"/>
      <c r="AP99" s="188"/>
      <c r="AQ99" s="185"/>
      <c r="AR99" s="182"/>
      <c r="AS99" s="576"/>
      <c r="AT99" s="188"/>
      <c r="AU99" s="188"/>
      <c r="AV99" s="185"/>
      <c r="AW99" s="182"/>
      <c r="AX99" s="576"/>
    </row>
    <row r="100" spans="2:50" ht="14.25" customHeight="1">
      <c r="B100" s="575"/>
      <c r="C100" s="180">
        <v>14</v>
      </c>
      <c r="D100" s="183"/>
      <c r="E100" s="180"/>
      <c r="F100" s="180"/>
      <c r="G100" s="185"/>
      <c r="H100" s="576"/>
      <c r="I100" s="186"/>
      <c r="J100" s="186"/>
      <c r="K100" s="187"/>
      <c r="L100" s="577"/>
      <c r="M100" s="186"/>
      <c r="N100" s="575"/>
      <c r="O100" s="575"/>
      <c r="P100" s="188"/>
      <c r="Q100" s="188"/>
      <c r="R100" s="185"/>
      <c r="S100" s="182"/>
      <c r="T100" s="576"/>
      <c r="U100" s="188"/>
      <c r="V100" s="188"/>
      <c r="W100" s="185"/>
      <c r="X100" s="182"/>
      <c r="Y100" s="576"/>
      <c r="Z100" s="188"/>
      <c r="AA100" s="188"/>
      <c r="AB100" s="185"/>
      <c r="AC100" s="182"/>
      <c r="AD100" s="576"/>
      <c r="AE100" s="188"/>
      <c r="AF100" s="188"/>
      <c r="AG100" s="185"/>
      <c r="AH100" s="182"/>
      <c r="AI100" s="576"/>
      <c r="AJ100" s="188"/>
      <c r="AK100" s="188"/>
      <c r="AL100" s="185"/>
      <c r="AM100" s="182"/>
      <c r="AN100" s="576"/>
      <c r="AO100" s="188"/>
      <c r="AP100" s="188"/>
      <c r="AQ100" s="185"/>
      <c r="AR100" s="182"/>
      <c r="AS100" s="576"/>
      <c r="AT100" s="188"/>
      <c r="AU100" s="188"/>
      <c r="AV100" s="185"/>
      <c r="AW100" s="182"/>
      <c r="AX100" s="576"/>
    </row>
    <row r="101" spans="2:50" ht="14.25" customHeight="1">
      <c r="B101" s="575"/>
      <c r="C101" s="180">
        <v>15</v>
      </c>
      <c r="D101" s="183"/>
      <c r="E101" s="180"/>
      <c r="F101" s="180"/>
      <c r="G101" s="185"/>
      <c r="H101" s="576"/>
      <c r="I101" s="186"/>
      <c r="J101" s="186"/>
      <c r="K101" s="187"/>
      <c r="L101" s="577"/>
      <c r="M101" s="186"/>
      <c r="N101" s="575"/>
      <c r="O101" s="575"/>
      <c r="P101" s="188"/>
      <c r="Q101" s="188"/>
      <c r="R101" s="185"/>
      <c r="S101" s="182"/>
      <c r="T101" s="576"/>
      <c r="U101" s="188"/>
      <c r="V101" s="188"/>
      <c r="W101" s="185"/>
      <c r="X101" s="182"/>
      <c r="Y101" s="576"/>
      <c r="Z101" s="188"/>
      <c r="AA101" s="188"/>
      <c r="AB101" s="185"/>
      <c r="AC101" s="182"/>
      <c r="AD101" s="576"/>
      <c r="AE101" s="188"/>
      <c r="AF101" s="188"/>
      <c r="AG101" s="185"/>
      <c r="AH101" s="182"/>
      <c r="AI101" s="576"/>
      <c r="AJ101" s="188"/>
      <c r="AK101" s="188"/>
      <c r="AL101" s="185"/>
      <c r="AM101" s="182"/>
      <c r="AN101" s="576"/>
      <c r="AO101" s="188"/>
      <c r="AP101" s="188"/>
      <c r="AQ101" s="185"/>
      <c r="AR101" s="182"/>
      <c r="AS101" s="576"/>
      <c r="AT101" s="188"/>
      <c r="AU101" s="188"/>
      <c r="AV101" s="185"/>
      <c r="AW101" s="182"/>
      <c r="AX101" s="576"/>
    </row>
  </sheetData>
  <mergeCells count="295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0">
    <tabColor rgb="FFFFFFCC"/>
  </sheetPr>
  <dimension ref="A1:AX101"/>
  <sheetViews>
    <sheetView zoomScaleNormal="100" workbookViewId="0">
      <pane xSplit="13" ySplit="1" topLeftCell="N71" activePane="bottomRight" state="frozen"/>
      <selection activeCell="L95" sqref="L95"/>
      <selection pane="topRight" activeCell="L95" sqref="L95"/>
      <selection pane="bottomLeft" activeCell="L95" sqref="L95"/>
      <selection pane="bottomRight" activeCell="S87" sqref="S87:S8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5" t="s">
        <v>656</v>
      </c>
      <c r="C1" s="175">
        <f>AVERAGE(L7,L27,L47,L67)</f>
        <v>331.07659362533582</v>
      </c>
    </row>
    <row r="2" spans="1:50" ht="14.25" customHeight="1" collapsed="1">
      <c r="B2" s="589" t="s">
        <v>539</v>
      </c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90"/>
      <c r="N2" s="609" t="s">
        <v>374</v>
      </c>
      <c r="O2" s="609" t="s">
        <v>105</v>
      </c>
      <c r="P2" s="647" t="e">
        <f>#REF!+1</f>
        <v>#REF!</v>
      </c>
      <c r="Q2" s="648"/>
      <c r="R2" s="648"/>
      <c r="S2" s="648"/>
      <c r="T2" s="649"/>
      <c r="U2" s="660" t="e">
        <f>P2+1</f>
        <v>#REF!</v>
      </c>
      <c r="V2" s="661"/>
      <c r="W2" s="661"/>
      <c r="X2" s="661"/>
      <c r="Y2" s="662"/>
      <c r="Z2" s="647" t="e">
        <f t="shared" ref="Z2" si="0">U2+1</f>
        <v>#REF!</v>
      </c>
      <c r="AA2" s="648"/>
      <c r="AB2" s="648"/>
      <c r="AC2" s="648"/>
      <c r="AD2" s="649"/>
      <c r="AE2" s="660" t="e">
        <f t="shared" ref="AE2" si="1">Z2+1</f>
        <v>#REF!</v>
      </c>
      <c r="AF2" s="661"/>
      <c r="AG2" s="661"/>
      <c r="AH2" s="661"/>
      <c r="AI2" s="662"/>
      <c r="AJ2" s="647" t="e">
        <f t="shared" ref="AJ2" si="2">AE2+1</f>
        <v>#REF!</v>
      </c>
      <c r="AK2" s="648"/>
      <c r="AL2" s="648"/>
      <c r="AM2" s="648"/>
      <c r="AN2" s="649"/>
      <c r="AO2" s="660" t="e">
        <f t="shared" ref="AO2" si="3">AJ2+1</f>
        <v>#REF!</v>
      </c>
      <c r="AP2" s="661"/>
      <c r="AQ2" s="661"/>
      <c r="AR2" s="661"/>
      <c r="AS2" s="662"/>
      <c r="AT2" s="647" t="e">
        <f t="shared" ref="AT2" si="4">AO2+1</f>
        <v>#REF!</v>
      </c>
      <c r="AU2" s="648"/>
      <c r="AV2" s="648"/>
      <c r="AW2" s="648"/>
      <c r="AX2" s="649"/>
    </row>
    <row r="3" spans="1:50" ht="14.25" customHeight="1"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592"/>
      <c r="N3" s="611"/>
      <c r="O3" s="611"/>
      <c r="P3" s="652" t="e">
        <f>P2</f>
        <v>#REF!</v>
      </c>
      <c r="Q3" s="653"/>
      <c r="R3" s="653"/>
      <c r="S3" s="653"/>
      <c r="T3" s="654"/>
      <c r="U3" s="663" t="e">
        <f>U2</f>
        <v>#REF!</v>
      </c>
      <c r="V3" s="664"/>
      <c r="W3" s="664"/>
      <c r="X3" s="664"/>
      <c r="Y3" s="665"/>
      <c r="Z3" s="652" t="e">
        <f t="shared" ref="Z3" si="5">Z2</f>
        <v>#REF!</v>
      </c>
      <c r="AA3" s="653"/>
      <c r="AB3" s="653"/>
      <c r="AC3" s="653"/>
      <c r="AD3" s="654"/>
      <c r="AE3" s="663" t="e">
        <f t="shared" ref="AE3" si="6">AE2</f>
        <v>#REF!</v>
      </c>
      <c r="AF3" s="664"/>
      <c r="AG3" s="664"/>
      <c r="AH3" s="664"/>
      <c r="AI3" s="665"/>
      <c r="AJ3" s="652" t="e">
        <f t="shared" ref="AJ3" si="7">AJ2</f>
        <v>#REF!</v>
      </c>
      <c r="AK3" s="653"/>
      <c r="AL3" s="653"/>
      <c r="AM3" s="653"/>
      <c r="AN3" s="654"/>
      <c r="AO3" s="663" t="e">
        <f t="shared" ref="AO3" si="8">AO2</f>
        <v>#REF!</v>
      </c>
      <c r="AP3" s="664"/>
      <c r="AQ3" s="664"/>
      <c r="AR3" s="664"/>
      <c r="AS3" s="665"/>
      <c r="AT3" s="652" t="e">
        <f t="shared" ref="AT3" si="9">AT2</f>
        <v>#REF!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618" t="s">
        <v>158</v>
      </c>
      <c r="F4" s="619"/>
      <c r="G4" s="620"/>
      <c r="H4" s="575" t="s">
        <v>163</v>
      </c>
      <c r="I4" s="621" t="s">
        <v>375</v>
      </c>
      <c r="J4" s="622"/>
      <c r="K4" s="623"/>
      <c r="L4" s="579" t="s">
        <v>163</v>
      </c>
      <c r="M4" s="579" t="s">
        <v>165</v>
      </c>
      <c r="N4" s="575"/>
      <c r="O4" s="575" t="s">
        <v>164</v>
      </c>
      <c r="P4" s="618" t="s">
        <v>160</v>
      </c>
      <c r="Q4" s="619"/>
      <c r="R4" s="619"/>
      <c r="S4" s="620"/>
      <c r="T4" s="575" t="s">
        <v>163</v>
      </c>
      <c r="U4" s="618" t="s">
        <v>160</v>
      </c>
      <c r="V4" s="619"/>
      <c r="W4" s="619"/>
      <c r="X4" s="620"/>
      <c r="Y4" s="575" t="s">
        <v>163</v>
      </c>
      <c r="Z4" s="618" t="s">
        <v>160</v>
      </c>
      <c r="AA4" s="619"/>
      <c r="AB4" s="619"/>
      <c r="AC4" s="620"/>
      <c r="AD4" s="575" t="s">
        <v>163</v>
      </c>
      <c r="AE4" s="618" t="s">
        <v>160</v>
      </c>
      <c r="AF4" s="619"/>
      <c r="AG4" s="619"/>
      <c r="AH4" s="620"/>
      <c r="AI4" s="575" t="s">
        <v>163</v>
      </c>
      <c r="AJ4" s="618" t="s">
        <v>160</v>
      </c>
      <c r="AK4" s="619"/>
      <c r="AL4" s="619"/>
      <c r="AM4" s="620"/>
      <c r="AN4" s="575" t="s">
        <v>163</v>
      </c>
      <c r="AO4" s="618" t="s">
        <v>160</v>
      </c>
      <c r="AP4" s="619"/>
      <c r="AQ4" s="619"/>
      <c r="AR4" s="620"/>
      <c r="AS4" s="575" t="s">
        <v>163</v>
      </c>
      <c r="AT4" s="618" t="s">
        <v>160</v>
      </c>
      <c r="AU4" s="619"/>
      <c r="AV4" s="619"/>
      <c r="AW4" s="620"/>
      <c r="AX4" s="575" t="s">
        <v>163</v>
      </c>
    </row>
    <row r="5" spans="1:50" ht="14.25" customHeight="1">
      <c r="B5" s="575"/>
      <c r="C5" s="575"/>
      <c r="D5" s="575"/>
      <c r="E5" s="575" t="s">
        <v>376</v>
      </c>
      <c r="F5" s="575"/>
      <c r="G5" s="575"/>
      <c r="H5" s="575"/>
      <c r="I5" s="579" t="s">
        <v>376</v>
      </c>
      <c r="J5" s="579"/>
      <c r="K5" s="579"/>
      <c r="L5" s="579"/>
      <c r="M5" s="579"/>
      <c r="N5" s="575"/>
      <c r="O5" s="575"/>
      <c r="P5" s="575" t="s">
        <v>377</v>
      </c>
      <c r="Q5" s="575"/>
      <c r="R5" s="575"/>
      <c r="S5" s="575"/>
      <c r="T5" s="575"/>
      <c r="U5" s="575" t="s">
        <v>377</v>
      </c>
      <c r="V5" s="575"/>
      <c r="W5" s="575"/>
      <c r="X5" s="575"/>
      <c r="Y5" s="575"/>
      <c r="Z5" s="575" t="s">
        <v>377</v>
      </c>
      <c r="AA5" s="575"/>
      <c r="AB5" s="575"/>
      <c r="AC5" s="575"/>
      <c r="AD5" s="575"/>
      <c r="AE5" s="575" t="s">
        <v>377</v>
      </c>
      <c r="AF5" s="575"/>
      <c r="AG5" s="575"/>
      <c r="AH5" s="575"/>
      <c r="AI5" s="575"/>
      <c r="AJ5" s="575" t="s">
        <v>377</v>
      </c>
      <c r="AK5" s="575"/>
      <c r="AL5" s="575"/>
      <c r="AM5" s="575"/>
      <c r="AN5" s="575"/>
      <c r="AO5" s="575" t="s">
        <v>377</v>
      </c>
      <c r="AP5" s="575"/>
      <c r="AQ5" s="575"/>
      <c r="AR5" s="575"/>
      <c r="AS5" s="575"/>
      <c r="AT5" s="575" t="s">
        <v>377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378</v>
      </c>
      <c r="G6" s="180" t="s">
        <v>161</v>
      </c>
      <c r="H6" s="575"/>
      <c r="I6" s="181" t="s">
        <v>159</v>
      </c>
      <c r="J6" s="181" t="s">
        <v>378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378</v>
      </c>
      <c r="R6" s="180" t="s">
        <v>161</v>
      </c>
      <c r="S6" s="182" t="s">
        <v>165</v>
      </c>
      <c r="T6" s="575"/>
      <c r="U6" s="180" t="s">
        <v>159</v>
      </c>
      <c r="V6" s="180" t="s">
        <v>378</v>
      </c>
      <c r="W6" s="180" t="s">
        <v>161</v>
      </c>
      <c r="X6" s="182" t="s">
        <v>165</v>
      </c>
      <c r="Y6" s="575"/>
      <c r="Z6" s="180" t="s">
        <v>159</v>
      </c>
      <c r="AA6" s="180" t="s">
        <v>378</v>
      </c>
      <c r="AB6" s="180" t="s">
        <v>161</v>
      </c>
      <c r="AC6" s="182" t="s">
        <v>165</v>
      </c>
      <c r="AD6" s="575"/>
      <c r="AE6" s="180" t="s">
        <v>159</v>
      </c>
      <c r="AF6" s="180" t="s">
        <v>378</v>
      </c>
      <c r="AG6" s="180" t="s">
        <v>161</v>
      </c>
      <c r="AH6" s="182" t="s">
        <v>165</v>
      </c>
      <c r="AI6" s="575"/>
      <c r="AJ6" s="180" t="s">
        <v>159</v>
      </c>
      <c r="AK6" s="180" t="s">
        <v>378</v>
      </c>
      <c r="AL6" s="180" t="s">
        <v>161</v>
      </c>
      <c r="AM6" s="182" t="s">
        <v>165</v>
      </c>
      <c r="AN6" s="575"/>
      <c r="AO6" s="180" t="s">
        <v>159</v>
      </c>
      <c r="AP6" s="180" t="s">
        <v>378</v>
      </c>
      <c r="AQ6" s="180" t="s">
        <v>161</v>
      </c>
      <c r="AR6" s="182" t="s">
        <v>165</v>
      </c>
      <c r="AS6" s="575"/>
      <c r="AT6" s="180" t="s">
        <v>159</v>
      </c>
      <c r="AU6" s="180" t="s">
        <v>378</v>
      </c>
      <c r="AV6" s="180" t="s">
        <v>161</v>
      </c>
      <c r="AW6" s="182" t="s">
        <v>165</v>
      </c>
      <c r="AX6" s="575"/>
    </row>
    <row r="7" spans="1:50" ht="14.25" customHeight="1">
      <c r="B7" s="659" t="s">
        <v>450</v>
      </c>
      <c r="C7" s="180">
        <v>1</v>
      </c>
      <c r="D7" s="183" t="s">
        <v>354</v>
      </c>
      <c r="E7" s="180">
        <v>21</v>
      </c>
      <c r="F7" s="180">
        <v>2790</v>
      </c>
      <c r="G7" s="185">
        <f t="shared" ref="G7:G8" si="10">F7/E7</f>
        <v>132.85714285714286</v>
      </c>
      <c r="H7" s="576">
        <f>AVERAGE(G7:G21)</f>
        <v>366.42857142857144</v>
      </c>
      <c r="I7" s="186">
        <f>AVERAGE(P7,U7,Z7,AE7,AJ7,AO7,AT7)</f>
        <v>21</v>
      </c>
      <c r="J7" s="186">
        <f>AVERAGE(Q7,V7,AA7,AF7,AK7,AP7,AU7)</f>
        <v>2482.5941384975408</v>
      </c>
      <c r="K7" s="187">
        <f>AVERAGE(R7,W7,AB7,AG7,AL7,AQ7,AV7)</f>
        <v>118.21876849988291</v>
      </c>
      <c r="L7" s="577">
        <f>IFERROR(AVERAGE(K7:K21),"-")</f>
        <v>331.18525128733052</v>
      </c>
      <c r="M7" s="186">
        <f>RANK(K7, K$7:$K$21)</f>
        <v>2</v>
      </c>
      <c r="N7" s="575"/>
      <c r="O7" s="575"/>
      <c r="P7" s="188">
        <v>21</v>
      </c>
      <c r="Q7" s="188">
        <v>2482.1694915254257</v>
      </c>
      <c r="R7" s="185">
        <f>IFERROR(Q7/P7,"")</f>
        <v>118.19854721549646</v>
      </c>
      <c r="S7" s="182">
        <f>RANK(R7, R$7:R$21)</f>
        <v>2</v>
      </c>
      <c r="T7" s="576">
        <f>AVERAGE(R7:R21)</f>
        <v>331.00562812279838</v>
      </c>
      <c r="U7" s="188">
        <v>21</v>
      </c>
      <c r="V7" s="188">
        <v>2482.1052631578964</v>
      </c>
      <c r="W7" s="185">
        <f t="shared" ref="W7:W8" si="11">IFERROR(V7/U7,"")</f>
        <v>118.19548872180459</v>
      </c>
      <c r="X7" s="182">
        <f>RANK(W7, W$7:W$21)</f>
        <v>2</v>
      </c>
      <c r="Y7" s="576">
        <f>AVERAGE(W7:W21)</f>
        <v>331.08380707867224</v>
      </c>
      <c r="Z7" s="188">
        <v>21</v>
      </c>
      <c r="AA7" s="188">
        <v>2482.1206383554204</v>
      </c>
      <c r="AB7" s="185">
        <f t="shared" ref="AB7:AB8" si="12">IFERROR(AA7/Z7,"")</f>
        <v>118.19622087406763</v>
      </c>
      <c r="AC7" s="182">
        <f>RANK(AB7, AB$7:AB$21)</f>
        <v>2</v>
      </c>
      <c r="AD7" s="576">
        <f>AVERAGE(AB7:AB21)</f>
        <v>331.12781340733142</v>
      </c>
      <c r="AE7" s="188">
        <v>21</v>
      </c>
      <c r="AF7" s="188">
        <v>2482.6822516148891</v>
      </c>
      <c r="AG7" s="185">
        <f>IFERROR(AF7/AE7,"")</f>
        <v>118.22296436261377</v>
      </c>
      <c r="AH7" s="182">
        <f>RANK(AG7, AG$7:AG$21)</f>
        <v>2</v>
      </c>
      <c r="AI7" s="576">
        <f>AVERAGE(AG7:AG21)</f>
        <v>331.20450543712099</v>
      </c>
      <c r="AJ7" s="188">
        <v>21</v>
      </c>
      <c r="AK7" s="188">
        <v>2482.6786864133951</v>
      </c>
      <c r="AL7" s="185">
        <f t="shared" ref="AL7:AL8" si="13">IFERROR(AK7/AJ7,"")</f>
        <v>118.22279459111405</v>
      </c>
      <c r="AM7" s="182">
        <f>RANK(AL7, AL$7:AL$21)</f>
        <v>2</v>
      </c>
      <c r="AN7" s="576">
        <f>AVERAGE(AL7:AL21)</f>
        <v>331.31123613520236</v>
      </c>
      <c r="AO7" s="188">
        <v>21</v>
      </c>
      <c r="AP7" s="188">
        <v>2483.0258302583024</v>
      </c>
      <c r="AQ7" s="185">
        <f t="shared" ref="AQ7:AQ8" si="14">IFERROR(AP7/AO7,"")</f>
        <v>118.23932525039535</v>
      </c>
      <c r="AR7" s="182">
        <f>RANK(AQ7, AQ$7:AQ$21)</f>
        <v>2</v>
      </c>
      <c r="AS7" s="576">
        <f>AVERAGE(AQ7:AQ21)</f>
        <v>331.32245982799532</v>
      </c>
      <c r="AT7" s="188">
        <v>21</v>
      </c>
      <c r="AU7" s="188">
        <v>2483.3768081574576</v>
      </c>
      <c r="AV7" s="185">
        <f t="shared" ref="AV7:AV8" si="15">IFERROR(AU7/AT7,"")</f>
        <v>118.25603848368846</v>
      </c>
      <c r="AW7" s="182">
        <f>RANK(AV7, AV$7:AV$21)</f>
        <v>2</v>
      </c>
      <c r="AX7" s="576">
        <f>AVERAGE(AV7:AV21)</f>
        <v>331.24130900219296</v>
      </c>
    </row>
    <row r="8" spans="1:50" ht="14.25" customHeight="1">
      <c r="B8" s="575"/>
      <c r="C8" s="180">
        <v>2</v>
      </c>
      <c r="D8" s="183" t="s">
        <v>531</v>
      </c>
      <c r="E8" s="180">
        <v>6</v>
      </c>
      <c r="F8" s="180">
        <v>3600</v>
      </c>
      <c r="G8" s="185">
        <f t="shared" si="10"/>
        <v>600</v>
      </c>
      <c r="H8" s="576"/>
      <c r="I8" s="186">
        <f t="shared" ref="I8:K8" si="16">AVERAGE(P8,U8,Z8,AE8,AJ8,AO8,AT8)</f>
        <v>6</v>
      </c>
      <c r="J8" s="186">
        <f t="shared" si="16"/>
        <v>3264.9104044486689</v>
      </c>
      <c r="K8" s="187">
        <f t="shared" si="16"/>
        <v>544.15173407477812</v>
      </c>
      <c r="L8" s="577"/>
      <c r="M8" s="186">
        <f>RANK(K8, K$7:$K$21)</f>
        <v>1</v>
      </c>
      <c r="N8" s="575"/>
      <c r="O8" s="575"/>
      <c r="P8" s="188">
        <v>6</v>
      </c>
      <c r="Q8" s="188">
        <v>3262.8762541806018</v>
      </c>
      <c r="R8" s="185">
        <f t="shared" ref="R8" si="17">IFERROR(Q8/P8,"")</f>
        <v>543.81270903010034</v>
      </c>
      <c r="S8" s="182">
        <f>RANK(R8, R$7:R$21)</f>
        <v>1</v>
      </c>
      <c r="T8" s="576"/>
      <c r="U8" s="188">
        <v>6</v>
      </c>
      <c r="V8" s="188">
        <v>3263.8327526132393</v>
      </c>
      <c r="W8" s="185">
        <f t="shared" si="11"/>
        <v>543.97212543553985</v>
      </c>
      <c r="X8" s="182">
        <f>RANK(W8, W$7:W$21)</f>
        <v>1</v>
      </c>
      <c r="Y8" s="576"/>
      <c r="Z8" s="188">
        <v>6</v>
      </c>
      <c r="AA8" s="188">
        <v>3264.3564356435709</v>
      </c>
      <c r="AB8" s="185">
        <f t="shared" si="12"/>
        <v>544.05940594059518</v>
      </c>
      <c r="AC8" s="182">
        <f>RANK(AB8, AB$7:AB$21)</f>
        <v>1</v>
      </c>
      <c r="AD8" s="576"/>
      <c r="AE8" s="188">
        <v>6</v>
      </c>
      <c r="AF8" s="188">
        <v>3265.1162790697695</v>
      </c>
      <c r="AG8" s="185">
        <f t="shared" ref="AG8" si="18">IFERROR(AF8/AE8,"")</f>
        <v>544.18604651162821</v>
      </c>
      <c r="AH8" s="182">
        <f>RANK(AG8, AG$7:AG$21)</f>
        <v>1</v>
      </c>
      <c r="AI8" s="576"/>
      <c r="AJ8" s="188">
        <v>6</v>
      </c>
      <c r="AK8" s="188">
        <v>3266.3980660757438</v>
      </c>
      <c r="AL8" s="185">
        <f t="shared" si="13"/>
        <v>544.39967767929068</v>
      </c>
      <c r="AM8" s="182">
        <f>RANK(AL8, AL$7:AL$21)</f>
        <v>1</v>
      </c>
      <c r="AN8" s="576"/>
      <c r="AO8" s="188">
        <v>6</v>
      </c>
      <c r="AP8" s="188">
        <v>3266.4335664335717</v>
      </c>
      <c r="AQ8" s="185">
        <f t="shared" si="14"/>
        <v>544.40559440559525</v>
      </c>
      <c r="AR8" s="182">
        <f>RANK(AQ8, AQ$7:AQ$21)</f>
        <v>1</v>
      </c>
      <c r="AS8" s="576"/>
      <c r="AT8" s="188">
        <v>6</v>
      </c>
      <c r="AU8" s="188">
        <v>3265.3594771241847</v>
      </c>
      <c r="AV8" s="185">
        <f t="shared" si="15"/>
        <v>544.22657952069744</v>
      </c>
      <c r="AW8" s="182">
        <f>RANK(AV8, AV$7:AV$21)</f>
        <v>1</v>
      </c>
      <c r="AX8" s="576"/>
    </row>
    <row r="9" spans="1:50" ht="14.25" customHeight="1">
      <c r="B9" s="575"/>
      <c r="C9" s="180">
        <v>3</v>
      </c>
      <c r="D9" s="183"/>
      <c r="E9" s="180"/>
      <c r="F9" s="180"/>
      <c r="G9" s="185"/>
      <c r="H9" s="576"/>
      <c r="I9" s="186"/>
      <c r="J9" s="186"/>
      <c r="K9" s="187"/>
      <c r="L9" s="577"/>
      <c r="M9" s="186"/>
      <c r="N9" s="575"/>
      <c r="O9" s="575"/>
      <c r="P9" s="188"/>
      <c r="Q9" s="188"/>
      <c r="R9" s="185"/>
      <c r="S9" s="182"/>
      <c r="T9" s="576"/>
      <c r="U9" s="188"/>
      <c r="V9" s="188"/>
      <c r="W9" s="185"/>
      <c r="X9" s="182"/>
      <c r="Y9" s="576"/>
      <c r="Z9" s="188"/>
      <c r="AA9" s="188"/>
      <c r="AB9" s="185"/>
      <c r="AC9" s="182"/>
      <c r="AD9" s="576"/>
      <c r="AE9" s="188"/>
      <c r="AF9" s="188"/>
      <c r="AG9" s="185"/>
      <c r="AH9" s="182"/>
      <c r="AI9" s="576"/>
      <c r="AJ9" s="188"/>
      <c r="AK9" s="188"/>
      <c r="AL9" s="185"/>
      <c r="AM9" s="182"/>
      <c r="AN9" s="576"/>
      <c r="AO9" s="188"/>
      <c r="AP9" s="188"/>
      <c r="AQ9" s="185"/>
      <c r="AR9" s="182"/>
      <c r="AS9" s="576"/>
      <c r="AT9" s="188"/>
      <c r="AU9" s="188"/>
      <c r="AV9" s="185"/>
      <c r="AW9" s="182"/>
      <c r="AX9" s="576"/>
    </row>
    <row r="10" spans="1:50" ht="14.25" customHeight="1">
      <c r="B10" s="575"/>
      <c r="C10" s="180">
        <v>4</v>
      </c>
      <c r="D10" s="183"/>
      <c r="E10" s="180"/>
      <c r="F10" s="180"/>
      <c r="G10" s="185"/>
      <c r="H10" s="576"/>
      <c r="I10" s="186"/>
      <c r="J10" s="186"/>
      <c r="K10" s="187"/>
      <c r="L10" s="577"/>
      <c r="M10" s="186"/>
      <c r="N10" s="575"/>
      <c r="O10" s="575"/>
      <c r="P10" s="188"/>
      <c r="Q10" s="188"/>
      <c r="R10" s="185"/>
      <c r="S10" s="182"/>
      <c r="T10" s="576"/>
      <c r="U10" s="188"/>
      <c r="V10" s="188"/>
      <c r="W10" s="185"/>
      <c r="X10" s="182"/>
      <c r="Y10" s="576"/>
      <c r="Z10" s="188"/>
      <c r="AA10" s="188"/>
      <c r="AB10" s="185"/>
      <c r="AC10" s="182"/>
      <c r="AD10" s="576"/>
      <c r="AE10" s="188"/>
      <c r="AF10" s="188"/>
      <c r="AG10" s="185"/>
      <c r="AH10" s="182"/>
      <c r="AI10" s="576"/>
      <c r="AJ10" s="188"/>
      <c r="AK10" s="188"/>
      <c r="AL10" s="185"/>
      <c r="AM10" s="182"/>
      <c r="AN10" s="576"/>
      <c r="AO10" s="188"/>
      <c r="AP10" s="188"/>
      <c r="AQ10" s="185"/>
      <c r="AR10" s="182"/>
      <c r="AS10" s="576"/>
      <c r="AT10" s="188"/>
      <c r="AU10" s="188"/>
      <c r="AV10" s="185"/>
      <c r="AW10" s="182"/>
      <c r="AX10" s="576"/>
    </row>
    <row r="11" spans="1:50" ht="14.25" customHeight="1">
      <c r="B11" s="575"/>
      <c r="C11" s="180">
        <v>5</v>
      </c>
      <c r="D11" s="183"/>
      <c r="E11" s="180"/>
      <c r="F11" s="180"/>
      <c r="G11" s="185"/>
      <c r="H11" s="576"/>
      <c r="I11" s="186"/>
      <c r="J11" s="186"/>
      <c r="K11" s="187"/>
      <c r="L11" s="577"/>
      <c r="M11" s="186"/>
      <c r="N11" s="575"/>
      <c r="O11" s="575"/>
      <c r="P11" s="188"/>
      <c r="Q11" s="188"/>
      <c r="R11" s="185"/>
      <c r="S11" s="182"/>
      <c r="T11" s="576"/>
      <c r="U11" s="188"/>
      <c r="V11" s="188"/>
      <c r="W11" s="185"/>
      <c r="X11" s="182"/>
      <c r="Y11" s="576"/>
      <c r="Z11" s="188"/>
      <c r="AA11" s="188"/>
      <c r="AB11" s="185"/>
      <c r="AC11" s="182"/>
      <c r="AD11" s="576"/>
      <c r="AE11" s="188"/>
      <c r="AF11" s="188"/>
      <c r="AG11" s="185"/>
      <c r="AH11" s="182"/>
      <c r="AI11" s="576"/>
      <c r="AJ11" s="188"/>
      <c r="AK11" s="188"/>
      <c r="AL11" s="185"/>
      <c r="AM11" s="182"/>
      <c r="AN11" s="576"/>
      <c r="AO11" s="188"/>
      <c r="AP11" s="188"/>
      <c r="AQ11" s="185"/>
      <c r="AR11" s="182"/>
      <c r="AS11" s="576"/>
      <c r="AT11" s="188"/>
      <c r="AU11" s="188"/>
      <c r="AV11" s="185"/>
      <c r="AW11" s="182"/>
      <c r="AX11" s="576"/>
    </row>
    <row r="12" spans="1:50" ht="14.25" customHeight="1">
      <c r="B12" s="575"/>
      <c r="C12" s="180">
        <v>6</v>
      </c>
      <c r="D12" s="183"/>
      <c r="E12" s="180"/>
      <c r="F12" s="180"/>
      <c r="G12" s="185"/>
      <c r="H12" s="576"/>
      <c r="I12" s="186"/>
      <c r="J12" s="186"/>
      <c r="K12" s="187"/>
      <c r="L12" s="577"/>
      <c r="M12" s="186"/>
      <c r="N12" s="575"/>
      <c r="O12" s="575"/>
      <c r="P12" s="188"/>
      <c r="Q12" s="188"/>
      <c r="R12" s="185"/>
      <c r="S12" s="182"/>
      <c r="T12" s="576"/>
      <c r="U12" s="188"/>
      <c r="V12" s="188"/>
      <c r="W12" s="185"/>
      <c r="X12" s="182"/>
      <c r="Y12" s="576"/>
      <c r="Z12" s="188"/>
      <c r="AA12" s="188"/>
      <c r="AB12" s="185"/>
      <c r="AC12" s="182"/>
      <c r="AD12" s="576"/>
      <c r="AE12" s="188"/>
      <c r="AF12" s="188"/>
      <c r="AG12" s="185"/>
      <c r="AH12" s="182"/>
      <c r="AI12" s="576"/>
      <c r="AJ12" s="188"/>
      <c r="AK12" s="188"/>
      <c r="AL12" s="185"/>
      <c r="AM12" s="182"/>
      <c r="AN12" s="576"/>
      <c r="AO12" s="188"/>
      <c r="AP12" s="188"/>
      <c r="AQ12" s="185"/>
      <c r="AR12" s="182"/>
      <c r="AS12" s="576"/>
      <c r="AT12" s="188"/>
      <c r="AU12" s="188"/>
      <c r="AV12" s="185"/>
      <c r="AW12" s="182"/>
      <c r="AX12" s="576"/>
    </row>
    <row r="13" spans="1:50" ht="14.25" customHeight="1">
      <c r="B13" s="575"/>
      <c r="C13" s="180">
        <v>7</v>
      </c>
      <c r="D13" s="183"/>
      <c r="E13" s="180"/>
      <c r="F13" s="180"/>
      <c r="G13" s="185"/>
      <c r="H13" s="576"/>
      <c r="I13" s="186"/>
      <c r="J13" s="186"/>
      <c r="K13" s="187"/>
      <c r="L13" s="577"/>
      <c r="M13" s="186"/>
      <c r="N13" s="575"/>
      <c r="O13" s="575"/>
      <c r="P13" s="188"/>
      <c r="Q13" s="188"/>
      <c r="R13" s="185"/>
      <c r="S13" s="182"/>
      <c r="T13" s="576"/>
      <c r="U13" s="188"/>
      <c r="V13" s="188"/>
      <c r="W13" s="185"/>
      <c r="X13" s="182"/>
      <c r="Y13" s="576"/>
      <c r="Z13" s="188"/>
      <c r="AA13" s="188"/>
      <c r="AB13" s="185"/>
      <c r="AC13" s="182"/>
      <c r="AD13" s="576"/>
      <c r="AE13" s="188"/>
      <c r="AF13" s="188"/>
      <c r="AG13" s="185"/>
      <c r="AH13" s="182"/>
      <c r="AI13" s="576"/>
      <c r="AJ13" s="188"/>
      <c r="AK13" s="188"/>
      <c r="AL13" s="185"/>
      <c r="AM13" s="182"/>
      <c r="AN13" s="576"/>
      <c r="AO13" s="188"/>
      <c r="AP13" s="188"/>
      <c r="AQ13" s="185"/>
      <c r="AR13" s="182"/>
      <c r="AS13" s="576"/>
      <c r="AT13" s="188"/>
      <c r="AU13" s="188"/>
      <c r="AV13" s="185"/>
      <c r="AW13" s="182"/>
      <c r="AX13" s="576"/>
    </row>
    <row r="14" spans="1:50" ht="14.25" customHeight="1">
      <c r="B14" s="575"/>
      <c r="C14" s="180">
        <v>8</v>
      </c>
      <c r="D14" s="183"/>
      <c r="E14" s="180"/>
      <c r="F14" s="180"/>
      <c r="G14" s="185"/>
      <c r="H14" s="576"/>
      <c r="I14" s="186"/>
      <c r="J14" s="186"/>
      <c r="K14" s="187"/>
      <c r="L14" s="577"/>
      <c r="M14" s="186"/>
      <c r="N14" s="575"/>
      <c r="O14" s="575"/>
      <c r="P14" s="188"/>
      <c r="Q14" s="188"/>
      <c r="R14" s="185"/>
      <c r="S14" s="182"/>
      <c r="T14" s="576"/>
      <c r="U14" s="188"/>
      <c r="V14" s="188"/>
      <c r="W14" s="185"/>
      <c r="X14" s="182"/>
      <c r="Y14" s="576"/>
      <c r="Z14" s="188"/>
      <c r="AA14" s="188"/>
      <c r="AB14" s="185"/>
      <c r="AC14" s="182"/>
      <c r="AD14" s="576"/>
      <c r="AE14" s="188"/>
      <c r="AF14" s="188"/>
      <c r="AG14" s="185"/>
      <c r="AH14" s="182"/>
      <c r="AI14" s="576"/>
      <c r="AJ14" s="188"/>
      <c r="AK14" s="188"/>
      <c r="AL14" s="185"/>
      <c r="AM14" s="182"/>
      <c r="AN14" s="576"/>
      <c r="AO14" s="188"/>
      <c r="AP14" s="188"/>
      <c r="AQ14" s="185"/>
      <c r="AR14" s="182"/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575"/>
      <c r="O15" s="575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589" t="s">
        <v>657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09" t="s">
        <v>374</v>
      </c>
      <c r="O22" s="609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1"/>
      <c r="O23" s="611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375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376</v>
      </c>
      <c r="F25" s="575"/>
      <c r="G25" s="575"/>
      <c r="H25" s="575"/>
      <c r="I25" s="579" t="s">
        <v>376</v>
      </c>
      <c r="J25" s="579"/>
      <c r="K25" s="579"/>
      <c r="L25" s="579"/>
      <c r="M25" s="579"/>
      <c r="N25" s="575"/>
      <c r="O25" s="575"/>
      <c r="P25" s="575" t="s">
        <v>377</v>
      </c>
      <c r="Q25" s="575"/>
      <c r="R25" s="575"/>
      <c r="S25" s="575"/>
      <c r="T25" s="575"/>
      <c r="U25" s="575" t="s">
        <v>377</v>
      </c>
      <c r="V25" s="575"/>
      <c r="W25" s="575"/>
      <c r="X25" s="575"/>
      <c r="Y25" s="575"/>
      <c r="Z25" s="575" t="s">
        <v>377</v>
      </c>
      <c r="AA25" s="575"/>
      <c r="AB25" s="575"/>
      <c r="AC25" s="575"/>
      <c r="AD25" s="575"/>
      <c r="AE25" s="575" t="s">
        <v>377</v>
      </c>
      <c r="AF25" s="575"/>
      <c r="AG25" s="575"/>
      <c r="AH25" s="575"/>
      <c r="AI25" s="575"/>
      <c r="AJ25" s="575" t="s">
        <v>377</v>
      </c>
      <c r="AK25" s="575"/>
      <c r="AL25" s="575"/>
      <c r="AM25" s="575"/>
      <c r="AN25" s="575"/>
      <c r="AO25" s="575" t="s">
        <v>377</v>
      </c>
      <c r="AP25" s="575"/>
      <c r="AQ25" s="575"/>
      <c r="AR25" s="575"/>
      <c r="AS25" s="575"/>
      <c r="AT25" s="575" t="s">
        <v>377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378</v>
      </c>
      <c r="G26" s="180" t="s">
        <v>161</v>
      </c>
      <c r="H26" s="575"/>
      <c r="I26" s="181" t="s">
        <v>159</v>
      </c>
      <c r="J26" s="181" t="s">
        <v>378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378</v>
      </c>
      <c r="R26" s="180" t="s">
        <v>161</v>
      </c>
      <c r="S26" s="182" t="s">
        <v>165</v>
      </c>
      <c r="T26" s="575"/>
      <c r="U26" s="180" t="s">
        <v>159</v>
      </c>
      <c r="V26" s="180" t="s">
        <v>378</v>
      </c>
      <c r="W26" s="180" t="s">
        <v>161</v>
      </c>
      <c r="X26" s="182" t="s">
        <v>165</v>
      </c>
      <c r="Y26" s="575"/>
      <c r="Z26" s="180" t="s">
        <v>159</v>
      </c>
      <c r="AA26" s="180" t="s">
        <v>378</v>
      </c>
      <c r="AB26" s="180" t="s">
        <v>161</v>
      </c>
      <c r="AC26" s="182" t="s">
        <v>165</v>
      </c>
      <c r="AD26" s="575"/>
      <c r="AE26" s="180" t="s">
        <v>159</v>
      </c>
      <c r="AF26" s="180" t="s">
        <v>378</v>
      </c>
      <c r="AG26" s="180" t="s">
        <v>161</v>
      </c>
      <c r="AH26" s="182" t="s">
        <v>165</v>
      </c>
      <c r="AI26" s="575"/>
      <c r="AJ26" s="180" t="s">
        <v>159</v>
      </c>
      <c r="AK26" s="180" t="s">
        <v>378</v>
      </c>
      <c r="AL26" s="180" t="s">
        <v>161</v>
      </c>
      <c r="AM26" s="182" t="s">
        <v>165</v>
      </c>
      <c r="AN26" s="575"/>
      <c r="AO26" s="180" t="s">
        <v>159</v>
      </c>
      <c r="AP26" s="180" t="s">
        <v>378</v>
      </c>
      <c r="AQ26" s="180" t="s">
        <v>161</v>
      </c>
      <c r="AR26" s="182" t="s">
        <v>165</v>
      </c>
      <c r="AS26" s="575"/>
      <c r="AT26" s="180" t="s">
        <v>159</v>
      </c>
      <c r="AU26" s="180" t="s">
        <v>378</v>
      </c>
      <c r="AV26" s="180" t="s">
        <v>161</v>
      </c>
      <c r="AW26" s="182" t="s">
        <v>165</v>
      </c>
      <c r="AX26" s="575"/>
    </row>
    <row r="27" spans="2:50" ht="14.25" customHeight="1">
      <c r="B27" s="659" t="s">
        <v>450</v>
      </c>
      <c r="C27" s="180">
        <v>1</v>
      </c>
      <c r="D27" s="183" t="s">
        <v>354</v>
      </c>
      <c r="E27" s="180">
        <v>21</v>
      </c>
      <c r="F27" s="180">
        <v>2790</v>
      </c>
      <c r="G27" s="185">
        <f t="shared" ref="G27:G28" si="19">F27/E27</f>
        <v>132.85714285714286</v>
      </c>
      <c r="H27" s="576">
        <f>AVERAGE(G27:G41)</f>
        <v>366.42857142857144</v>
      </c>
      <c r="I27" s="186">
        <f>AVERAGE(P27,U27,Z27,AE27,AJ27,AO27,AT27)</f>
        <v>21</v>
      </c>
      <c r="J27" s="186">
        <f>AVERAGE(Q27,V27,AA27,AF27,AK27,AP27,AU27)</f>
        <v>2484.0059699484254</v>
      </c>
      <c r="K27" s="187">
        <f>AVERAGE(R27,W27,AB27,AG27,AL27,AQ27,AV27)</f>
        <v>118.28599856897263</v>
      </c>
      <c r="L27" s="577">
        <f>IFERROR(AVERAGE(K27:K41),"-")</f>
        <v>331.22235073871883</v>
      </c>
      <c r="M27" s="186">
        <f>RANK(K27, K$27:$K$41)</f>
        <v>2</v>
      </c>
      <c r="N27" s="575"/>
      <c r="O27" s="575"/>
      <c r="P27" s="188">
        <v>21</v>
      </c>
      <c r="Q27" s="188">
        <v>2483.3882830332241</v>
      </c>
      <c r="R27" s="185">
        <f>IFERROR(Q27/P27,"")</f>
        <v>118.256584906344</v>
      </c>
      <c r="S27" s="182">
        <f>RANK(R27, R$27:R$41)</f>
        <v>2</v>
      </c>
      <c r="T27" s="576">
        <f>AVERAGE(R27:R41)</f>
        <v>331.15626448114307</v>
      </c>
      <c r="U27" s="188">
        <v>21</v>
      </c>
      <c r="V27" s="188">
        <v>2483.7881219903697</v>
      </c>
      <c r="W27" s="185">
        <f t="shared" ref="W27:W28" si="20">IFERROR(V27/U27,"")</f>
        <v>118.27562485668427</v>
      </c>
      <c r="X27" s="182">
        <f>RANK(W27, W$27:W$41)</f>
        <v>2</v>
      </c>
      <c r="Y27" s="576">
        <f>AVERAGE(W27:W41)</f>
        <v>331.17572712028499</v>
      </c>
      <c r="Z27" s="188">
        <v>21</v>
      </c>
      <c r="AA27" s="188">
        <v>2484.1730769230767</v>
      </c>
      <c r="AB27" s="185">
        <f t="shared" ref="AB27:AB28" si="21">IFERROR(AA27/Z27,"")</f>
        <v>118.29395604395603</v>
      </c>
      <c r="AC27" s="182">
        <f>RANK(AB27, AB$27:AB$41)</f>
        <v>2</v>
      </c>
      <c r="AD27" s="576">
        <f>AVERAGE(AB27:AB41)</f>
        <v>331.24489271392076</v>
      </c>
      <c r="AE27" s="188">
        <v>21</v>
      </c>
      <c r="AF27" s="188">
        <v>2484.1730769230762</v>
      </c>
      <c r="AG27" s="185">
        <f>IFERROR(AF27/AE27,"")</f>
        <v>118.29395604395602</v>
      </c>
      <c r="AH27" s="182">
        <f>RANK(AG27, AG$27:AG$41)</f>
        <v>2</v>
      </c>
      <c r="AI27" s="576">
        <f>AVERAGE(AG27:AG41)</f>
        <v>331.1848927139207</v>
      </c>
      <c r="AJ27" s="188">
        <v>21</v>
      </c>
      <c r="AK27" s="188">
        <v>2484.1730769230767</v>
      </c>
      <c r="AL27" s="185">
        <f t="shared" ref="AL27:AL28" si="22">IFERROR(AK27/AJ27,"")</f>
        <v>118.29395604395603</v>
      </c>
      <c r="AM27" s="182">
        <f>RANK(AL27, AL$27:AL$41)</f>
        <v>2</v>
      </c>
      <c r="AN27" s="576">
        <f>AVERAGE(AL27:AL41)</f>
        <v>331.21489271392068</v>
      </c>
      <c r="AO27" s="188">
        <v>21</v>
      </c>
      <c r="AP27" s="188">
        <v>2484.1730769230771</v>
      </c>
      <c r="AQ27" s="185">
        <f t="shared" ref="AQ27:AQ28" si="23">IFERROR(AP27/AO27,"")</f>
        <v>118.29395604395606</v>
      </c>
      <c r="AR27" s="182">
        <f>RANK(AQ27, AQ$27:AQ$41)</f>
        <v>2</v>
      </c>
      <c r="AS27" s="576">
        <f>AVERAGE(AQ27:AQ41)</f>
        <v>331.27489271392074</v>
      </c>
      <c r="AT27" s="188">
        <v>21</v>
      </c>
      <c r="AU27" s="188">
        <v>2484.1730769230762</v>
      </c>
      <c r="AV27" s="185">
        <f t="shared" ref="AV27:AV28" si="24">IFERROR(AU27/AT27,"")</f>
        <v>118.29395604395602</v>
      </c>
      <c r="AW27" s="182">
        <f>RANK(AV27, AV$27:AV$41)</f>
        <v>2</v>
      </c>
      <c r="AX27" s="576">
        <f>AVERAGE(AV27:AV41)</f>
        <v>331.30489271392071</v>
      </c>
    </row>
    <row r="28" spans="2:50" ht="14.25" customHeight="1">
      <c r="B28" s="575"/>
      <c r="C28" s="180">
        <v>2</v>
      </c>
      <c r="D28" s="183" t="s">
        <v>531</v>
      </c>
      <c r="E28" s="180">
        <v>6</v>
      </c>
      <c r="F28" s="180">
        <v>3600</v>
      </c>
      <c r="G28" s="185">
        <f t="shared" si="19"/>
        <v>600</v>
      </c>
      <c r="H28" s="576"/>
      <c r="I28" s="186">
        <f t="shared" ref="I28:K28" si="25">AVERAGE(P28,U28,Z28,AE28,AJ28,AO28,AT28)</f>
        <v>6</v>
      </c>
      <c r="J28" s="186">
        <f t="shared" si="25"/>
        <v>3264.9522174507902</v>
      </c>
      <c r="K28" s="187">
        <f t="shared" si="25"/>
        <v>544.15870290846499</v>
      </c>
      <c r="L28" s="577"/>
      <c r="M28" s="186">
        <f>RANK(K28, K$27:$K$41)</f>
        <v>1</v>
      </c>
      <c r="N28" s="575"/>
      <c r="O28" s="575"/>
      <c r="P28" s="188">
        <v>6</v>
      </c>
      <c r="Q28" s="188">
        <v>3264.3356643356528</v>
      </c>
      <c r="R28" s="185">
        <f t="shared" ref="R28" si="26">IFERROR(Q28/P28,"")</f>
        <v>544.05594405594218</v>
      </c>
      <c r="S28" s="182">
        <f>RANK(R28, R$27:R$41)</f>
        <v>1</v>
      </c>
      <c r="T28" s="576"/>
      <c r="U28" s="188">
        <v>6</v>
      </c>
      <c r="V28" s="188">
        <v>3264.4549763033137</v>
      </c>
      <c r="W28" s="185">
        <f t="shared" si="20"/>
        <v>544.07582938388566</v>
      </c>
      <c r="X28" s="182">
        <f>RANK(W28, W$27:W$41)</f>
        <v>1</v>
      </c>
      <c r="Y28" s="576"/>
      <c r="Z28" s="188">
        <v>6</v>
      </c>
      <c r="AA28" s="188">
        <v>3265.1749763033135</v>
      </c>
      <c r="AB28" s="185">
        <f t="shared" si="21"/>
        <v>544.19582938388555</v>
      </c>
      <c r="AC28" s="182">
        <f>RANK(AB28, AB$27:AB$41)</f>
        <v>1</v>
      </c>
      <c r="AD28" s="576"/>
      <c r="AE28" s="188">
        <v>6</v>
      </c>
      <c r="AF28" s="188">
        <v>3264.4549763033128</v>
      </c>
      <c r="AG28" s="185">
        <f t="shared" ref="AG28" si="27">IFERROR(AF28/AE28,"")</f>
        <v>544.07582938388543</v>
      </c>
      <c r="AH28" s="182">
        <f>RANK(AG28, AG$27:AG$41)</f>
        <v>1</v>
      </c>
      <c r="AI28" s="576"/>
      <c r="AJ28" s="188">
        <v>6</v>
      </c>
      <c r="AK28" s="188">
        <v>3264.8149763033121</v>
      </c>
      <c r="AL28" s="185">
        <f t="shared" si="22"/>
        <v>544.13582938388538</v>
      </c>
      <c r="AM28" s="182">
        <f>RANK(AL28, AL$27:AL$41)</f>
        <v>1</v>
      </c>
      <c r="AN28" s="576"/>
      <c r="AO28" s="188">
        <v>6</v>
      </c>
      <c r="AP28" s="188">
        <v>3265.5349763033123</v>
      </c>
      <c r="AQ28" s="185">
        <f t="shared" si="23"/>
        <v>544.25582938388538</v>
      </c>
      <c r="AR28" s="182">
        <f>RANK(AQ28, AQ$27:AQ$41)</f>
        <v>1</v>
      </c>
      <c r="AS28" s="576"/>
      <c r="AT28" s="188">
        <v>6</v>
      </c>
      <c r="AU28" s="188">
        <v>3265.8949763033124</v>
      </c>
      <c r="AV28" s="185">
        <f t="shared" si="24"/>
        <v>544.31582938388544</v>
      </c>
      <c r="AW28" s="182">
        <f>RANK(AV28, AV$27:AV$41)</f>
        <v>1</v>
      </c>
      <c r="AX28" s="576"/>
    </row>
    <row r="29" spans="2:50" ht="14.25" customHeight="1">
      <c r="B29" s="575"/>
      <c r="C29" s="180">
        <v>3</v>
      </c>
      <c r="D29" s="183"/>
      <c r="E29" s="180"/>
      <c r="F29" s="180"/>
      <c r="G29" s="185"/>
      <c r="H29" s="576"/>
      <c r="I29" s="186"/>
      <c r="J29" s="186"/>
      <c r="K29" s="187"/>
      <c r="L29" s="577"/>
      <c r="M29" s="186"/>
      <c r="N29" s="575"/>
      <c r="O29" s="575"/>
      <c r="P29" s="188"/>
      <c r="Q29" s="188"/>
      <c r="R29" s="185"/>
      <c r="S29" s="182"/>
      <c r="T29" s="576"/>
      <c r="U29" s="188"/>
      <c r="V29" s="188"/>
      <c r="W29" s="185"/>
      <c r="X29" s="182"/>
      <c r="Y29" s="576"/>
      <c r="Z29" s="188"/>
      <c r="AA29" s="188"/>
      <c r="AB29" s="185"/>
      <c r="AC29" s="182"/>
      <c r="AD29" s="576"/>
      <c r="AE29" s="188"/>
      <c r="AF29" s="188"/>
      <c r="AG29" s="185"/>
      <c r="AH29" s="182"/>
      <c r="AI29" s="576"/>
      <c r="AJ29" s="188"/>
      <c r="AK29" s="188"/>
      <c r="AL29" s="185"/>
      <c r="AM29" s="182"/>
      <c r="AN29" s="576"/>
      <c r="AO29" s="188"/>
      <c r="AP29" s="188"/>
      <c r="AQ29" s="185"/>
      <c r="AR29" s="182"/>
      <c r="AS29" s="576"/>
      <c r="AT29" s="188"/>
      <c r="AU29" s="188"/>
      <c r="AV29" s="185"/>
      <c r="AW29" s="182"/>
      <c r="AX29" s="576"/>
    </row>
    <row r="30" spans="2:50" ht="14.25" customHeight="1">
      <c r="B30" s="575"/>
      <c r="C30" s="180">
        <v>4</v>
      </c>
      <c r="D30" s="183"/>
      <c r="E30" s="180"/>
      <c r="F30" s="180"/>
      <c r="G30" s="185"/>
      <c r="H30" s="576"/>
      <c r="I30" s="186"/>
      <c r="J30" s="186"/>
      <c r="K30" s="187"/>
      <c r="L30" s="577"/>
      <c r="M30" s="186"/>
      <c r="N30" s="575"/>
      <c r="O30" s="575"/>
      <c r="P30" s="188"/>
      <c r="Q30" s="188"/>
      <c r="R30" s="185"/>
      <c r="S30" s="182"/>
      <c r="T30" s="576"/>
      <c r="U30" s="188"/>
      <c r="V30" s="188"/>
      <c r="W30" s="185"/>
      <c r="X30" s="182"/>
      <c r="Y30" s="576"/>
      <c r="Z30" s="188"/>
      <c r="AA30" s="188"/>
      <c r="AB30" s="185"/>
      <c r="AC30" s="182"/>
      <c r="AD30" s="576"/>
      <c r="AE30" s="188"/>
      <c r="AF30" s="188"/>
      <c r="AG30" s="185"/>
      <c r="AH30" s="182"/>
      <c r="AI30" s="576"/>
      <c r="AJ30" s="188"/>
      <c r="AK30" s="188"/>
      <c r="AL30" s="185"/>
      <c r="AM30" s="182"/>
      <c r="AN30" s="576"/>
      <c r="AO30" s="188"/>
      <c r="AP30" s="188"/>
      <c r="AQ30" s="185"/>
      <c r="AR30" s="182"/>
      <c r="AS30" s="576"/>
      <c r="AT30" s="188"/>
      <c r="AU30" s="188"/>
      <c r="AV30" s="185"/>
      <c r="AW30" s="182"/>
      <c r="AX30" s="576"/>
    </row>
    <row r="31" spans="2:50" ht="14.25" customHeight="1">
      <c r="B31" s="575"/>
      <c r="C31" s="180">
        <v>5</v>
      </c>
      <c r="D31" s="183"/>
      <c r="E31" s="180"/>
      <c r="F31" s="180"/>
      <c r="G31" s="185"/>
      <c r="H31" s="576"/>
      <c r="I31" s="186"/>
      <c r="J31" s="186"/>
      <c r="K31" s="187"/>
      <c r="L31" s="577"/>
      <c r="M31" s="186"/>
      <c r="N31" s="575"/>
      <c r="O31" s="575"/>
      <c r="P31" s="188"/>
      <c r="Q31" s="188"/>
      <c r="R31" s="185"/>
      <c r="S31" s="182"/>
      <c r="T31" s="576"/>
      <c r="U31" s="188"/>
      <c r="V31" s="188"/>
      <c r="W31" s="185"/>
      <c r="X31" s="182"/>
      <c r="Y31" s="576"/>
      <c r="Z31" s="188"/>
      <c r="AA31" s="188"/>
      <c r="AB31" s="185"/>
      <c r="AC31" s="182"/>
      <c r="AD31" s="576"/>
      <c r="AE31" s="188"/>
      <c r="AF31" s="188"/>
      <c r="AG31" s="185"/>
      <c r="AH31" s="182"/>
      <c r="AI31" s="576"/>
      <c r="AJ31" s="188"/>
      <c r="AK31" s="188"/>
      <c r="AL31" s="185"/>
      <c r="AM31" s="182"/>
      <c r="AN31" s="576"/>
      <c r="AO31" s="188"/>
      <c r="AP31" s="188"/>
      <c r="AQ31" s="185"/>
      <c r="AR31" s="182"/>
      <c r="AS31" s="576"/>
      <c r="AT31" s="188"/>
      <c r="AU31" s="188"/>
      <c r="AV31" s="185"/>
      <c r="AW31" s="182"/>
      <c r="AX31" s="576"/>
    </row>
    <row r="32" spans="2:50" ht="14.25" customHeight="1">
      <c r="B32" s="575"/>
      <c r="C32" s="180">
        <v>6</v>
      </c>
      <c r="D32" s="183"/>
      <c r="E32" s="180"/>
      <c r="F32" s="180"/>
      <c r="G32" s="185"/>
      <c r="H32" s="576"/>
      <c r="I32" s="186"/>
      <c r="J32" s="186"/>
      <c r="K32" s="187"/>
      <c r="L32" s="577"/>
      <c r="M32" s="186"/>
      <c r="N32" s="575"/>
      <c r="O32" s="575"/>
      <c r="P32" s="188"/>
      <c r="Q32" s="188"/>
      <c r="R32" s="185"/>
      <c r="S32" s="182"/>
      <c r="T32" s="576"/>
      <c r="U32" s="188"/>
      <c r="V32" s="188"/>
      <c r="W32" s="185"/>
      <c r="X32" s="182"/>
      <c r="Y32" s="576"/>
      <c r="Z32" s="188"/>
      <c r="AA32" s="188"/>
      <c r="AB32" s="185"/>
      <c r="AC32" s="182"/>
      <c r="AD32" s="576"/>
      <c r="AE32" s="188"/>
      <c r="AF32" s="188"/>
      <c r="AG32" s="185"/>
      <c r="AH32" s="182"/>
      <c r="AI32" s="576"/>
      <c r="AJ32" s="188"/>
      <c r="AK32" s="188"/>
      <c r="AL32" s="185"/>
      <c r="AM32" s="182"/>
      <c r="AN32" s="576"/>
      <c r="AO32" s="188"/>
      <c r="AP32" s="188"/>
      <c r="AQ32" s="185"/>
      <c r="AR32" s="182"/>
      <c r="AS32" s="576"/>
      <c r="AT32" s="188"/>
      <c r="AU32" s="188"/>
      <c r="AV32" s="185"/>
      <c r="AW32" s="182"/>
      <c r="AX32" s="576"/>
    </row>
    <row r="33" spans="2:50" ht="14.25" customHeight="1">
      <c r="B33" s="575"/>
      <c r="C33" s="180">
        <v>7</v>
      </c>
      <c r="D33" s="183"/>
      <c r="E33" s="180"/>
      <c r="F33" s="180"/>
      <c r="G33" s="185"/>
      <c r="H33" s="576"/>
      <c r="I33" s="186"/>
      <c r="J33" s="186"/>
      <c r="K33" s="187"/>
      <c r="L33" s="577"/>
      <c r="M33" s="186"/>
      <c r="N33" s="575"/>
      <c r="O33" s="575"/>
      <c r="P33" s="188"/>
      <c r="Q33" s="188"/>
      <c r="R33" s="185"/>
      <c r="S33" s="182"/>
      <c r="T33" s="576"/>
      <c r="U33" s="188"/>
      <c r="V33" s="188"/>
      <c r="W33" s="185"/>
      <c r="X33" s="182"/>
      <c r="Y33" s="576"/>
      <c r="Z33" s="188"/>
      <c r="AA33" s="188"/>
      <c r="AB33" s="185"/>
      <c r="AC33" s="182"/>
      <c r="AD33" s="576"/>
      <c r="AE33" s="188"/>
      <c r="AF33" s="188"/>
      <c r="AG33" s="185"/>
      <c r="AH33" s="182"/>
      <c r="AI33" s="576"/>
      <c r="AJ33" s="188"/>
      <c r="AK33" s="188"/>
      <c r="AL33" s="185"/>
      <c r="AM33" s="182"/>
      <c r="AN33" s="576"/>
      <c r="AO33" s="188"/>
      <c r="AP33" s="188"/>
      <c r="AQ33" s="185"/>
      <c r="AR33" s="182"/>
      <c r="AS33" s="576"/>
      <c r="AT33" s="188"/>
      <c r="AU33" s="188"/>
      <c r="AV33" s="185"/>
      <c r="AW33" s="182"/>
      <c r="AX33" s="576"/>
    </row>
    <row r="34" spans="2:50" ht="14.25" customHeight="1">
      <c r="B34" s="575"/>
      <c r="C34" s="180">
        <v>8</v>
      </c>
      <c r="D34" s="183"/>
      <c r="E34" s="180"/>
      <c r="F34" s="180"/>
      <c r="G34" s="185"/>
      <c r="H34" s="576"/>
      <c r="I34" s="186"/>
      <c r="J34" s="186"/>
      <c r="K34" s="187"/>
      <c r="L34" s="577"/>
      <c r="M34" s="186"/>
      <c r="N34" s="575"/>
      <c r="O34" s="575"/>
      <c r="P34" s="188"/>
      <c r="Q34" s="188"/>
      <c r="R34" s="185"/>
      <c r="S34" s="182"/>
      <c r="T34" s="576"/>
      <c r="U34" s="188"/>
      <c r="V34" s="188"/>
      <c r="W34" s="185"/>
      <c r="X34" s="182"/>
      <c r="Y34" s="576"/>
      <c r="Z34" s="188"/>
      <c r="AA34" s="188"/>
      <c r="AB34" s="185"/>
      <c r="AC34" s="182"/>
      <c r="AD34" s="576"/>
      <c r="AE34" s="188"/>
      <c r="AF34" s="188"/>
      <c r="AG34" s="185"/>
      <c r="AH34" s="182"/>
      <c r="AI34" s="576"/>
      <c r="AJ34" s="188"/>
      <c r="AK34" s="188"/>
      <c r="AL34" s="185"/>
      <c r="AM34" s="182"/>
      <c r="AN34" s="576"/>
      <c r="AO34" s="188"/>
      <c r="AP34" s="188"/>
      <c r="AQ34" s="185"/>
      <c r="AR34" s="182"/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589" t="s">
        <v>715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09" t="s">
        <v>374</v>
      </c>
      <c r="O42" s="609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1"/>
      <c r="O43" s="611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375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376</v>
      </c>
      <c r="F45" s="575"/>
      <c r="G45" s="575"/>
      <c r="H45" s="575"/>
      <c r="I45" s="579" t="s">
        <v>376</v>
      </c>
      <c r="J45" s="579"/>
      <c r="K45" s="579"/>
      <c r="L45" s="579"/>
      <c r="M45" s="579"/>
      <c r="N45" s="575"/>
      <c r="O45" s="575"/>
      <c r="P45" s="575" t="s">
        <v>377</v>
      </c>
      <c r="Q45" s="575"/>
      <c r="R45" s="575"/>
      <c r="S45" s="575"/>
      <c r="T45" s="575"/>
      <c r="U45" s="575" t="s">
        <v>377</v>
      </c>
      <c r="V45" s="575"/>
      <c r="W45" s="575"/>
      <c r="X45" s="575"/>
      <c r="Y45" s="575"/>
      <c r="Z45" s="575" t="s">
        <v>377</v>
      </c>
      <c r="AA45" s="575"/>
      <c r="AB45" s="575"/>
      <c r="AC45" s="575"/>
      <c r="AD45" s="575"/>
      <c r="AE45" s="575" t="s">
        <v>377</v>
      </c>
      <c r="AF45" s="575"/>
      <c r="AG45" s="575"/>
      <c r="AH45" s="575"/>
      <c r="AI45" s="575"/>
      <c r="AJ45" s="575" t="s">
        <v>377</v>
      </c>
      <c r="AK45" s="575"/>
      <c r="AL45" s="575"/>
      <c r="AM45" s="575"/>
      <c r="AN45" s="575"/>
      <c r="AO45" s="575" t="s">
        <v>377</v>
      </c>
      <c r="AP45" s="575"/>
      <c r="AQ45" s="575"/>
      <c r="AR45" s="575"/>
      <c r="AS45" s="575"/>
      <c r="AT45" s="575" t="s">
        <v>377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378</v>
      </c>
      <c r="G46" s="180" t="s">
        <v>161</v>
      </c>
      <c r="H46" s="575"/>
      <c r="I46" s="181" t="s">
        <v>159</v>
      </c>
      <c r="J46" s="181" t="s">
        <v>378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378</v>
      </c>
      <c r="R46" s="180" t="s">
        <v>161</v>
      </c>
      <c r="S46" s="182" t="s">
        <v>165</v>
      </c>
      <c r="T46" s="575"/>
      <c r="U46" s="180" t="s">
        <v>159</v>
      </c>
      <c r="V46" s="180" t="s">
        <v>378</v>
      </c>
      <c r="W46" s="180" t="s">
        <v>161</v>
      </c>
      <c r="X46" s="182" t="s">
        <v>165</v>
      </c>
      <c r="Y46" s="575"/>
      <c r="Z46" s="180" t="s">
        <v>159</v>
      </c>
      <c r="AA46" s="180" t="s">
        <v>378</v>
      </c>
      <c r="AB46" s="180" t="s">
        <v>161</v>
      </c>
      <c r="AC46" s="182" t="s">
        <v>165</v>
      </c>
      <c r="AD46" s="575"/>
      <c r="AE46" s="180" t="s">
        <v>159</v>
      </c>
      <c r="AF46" s="180" t="s">
        <v>378</v>
      </c>
      <c r="AG46" s="180" t="s">
        <v>161</v>
      </c>
      <c r="AH46" s="182" t="s">
        <v>165</v>
      </c>
      <c r="AI46" s="575"/>
      <c r="AJ46" s="180" t="s">
        <v>159</v>
      </c>
      <c r="AK46" s="180" t="s">
        <v>378</v>
      </c>
      <c r="AL46" s="180" t="s">
        <v>161</v>
      </c>
      <c r="AM46" s="182" t="s">
        <v>165</v>
      </c>
      <c r="AN46" s="575"/>
      <c r="AO46" s="180" t="s">
        <v>159</v>
      </c>
      <c r="AP46" s="180" t="s">
        <v>378</v>
      </c>
      <c r="AQ46" s="180" t="s">
        <v>161</v>
      </c>
      <c r="AR46" s="182" t="s">
        <v>165</v>
      </c>
      <c r="AS46" s="575"/>
      <c r="AT46" s="180" t="s">
        <v>159</v>
      </c>
      <c r="AU46" s="180" t="s">
        <v>378</v>
      </c>
      <c r="AV46" s="180" t="s">
        <v>161</v>
      </c>
      <c r="AW46" s="182" t="s">
        <v>165</v>
      </c>
      <c r="AX46" s="575"/>
    </row>
    <row r="47" spans="2:50" ht="14.25" customHeight="1">
      <c r="B47" s="659" t="s">
        <v>450</v>
      </c>
      <c r="C47" s="180">
        <v>1</v>
      </c>
      <c r="D47" s="183" t="s">
        <v>354</v>
      </c>
      <c r="E47" s="180">
        <v>21</v>
      </c>
      <c r="F47" s="180">
        <v>2790</v>
      </c>
      <c r="G47" s="185">
        <f t="shared" ref="G47:G48" si="28">F47/E47</f>
        <v>132.85714285714286</v>
      </c>
      <c r="H47" s="576">
        <f>AVERAGE(G47:G61)</f>
        <v>366.42857142857144</v>
      </c>
      <c r="I47" s="186">
        <f>AVERAGE(P47,U47,Z47,AE47,AJ47,AO47,AT47)</f>
        <v>21</v>
      </c>
      <c r="J47" s="186">
        <f>AVERAGE(Q47,V47,AA47,AF47,AK47,AP47,AU47)</f>
        <v>2484.1730769230767</v>
      </c>
      <c r="K47" s="187">
        <f>AVERAGE(R47,W47,AB47,AG47,AL47,AQ47,AV47)</f>
        <v>118.29395604395602</v>
      </c>
      <c r="L47" s="577">
        <f>IFERROR(AVERAGE(K47:K61),"-")</f>
        <v>331.25346414249219</v>
      </c>
      <c r="M47" s="186">
        <f>RANK(K47, K$47:$K$61)</f>
        <v>2</v>
      </c>
      <c r="N47" s="575"/>
      <c r="O47" s="575"/>
      <c r="P47" s="188">
        <v>21</v>
      </c>
      <c r="Q47" s="188">
        <v>2484.1730769230767</v>
      </c>
      <c r="R47" s="185">
        <f>IFERROR(Q47/P47,"")</f>
        <v>118.29395604395603</v>
      </c>
      <c r="S47" s="182">
        <f>RANK(R47, R$47:R$61)</f>
        <v>2</v>
      </c>
      <c r="T47" s="576">
        <f>AVERAGE(R47:R61)</f>
        <v>331.27489271392074</v>
      </c>
      <c r="U47" s="188">
        <v>21</v>
      </c>
      <c r="V47" s="188">
        <v>2484.1730769230767</v>
      </c>
      <c r="W47" s="185">
        <f t="shared" ref="W47:W48" si="29">IFERROR(V47/U47,"")</f>
        <v>118.29395604395603</v>
      </c>
      <c r="X47" s="182">
        <f>RANK(W47, W$47:W$61)</f>
        <v>2</v>
      </c>
      <c r="Y47" s="576">
        <f>AVERAGE(W47:W61)</f>
        <v>331.30489271392071</v>
      </c>
      <c r="Z47" s="188">
        <v>21</v>
      </c>
      <c r="AA47" s="188">
        <v>2484.1730769230767</v>
      </c>
      <c r="AB47" s="185">
        <f t="shared" ref="AB47:AB48" si="30">IFERROR(AA47/Z47,"")</f>
        <v>118.29395604395603</v>
      </c>
      <c r="AC47" s="182">
        <f>RANK(AB47, AB$47:AB$61)</f>
        <v>2</v>
      </c>
      <c r="AD47" s="576">
        <f>AVERAGE(AB47:AB61)</f>
        <v>331.33489271392079</v>
      </c>
      <c r="AE47" s="188">
        <v>21</v>
      </c>
      <c r="AF47" s="188">
        <v>2484.1730769230767</v>
      </c>
      <c r="AG47" s="185">
        <f>IFERROR(AF47/AE47,"")</f>
        <v>118.29395604395603</v>
      </c>
      <c r="AH47" s="182">
        <f>RANK(AG47, AG$47:AG$61)</f>
        <v>2</v>
      </c>
      <c r="AI47" s="576">
        <f>AVERAGE(AG47:AG61)</f>
        <v>331.21489271392079</v>
      </c>
      <c r="AJ47" s="188">
        <v>21</v>
      </c>
      <c r="AK47" s="188">
        <v>2484.1730769230762</v>
      </c>
      <c r="AL47" s="185">
        <f t="shared" ref="AL47:AL48" si="31">IFERROR(AK47/AJ47,"")</f>
        <v>118.29395604395602</v>
      </c>
      <c r="AM47" s="182">
        <f>RANK(AL47, AL$47:AL$61)</f>
        <v>2</v>
      </c>
      <c r="AN47" s="576">
        <f>AVERAGE(AL47:AL61)</f>
        <v>331.24489271392082</v>
      </c>
      <c r="AO47" s="188">
        <v>21</v>
      </c>
      <c r="AP47" s="188">
        <v>2484.1730769230762</v>
      </c>
      <c r="AQ47" s="185">
        <f t="shared" ref="AQ47:AQ48" si="32">IFERROR(AP47/AO47,"")</f>
        <v>118.29395604395602</v>
      </c>
      <c r="AR47" s="182">
        <f>RANK(AQ47, AQ$47:AQ$61)</f>
        <v>2</v>
      </c>
      <c r="AS47" s="576">
        <f>AVERAGE(AQ47:AQ61)</f>
        <v>331.18489271392082</v>
      </c>
      <c r="AT47" s="188">
        <v>21</v>
      </c>
      <c r="AU47" s="188">
        <v>2484.1730769230767</v>
      </c>
      <c r="AV47" s="185">
        <f t="shared" ref="AV47:AV48" si="33">IFERROR(AU47/AT47,"")</f>
        <v>118.29395604395603</v>
      </c>
      <c r="AW47" s="182" t="e">
        <f>RANK(AV47, AV$7:AV$21)</f>
        <v>#N/A</v>
      </c>
      <c r="AX47" s="576">
        <f>AVERAGE(AV47:AV61)</f>
        <v>331.21489271392079</v>
      </c>
    </row>
    <row r="48" spans="2:50" ht="14.25" customHeight="1">
      <c r="B48" s="575"/>
      <c r="C48" s="180">
        <v>2</v>
      </c>
      <c r="D48" s="183" t="s">
        <v>531</v>
      </c>
      <c r="E48" s="180">
        <v>6</v>
      </c>
      <c r="F48" s="180">
        <v>3600</v>
      </c>
      <c r="G48" s="185">
        <f t="shared" si="28"/>
        <v>600</v>
      </c>
      <c r="H48" s="576"/>
      <c r="I48" s="186">
        <f t="shared" ref="I48:K48" si="34">AVERAGE(P48,U48,Z48,AE48,AJ48,AO48,AT48)</f>
        <v>6</v>
      </c>
      <c r="J48" s="186">
        <f t="shared" si="34"/>
        <v>3265.2778334461705</v>
      </c>
      <c r="K48" s="187">
        <f t="shared" si="34"/>
        <v>544.21297224102841</v>
      </c>
      <c r="L48" s="577"/>
      <c r="M48" s="186">
        <f>RANK(K48, K$47:$K$61)</f>
        <v>1</v>
      </c>
      <c r="N48" s="575"/>
      <c r="O48" s="575"/>
      <c r="P48" s="188">
        <v>6</v>
      </c>
      <c r="Q48" s="188">
        <v>3265.5349763033123</v>
      </c>
      <c r="R48" s="185">
        <f t="shared" ref="R48" si="35">IFERROR(Q48/P48,"")</f>
        <v>544.25582938388538</v>
      </c>
      <c r="S48" s="182">
        <f>RANK(R48, R$47:R$61)</f>
        <v>1</v>
      </c>
      <c r="T48" s="576"/>
      <c r="U48" s="188">
        <v>6</v>
      </c>
      <c r="V48" s="188">
        <v>3265.8949763033124</v>
      </c>
      <c r="W48" s="185">
        <f t="shared" si="29"/>
        <v>544.31582938388544</v>
      </c>
      <c r="X48" s="182">
        <f>RANK(W48, W$47:W$61)</f>
        <v>1</v>
      </c>
      <c r="Y48" s="576"/>
      <c r="Z48" s="188">
        <v>6</v>
      </c>
      <c r="AA48" s="188">
        <v>3266.254976303313</v>
      </c>
      <c r="AB48" s="185">
        <f t="shared" si="30"/>
        <v>544.3758293838855</v>
      </c>
      <c r="AC48" s="182">
        <f>RANK(AB48, AB$47:AB$61)</f>
        <v>1</v>
      </c>
      <c r="AD48" s="576"/>
      <c r="AE48" s="188">
        <v>6</v>
      </c>
      <c r="AF48" s="188">
        <v>3264.8149763033134</v>
      </c>
      <c r="AG48" s="185">
        <f t="shared" ref="AG48" si="36">IFERROR(AF48/AE48,"")</f>
        <v>544.13582938388561</v>
      </c>
      <c r="AH48" s="182">
        <f>RANK(AG48, AG$47:AG$61)</f>
        <v>1</v>
      </c>
      <c r="AI48" s="576"/>
      <c r="AJ48" s="188">
        <v>6</v>
      </c>
      <c r="AK48" s="188">
        <v>3265.174976303314</v>
      </c>
      <c r="AL48" s="185">
        <f t="shared" si="31"/>
        <v>544.19582938388567</v>
      </c>
      <c r="AM48" s="182">
        <f>RANK(AL48, AL$47:AL$61)</f>
        <v>1</v>
      </c>
      <c r="AN48" s="576"/>
      <c r="AO48" s="188">
        <v>6</v>
      </c>
      <c r="AP48" s="188">
        <v>3264.4549763033142</v>
      </c>
      <c r="AQ48" s="185">
        <f t="shared" si="32"/>
        <v>544.07582938388566</v>
      </c>
      <c r="AR48" s="182">
        <f>RANK(AQ48, AQ$47:AQ$61)</f>
        <v>1</v>
      </c>
      <c r="AS48" s="576"/>
      <c r="AT48" s="188">
        <v>6</v>
      </c>
      <c r="AU48" s="188">
        <v>3264.8149763033134</v>
      </c>
      <c r="AV48" s="185">
        <f t="shared" si="33"/>
        <v>544.13582938388561</v>
      </c>
      <c r="AW48" s="182" t="e">
        <f t="shared" ref="AW48" si="37">RANK(AV48, AV$7:AV$21)</f>
        <v>#N/A</v>
      </c>
      <c r="AX48" s="576"/>
    </row>
    <row r="49" spans="2:50" ht="14.25" customHeight="1">
      <c r="B49" s="575"/>
      <c r="C49" s="180">
        <v>3</v>
      </c>
      <c r="D49" s="183"/>
      <c r="E49" s="180"/>
      <c r="F49" s="180"/>
      <c r="G49" s="185"/>
      <c r="H49" s="576"/>
      <c r="I49" s="186"/>
      <c r="J49" s="186"/>
      <c r="K49" s="187"/>
      <c r="L49" s="577"/>
      <c r="M49" s="186"/>
      <c r="N49" s="575"/>
      <c r="O49" s="575"/>
      <c r="P49" s="188"/>
      <c r="Q49" s="188"/>
      <c r="R49" s="185"/>
      <c r="S49" s="182"/>
      <c r="T49" s="576"/>
      <c r="U49" s="188"/>
      <c r="V49" s="188"/>
      <c r="W49" s="185"/>
      <c r="X49" s="182"/>
      <c r="Y49" s="576"/>
      <c r="Z49" s="188"/>
      <c r="AA49" s="188"/>
      <c r="AB49" s="185"/>
      <c r="AC49" s="182"/>
      <c r="AD49" s="576"/>
      <c r="AE49" s="188"/>
      <c r="AF49" s="188"/>
      <c r="AG49" s="185"/>
      <c r="AH49" s="182"/>
      <c r="AI49" s="576"/>
      <c r="AJ49" s="188"/>
      <c r="AK49" s="188"/>
      <c r="AL49" s="185"/>
      <c r="AM49" s="182"/>
      <c r="AN49" s="576"/>
      <c r="AO49" s="188"/>
      <c r="AP49" s="188"/>
      <c r="AQ49" s="185"/>
      <c r="AR49" s="182"/>
      <c r="AS49" s="576"/>
      <c r="AT49" s="188"/>
      <c r="AU49" s="188"/>
      <c r="AV49" s="185"/>
      <c r="AW49" s="182"/>
      <c r="AX49" s="576"/>
    </row>
    <row r="50" spans="2:50" ht="14.25" customHeight="1">
      <c r="B50" s="575"/>
      <c r="C50" s="180">
        <v>4</v>
      </c>
      <c r="D50" s="183"/>
      <c r="E50" s="180"/>
      <c r="F50" s="180"/>
      <c r="G50" s="185"/>
      <c r="H50" s="576"/>
      <c r="I50" s="186"/>
      <c r="J50" s="186"/>
      <c r="K50" s="187"/>
      <c r="L50" s="577"/>
      <c r="M50" s="186"/>
      <c r="N50" s="575"/>
      <c r="O50" s="575"/>
      <c r="P50" s="188"/>
      <c r="Q50" s="188"/>
      <c r="R50" s="185"/>
      <c r="S50" s="182"/>
      <c r="T50" s="576"/>
      <c r="U50" s="188"/>
      <c r="V50" s="188"/>
      <c r="W50" s="185"/>
      <c r="X50" s="182"/>
      <c r="Y50" s="576"/>
      <c r="Z50" s="188"/>
      <c r="AA50" s="188"/>
      <c r="AB50" s="185"/>
      <c r="AC50" s="182"/>
      <c r="AD50" s="576"/>
      <c r="AE50" s="188"/>
      <c r="AF50" s="188"/>
      <c r="AG50" s="185"/>
      <c r="AH50" s="182"/>
      <c r="AI50" s="576"/>
      <c r="AJ50" s="188"/>
      <c r="AK50" s="188"/>
      <c r="AL50" s="185"/>
      <c r="AM50" s="182"/>
      <c r="AN50" s="576"/>
      <c r="AO50" s="188"/>
      <c r="AP50" s="188"/>
      <c r="AQ50" s="185"/>
      <c r="AR50" s="182"/>
      <c r="AS50" s="576"/>
      <c r="AT50" s="188"/>
      <c r="AU50" s="188"/>
      <c r="AV50" s="185"/>
      <c r="AW50" s="182"/>
      <c r="AX50" s="576"/>
    </row>
    <row r="51" spans="2:50" ht="14.25" customHeight="1">
      <c r="B51" s="575"/>
      <c r="C51" s="180">
        <v>5</v>
      </c>
      <c r="D51" s="183"/>
      <c r="E51" s="180"/>
      <c r="F51" s="180"/>
      <c r="G51" s="185"/>
      <c r="H51" s="576"/>
      <c r="I51" s="186"/>
      <c r="J51" s="186"/>
      <c r="K51" s="187"/>
      <c r="L51" s="577"/>
      <c r="M51" s="186"/>
      <c r="N51" s="575"/>
      <c r="O51" s="575"/>
      <c r="P51" s="188"/>
      <c r="Q51" s="188"/>
      <c r="R51" s="185"/>
      <c r="S51" s="182"/>
      <c r="T51" s="576"/>
      <c r="U51" s="188"/>
      <c r="V51" s="188"/>
      <c r="W51" s="185"/>
      <c r="X51" s="182"/>
      <c r="Y51" s="576"/>
      <c r="Z51" s="188"/>
      <c r="AA51" s="188"/>
      <c r="AB51" s="185"/>
      <c r="AC51" s="182"/>
      <c r="AD51" s="576"/>
      <c r="AE51" s="188"/>
      <c r="AF51" s="188"/>
      <c r="AG51" s="185"/>
      <c r="AH51" s="182"/>
      <c r="AI51" s="576"/>
      <c r="AJ51" s="188"/>
      <c r="AK51" s="188"/>
      <c r="AL51" s="185"/>
      <c r="AM51" s="182"/>
      <c r="AN51" s="576"/>
      <c r="AO51" s="188"/>
      <c r="AP51" s="188"/>
      <c r="AQ51" s="185"/>
      <c r="AR51" s="182"/>
      <c r="AS51" s="576"/>
      <c r="AT51" s="188"/>
      <c r="AU51" s="188"/>
      <c r="AV51" s="185"/>
      <c r="AW51" s="182"/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576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576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576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  <row r="62" spans="2:50" ht="14.25" customHeight="1">
      <c r="B62" s="643" t="s">
        <v>754</v>
      </c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4"/>
      <c r="N62" s="609" t="s">
        <v>374</v>
      </c>
      <c r="O62" s="609" t="s">
        <v>105</v>
      </c>
      <c r="P62" s="655">
        <v>46133</v>
      </c>
      <c r="Q62" s="656"/>
      <c r="R62" s="656"/>
      <c r="S62" s="656"/>
      <c r="T62" s="656"/>
      <c r="U62" s="657">
        <v>46134</v>
      </c>
      <c r="V62" s="658"/>
      <c r="W62" s="658"/>
      <c r="X62" s="658"/>
      <c r="Y62" s="658"/>
      <c r="Z62" s="655">
        <v>46135</v>
      </c>
      <c r="AA62" s="656"/>
      <c r="AB62" s="656"/>
      <c r="AC62" s="656"/>
      <c r="AD62" s="656"/>
      <c r="AE62" s="657">
        <v>46136</v>
      </c>
      <c r="AF62" s="658"/>
      <c r="AG62" s="658"/>
      <c r="AH62" s="658"/>
      <c r="AI62" s="658"/>
      <c r="AJ62" s="647">
        <v>46137</v>
      </c>
      <c r="AK62" s="648"/>
      <c r="AL62" s="648"/>
      <c r="AM62" s="648"/>
      <c r="AN62" s="649"/>
      <c r="AO62" s="657">
        <v>46138</v>
      </c>
      <c r="AP62" s="658"/>
      <c r="AQ62" s="658"/>
      <c r="AR62" s="658"/>
      <c r="AS62" s="658"/>
      <c r="AT62" s="647">
        <v>46139</v>
      </c>
      <c r="AU62" s="648"/>
      <c r="AV62" s="648"/>
      <c r="AW62" s="648"/>
      <c r="AX62" s="649"/>
    </row>
    <row r="63" spans="2:50" ht="14.25" customHeight="1"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6"/>
      <c r="N63" s="611"/>
      <c r="O63" s="611"/>
      <c r="P63" s="650">
        <v>46133</v>
      </c>
      <c r="Q63" s="650"/>
      <c r="R63" s="650"/>
      <c r="S63" s="650"/>
      <c r="T63" s="650"/>
      <c r="U63" s="651">
        <v>46134</v>
      </c>
      <c r="V63" s="651"/>
      <c r="W63" s="651"/>
      <c r="X63" s="651"/>
      <c r="Y63" s="651"/>
      <c r="Z63" s="650">
        <v>46135</v>
      </c>
      <c r="AA63" s="650"/>
      <c r="AB63" s="650"/>
      <c r="AC63" s="650"/>
      <c r="AD63" s="650"/>
      <c r="AE63" s="651">
        <v>46136</v>
      </c>
      <c r="AF63" s="651"/>
      <c r="AG63" s="651"/>
      <c r="AH63" s="651"/>
      <c r="AI63" s="651"/>
      <c r="AJ63" s="652">
        <v>46137</v>
      </c>
      <c r="AK63" s="653"/>
      <c r="AL63" s="653"/>
      <c r="AM63" s="653"/>
      <c r="AN63" s="654"/>
      <c r="AO63" s="651">
        <v>46138</v>
      </c>
      <c r="AP63" s="651"/>
      <c r="AQ63" s="651"/>
      <c r="AR63" s="651"/>
      <c r="AS63" s="651"/>
      <c r="AT63" s="652">
        <v>46139</v>
      </c>
      <c r="AU63" s="653"/>
      <c r="AV63" s="653"/>
      <c r="AW63" s="653"/>
      <c r="AX63" s="654"/>
    </row>
    <row r="64" spans="2:50" ht="14.25" customHeight="1">
      <c r="B64" s="575" t="s">
        <v>162</v>
      </c>
      <c r="C64" s="575" t="s">
        <v>157</v>
      </c>
      <c r="D64" s="575"/>
      <c r="E64" s="575" t="s">
        <v>158</v>
      </c>
      <c r="F64" s="575"/>
      <c r="G64" s="575"/>
      <c r="H64" s="575" t="s">
        <v>163</v>
      </c>
      <c r="I64" s="579" t="s">
        <v>375</v>
      </c>
      <c r="J64" s="579"/>
      <c r="K64" s="579"/>
      <c r="L64" s="579" t="s">
        <v>163</v>
      </c>
      <c r="M64" s="579" t="s">
        <v>165</v>
      </c>
      <c r="N64" s="575"/>
      <c r="O64" s="575" t="s">
        <v>164</v>
      </c>
      <c r="P64" s="575" t="s">
        <v>160</v>
      </c>
      <c r="Q64" s="575"/>
      <c r="R64" s="575"/>
      <c r="S64" s="575"/>
      <c r="T64" s="575" t="s">
        <v>163</v>
      </c>
      <c r="U64" s="575" t="s">
        <v>160</v>
      </c>
      <c r="V64" s="575"/>
      <c r="W64" s="575"/>
      <c r="X64" s="575"/>
      <c r="Y64" s="575" t="s">
        <v>163</v>
      </c>
      <c r="Z64" s="575" t="s">
        <v>160</v>
      </c>
      <c r="AA64" s="575"/>
      <c r="AB64" s="575"/>
      <c r="AC64" s="575"/>
      <c r="AD64" s="575" t="s">
        <v>163</v>
      </c>
      <c r="AE64" s="575" t="s">
        <v>160</v>
      </c>
      <c r="AF64" s="575"/>
      <c r="AG64" s="575"/>
      <c r="AH64" s="575"/>
      <c r="AI64" s="575" t="s">
        <v>163</v>
      </c>
      <c r="AJ64" s="575" t="s">
        <v>160</v>
      </c>
      <c r="AK64" s="575"/>
      <c r="AL64" s="575"/>
      <c r="AM64" s="575"/>
      <c r="AN64" s="575" t="s">
        <v>163</v>
      </c>
      <c r="AO64" s="575" t="s">
        <v>160</v>
      </c>
      <c r="AP64" s="575"/>
      <c r="AQ64" s="575"/>
      <c r="AR64" s="575"/>
      <c r="AS64" s="575" t="s">
        <v>163</v>
      </c>
      <c r="AT64" s="575" t="s">
        <v>160</v>
      </c>
      <c r="AU64" s="575"/>
      <c r="AV64" s="575"/>
      <c r="AW64" s="575"/>
      <c r="AX64" s="575" t="s">
        <v>163</v>
      </c>
    </row>
    <row r="65" spans="2:50" ht="14.25" customHeight="1">
      <c r="B65" s="575"/>
      <c r="C65" s="575"/>
      <c r="D65" s="575"/>
      <c r="E65" s="575" t="s">
        <v>376</v>
      </c>
      <c r="F65" s="575"/>
      <c r="G65" s="575"/>
      <c r="H65" s="575"/>
      <c r="I65" s="579" t="s">
        <v>376</v>
      </c>
      <c r="J65" s="579"/>
      <c r="K65" s="579"/>
      <c r="L65" s="579"/>
      <c r="M65" s="579"/>
      <c r="N65" s="575"/>
      <c r="O65" s="575"/>
      <c r="P65" s="575" t="s">
        <v>377</v>
      </c>
      <c r="Q65" s="575"/>
      <c r="R65" s="575"/>
      <c r="S65" s="575"/>
      <c r="T65" s="575"/>
      <c r="U65" s="575" t="s">
        <v>377</v>
      </c>
      <c r="V65" s="575"/>
      <c r="W65" s="575"/>
      <c r="X65" s="575"/>
      <c r="Y65" s="575"/>
      <c r="Z65" s="575" t="s">
        <v>377</v>
      </c>
      <c r="AA65" s="575"/>
      <c r="AB65" s="575"/>
      <c r="AC65" s="575"/>
      <c r="AD65" s="575"/>
      <c r="AE65" s="575" t="s">
        <v>377</v>
      </c>
      <c r="AF65" s="575"/>
      <c r="AG65" s="575"/>
      <c r="AH65" s="575"/>
      <c r="AI65" s="575"/>
      <c r="AJ65" s="575" t="s">
        <v>377</v>
      </c>
      <c r="AK65" s="575"/>
      <c r="AL65" s="575"/>
      <c r="AM65" s="575"/>
      <c r="AN65" s="575"/>
      <c r="AO65" s="575" t="s">
        <v>377</v>
      </c>
      <c r="AP65" s="575"/>
      <c r="AQ65" s="575"/>
      <c r="AR65" s="575"/>
      <c r="AS65" s="575"/>
      <c r="AT65" s="575" t="s">
        <v>377</v>
      </c>
      <c r="AU65" s="575"/>
      <c r="AV65" s="575"/>
      <c r="AW65" s="575"/>
      <c r="AX65" s="575"/>
    </row>
    <row r="66" spans="2:50" ht="14.25" customHeight="1">
      <c r="B66" s="575"/>
      <c r="C66" s="575"/>
      <c r="D66" s="575"/>
      <c r="E66" s="180" t="s">
        <v>159</v>
      </c>
      <c r="F66" s="180" t="s">
        <v>378</v>
      </c>
      <c r="G66" s="180" t="s">
        <v>161</v>
      </c>
      <c r="H66" s="575"/>
      <c r="I66" s="181" t="s">
        <v>159</v>
      </c>
      <c r="J66" s="181" t="s">
        <v>378</v>
      </c>
      <c r="K66" s="181" t="s">
        <v>161</v>
      </c>
      <c r="L66" s="579"/>
      <c r="M66" s="579"/>
      <c r="N66" s="575"/>
      <c r="O66" s="575"/>
      <c r="P66" s="180" t="s">
        <v>159</v>
      </c>
      <c r="Q66" s="180" t="s">
        <v>378</v>
      </c>
      <c r="R66" s="180" t="s">
        <v>161</v>
      </c>
      <c r="S66" s="182" t="s">
        <v>165</v>
      </c>
      <c r="T66" s="575"/>
      <c r="U66" s="180" t="s">
        <v>159</v>
      </c>
      <c r="V66" s="180" t="s">
        <v>378</v>
      </c>
      <c r="W66" s="180" t="s">
        <v>161</v>
      </c>
      <c r="X66" s="182" t="s">
        <v>165</v>
      </c>
      <c r="Y66" s="575"/>
      <c r="Z66" s="180" t="s">
        <v>159</v>
      </c>
      <c r="AA66" s="180" t="s">
        <v>378</v>
      </c>
      <c r="AB66" s="180" t="s">
        <v>161</v>
      </c>
      <c r="AC66" s="182" t="s">
        <v>165</v>
      </c>
      <c r="AD66" s="575"/>
      <c r="AE66" s="180" t="s">
        <v>159</v>
      </c>
      <c r="AF66" s="180" t="s">
        <v>378</v>
      </c>
      <c r="AG66" s="180" t="s">
        <v>161</v>
      </c>
      <c r="AH66" s="182" t="s">
        <v>165</v>
      </c>
      <c r="AI66" s="575"/>
      <c r="AJ66" s="180" t="s">
        <v>159</v>
      </c>
      <c r="AK66" s="180" t="s">
        <v>378</v>
      </c>
      <c r="AL66" s="180" t="s">
        <v>161</v>
      </c>
      <c r="AM66" s="182" t="s">
        <v>165</v>
      </c>
      <c r="AN66" s="575"/>
      <c r="AO66" s="180" t="s">
        <v>159</v>
      </c>
      <c r="AP66" s="180" t="s">
        <v>378</v>
      </c>
      <c r="AQ66" s="180" t="s">
        <v>161</v>
      </c>
      <c r="AR66" s="182" t="s">
        <v>165</v>
      </c>
      <c r="AS66" s="575"/>
      <c r="AT66" s="180" t="s">
        <v>159</v>
      </c>
      <c r="AU66" s="180" t="s">
        <v>378</v>
      </c>
      <c r="AV66" s="180" t="s">
        <v>161</v>
      </c>
      <c r="AW66" s="182" t="s">
        <v>165</v>
      </c>
      <c r="AX66" s="575"/>
    </row>
    <row r="67" spans="2:50" ht="14.25" customHeight="1">
      <c r="B67" s="659" t="s">
        <v>450</v>
      </c>
      <c r="C67" s="180">
        <v>1</v>
      </c>
      <c r="D67" s="183" t="s">
        <v>354</v>
      </c>
      <c r="E67" s="180">
        <v>21</v>
      </c>
      <c r="F67" s="180">
        <v>2790</v>
      </c>
      <c r="G67" s="185">
        <f t="shared" ref="G67:G68" si="38">F67/E67</f>
        <v>132.85714285714286</v>
      </c>
      <c r="H67" s="576">
        <f>AVERAGE(G67:G81)</f>
        <v>366.42857142857144</v>
      </c>
      <c r="I67" s="186">
        <f>AVERAGE(P67,U67,Z67,AE67,AJ67,AO67,AT67)</f>
        <v>21</v>
      </c>
      <c r="J67" s="186">
        <f>AVERAGE(Q67,V67,AA67,AF67,AK67,AP67,AU67)</f>
        <v>2484.1730769230767</v>
      </c>
      <c r="K67" s="187">
        <f>AVERAGE(R67,W67,AB67,AG67,AL67,AQ67,AV67)</f>
        <v>118.29395604395606</v>
      </c>
      <c r="L67" s="577">
        <f>IFERROR(AVERAGE(K67:K81),"-")</f>
        <v>330.64530833280173</v>
      </c>
      <c r="M67" s="186">
        <f>RANK(K67, K$67:$K$81)</f>
        <v>2</v>
      </c>
      <c r="N67" s="575"/>
      <c r="O67" s="575"/>
      <c r="P67" s="188">
        <v>21</v>
      </c>
      <c r="Q67" s="188">
        <v>2484.1730769230767</v>
      </c>
      <c r="R67" s="185">
        <f>IFERROR(Q67/P67,"")</f>
        <v>118.29395604395603</v>
      </c>
      <c r="S67" s="182">
        <f>RANK(R67, R$67:R$81)</f>
        <v>2</v>
      </c>
      <c r="T67" s="576">
        <f>AVERAGE(R67:R81)</f>
        <v>331.18489271392082</v>
      </c>
      <c r="U67" s="188">
        <v>21</v>
      </c>
      <c r="V67" s="188">
        <v>2484.1730769230762</v>
      </c>
      <c r="W67" s="185">
        <f t="shared" ref="W67:W68" si="39">IFERROR(V67/U67,"")</f>
        <v>118.29395604395602</v>
      </c>
      <c r="X67" s="182">
        <f>RANK(W67, W$67:W$81)</f>
        <v>2</v>
      </c>
      <c r="Y67" s="576">
        <f>AVERAGE(W67:W81)</f>
        <v>330.56537760261511</v>
      </c>
      <c r="Z67" s="188">
        <v>21</v>
      </c>
      <c r="AA67" s="188">
        <v>2484.1730769230762</v>
      </c>
      <c r="AB67" s="185">
        <f t="shared" ref="AB67:AB68" si="40">IFERROR(AA67/Z67,"")</f>
        <v>118.29395604395602</v>
      </c>
      <c r="AC67" s="182">
        <f>RANK(AB67, AB$67:AB$81)</f>
        <v>2</v>
      </c>
      <c r="AD67" s="576">
        <f>AVERAGE(AB67:AB81)</f>
        <v>330.59537760261514</v>
      </c>
      <c r="AE67" s="188">
        <v>21</v>
      </c>
      <c r="AF67" s="188">
        <v>2484.1730769230762</v>
      </c>
      <c r="AG67" s="185">
        <f>IFERROR(AF67/AE67,"")</f>
        <v>118.29395604395602</v>
      </c>
      <c r="AH67" s="182">
        <f>RANK(AG67, AG$67:AG$81)</f>
        <v>2</v>
      </c>
      <c r="AI67" s="576">
        <f>AVERAGE(AG67:AG81)</f>
        <v>330.59537760261514</v>
      </c>
      <c r="AJ67" s="188">
        <v>21</v>
      </c>
      <c r="AK67" s="188">
        <v>2484.1730769230767</v>
      </c>
      <c r="AL67" s="185">
        <f t="shared" ref="AL67:AL68" si="41">IFERROR(AK67/AJ67,"")</f>
        <v>118.29395604395603</v>
      </c>
      <c r="AM67" s="182">
        <f>RANK(AL67, AL$67:AL$81)</f>
        <v>2</v>
      </c>
      <c r="AN67" s="576">
        <f>AVERAGE(AL67:AL81)</f>
        <v>330.44537760261517</v>
      </c>
      <c r="AO67" s="188">
        <v>21</v>
      </c>
      <c r="AP67" s="188">
        <v>2484.1730769230767</v>
      </c>
      <c r="AQ67" s="185">
        <f t="shared" ref="AQ67:AQ68" si="42">IFERROR(AP67/AO67,"")</f>
        <v>118.29395604395603</v>
      </c>
      <c r="AR67" s="182">
        <f>RANK(AQ67, AQ$67:AQ$81)</f>
        <v>2</v>
      </c>
      <c r="AS67" s="576">
        <f>AVERAGE(AQ67:AQ81)</f>
        <v>330.50537760261511</v>
      </c>
      <c r="AT67" s="188">
        <v>21</v>
      </c>
      <c r="AU67" s="188">
        <v>2484.1730769230767</v>
      </c>
      <c r="AV67" s="185">
        <f t="shared" ref="AV67:AV68" si="43">IFERROR(AU67/AT67,"")</f>
        <v>118.29395604395603</v>
      </c>
      <c r="AW67" s="182">
        <f>RANK(AV67, AV$67:AV$81)</f>
        <v>2</v>
      </c>
      <c r="AX67" s="576">
        <f>AVERAGE(AV67:AV81)</f>
        <v>330.62537760261512</v>
      </c>
    </row>
    <row r="68" spans="2:50" ht="14.25" customHeight="1">
      <c r="B68" s="575"/>
      <c r="C68" s="180">
        <v>2</v>
      </c>
      <c r="D68" s="183" t="s">
        <v>531</v>
      </c>
      <c r="E68" s="180">
        <v>6</v>
      </c>
      <c r="F68" s="180">
        <v>3600</v>
      </c>
      <c r="G68" s="185">
        <f t="shared" si="38"/>
        <v>600</v>
      </c>
      <c r="H68" s="576"/>
      <c r="I68" s="186">
        <f t="shared" ref="I68:K68" si="44">AVERAGE(P68,U68,Z68,AE68,AJ68,AO68,AT68)</f>
        <v>6</v>
      </c>
      <c r="J68" s="186">
        <f t="shared" si="44"/>
        <v>3257.9799637298843</v>
      </c>
      <c r="K68" s="187">
        <f t="shared" si="44"/>
        <v>542.99666062164738</v>
      </c>
      <c r="L68" s="577"/>
      <c r="M68" s="186">
        <f>RANK(K68, K$67:$K$81)</f>
        <v>1</v>
      </c>
      <c r="N68" s="575"/>
      <c r="O68" s="575"/>
      <c r="P68" s="188">
        <v>6</v>
      </c>
      <c r="Q68" s="188">
        <v>3264.4549763033137</v>
      </c>
      <c r="R68" s="185">
        <f t="shared" ref="R68" si="45">IFERROR(Q68/P68,"")</f>
        <v>544.07582938388566</v>
      </c>
      <c r="S68" s="182">
        <f>RANK(R68, R$67:R$81)</f>
        <v>1</v>
      </c>
      <c r="T68" s="576"/>
      <c r="U68" s="188">
        <v>6</v>
      </c>
      <c r="V68" s="188">
        <v>3257.0207949676455</v>
      </c>
      <c r="W68" s="185">
        <f t="shared" si="39"/>
        <v>542.83679916127426</v>
      </c>
      <c r="X68" s="182">
        <f>RANK(W68, W$67:W$81)</f>
        <v>1</v>
      </c>
      <c r="Y68" s="576"/>
      <c r="Z68" s="188">
        <v>6</v>
      </c>
      <c r="AA68" s="188">
        <v>3257.3807949676457</v>
      </c>
      <c r="AB68" s="185">
        <f t="shared" si="40"/>
        <v>542.89679916127432</v>
      </c>
      <c r="AC68" s="182">
        <f>RANK(AB68, AB$67:AB$81)</f>
        <v>1</v>
      </c>
      <c r="AD68" s="576"/>
      <c r="AE68" s="188">
        <v>6</v>
      </c>
      <c r="AF68" s="188">
        <v>3257.3807949676457</v>
      </c>
      <c r="AG68" s="185">
        <f t="shared" ref="AG68" si="46">IFERROR(AF68/AE68,"")</f>
        <v>542.89679916127432</v>
      </c>
      <c r="AH68" s="182">
        <f>RANK(AG68, AG$67:AG$81)</f>
        <v>1</v>
      </c>
      <c r="AI68" s="576"/>
      <c r="AJ68" s="188">
        <v>6</v>
      </c>
      <c r="AK68" s="188">
        <v>3255.5807949676464</v>
      </c>
      <c r="AL68" s="185">
        <f t="shared" si="41"/>
        <v>542.59679916127436</v>
      </c>
      <c r="AM68" s="182">
        <f>RANK(AL68, AL$67:AL$81)</f>
        <v>1</v>
      </c>
      <c r="AN68" s="576"/>
      <c r="AO68" s="188">
        <v>6</v>
      </c>
      <c r="AP68" s="188">
        <v>3256.3007949676457</v>
      </c>
      <c r="AQ68" s="185">
        <f t="shared" si="42"/>
        <v>542.71679916127425</v>
      </c>
      <c r="AR68" s="182">
        <f>RANK(AQ68, AQ$67:AQ$81)</f>
        <v>1</v>
      </c>
      <c r="AS68" s="576"/>
      <c r="AT68" s="188">
        <v>6</v>
      </c>
      <c r="AU68" s="188">
        <v>3257.7407949676453</v>
      </c>
      <c r="AV68" s="185">
        <f t="shared" si="43"/>
        <v>542.95679916127426</v>
      </c>
      <c r="AW68" s="182">
        <f>RANK(AV68, AV$67:AV$81)</f>
        <v>1</v>
      </c>
      <c r="AX68" s="576"/>
    </row>
    <row r="69" spans="2:50" ht="14.25" customHeight="1">
      <c r="B69" s="575"/>
      <c r="C69" s="180">
        <v>3</v>
      </c>
      <c r="D69" s="183"/>
      <c r="E69" s="180"/>
      <c r="F69" s="180"/>
      <c r="G69" s="185"/>
      <c r="H69" s="576"/>
      <c r="I69" s="186"/>
      <c r="J69" s="186"/>
      <c r="K69" s="187"/>
      <c r="L69" s="577"/>
      <c r="M69" s="186"/>
      <c r="N69" s="575"/>
      <c r="O69" s="575"/>
      <c r="P69" s="188"/>
      <c r="Q69" s="188"/>
      <c r="R69" s="185"/>
      <c r="S69" s="182"/>
      <c r="T69" s="576"/>
      <c r="U69" s="188"/>
      <c r="V69" s="188"/>
      <c r="W69" s="185"/>
      <c r="X69" s="182"/>
      <c r="Y69" s="576"/>
      <c r="Z69" s="188"/>
      <c r="AA69" s="188"/>
      <c r="AB69" s="185"/>
      <c r="AC69" s="182"/>
      <c r="AD69" s="576"/>
      <c r="AE69" s="188"/>
      <c r="AF69" s="188"/>
      <c r="AG69" s="185"/>
      <c r="AH69" s="182"/>
      <c r="AI69" s="576"/>
      <c r="AJ69" s="188"/>
      <c r="AK69" s="188"/>
      <c r="AL69" s="185"/>
      <c r="AM69" s="182"/>
      <c r="AN69" s="576"/>
      <c r="AO69" s="188"/>
      <c r="AP69" s="188"/>
      <c r="AQ69" s="185"/>
      <c r="AR69" s="182"/>
      <c r="AS69" s="576"/>
      <c r="AT69" s="188"/>
      <c r="AU69" s="188"/>
      <c r="AV69" s="185"/>
      <c r="AW69" s="182"/>
      <c r="AX69" s="576"/>
    </row>
    <row r="70" spans="2:50" ht="14.25" customHeight="1">
      <c r="B70" s="575"/>
      <c r="C70" s="180">
        <v>4</v>
      </c>
      <c r="D70" s="183"/>
      <c r="E70" s="180"/>
      <c r="F70" s="180"/>
      <c r="G70" s="185"/>
      <c r="H70" s="576"/>
      <c r="I70" s="186"/>
      <c r="J70" s="186"/>
      <c r="K70" s="187"/>
      <c r="L70" s="577"/>
      <c r="M70" s="186"/>
      <c r="N70" s="575"/>
      <c r="O70" s="575"/>
      <c r="P70" s="188"/>
      <c r="Q70" s="188"/>
      <c r="R70" s="185"/>
      <c r="S70" s="182"/>
      <c r="T70" s="576"/>
      <c r="U70" s="188"/>
      <c r="V70" s="188"/>
      <c r="W70" s="185"/>
      <c r="X70" s="182"/>
      <c r="Y70" s="576"/>
      <c r="Z70" s="188"/>
      <c r="AA70" s="188"/>
      <c r="AB70" s="185"/>
      <c r="AC70" s="182"/>
      <c r="AD70" s="576"/>
      <c r="AE70" s="188"/>
      <c r="AF70" s="188"/>
      <c r="AG70" s="185"/>
      <c r="AH70" s="182"/>
      <c r="AI70" s="576"/>
      <c r="AJ70" s="188"/>
      <c r="AK70" s="188"/>
      <c r="AL70" s="185"/>
      <c r="AM70" s="182"/>
      <c r="AN70" s="576"/>
      <c r="AO70" s="188"/>
      <c r="AP70" s="188"/>
      <c r="AQ70" s="185"/>
      <c r="AR70" s="182"/>
      <c r="AS70" s="576"/>
      <c r="AT70" s="188"/>
      <c r="AU70" s="188"/>
      <c r="AV70" s="185"/>
      <c r="AW70" s="182"/>
      <c r="AX70" s="576"/>
    </row>
    <row r="71" spans="2:50" ht="14.25" customHeight="1">
      <c r="B71" s="575"/>
      <c r="C71" s="180">
        <v>5</v>
      </c>
      <c r="D71" s="183"/>
      <c r="E71" s="180"/>
      <c r="F71" s="180"/>
      <c r="G71" s="185"/>
      <c r="H71" s="576"/>
      <c r="I71" s="186"/>
      <c r="J71" s="186"/>
      <c r="K71" s="187"/>
      <c r="L71" s="577"/>
      <c r="M71" s="186"/>
      <c r="N71" s="575"/>
      <c r="O71" s="575"/>
      <c r="P71" s="188"/>
      <c r="Q71" s="188"/>
      <c r="R71" s="185"/>
      <c r="S71" s="182"/>
      <c r="T71" s="576"/>
      <c r="U71" s="188"/>
      <c r="V71" s="188"/>
      <c r="W71" s="185"/>
      <c r="X71" s="182"/>
      <c r="Y71" s="576"/>
      <c r="Z71" s="188"/>
      <c r="AA71" s="188"/>
      <c r="AB71" s="185"/>
      <c r="AC71" s="182"/>
      <c r="AD71" s="576"/>
      <c r="AE71" s="188"/>
      <c r="AF71" s="188"/>
      <c r="AG71" s="185"/>
      <c r="AH71" s="182"/>
      <c r="AI71" s="576"/>
      <c r="AJ71" s="188"/>
      <c r="AK71" s="188"/>
      <c r="AL71" s="185"/>
      <c r="AM71" s="182"/>
      <c r="AN71" s="576"/>
      <c r="AO71" s="188"/>
      <c r="AP71" s="188"/>
      <c r="AQ71" s="185"/>
      <c r="AR71" s="182"/>
      <c r="AS71" s="576"/>
      <c r="AT71" s="188"/>
      <c r="AU71" s="188"/>
      <c r="AV71" s="185"/>
      <c r="AW71" s="182"/>
      <c r="AX71" s="576"/>
    </row>
    <row r="72" spans="2:50" ht="14.25" customHeight="1">
      <c r="B72" s="575"/>
      <c r="C72" s="180">
        <v>6</v>
      </c>
      <c r="D72" s="183"/>
      <c r="E72" s="180"/>
      <c r="F72" s="180"/>
      <c r="G72" s="185"/>
      <c r="H72" s="576"/>
      <c r="I72" s="186"/>
      <c r="J72" s="186"/>
      <c r="K72" s="187"/>
      <c r="L72" s="577"/>
      <c r="M72" s="186"/>
      <c r="N72" s="575"/>
      <c r="O72" s="575"/>
      <c r="P72" s="188"/>
      <c r="Q72" s="188"/>
      <c r="R72" s="185"/>
      <c r="S72" s="182"/>
      <c r="T72" s="576"/>
      <c r="U72" s="188"/>
      <c r="V72" s="188"/>
      <c r="W72" s="185"/>
      <c r="X72" s="182"/>
      <c r="Y72" s="576"/>
      <c r="Z72" s="188"/>
      <c r="AA72" s="188"/>
      <c r="AB72" s="185"/>
      <c r="AC72" s="182"/>
      <c r="AD72" s="576"/>
      <c r="AE72" s="188"/>
      <c r="AF72" s="188"/>
      <c r="AG72" s="185"/>
      <c r="AH72" s="182"/>
      <c r="AI72" s="576"/>
      <c r="AJ72" s="188"/>
      <c r="AK72" s="188"/>
      <c r="AL72" s="185"/>
      <c r="AM72" s="182"/>
      <c r="AN72" s="576"/>
      <c r="AO72" s="188"/>
      <c r="AP72" s="188"/>
      <c r="AQ72" s="185"/>
      <c r="AR72" s="182"/>
      <c r="AS72" s="576"/>
      <c r="AT72" s="188"/>
      <c r="AU72" s="188"/>
      <c r="AV72" s="185"/>
      <c r="AW72" s="182"/>
      <c r="AX72" s="576"/>
    </row>
    <row r="73" spans="2:50" ht="14.25" customHeight="1">
      <c r="B73" s="575"/>
      <c r="C73" s="180">
        <v>7</v>
      </c>
      <c r="D73" s="183"/>
      <c r="E73" s="180"/>
      <c r="F73" s="180"/>
      <c r="G73" s="185"/>
      <c r="H73" s="576"/>
      <c r="I73" s="186"/>
      <c r="J73" s="186"/>
      <c r="K73" s="187"/>
      <c r="L73" s="577"/>
      <c r="M73" s="186"/>
      <c r="N73" s="575"/>
      <c r="O73" s="575"/>
      <c r="P73" s="188"/>
      <c r="Q73" s="188"/>
      <c r="R73" s="185"/>
      <c r="S73" s="182"/>
      <c r="T73" s="576"/>
      <c r="U73" s="188"/>
      <c r="V73" s="188"/>
      <c r="W73" s="185"/>
      <c r="X73" s="182"/>
      <c r="Y73" s="576"/>
      <c r="Z73" s="188"/>
      <c r="AA73" s="188"/>
      <c r="AB73" s="185"/>
      <c r="AC73" s="182"/>
      <c r="AD73" s="576"/>
      <c r="AE73" s="188"/>
      <c r="AF73" s="188"/>
      <c r="AG73" s="185"/>
      <c r="AH73" s="182"/>
      <c r="AI73" s="576"/>
      <c r="AJ73" s="188"/>
      <c r="AK73" s="188"/>
      <c r="AL73" s="185"/>
      <c r="AM73" s="182"/>
      <c r="AN73" s="576"/>
      <c r="AO73" s="188"/>
      <c r="AP73" s="188"/>
      <c r="AQ73" s="185"/>
      <c r="AR73" s="182"/>
      <c r="AS73" s="576"/>
      <c r="AT73" s="188"/>
      <c r="AU73" s="188"/>
      <c r="AV73" s="185"/>
      <c r="AW73" s="182"/>
      <c r="AX73" s="576"/>
    </row>
    <row r="74" spans="2:50" ht="14.25" customHeight="1">
      <c r="B74" s="575"/>
      <c r="C74" s="180">
        <v>8</v>
      </c>
      <c r="D74" s="183"/>
      <c r="E74" s="180"/>
      <c r="F74" s="180"/>
      <c r="G74" s="185"/>
      <c r="H74" s="576"/>
      <c r="I74" s="186"/>
      <c r="J74" s="186"/>
      <c r="K74" s="187"/>
      <c r="L74" s="577"/>
      <c r="M74" s="186"/>
      <c r="N74" s="575"/>
      <c r="O74" s="575"/>
      <c r="P74" s="188"/>
      <c r="Q74" s="188"/>
      <c r="R74" s="185"/>
      <c r="S74" s="182"/>
      <c r="T74" s="576"/>
      <c r="U74" s="188"/>
      <c r="V74" s="188"/>
      <c r="W74" s="185"/>
      <c r="X74" s="182"/>
      <c r="Y74" s="576"/>
      <c r="Z74" s="188"/>
      <c r="AA74" s="188"/>
      <c r="AB74" s="185"/>
      <c r="AC74" s="182"/>
      <c r="AD74" s="576"/>
      <c r="AE74" s="188"/>
      <c r="AF74" s="188"/>
      <c r="AG74" s="185"/>
      <c r="AH74" s="182"/>
      <c r="AI74" s="576"/>
      <c r="AJ74" s="188"/>
      <c r="AK74" s="188"/>
      <c r="AL74" s="185"/>
      <c r="AM74" s="182"/>
      <c r="AN74" s="576"/>
      <c r="AO74" s="188"/>
      <c r="AP74" s="188"/>
      <c r="AQ74" s="185"/>
      <c r="AR74" s="182"/>
      <c r="AS74" s="576"/>
      <c r="AT74" s="188"/>
      <c r="AU74" s="188"/>
      <c r="AV74" s="185"/>
      <c r="AW74" s="182"/>
      <c r="AX74" s="576"/>
    </row>
    <row r="75" spans="2:50" ht="14.25" customHeight="1">
      <c r="B75" s="575"/>
      <c r="C75" s="180">
        <v>9</v>
      </c>
      <c r="D75" s="183"/>
      <c r="E75" s="180"/>
      <c r="F75" s="180"/>
      <c r="G75" s="185"/>
      <c r="H75" s="576"/>
      <c r="I75" s="186"/>
      <c r="J75" s="186"/>
      <c r="K75" s="187"/>
      <c r="L75" s="577"/>
      <c r="M75" s="186"/>
      <c r="N75" s="575"/>
      <c r="O75" s="575"/>
      <c r="P75" s="188"/>
      <c r="Q75" s="188"/>
      <c r="R75" s="185"/>
      <c r="S75" s="182"/>
      <c r="T75" s="576"/>
      <c r="U75" s="188"/>
      <c r="V75" s="188"/>
      <c r="W75" s="185"/>
      <c r="X75" s="182"/>
      <c r="Y75" s="576"/>
      <c r="Z75" s="188"/>
      <c r="AA75" s="188"/>
      <c r="AB75" s="185"/>
      <c r="AC75" s="182"/>
      <c r="AD75" s="576"/>
      <c r="AE75" s="188"/>
      <c r="AF75" s="188"/>
      <c r="AG75" s="185"/>
      <c r="AH75" s="182"/>
      <c r="AI75" s="576"/>
      <c r="AJ75" s="188"/>
      <c r="AK75" s="188"/>
      <c r="AL75" s="185"/>
      <c r="AM75" s="182"/>
      <c r="AN75" s="576"/>
      <c r="AO75" s="188"/>
      <c r="AP75" s="188"/>
      <c r="AQ75" s="185"/>
      <c r="AR75" s="182"/>
      <c r="AS75" s="576"/>
      <c r="AT75" s="188"/>
      <c r="AU75" s="188"/>
      <c r="AV75" s="185"/>
      <c r="AW75" s="182"/>
      <c r="AX75" s="576"/>
    </row>
    <row r="76" spans="2:50" ht="14.25" customHeight="1">
      <c r="B76" s="575"/>
      <c r="C76" s="180">
        <v>10</v>
      </c>
      <c r="D76" s="183"/>
      <c r="E76" s="180"/>
      <c r="F76" s="180"/>
      <c r="G76" s="185"/>
      <c r="H76" s="576"/>
      <c r="I76" s="186"/>
      <c r="J76" s="186"/>
      <c r="K76" s="187"/>
      <c r="L76" s="577"/>
      <c r="M76" s="186"/>
      <c r="N76" s="575"/>
      <c r="O76" s="575"/>
      <c r="P76" s="188"/>
      <c r="Q76" s="188"/>
      <c r="R76" s="185"/>
      <c r="S76" s="182"/>
      <c r="T76" s="576"/>
      <c r="U76" s="188"/>
      <c r="V76" s="188"/>
      <c r="W76" s="185"/>
      <c r="X76" s="182"/>
      <c r="Y76" s="576"/>
      <c r="Z76" s="188"/>
      <c r="AA76" s="188"/>
      <c r="AB76" s="185"/>
      <c r="AC76" s="182"/>
      <c r="AD76" s="576"/>
      <c r="AE76" s="188"/>
      <c r="AF76" s="188"/>
      <c r="AG76" s="185"/>
      <c r="AH76" s="182"/>
      <c r="AI76" s="576"/>
      <c r="AJ76" s="188"/>
      <c r="AK76" s="188"/>
      <c r="AL76" s="185"/>
      <c r="AM76" s="182"/>
      <c r="AN76" s="576"/>
      <c r="AO76" s="188"/>
      <c r="AP76" s="188"/>
      <c r="AQ76" s="185"/>
      <c r="AR76" s="182"/>
      <c r="AS76" s="576"/>
      <c r="AT76" s="188"/>
      <c r="AU76" s="188"/>
      <c r="AV76" s="185"/>
      <c r="AW76" s="182"/>
      <c r="AX76" s="576"/>
    </row>
    <row r="77" spans="2:50" ht="14.25" customHeight="1">
      <c r="B77" s="575"/>
      <c r="C77" s="180">
        <v>11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75"/>
      <c r="O77" s="575"/>
      <c r="P77" s="188"/>
      <c r="Q77" s="188"/>
      <c r="R77" s="185"/>
      <c r="S77" s="182"/>
      <c r="T77" s="576"/>
      <c r="U77" s="188"/>
      <c r="V77" s="188"/>
      <c r="W77" s="185"/>
      <c r="X77" s="182"/>
      <c r="Y77" s="576"/>
      <c r="Z77" s="188"/>
      <c r="AA77" s="188"/>
      <c r="AB77" s="185"/>
      <c r="AC77" s="182"/>
      <c r="AD77" s="576"/>
      <c r="AE77" s="188"/>
      <c r="AF77" s="188"/>
      <c r="AG77" s="185"/>
      <c r="AH77" s="182"/>
      <c r="AI77" s="576"/>
      <c r="AJ77" s="188"/>
      <c r="AK77" s="188"/>
      <c r="AL77" s="185"/>
      <c r="AM77" s="182"/>
      <c r="AN77" s="576"/>
      <c r="AO77" s="188"/>
      <c r="AP77" s="188"/>
      <c r="AQ77" s="185"/>
      <c r="AR77" s="182"/>
      <c r="AS77" s="576"/>
      <c r="AT77" s="188"/>
      <c r="AU77" s="188"/>
      <c r="AV77" s="185"/>
      <c r="AW77" s="182"/>
      <c r="AX77" s="576"/>
    </row>
    <row r="78" spans="2:50" ht="14.25" customHeight="1">
      <c r="B78" s="575"/>
      <c r="C78" s="180">
        <v>12</v>
      </c>
      <c r="D78" s="183"/>
      <c r="E78" s="180"/>
      <c r="F78" s="180"/>
      <c r="G78" s="185"/>
      <c r="H78" s="576"/>
      <c r="I78" s="186"/>
      <c r="J78" s="186"/>
      <c r="K78" s="187"/>
      <c r="L78" s="577"/>
      <c r="M78" s="186"/>
      <c r="N78" s="575"/>
      <c r="O78" s="575"/>
      <c r="P78" s="188"/>
      <c r="Q78" s="188"/>
      <c r="R78" s="185"/>
      <c r="S78" s="182"/>
      <c r="T78" s="576"/>
      <c r="U78" s="188"/>
      <c r="V78" s="188"/>
      <c r="W78" s="185"/>
      <c r="X78" s="182"/>
      <c r="Y78" s="576"/>
      <c r="Z78" s="188"/>
      <c r="AA78" s="188"/>
      <c r="AB78" s="185"/>
      <c r="AC78" s="182"/>
      <c r="AD78" s="576"/>
      <c r="AE78" s="188"/>
      <c r="AF78" s="188"/>
      <c r="AG78" s="185"/>
      <c r="AH78" s="182"/>
      <c r="AI78" s="576"/>
      <c r="AJ78" s="188"/>
      <c r="AK78" s="188"/>
      <c r="AL78" s="185"/>
      <c r="AM78" s="182"/>
      <c r="AN78" s="576"/>
      <c r="AO78" s="188"/>
      <c r="AP78" s="188"/>
      <c r="AQ78" s="185"/>
      <c r="AR78" s="182"/>
      <c r="AS78" s="576"/>
      <c r="AT78" s="188"/>
      <c r="AU78" s="188"/>
      <c r="AV78" s="185"/>
      <c r="AW78" s="182"/>
      <c r="AX78" s="576"/>
    </row>
    <row r="79" spans="2:50" ht="14.25" customHeight="1">
      <c r="B79" s="575"/>
      <c r="C79" s="180">
        <v>13</v>
      </c>
      <c r="D79" s="183"/>
      <c r="E79" s="180"/>
      <c r="F79" s="180"/>
      <c r="G79" s="185"/>
      <c r="H79" s="576"/>
      <c r="I79" s="186"/>
      <c r="J79" s="186"/>
      <c r="K79" s="187"/>
      <c r="L79" s="577"/>
      <c r="M79" s="186"/>
      <c r="N79" s="575"/>
      <c r="O79" s="575"/>
      <c r="P79" s="188"/>
      <c r="Q79" s="188"/>
      <c r="R79" s="185"/>
      <c r="S79" s="182"/>
      <c r="T79" s="576"/>
      <c r="U79" s="188"/>
      <c r="V79" s="188"/>
      <c r="W79" s="185"/>
      <c r="X79" s="182"/>
      <c r="Y79" s="576"/>
      <c r="Z79" s="188"/>
      <c r="AA79" s="188"/>
      <c r="AB79" s="185"/>
      <c r="AC79" s="182"/>
      <c r="AD79" s="576"/>
      <c r="AE79" s="188"/>
      <c r="AF79" s="188"/>
      <c r="AG79" s="185"/>
      <c r="AH79" s="182"/>
      <c r="AI79" s="576"/>
      <c r="AJ79" s="188"/>
      <c r="AK79" s="188"/>
      <c r="AL79" s="185"/>
      <c r="AM79" s="182"/>
      <c r="AN79" s="576"/>
      <c r="AO79" s="188"/>
      <c r="AP79" s="188"/>
      <c r="AQ79" s="185"/>
      <c r="AR79" s="182"/>
      <c r="AS79" s="576"/>
      <c r="AT79" s="188"/>
      <c r="AU79" s="188"/>
      <c r="AV79" s="185"/>
      <c r="AW79" s="182"/>
      <c r="AX79" s="576"/>
    </row>
    <row r="80" spans="2:50" ht="14.25" customHeight="1">
      <c r="B80" s="575"/>
      <c r="C80" s="180">
        <v>14</v>
      </c>
      <c r="D80" s="183"/>
      <c r="E80" s="180"/>
      <c r="F80" s="180"/>
      <c r="G80" s="185"/>
      <c r="H80" s="576"/>
      <c r="I80" s="186"/>
      <c r="J80" s="186"/>
      <c r="K80" s="187"/>
      <c r="L80" s="577"/>
      <c r="M80" s="186"/>
      <c r="N80" s="575"/>
      <c r="O80" s="575"/>
      <c r="P80" s="188"/>
      <c r="Q80" s="188"/>
      <c r="R80" s="185"/>
      <c r="S80" s="182"/>
      <c r="T80" s="576"/>
      <c r="U80" s="188"/>
      <c r="V80" s="188"/>
      <c r="W80" s="185"/>
      <c r="X80" s="182"/>
      <c r="Y80" s="576"/>
      <c r="Z80" s="188"/>
      <c r="AA80" s="188"/>
      <c r="AB80" s="185"/>
      <c r="AC80" s="182"/>
      <c r="AD80" s="576"/>
      <c r="AE80" s="188"/>
      <c r="AF80" s="188"/>
      <c r="AG80" s="185"/>
      <c r="AH80" s="182"/>
      <c r="AI80" s="576"/>
      <c r="AJ80" s="188"/>
      <c r="AK80" s="188"/>
      <c r="AL80" s="185"/>
      <c r="AM80" s="182"/>
      <c r="AN80" s="576"/>
      <c r="AO80" s="188"/>
      <c r="AP80" s="188"/>
      <c r="AQ80" s="185"/>
      <c r="AR80" s="182"/>
      <c r="AS80" s="576"/>
      <c r="AT80" s="188"/>
      <c r="AU80" s="188"/>
      <c r="AV80" s="185"/>
      <c r="AW80" s="182"/>
      <c r="AX80" s="576"/>
    </row>
    <row r="81" spans="2:50" ht="14.25" customHeight="1">
      <c r="B81" s="575"/>
      <c r="C81" s="180">
        <v>15</v>
      </c>
      <c r="D81" s="183"/>
      <c r="E81" s="180"/>
      <c r="F81" s="180"/>
      <c r="G81" s="185"/>
      <c r="H81" s="576"/>
      <c r="I81" s="186"/>
      <c r="J81" s="186"/>
      <c r="K81" s="187"/>
      <c r="L81" s="577"/>
      <c r="M81" s="186"/>
      <c r="N81" s="575"/>
      <c r="O81" s="575"/>
      <c r="P81" s="188"/>
      <c r="Q81" s="188"/>
      <c r="R81" s="185"/>
      <c r="S81" s="182"/>
      <c r="T81" s="576"/>
      <c r="U81" s="188"/>
      <c r="V81" s="188"/>
      <c r="W81" s="185"/>
      <c r="X81" s="182"/>
      <c r="Y81" s="576"/>
      <c r="Z81" s="188"/>
      <c r="AA81" s="188"/>
      <c r="AB81" s="185"/>
      <c r="AC81" s="182"/>
      <c r="AD81" s="576"/>
      <c r="AE81" s="188"/>
      <c r="AF81" s="188"/>
      <c r="AG81" s="185"/>
      <c r="AH81" s="182"/>
      <c r="AI81" s="576"/>
      <c r="AJ81" s="188"/>
      <c r="AK81" s="188"/>
      <c r="AL81" s="185"/>
      <c r="AM81" s="182"/>
      <c r="AN81" s="576"/>
      <c r="AO81" s="188"/>
      <c r="AP81" s="188"/>
      <c r="AQ81" s="185"/>
      <c r="AR81" s="182"/>
      <c r="AS81" s="576"/>
      <c r="AT81" s="188"/>
      <c r="AU81" s="188"/>
      <c r="AV81" s="185"/>
      <c r="AW81" s="182"/>
      <c r="AX81" s="576"/>
    </row>
    <row r="82" spans="2:50" ht="14.25" customHeight="1">
      <c r="B82" s="643" t="s">
        <v>784</v>
      </c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4"/>
      <c r="N82" s="609" t="s">
        <v>374</v>
      </c>
      <c r="O82" s="609" t="s">
        <v>105</v>
      </c>
      <c r="P82" s="655">
        <v>46140</v>
      </c>
      <c r="Q82" s="656"/>
      <c r="R82" s="656"/>
      <c r="S82" s="656"/>
      <c r="T82" s="656"/>
      <c r="U82" s="657">
        <v>46141</v>
      </c>
      <c r="V82" s="658"/>
      <c r="W82" s="658"/>
      <c r="X82" s="658"/>
      <c r="Y82" s="658"/>
      <c r="Z82" s="655">
        <v>46142</v>
      </c>
      <c r="AA82" s="656"/>
      <c r="AB82" s="656"/>
      <c r="AC82" s="656"/>
      <c r="AD82" s="656"/>
      <c r="AE82" s="657">
        <v>46143</v>
      </c>
      <c r="AF82" s="658"/>
      <c r="AG82" s="658"/>
      <c r="AH82" s="658"/>
      <c r="AI82" s="658"/>
      <c r="AJ82" s="647">
        <v>46144</v>
      </c>
      <c r="AK82" s="648"/>
      <c r="AL82" s="648"/>
      <c r="AM82" s="648"/>
      <c r="AN82" s="649"/>
      <c r="AO82" s="657">
        <v>46145</v>
      </c>
      <c r="AP82" s="658"/>
      <c r="AQ82" s="658"/>
      <c r="AR82" s="658"/>
      <c r="AS82" s="658"/>
      <c r="AT82" s="647">
        <v>46146</v>
      </c>
      <c r="AU82" s="648"/>
      <c r="AV82" s="648"/>
      <c r="AW82" s="648"/>
      <c r="AX82" s="649"/>
    </row>
    <row r="83" spans="2:50" ht="14.25" customHeight="1">
      <c r="B83" s="645"/>
      <c r="C83" s="645"/>
      <c r="D83" s="645"/>
      <c r="E83" s="645"/>
      <c r="F83" s="645"/>
      <c r="G83" s="645"/>
      <c r="H83" s="645"/>
      <c r="I83" s="645"/>
      <c r="J83" s="645"/>
      <c r="K83" s="645"/>
      <c r="L83" s="645"/>
      <c r="M83" s="646"/>
      <c r="N83" s="611"/>
      <c r="O83" s="611"/>
      <c r="P83" s="650">
        <v>46140</v>
      </c>
      <c r="Q83" s="650"/>
      <c r="R83" s="650"/>
      <c r="S83" s="650"/>
      <c r="T83" s="650"/>
      <c r="U83" s="651">
        <v>46141</v>
      </c>
      <c r="V83" s="651"/>
      <c r="W83" s="651"/>
      <c r="X83" s="651"/>
      <c r="Y83" s="651"/>
      <c r="Z83" s="650">
        <v>46142</v>
      </c>
      <c r="AA83" s="650"/>
      <c r="AB83" s="650"/>
      <c r="AC83" s="650"/>
      <c r="AD83" s="650"/>
      <c r="AE83" s="651">
        <v>46143</v>
      </c>
      <c r="AF83" s="651"/>
      <c r="AG83" s="651"/>
      <c r="AH83" s="651"/>
      <c r="AI83" s="651"/>
      <c r="AJ83" s="652">
        <v>46144</v>
      </c>
      <c r="AK83" s="653"/>
      <c r="AL83" s="653"/>
      <c r="AM83" s="653"/>
      <c r="AN83" s="654"/>
      <c r="AO83" s="651">
        <v>46145</v>
      </c>
      <c r="AP83" s="651"/>
      <c r="AQ83" s="651"/>
      <c r="AR83" s="651"/>
      <c r="AS83" s="651"/>
      <c r="AT83" s="652">
        <v>46146</v>
      </c>
      <c r="AU83" s="653"/>
      <c r="AV83" s="653"/>
      <c r="AW83" s="653"/>
      <c r="AX83" s="654"/>
    </row>
    <row r="84" spans="2:50" ht="14.25" customHeight="1">
      <c r="B84" s="575" t="s">
        <v>162</v>
      </c>
      <c r="C84" s="575" t="s">
        <v>157</v>
      </c>
      <c r="D84" s="575"/>
      <c r="E84" s="575" t="s">
        <v>158</v>
      </c>
      <c r="F84" s="575"/>
      <c r="G84" s="575"/>
      <c r="H84" s="575" t="s">
        <v>163</v>
      </c>
      <c r="I84" s="579" t="s">
        <v>375</v>
      </c>
      <c r="J84" s="579"/>
      <c r="K84" s="579"/>
      <c r="L84" s="579" t="s">
        <v>163</v>
      </c>
      <c r="M84" s="579" t="s">
        <v>165</v>
      </c>
      <c r="N84" s="575"/>
      <c r="O84" s="575" t="s">
        <v>164</v>
      </c>
      <c r="P84" s="575" t="s">
        <v>160</v>
      </c>
      <c r="Q84" s="575"/>
      <c r="R84" s="575"/>
      <c r="S84" s="575"/>
      <c r="T84" s="575" t="s">
        <v>163</v>
      </c>
      <c r="U84" s="575" t="s">
        <v>160</v>
      </c>
      <c r="V84" s="575"/>
      <c r="W84" s="575"/>
      <c r="X84" s="575"/>
      <c r="Y84" s="575" t="s">
        <v>163</v>
      </c>
      <c r="Z84" s="575" t="s">
        <v>160</v>
      </c>
      <c r="AA84" s="575"/>
      <c r="AB84" s="575"/>
      <c r="AC84" s="575"/>
      <c r="AD84" s="575" t="s">
        <v>163</v>
      </c>
      <c r="AE84" s="575" t="s">
        <v>160</v>
      </c>
      <c r="AF84" s="575"/>
      <c r="AG84" s="575"/>
      <c r="AH84" s="575"/>
      <c r="AI84" s="575" t="s">
        <v>163</v>
      </c>
      <c r="AJ84" s="575" t="s">
        <v>160</v>
      </c>
      <c r="AK84" s="575"/>
      <c r="AL84" s="575"/>
      <c r="AM84" s="575"/>
      <c r="AN84" s="575" t="s">
        <v>163</v>
      </c>
      <c r="AO84" s="575" t="s">
        <v>160</v>
      </c>
      <c r="AP84" s="575"/>
      <c r="AQ84" s="575"/>
      <c r="AR84" s="575"/>
      <c r="AS84" s="575" t="s">
        <v>163</v>
      </c>
      <c r="AT84" s="575" t="s">
        <v>160</v>
      </c>
      <c r="AU84" s="575"/>
      <c r="AV84" s="575"/>
      <c r="AW84" s="575"/>
      <c r="AX84" s="575" t="s">
        <v>163</v>
      </c>
    </row>
    <row r="85" spans="2:50" ht="14.25" customHeight="1">
      <c r="B85" s="575"/>
      <c r="C85" s="575"/>
      <c r="D85" s="575"/>
      <c r="E85" s="575" t="s">
        <v>376</v>
      </c>
      <c r="F85" s="575"/>
      <c r="G85" s="575"/>
      <c r="H85" s="575"/>
      <c r="I85" s="579" t="s">
        <v>376</v>
      </c>
      <c r="J85" s="579"/>
      <c r="K85" s="579"/>
      <c r="L85" s="579"/>
      <c r="M85" s="579"/>
      <c r="N85" s="575"/>
      <c r="O85" s="575"/>
      <c r="P85" s="575" t="s">
        <v>377</v>
      </c>
      <c r="Q85" s="575"/>
      <c r="R85" s="575"/>
      <c r="S85" s="575"/>
      <c r="T85" s="575"/>
      <c r="U85" s="575" t="s">
        <v>377</v>
      </c>
      <c r="V85" s="575"/>
      <c r="W85" s="575"/>
      <c r="X85" s="575"/>
      <c r="Y85" s="575"/>
      <c r="Z85" s="575" t="s">
        <v>377</v>
      </c>
      <c r="AA85" s="575"/>
      <c r="AB85" s="575"/>
      <c r="AC85" s="575"/>
      <c r="AD85" s="575"/>
      <c r="AE85" s="575" t="s">
        <v>377</v>
      </c>
      <c r="AF85" s="575"/>
      <c r="AG85" s="575"/>
      <c r="AH85" s="575"/>
      <c r="AI85" s="575"/>
      <c r="AJ85" s="575" t="s">
        <v>377</v>
      </c>
      <c r="AK85" s="575"/>
      <c r="AL85" s="575"/>
      <c r="AM85" s="575"/>
      <c r="AN85" s="575"/>
      <c r="AO85" s="575" t="s">
        <v>377</v>
      </c>
      <c r="AP85" s="575"/>
      <c r="AQ85" s="575"/>
      <c r="AR85" s="575"/>
      <c r="AS85" s="575"/>
      <c r="AT85" s="575" t="s">
        <v>377</v>
      </c>
      <c r="AU85" s="575"/>
      <c r="AV85" s="575"/>
      <c r="AW85" s="575"/>
      <c r="AX85" s="575"/>
    </row>
    <row r="86" spans="2:50" ht="14.25" customHeight="1">
      <c r="B86" s="575"/>
      <c r="C86" s="575"/>
      <c r="D86" s="575"/>
      <c r="E86" s="180" t="s">
        <v>159</v>
      </c>
      <c r="F86" s="180" t="s">
        <v>378</v>
      </c>
      <c r="G86" s="180" t="s">
        <v>161</v>
      </c>
      <c r="H86" s="575"/>
      <c r="I86" s="181" t="s">
        <v>159</v>
      </c>
      <c r="J86" s="181" t="s">
        <v>378</v>
      </c>
      <c r="K86" s="181" t="s">
        <v>161</v>
      </c>
      <c r="L86" s="579"/>
      <c r="M86" s="579"/>
      <c r="N86" s="575"/>
      <c r="O86" s="575"/>
      <c r="P86" s="180" t="s">
        <v>159</v>
      </c>
      <c r="Q86" s="180" t="s">
        <v>378</v>
      </c>
      <c r="R86" s="180" t="s">
        <v>161</v>
      </c>
      <c r="S86" s="182" t="s">
        <v>165</v>
      </c>
      <c r="T86" s="575"/>
      <c r="U86" s="180" t="s">
        <v>159</v>
      </c>
      <c r="V86" s="180" t="s">
        <v>378</v>
      </c>
      <c r="W86" s="180" t="s">
        <v>161</v>
      </c>
      <c r="X86" s="182" t="s">
        <v>165</v>
      </c>
      <c r="Y86" s="575"/>
      <c r="Z86" s="180" t="s">
        <v>159</v>
      </c>
      <c r="AA86" s="180" t="s">
        <v>378</v>
      </c>
      <c r="AB86" s="180" t="s">
        <v>161</v>
      </c>
      <c r="AC86" s="182" t="s">
        <v>165</v>
      </c>
      <c r="AD86" s="575"/>
      <c r="AE86" s="180" t="s">
        <v>159</v>
      </c>
      <c r="AF86" s="180" t="s">
        <v>378</v>
      </c>
      <c r="AG86" s="180" t="s">
        <v>161</v>
      </c>
      <c r="AH86" s="182" t="s">
        <v>165</v>
      </c>
      <c r="AI86" s="575"/>
      <c r="AJ86" s="180" t="s">
        <v>159</v>
      </c>
      <c r="AK86" s="180" t="s">
        <v>378</v>
      </c>
      <c r="AL86" s="180" t="s">
        <v>161</v>
      </c>
      <c r="AM86" s="182" t="s">
        <v>165</v>
      </c>
      <c r="AN86" s="575"/>
      <c r="AO86" s="180" t="s">
        <v>159</v>
      </c>
      <c r="AP86" s="180" t="s">
        <v>378</v>
      </c>
      <c r="AQ86" s="180" t="s">
        <v>161</v>
      </c>
      <c r="AR86" s="182" t="s">
        <v>165</v>
      </c>
      <c r="AS86" s="575"/>
      <c r="AT86" s="180" t="s">
        <v>159</v>
      </c>
      <c r="AU86" s="180" t="s">
        <v>378</v>
      </c>
      <c r="AV86" s="180" t="s">
        <v>161</v>
      </c>
      <c r="AW86" s="182" t="s">
        <v>165</v>
      </c>
      <c r="AX86" s="575"/>
    </row>
    <row r="87" spans="2:50" ht="14.25" customHeight="1">
      <c r="B87" s="659" t="s">
        <v>450</v>
      </c>
      <c r="C87" s="180">
        <v>1</v>
      </c>
      <c r="D87" s="183" t="s">
        <v>354</v>
      </c>
      <c r="E87" s="180">
        <v>21</v>
      </c>
      <c r="F87" s="180">
        <v>2790</v>
      </c>
      <c r="G87" s="185">
        <f t="shared" ref="G87:G88" si="47">F87/E87</f>
        <v>132.85714285714286</v>
      </c>
      <c r="H87" s="576">
        <f>AVERAGE(G87:G101)</f>
        <v>366.42857142857144</v>
      </c>
      <c r="I87" s="186">
        <f>AVERAGE(P87,U87,Z87,AE87,AJ87,AO87,AT87)</f>
        <v>21.714285714285715</v>
      </c>
      <c r="J87" s="186">
        <f>AVERAGE(Q87,V87,AA87,AF87,AK87,AP87,AU87)</f>
        <v>2585.9313186813188</v>
      </c>
      <c r="K87" s="187">
        <f>AVERAGE(R87,W87,AB87,AG87,AL87,AQ87,AV87)</f>
        <v>119.07861781076066</v>
      </c>
      <c r="L87" s="577">
        <f>IFERROR(AVERAGE(K87:K101),"-")</f>
        <v>330.92770848601748</v>
      </c>
      <c r="M87" s="186">
        <f>RANK(K87, K$87:$K$101)</f>
        <v>2</v>
      </c>
      <c r="N87" s="575"/>
      <c r="O87" s="575"/>
      <c r="P87" s="188">
        <v>22</v>
      </c>
      <c r="Q87" s="188">
        <v>2626.6346153846152</v>
      </c>
      <c r="R87" s="185">
        <f>IFERROR(Q87/P87,"")</f>
        <v>119.39248251748251</v>
      </c>
      <c r="S87" s="182">
        <f>RANK(R87, R$87:R$101)</f>
        <v>2</v>
      </c>
      <c r="T87" s="576">
        <f>AVERAGE(R87:R101)</f>
        <v>331.29464083937842</v>
      </c>
      <c r="U87" s="188">
        <v>22</v>
      </c>
      <c r="V87" s="188">
        <v>2626.6346153846152</v>
      </c>
      <c r="W87" s="185">
        <f t="shared" ref="W87:W88" si="48">IFERROR(V87/U87,"")</f>
        <v>119.39248251748251</v>
      </c>
      <c r="X87" s="182">
        <f>RANK(W87, W$87:W$101)</f>
        <v>2</v>
      </c>
      <c r="Y87" s="576">
        <f>AVERAGE(W87:W101)</f>
        <v>331.17464083937841</v>
      </c>
      <c r="Z87" s="188">
        <v>22</v>
      </c>
      <c r="AA87" s="188">
        <v>2626.6346153846152</v>
      </c>
      <c r="AB87" s="185">
        <f t="shared" ref="AB87:AB88" si="49">IFERROR(AA87/Z87,"")</f>
        <v>119.39248251748251</v>
      </c>
      <c r="AC87" s="182">
        <f>RANK(AB87, AB$87:AB$101)</f>
        <v>2</v>
      </c>
      <c r="AD87" s="576">
        <f>AVERAGE(AB87:AB101)</f>
        <v>331.02464083937843</v>
      </c>
      <c r="AE87" s="188">
        <v>22</v>
      </c>
      <c r="AF87" s="188">
        <v>2626.6346153846152</v>
      </c>
      <c r="AG87" s="185">
        <f>IFERROR(AF87/AE87,"")</f>
        <v>119.39248251748251</v>
      </c>
      <c r="AH87" s="182">
        <f>RANK(AG87, AG$87:AG$101)</f>
        <v>2</v>
      </c>
      <c r="AI87" s="576">
        <f>AVERAGE(AG87:AG101)</f>
        <v>331.02464083937843</v>
      </c>
      <c r="AJ87" s="188">
        <v>22</v>
      </c>
      <c r="AK87" s="188">
        <v>2626.6346153846152</v>
      </c>
      <c r="AL87" s="185">
        <f t="shared" ref="AL87:AL88" si="50">IFERROR(AK87/AJ87,"")</f>
        <v>119.39248251748251</v>
      </c>
      <c r="AM87" s="182">
        <f>RANK(AL87, AL$87:AL$101)</f>
        <v>2</v>
      </c>
      <c r="AN87" s="576">
        <f>AVERAGE(AL87:AL101)</f>
        <v>331.14464083937844</v>
      </c>
      <c r="AO87" s="188">
        <v>21</v>
      </c>
      <c r="AP87" s="188">
        <v>2484.1730769230767</v>
      </c>
      <c r="AQ87" s="185">
        <f t="shared" ref="AQ87:AQ88" si="51">IFERROR(AP87/AO87,"")</f>
        <v>118.29395604395603</v>
      </c>
      <c r="AR87" s="182">
        <f>RANK(AQ87, AQ$87:AQ$101)</f>
        <v>2</v>
      </c>
      <c r="AS87" s="576">
        <f>AVERAGE(AQ87:AQ101)</f>
        <v>330.47537760261514</v>
      </c>
      <c r="AT87" s="188">
        <v>21</v>
      </c>
      <c r="AU87" s="188">
        <v>2484.1730769230767</v>
      </c>
      <c r="AV87" s="185">
        <f t="shared" ref="AV87:AV88" si="52">IFERROR(AU87/AT87,"")</f>
        <v>118.29395604395603</v>
      </c>
      <c r="AW87" s="182">
        <f>RANK(AV87, AV$87:AV$101)</f>
        <v>2</v>
      </c>
      <c r="AX87" s="576">
        <f>AVERAGE(AV87:AV101)</f>
        <v>330.35537760261514</v>
      </c>
    </row>
    <row r="88" spans="2:50" ht="14.25" customHeight="1">
      <c r="B88" s="575"/>
      <c r="C88" s="180">
        <v>2</v>
      </c>
      <c r="D88" s="183" t="s">
        <v>531</v>
      </c>
      <c r="E88" s="180">
        <v>6</v>
      </c>
      <c r="F88" s="180">
        <v>3600</v>
      </c>
      <c r="G88" s="185">
        <f t="shared" si="47"/>
        <v>600</v>
      </c>
      <c r="H88" s="576"/>
      <c r="I88" s="186">
        <f t="shared" ref="I88:K88" si="53">AVERAGE(P88,U88,Z88,AE88,AJ88,AO88,AT88)</f>
        <v>6</v>
      </c>
      <c r="J88" s="186">
        <f t="shared" si="53"/>
        <v>3256.6607949676463</v>
      </c>
      <c r="K88" s="187">
        <f t="shared" si="53"/>
        <v>542.77679916127431</v>
      </c>
      <c r="L88" s="577"/>
      <c r="M88" s="186">
        <f>RANK(K88, K$87:$K$101)</f>
        <v>1</v>
      </c>
      <c r="N88" s="575"/>
      <c r="O88" s="575"/>
      <c r="P88" s="188">
        <v>6</v>
      </c>
      <c r="Q88" s="188">
        <v>3259.1807949676459</v>
      </c>
      <c r="R88" s="185">
        <f t="shared" ref="R88" si="54">IFERROR(Q88/P88,"")</f>
        <v>543.19679916127427</v>
      </c>
      <c r="S88" s="182">
        <f>RANK(R88, R$87:R$101)</f>
        <v>1</v>
      </c>
      <c r="T88" s="576"/>
      <c r="U88" s="188">
        <v>6</v>
      </c>
      <c r="V88" s="188">
        <v>3257.7407949676458</v>
      </c>
      <c r="W88" s="185">
        <f t="shared" si="48"/>
        <v>542.95679916127426</v>
      </c>
      <c r="X88" s="182">
        <f>RANK(W88, W$87:W$101)</f>
        <v>1</v>
      </c>
      <c r="Y88" s="576"/>
      <c r="Z88" s="188">
        <v>6</v>
      </c>
      <c r="AA88" s="188">
        <v>3255.9407949676461</v>
      </c>
      <c r="AB88" s="185">
        <f t="shared" si="49"/>
        <v>542.65679916127431</v>
      </c>
      <c r="AC88" s="182">
        <f>RANK(AB88, AB$87:AB$101)</f>
        <v>1</v>
      </c>
      <c r="AD88" s="576"/>
      <c r="AE88" s="188">
        <v>6</v>
      </c>
      <c r="AF88" s="188">
        <v>3255.9407949676461</v>
      </c>
      <c r="AG88" s="185">
        <f t="shared" ref="AG88" si="55">IFERROR(AF88/AE88,"")</f>
        <v>542.65679916127431</v>
      </c>
      <c r="AH88" s="182">
        <f>RANK(AG88, AG$87:AG$101)</f>
        <v>1</v>
      </c>
      <c r="AI88" s="576"/>
      <c r="AJ88" s="188">
        <v>6</v>
      </c>
      <c r="AK88" s="188">
        <v>3257.3807949676461</v>
      </c>
      <c r="AL88" s="185">
        <f t="shared" si="50"/>
        <v>542.89679916127432</v>
      </c>
      <c r="AM88" s="182">
        <f>RANK(AL88, AL$87:AL$101)</f>
        <v>1</v>
      </c>
      <c r="AN88" s="576"/>
      <c r="AO88" s="188">
        <v>6</v>
      </c>
      <c r="AP88" s="188">
        <v>3255.9407949676461</v>
      </c>
      <c r="AQ88" s="185">
        <f t="shared" si="51"/>
        <v>542.65679916127431</v>
      </c>
      <c r="AR88" s="182">
        <f>RANK(AQ88, AQ$87:AQ$101)</f>
        <v>1</v>
      </c>
      <c r="AS88" s="576"/>
      <c r="AT88" s="188">
        <v>6</v>
      </c>
      <c r="AU88" s="188">
        <v>3254.500794967646</v>
      </c>
      <c r="AV88" s="185">
        <f t="shared" si="52"/>
        <v>542.4167991612743</v>
      </c>
      <c r="AW88" s="182">
        <f>RANK(AV88, AV$87:AV$101)</f>
        <v>1</v>
      </c>
      <c r="AX88" s="576"/>
    </row>
    <row r="89" spans="2:50" ht="14.25" customHeight="1">
      <c r="B89" s="575"/>
      <c r="C89" s="180">
        <v>3</v>
      </c>
      <c r="D89" s="183"/>
      <c r="E89" s="180"/>
      <c r="F89" s="180"/>
      <c r="G89" s="185"/>
      <c r="H89" s="576"/>
      <c r="I89" s="186"/>
      <c r="J89" s="186"/>
      <c r="K89" s="187"/>
      <c r="L89" s="577"/>
      <c r="M89" s="186"/>
      <c r="N89" s="575"/>
      <c r="O89" s="575"/>
      <c r="P89" s="188"/>
      <c r="Q89" s="188"/>
      <c r="R89" s="185"/>
      <c r="S89" s="182"/>
      <c r="T89" s="576"/>
      <c r="U89" s="188"/>
      <c r="V89" s="188"/>
      <c r="W89" s="185"/>
      <c r="X89" s="182"/>
      <c r="Y89" s="576"/>
      <c r="Z89" s="188"/>
      <c r="AA89" s="188"/>
      <c r="AB89" s="185"/>
      <c r="AC89" s="182"/>
      <c r="AD89" s="576"/>
      <c r="AE89" s="188"/>
      <c r="AF89" s="188"/>
      <c r="AG89" s="185"/>
      <c r="AH89" s="182"/>
      <c r="AI89" s="576"/>
      <c r="AJ89" s="188"/>
      <c r="AK89" s="188"/>
      <c r="AL89" s="185"/>
      <c r="AM89" s="182"/>
      <c r="AN89" s="576"/>
      <c r="AO89" s="188"/>
      <c r="AP89" s="188"/>
      <c r="AQ89" s="185"/>
      <c r="AR89" s="182"/>
      <c r="AS89" s="576"/>
      <c r="AT89" s="188"/>
      <c r="AU89" s="188"/>
      <c r="AV89" s="185"/>
      <c r="AW89" s="182"/>
      <c r="AX89" s="576"/>
    </row>
    <row r="90" spans="2:50" ht="14.25" customHeight="1">
      <c r="B90" s="575"/>
      <c r="C90" s="180">
        <v>4</v>
      </c>
      <c r="D90" s="183"/>
      <c r="E90" s="180"/>
      <c r="F90" s="180"/>
      <c r="G90" s="185"/>
      <c r="H90" s="576"/>
      <c r="I90" s="186"/>
      <c r="J90" s="186"/>
      <c r="K90" s="187"/>
      <c r="L90" s="577"/>
      <c r="M90" s="186"/>
      <c r="N90" s="575"/>
      <c r="O90" s="575"/>
      <c r="P90" s="188"/>
      <c r="Q90" s="188"/>
      <c r="R90" s="185"/>
      <c r="S90" s="182"/>
      <c r="T90" s="576"/>
      <c r="U90" s="188"/>
      <c r="V90" s="188"/>
      <c r="W90" s="185"/>
      <c r="X90" s="182"/>
      <c r="Y90" s="576"/>
      <c r="Z90" s="188"/>
      <c r="AA90" s="188"/>
      <c r="AB90" s="185"/>
      <c r="AC90" s="182"/>
      <c r="AD90" s="576"/>
      <c r="AE90" s="188"/>
      <c r="AF90" s="188"/>
      <c r="AG90" s="185"/>
      <c r="AH90" s="182"/>
      <c r="AI90" s="576"/>
      <c r="AJ90" s="188"/>
      <c r="AK90" s="188"/>
      <c r="AL90" s="185"/>
      <c r="AM90" s="182"/>
      <c r="AN90" s="576"/>
      <c r="AO90" s="188"/>
      <c r="AP90" s="188"/>
      <c r="AQ90" s="185"/>
      <c r="AR90" s="182"/>
      <c r="AS90" s="576"/>
      <c r="AT90" s="188"/>
      <c r="AU90" s="188"/>
      <c r="AV90" s="185"/>
      <c r="AW90" s="182"/>
      <c r="AX90" s="576"/>
    </row>
    <row r="91" spans="2:50" ht="14.25" customHeight="1">
      <c r="B91" s="575"/>
      <c r="C91" s="180">
        <v>5</v>
      </c>
      <c r="D91" s="183"/>
      <c r="E91" s="180"/>
      <c r="F91" s="180"/>
      <c r="G91" s="185"/>
      <c r="H91" s="576"/>
      <c r="I91" s="186"/>
      <c r="J91" s="186"/>
      <c r="K91" s="187"/>
      <c r="L91" s="577"/>
      <c r="M91" s="186"/>
      <c r="N91" s="575"/>
      <c r="O91" s="575"/>
      <c r="P91" s="188"/>
      <c r="Q91" s="188"/>
      <c r="R91" s="185"/>
      <c r="S91" s="182"/>
      <c r="T91" s="576"/>
      <c r="U91" s="188"/>
      <c r="V91" s="188"/>
      <c r="W91" s="185"/>
      <c r="X91" s="182"/>
      <c r="Y91" s="576"/>
      <c r="Z91" s="188"/>
      <c r="AA91" s="188"/>
      <c r="AB91" s="185"/>
      <c r="AC91" s="182"/>
      <c r="AD91" s="576"/>
      <c r="AE91" s="188"/>
      <c r="AF91" s="188"/>
      <c r="AG91" s="185"/>
      <c r="AH91" s="182"/>
      <c r="AI91" s="576"/>
      <c r="AJ91" s="188"/>
      <c r="AK91" s="188"/>
      <c r="AL91" s="185"/>
      <c r="AM91" s="182"/>
      <c r="AN91" s="576"/>
      <c r="AO91" s="188"/>
      <c r="AP91" s="188"/>
      <c r="AQ91" s="185"/>
      <c r="AR91" s="182"/>
      <c r="AS91" s="576"/>
      <c r="AT91" s="188"/>
      <c r="AU91" s="188"/>
      <c r="AV91" s="185"/>
      <c r="AW91" s="182"/>
      <c r="AX91" s="576"/>
    </row>
    <row r="92" spans="2:50" ht="14.25" customHeight="1">
      <c r="B92" s="575"/>
      <c r="C92" s="180">
        <v>6</v>
      </c>
      <c r="D92" s="183"/>
      <c r="E92" s="180"/>
      <c r="F92" s="180"/>
      <c r="G92" s="185"/>
      <c r="H92" s="576"/>
      <c r="I92" s="186"/>
      <c r="J92" s="186"/>
      <c r="K92" s="187"/>
      <c r="L92" s="577"/>
      <c r="M92" s="186"/>
      <c r="N92" s="575"/>
      <c r="O92" s="575"/>
      <c r="P92" s="188"/>
      <c r="Q92" s="188"/>
      <c r="R92" s="185"/>
      <c r="S92" s="182"/>
      <c r="T92" s="576"/>
      <c r="U92" s="188"/>
      <c r="V92" s="188"/>
      <c r="W92" s="185"/>
      <c r="X92" s="182"/>
      <c r="Y92" s="576"/>
      <c r="Z92" s="188"/>
      <c r="AA92" s="188"/>
      <c r="AB92" s="185"/>
      <c r="AC92" s="182"/>
      <c r="AD92" s="576"/>
      <c r="AE92" s="188"/>
      <c r="AF92" s="188"/>
      <c r="AG92" s="185"/>
      <c r="AH92" s="182"/>
      <c r="AI92" s="576"/>
      <c r="AJ92" s="188"/>
      <c r="AK92" s="188"/>
      <c r="AL92" s="185"/>
      <c r="AM92" s="182"/>
      <c r="AN92" s="576"/>
      <c r="AO92" s="188"/>
      <c r="AP92" s="188"/>
      <c r="AQ92" s="185"/>
      <c r="AR92" s="182"/>
      <c r="AS92" s="576"/>
      <c r="AT92" s="188"/>
      <c r="AU92" s="188"/>
      <c r="AV92" s="185"/>
      <c r="AW92" s="182"/>
      <c r="AX92" s="576"/>
    </row>
    <row r="93" spans="2:50" ht="14.25" customHeight="1">
      <c r="B93" s="575"/>
      <c r="C93" s="180">
        <v>7</v>
      </c>
      <c r="D93" s="183"/>
      <c r="E93" s="180"/>
      <c r="F93" s="180"/>
      <c r="G93" s="185"/>
      <c r="H93" s="576"/>
      <c r="I93" s="186"/>
      <c r="J93" s="186"/>
      <c r="K93" s="187"/>
      <c r="L93" s="577"/>
      <c r="M93" s="186"/>
      <c r="N93" s="575"/>
      <c r="O93" s="575"/>
      <c r="P93" s="188"/>
      <c r="Q93" s="188"/>
      <c r="R93" s="185"/>
      <c r="S93" s="182"/>
      <c r="T93" s="576"/>
      <c r="U93" s="188"/>
      <c r="V93" s="188"/>
      <c r="W93" s="185"/>
      <c r="X93" s="182"/>
      <c r="Y93" s="576"/>
      <c r="Z93" s="188"/>
      <c r="AA93" s="188"/>
      <c r="AB93" s="185"/>
      <c r="AC93" s="182"/>
      <c r="AD93" s="576"/>
      <c r="AE93" s="188"/>
      <c r="AF93" s="188"/>
      <c r="AG93" s="185"/>
      <c r="AH93" s="182"/>
      <c r="AI93" s="576"/>
      <c r="AJ93" s="188"/>
      <c r="AK93" s="188"/>
      <c r="AL93" s="185"/>
      <c r="AM93" s="182"/>
      <c r="AN93" s="576"/>
      <c r="AO93" s="188"/>
      <c r="AP93" s="188"/>
      <c r="AQ93" s="185"/>
      <c r="AR93" s="182"/>
      <c r="AS93" s="576"/>
      <c r="AT93" s="188"/>
      <c r="AU93" s="188"/>
      <c r="AV93" s="185"/>
      <c r="AW93" s="182"/>
      <c r="AX93" s="576"/>
    </row>
    <row r="94" spans="2:50" ht="14.25" customHeight="1">
      <c r="B94" s="575"/>
      <c r="C94" s="180">
        <v>8</v>
      </c>
      <c r="D94" s="183"/>
      <c r="E94" s="180"/>
      <c r="F94" s="180"/>
      <c r="G94" s="185"/>
      <c r="H94" s="576"/>
      <c r="I94" s="186"/>
      <c r="J94" s="186"/>
      <c r="K94" s="187"/>
      <c r="L94" s="577"/>
      <c r="M94" s="186"/>
      <c r="N94" s="575"/>
      <c r="O94" s="575"/>
      <c r="P94" s="188"/>
      <c r="Q94" s="188"/>
      <c r="R94" s="185"/>
      <c r="S94" s="182"/>
      <c r="T94" s="576"/>
      <c r="U94" s="188"/>
      <c r="V94" s="188"/>
      <c r="W94" s="185"/>
      <c r="X94" s="182"/>
      <c r="Y94" s="576"/>
      <c r="Z94" s="188"/>
      <c r="AA94" s="188"/>
      <c r="AB94" s="185"/>
      <c r="AC94" s="182"/>
      <c r="AD94" s="576"/>
      <c r="AE94" s="188"/>
      <c r="AF94" s="188"/>
      <c r="AG94" s="185"/>
      <c r="AH94" s="182"/>
      <c r="AI94" s="576"/>
      <c r="AJ94" s="188"/>
      <c r="AK94" s="188"/>
      <c r="AL94" s="185"/>
      <c r="AM94" s="182"/>
      <c r="AN94" s="576"/>
      <c r="AO94" s="188"/>
      <c r="AP94" s="188"/>
      <c r="AQ94" s="185"/>
      <c r="AR94" s="182"/>
      <c r="AS94" s="576"/>
      <c r="AT94" s="188"/>
      <c r="AU94" s="188"/>
      <c r="AV94" s="185"/>
      <c r="AW94" s="182"/>
      <c r="AX94" s="576"/>
    </row>
    <row r="95" spans="2:50" ht="14.25" customHeight="1">
      <c r="B95" s="575"/>
      <c r="C95" s="180">
        <v>9</v>
      </c>
      <c r="D95" s="183"/>
      <c r="E95" s="180"/>
      <c r="F95" s="180"/>
      <c r="G95" s="185"/>
      <c r="H95" s="576"/>
      <c r="I95" s="186"/>
      <c r="J95" s="186"/>
      <c r="K95" s="187"/>
      <c r="L95" s="577"/>
      <c r="M95" s="186"/>
      <c r="N95" s="575"/>
      <c r="O95" s="575"/>
      <c r="P95" s="188"/>
      <c r="Q95" s="188"/>
      <c r="R95" s="185"/>
      <c r="S95" s="182"/>
      <c r="T95" s="576"/>
      <c r="U95" s="188"/>
      <c r="V95" s="188"/>
      <c r="W95" s="185"/>
      <c r="X95" s="182"/>
      <c r="Y95" s="576"/>
      <c r="Z95" s="188"/>
      <c r="AA95" s="188"/>
      <c r="AB95" s="185"/>
      <c r="AC95" s="182"/>
      <c r="AD95" s="576"/>
      <c r="AE95" s="188"/>
      <c r="AF95" s="188"/>
      <c r="AG95" s="185"/>
      <c r="AH95" s="182"/>
      <c r="AI95" s="576"/>
      <c r="AJ95" s="188"/>
      <c r="AK95" s="188"/>
      <c r="AL95" s="185"/>
      <c r="AM95" s="182"/>
      <c r="AN95" s="576"/>
      <c r="AO95" s="188"/>
      <c r="AP95" s="188"/>
      <c r="AQ95" s="185"/>
      <c r="AR95" s="182"/>
      <c r="AS95" s="576"/>
      <c r="AT95" s="188"/>
      <c r="AU95" s="188"/>
      <c r="AV95" s="185"/>
      <c r="AW95" s="182"/>
      <c r="AX95" s="576"/>
    </row>
    <row r="96" spans="2:50" ht="14.25" customHeight="1">
      <c r="B96" s="575"/>
      <c r="C96" s="180">
        <v>10</v>
      </c>
      <c r="D96" s="183"/>
      <c r="E96" s="180"/>
      <c r="F96" s="180"/>
      <c r="G96" s="185"/>
      <c r="H96" s="576"/>
      <c r="I96" s="186"/>
      <c r="J96" s="186"/>
      <c r="K96" s="187"/>
      <c r="L96" s="577"/>
      <c r="M96" s="186"/>
      <c r="N96" s="575"/>
      <c r="O96" s="575"/>
      <c r="P96" s="188"/>
      <c r="Q96" s="188"/>
      <c r="R96" s="185"/>
      <c r="S96" s="182"/>
      <c r="T96" s="576"/>
      <c r="U96" s="188"/>
      <c r="V96" s="188"/>
      <c r="W96" s="185"/>
      <c r="X96" s="182"/>
      <c r="Y96" s="576"/>
      <c r="Z96" s="188"/>
      <c r="AA96" s="188"/>
      <c r="AB96" s="185"/>
      <c r="AC96" s="182"/>
      <c r="AD96" s="576"/>
      <c r="AE96" s="188"/>
      <c r="AF96" s="188"/>
      <c r="AG96" s="185"/>
      <c r="AH96" s="182"/>
      <c r="AI96" s="576"/>
      <c r="AJ96" s="188"/>
      <c r="AK96" s="188"/>
      <c r="AL96" s="185"/>
      <c r="AM96" s="182"/>
      <c r="AN96" s="576"/>
      <c r="AO96" s="188"/>
      <c r="AP96" s="188"/>
      <c r="AQ96" s="185"/>
      <c r="AR96" s="182"/>
      <c r="AS96" s="576"/>
      <c r="AT96" s="188"/>
      <c r="AU96" s="188"/>
      <c r="AV96" s="185"/>
      <c r="AW96" s="182"/>
      <c r="AX96" s="576"/>
    </row>
    <row r="97" spans="2:50" ht="14.25" customHeight="1">
      <c r="B97" s="575"/>
      <c r="C97" s="180">
        <v>11</v>
      </c>
      <c r="D97" s="183"/>
      <c r="E97" s="180"/>
      <c r="F97" s="180"/>
      <c r="G97" s="185"/>
      <c r="H97" s="576"/>
      <c r="I97" s="186"/>
      <c r="J97" s="186"/>
      <c r="K97" s="187"/>
      <c r="L97" s="577"/>
      <c r="M97" s="186"/>
      <c r="N97" s="575"/>
      <c r="O97" s="575"/>
      <c r="P97" s="188"/>
      <c r="Q97" s="188"/>
      <c r="R97" s="185"/>
      <c r="S97" s="182"/>
      <c r="T97" s="576"/>
      <c r="U97" s="188"/>
      <c r="V97" s="188"/>
      <c r="W97" s="185"/>
      <c r="X97" s="182"/>
      <c r="Y97" s="576"/>
      <c r="Z97" s="188"/>
      <c r="AA97" s="188"/>
      <c r="AB97" s="185"/>
      <c r="AC97" s="182"/>
      <c r="AD97" s="576"/>
      <c r="AE97" s="188"/>
      <c r="AF97" s="188"/>
      <c r="AG97" s="185"/>
      <c r="AH97" s="182"/>
      <c r="AI97" s="576"/>
      <c r="AJ97" s="188"/>
      <c r="AK97" s="188"/>
      <c r="AL97" s="185"/>
      <c r="AM97" s="182"/>
      <c r="AN97" s="576"/>
      <c r="AO97" s="188"/>
      <c r="AP97" s="188"/>
      <c r="AQ97" s="185"/>
      <c r="AR97" s="182"/>
      <c r="AS97" s="576"/>
      <c r="AT97" s="188"/>
      <c r="AU97" s="188"/>
      <c r="AV97" s="185"/>
      <c r="AW97" s="182"/>
      <c r="AX97" s="576"/>
    </row>
    <row r="98" spans="2:50" ht="14.25" customHeight="1">
      <c r="B98" s="575"/>
      <c r="C98" s="180">
        <v>12</v>
      </c>
      <c r="D98" s="183"/>
      <c r="E98" s="180"/>
      <c r="F98" s="180"/>
      <c r="G98" s="185"/>
      <c r="H98" s="576"/>
      <c r="I98" s="186"/>
      <c r="J98" s="186"/>
      <c r="K98" s="187"/>
      <c r="L98" s="577"/>
      <c r="M98" s="186"/>
      <c r="N98" s="575"/>
      <c r="O98" s="575"/>
      <c r="P98" s="188"/>
      <c r="Q98" s="188"/>
      <c r="R98" s="185"/>
      <c r="S98" s="182"/>
      <c r="T98" s="576"/>
      <c r="U98" s="188"/>
      <c r="V98" s="188"/>
      <c r="W98" s="185"/>
      <c r="X98" s="182"/>
      <c r="Y98" s="576"/>
      <c r="Z98" s="188"/>
      <c r="AA98" s="188"/>
      <c r="AB98" s="185"/>
      <c r="AC98" s="182"/>
      <c r="AD98" s="576"/>
      <c r="AE98" s="188"/>
      <c r="AF98" s="188"/>
      <c r="AG98" s="185"/>
      <c r="AH98" s="182"/>
      <c r="AI98" s="576"/>
      <c r="AJ98" s="188"/>
      <c r="AK98" s="188"/>
      <c r="AL98" s="185"/>
      <c r="AM98" s="182"/>
      <c r="AN98" s="576"/>
      <c r="AO98" s="188"/>
      <c r="AP98" s="188"/>
      <c r="AQ98" s="185"/>
      <c r="AR98" s="182"/>
      <c r="AS98" s="576"/>
      <c r="AT98" s="188"/>
      <c r="AU98" s="188"/>
      <c r="AV98" s="185"/>
      <c r="AW98" s="182"/>
      <c r="AX98" s="576"/>
    </row>
    <row r="99" spans="2:50" ht="14.25" customHeight="1">
      <c r="B99" s="575"/>
      <c r="C99" s="180">
        <v>13</v>
      </c>
      <c r="D99" s="183"/>
      <c r="E99" s="180"/>
      <c r="F99" s="180"/>
      <c r="G99" s="185"/>
      <c r="H99" s="576"/>
      <c r="I99" s="186"/>
      <c r="J99" s="186"/>
      <c r="K99" s="187"/>
      <c r="L99" s="577"/>
      <c r="M99" s="186"/>
      <c r="N99" s="575"/>
      <c r="O99" s="575"/>
      <c r="P99" s="188"/>
      <c r="Q99" s="188"/>
      <c r="R99" s="185"/>
      <c r="S99" s="182"/>
      <c r="T99" s="576"/>
      <c r="U99" s="188"/>
      <c r="V99" s="188"/>
      <c r="W99" s="185"/>
      <c r="X99" s="182"/>
      <c r="Y99" s="576"/>
      <c r="Z99" s="188"/>
      <c r="AA99" s="188"/>
      <c r="AB99" s="185"/>
      <c r="AC99" s="182"/>
      <c r="AD99" s="576"/>
      <c r="AE99" s="188"/>
      <c r="AF99" s="188"/>
      <c r="AG99" s="185"/>
      <c r="AH99" s="182"/>
      <c r="AI99" s="576"/>
      <c r="AJ99" s="188"/>
      <c r="AK99" s="188"/>
      <c r="AL99" s="185"/>
      <c r="AM99" s="182"/>
      <c r="AN99" s="576"/>
      <c r="AO99" s="188"/>
      <c r="AP99" s="188"/>
      <c r="AQ99" s="185"/>
      <c r="AR99" s="182"/>
      <c r="AS99" s="576"/>
      <c r="AT99" s="188"/>
      <c r="AU99" s="188"/>
      <c r="AV99" s="185"/>
      <c r="AW99" s="182"/>
      <c r="AX99" s="576"/>
    </row>
    <row r="100" spans="2:50" ht="14.25" customHeight="1">
      <c r="B100" s="575"/>
      <c r="C100" s="180">
        <v>14</v>
      </c>
      <c r="D100" s="183"/>
      <c r="E100" s="180"/>
      <c r="F100" s="180"/>
      <c r="G100" s="185"/>
      <c r="H100" s="576"/>
      <c r="I100" s="186"/>
      <c r="J100" s="186"/>
      <c r="K100" s="187"/>
      <c r="L100" s="577"/>
      <c r="M100" s="186"/>
      <c r="N100" s="575"/>
      <c r="O100" s="575"/>
      <c r="P100" s="188"/>
      <c r="Q100" s="188"/>
      <c r="R100" s="185"/>
      <c r="S100" s="182"/>
      <c r="T100" s="576"/>
      <c r="U100" s="188"/>
      <c r="V100" s="188"/>
      <c r="W100" s="185"/>
      <c r="X100" s="182"/>
      <c r="Y100" s="576"/>
      <c r="Z100" s="188"/>
      <c r="AA100" s="188"/>
      <c r="AB100" s="185"/>
      <c r="AC100" s="182"/>
      <c r="AD100" s="576"/>
      <c r="AE100" s="188"/>
      <c r="AF100" s="188"/>
      <c r="AG100" s="185"/>
      <c r="AH100" s="182"/>
      <c r="AI100" s="576"/>
      <c r="AJ100" s="188"/>
      <c r="AK100" s="188"/>
      <c r="AL100" s="185"/>
      <c r="AM100" s="182"/>
      <c r="AN100" s="576"/>
      <c r="AO100" s="188"/>
      <c r="AP100" s="188"/>
      <c r="AQ100" s="185"/>
      <c r="AR100" s="182"/>
      <c r="AS100" s="576"/>
      <c r="AT100" s="188"/>
      <c r="AU100" s="188"/>
      <c r="AV100" s="185"/>
      <c r="AW100" s="182"/>
      <c r="AX100" s="576"/>
    </row>
    <row r="101" spans="2:50" ht="14.25" customHeight="1">
      <c r="B101" s="575"/>
      <c r="C101" s="180">
        <v>15</v>
      </c>
      <c r="D101" s="183"/>
      <c r="E101" s="180"/>
      <c r="F101" s="180"/>
      <c r="G101" s="185"/>
      <c r="H101" s="576"/>
      <c r="I101" s="186"/>
      <c r="J101" s="186"/>
      <c r="K101" s="187"/>
      <c r="L101" s="577"/>
      <c r="M101" s="186"/>
      <c r="N101" s="575"/>
      <c r="O101" s="575"/>
      <c r="P101" s="188"/>
      <c r="Q101" s="188"/>
      <c r="R101" s="185"/>
      <c r="S101" s="182"/>
      <c r="T101" s="576"/>
      <c r="U101" s="188"/>
      <c r="V101" s="188"/>
      <c r="W101" s="185"/>
      <c r="X101" s="182"/>
      <c r="Y101" s="576"/>
      <c r="Z101" s="188"/>
      <c r="AA101" s="188"/>
      <c r="AB101" s="185"/>
      <c r="AC101" s="182"/>
      <c r="AD101" s="576"/>
      <c r="AE101" s="188"/>
      <c r="AF101" s="188"/>
      <c r="AG101" s="185"/>
      <c r="AH101" s="182"/>
      <c r="AI101" s="576"/>
      <c r="AJ101" s="188"/>
      <c r="AK101" s="188"/>
      <c r="AL101" s="185"/>
      <c r="AM101" s="182"/>
      <c r="AN101" s="576"/>
      <c r="AO101" s="188"/>
      <c r="AP101" s="188"/>
      <c r="AQ101" s="185"/>
      <c r="AR101" s="182"/>
      <c r="AS101" s="576"/>
      <c r="AT101" s="188"/>
      <c r="AU101" s="188"/>
      <c r="AV101" s="185"/>
      <c r="AW101" s="182"/>
      <c r="AX101" s="576"/>
    </row>
  </sheetData>
  <mergeCells count="295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X7:AX21"/>
    <mergeCell ref="AT23:AX23"/>
    <mergeCell ref="AT22:AX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1">
    <tabColor rgb="FFFFFFCC"/>
  </sheetPr>
  <dimension ref="A1:AX101"/>
  <sheetViews>
    <sheetView zoomScaleNormal="100" workbookViewId="0">
      <pane xSplit="13" ySplit="1" topLeftCell="N70" activePane="bottomRight" state="frozen"/>
      <selection activeCell="L95" sqref="L95"/>
      <selection pane="topRight" activeCell="L95" sqref="L95"/>
      <selection pane="bottomLeft" activeCell="L95" sqref="L95"/>
      <selection pane="bottomRight" activeCell="M87" sqref="M87:M89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5" t="s">
        <v>656</v>
      </c>
      <c r="C1" s="175">
        <f>AVERAGE(L7,L27,L47,L67)</f>
        <v>416.80190173613738</v>
      </c>
    </row>
    <row r="2" spans="1:50" ht="14.25" customHeight="1" collapsed="1">
      <c r="B2" s="589" t="s">
        <v>539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600"/>
      <c r="N2" s="609" t="s">
        <v>374</v>
      </c>
      <c r="O2" s="609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2"/>
      <c r="N3" s="611"/>
      <c r="O3" s="611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609" t="s">
        <v>162</v>
      </c>
      <c r="C4" s="612" t="s">
        <v>157</v>
      </c>
      <c r="D4" s="613"/>
      <c r="E4" s="618" t="s">
        <v>158</v>
      </c>
      <c r="F4" s="619"/>
      <c r="G4" s="620"/>
      <c r="H4" s="609" t="s">
        <v>163</v>
      </c>
      <c r="I4" s="621" t="s">
        <v>375</v>
      </c>
      <c r="J4" s="622"/>
      <c r="K4" s="623"/>
      <c r="L4" s="624" t="s">
        <v>163</v>
      </c>
      <c r="M4" s="624" t="s">
        <v>165</v>
      </c>
      <c r="N4" s="609"/>
      <c r="O4" s="609" t="s">
        <v>164</v>
      </c>
      <c r="P4" s="618" t="s">
        <v>160</v>
      </c>
      <c r="Q4" s="619"/>
      <c r="R4" s="619"/>
      <c r="S4" s="620"/>
      <c r="T4" s="609" t="s">
        <v>163</v>
      </c>
      <c r="U4" s="618" t="s">
        <v>160</v>
      </c>
      <c r="V4" s="619"/>
      <c r="W4" s="619"/>
      <c r="X4" s="620"/>
      <c r="Y4" s="609" t="s">
        <v>163</v>
      </c>
      <c r="Z4" s="618" t="s">
        <v>160</v>
      </c>
      <c r="AA4" s="619"/>
      <c r="AB4" s="619"/>
      <c r="AC4" s="620"/>
      <c r="AD4" s="609" t="s">
        <v>163</v>
      </c>
      <c r="AE4" s="618" t="s">
        <v>160</v>
      </c>
      <c r="AF4" s="619"/>
      <c r="AG4" s="619"/>
      <c r="AH4" s="620"/>
      <c r="AI4" s="609" t="s">
        <v>163</v>
      </c>
      <c r="AJ4" s="618" t="s">
        <v>160</v>
      </c>
      <c r="AK4" s="619"/>
      <c r="AL4" s="619"/>
      <c r="AM4" s="620"/>
      <c r="AN4" s="609" t="s">
        <v>163</v>
      </c>
      <c r="AO4" s="618" t="s">
        <v>160</v>
      </c>
      <c r="AP4" s="619"/>
      <c r="AQ4" s="619"/>
      <c r="AR4" s="620"/>
      <c r="AS4" s="609" t="s">
        <v>163</v>
      </c>
      <c r="AT4" s="618" t="s">
        <v>160</v>
      </c>
      <c r="AU4" s="619"/>
      <c r="AV4" s="619"/>
      <c r="AW4" s="620"/>
      <c r="AX4" s="609" t="s">
        <v>163</v>
      </c>
    </row>
    <row r="5" spans="1:50" ht="14.25" customHeight="1">
      <c r="B5" s="610"/>
      <c r="C5" s="614"/>
      <c r="D5" s="615"/>
      <c r="E5" s="618" t="s">
        <v>376</v>
      </c>
      <c r="F5" s="619"/>
      <c r="G5" s="620"/>
      <c r="H5" s="610"/>
      <c r="I5" s="621" t="s">
        <v>376</v>
      </c>
      <c r="J5" s="622"/>
      <c r="K5" s="623"/>
      <c r="L5" s="625"/>
      <c r="M5" s="625"/>
      <c r="N5" s="610"/>
      <c r="O5" s="610"/>
      <c r="P5" s="618" t="s">
        <v>377</v>
      </c>
      <c r="Q5" s="619"/>
      <c r="R5" s="619"/>
      <c r="S5" s="620"/>
      <c r="T5" s="610"/>
      <c r="U5" s="618" t="s">
        <v>377</v>
      </c>
      <c r="V5" s="619"/>
      <c r="W5" s="619"/>
      <c r="X5" s="620"/>
      <c r="Y5" s="610"/>
      <c r="Z5" s="618" t="s">
        <v>377</v>
      </c>
      <c r="AA5" s="619"/>
      <c r="AB5" s="619"/>
      <c r="AC5" s="620"/>
      <c r="AD5" s="610"/>
      <c r="AE5" s="618" t="s">
        <v>377</v>
      </c>
      <c r="AF5" s="619"/>
      <c r="AG5" s="619"/>
      <c r="AH5" s="620"/>
      <c r="AI5" s="610"/>
      <c r="AJ5" s="618" t="s">
        <v>377</v>
      </c>
      <c r="AK5" s="619"/>
      <c r="AL5" s="619"/>
      <c r="AM5" s="620"/>
      <c r="AN5" s="610"/>
      <c r="AO5" s="618" t="s">
        <v>377</v>
      </c>
      <c r="AP5" s="619"/>
      <c r="AQ5" s="619"/>
      <c r="AR5" s="620"/>
      <c r="AS5" s="610"/>
      <c r="AT5" s="618" t="s">
        <v>377</v>
      </c>
      <c r="AU5" s="619"/>
      <c r="AV5" s="619"/>
      <c r="AW5" s="620"/>
      <c r="AX5" s="610"/>
    </row>
    <row r="6" spans="1:50" ht="14.25" customHeight="1">
      <c r="B6" s="611"/>
      <c r="C6" s="616"/>
      <c r="D6" s="617"/>
      <c r="E6" s="180" t="s">
        <v>159</v>
      </c>
      <c r="F6" s="180" t="s">
        <v>378</v>
      </c>
      <c r="G6" s="180" t="s">
        <v>161</v>
      </c>
      <c r="H6" s="611"/>
      <c r="I6" s="181" t="s">
        <v>159</v>
      </c>
      <c r="J6" s="181" t="s">
        <v>378</v>
      </c>
      <c r="K6" s="181" t="s">
        <v>161</v>
      </c>
      <c r="L6" s="626"/>
      <c r="M6" s="626"/>
      <c r="N6" s="610"/>
      <c r="O6" s="610"/>
      <c r="P6" s="180" t="s">
        <v>159</v>
      </c>
      <c r="Q6" s="180" t="s">
        <v>378</v>
      </c>
      <c r="R6" s="180" t="s">
        <v>161</v>
      </c>
      <c r="S6" s="182" t="s">
        <v>165</v>
      </c>
      <c r="T6" s="611"/>
      <c r="U6" s="180" t="s">
        <v>159</v>
      </c>
      <c r="V6" s="180" t="s">
        <v>378</v>
      </c>
      <c r="W6" s="180" t="s">
        <v>161</v>
      </c>
      <c r="X6" s="182" t="s">
        <v>165</v>
      </c>
      <c r="Y6" s="611"/>
      <c r="Z6" s="180" t="s">
        <v>159</v>
      </c>
      <c r="AA6" s="180" t="s">
        <v>378</v>
      </c>
      <c r="AB6" s="180" t="s">
        <v>161</v>
      </c>
      <c r="AC6" s="182" t="s">
        <v>165</v>
      </c>
      <c r="AD6" s="611"/>
      <c r="AE6" s="180" t="s">
        <v>159</v>
      </c>
      <c r="AF6" s="180" t="s">
        <v>378</v>
      </c>
      <c r="AG6" s="180" t="s">
        <v>161</v>
      </c>
      <c r="AH6" s="182" t="s">
        <v>165</v>
      </c>
      <c r="AI6" s="611"/>
      <c r="AJ6" s="180" t="s">
        <v>159</v>
      </c>
      <c r="AK6" s="180" t="s">
        <v>378</v>
      </c>
      <c r="AL6" s="180" t="s">
        <v>161</v>
      </c>
      <c r="AM6" s="182" t="s">
        <v>165</v>
      </c>
      <c r="AN6" s="611"/>
      <c r="AO6" s="180" t="s">
        <v>159</v>
      </c>
      <c r="AP6" s="180" t="s">
        <v>378</v>
      </c>
      <c r="AQ6" s="180" t="s">
        <v>161</v>
      </c>
      <c r="AR6" s="182" t="s">
        <v>165</v>
      </c>
      <c r="AS6" s="611"/>
      <c r="AT6" s="180" t="s">
        <v>159</v>
      </c>
      <c r="AU6" s="180" t="s">
        <v>378</v>
      </c>
      <c r="AV6" s="180" t="s">
        <v>161</v>
      </c>
      <c r="AW6" s="182" t="s">
        <v>165</v>
      </c>
      <c r="AX6" s="611"/>
    </row>
    <row r="7" spans="1:50" ht="14.25" customHeight="1">
      <c r="B7" s="575" t="s">
        <v>381</v>
      </c>
      <c r="C7" s="180">
        <v>1</v>
      </c>
      <c r="D7" s="183" t="s">
        <v>508</v>
      </c>
      <c r="E7" s="180">
        <v>6</v>
      </c>
      <c r="F7" s="180">
        <v>3273</v>
      </c>
      <c r="G7" s="185">
        <f t="shared" ref="G7:G8" si="10">F7/E7</f>
        <v>545.5</v>
      </c>
      <c r="H7" s="576">
        <f>AVERAGE(G7:G21)</f>
        <v>545.5</v>
      </c>
      <c r="I7" s="186">
        <f>AVERAGE(P7,U7,Z7,AE7,AJ7,AO7,AT7)</f>
        <v>6</v>
      </c>
      <c r="J7" s="186">
        <f>AVERAGE(Q7,V7,AA7,AF7,AK7,AP7,AU7)</f>
        <v>2964.1246242900002</v>
      </c>
      <c r="K7" s="187">
        <f>AVERAGE(R7,W7,AB7,AG7,AL7,AQ7,AV7)</f>
        <v>494.02077071499991</v>
      </c>
      <c r="L7" s="577">
        <f>IFERROR(AVERAGE(K7:K21),"-")</f>
        <v>493.97915432640377</v>
      </c>
      <c r="M7" s="186">
        <f>RANK(K7, K$7:$K$21)</f>
        <v>1</v>
      </c>
      <c r="N7" s="610"/>
      <c r="O7" s="610"/>
      <c r="P7" s="188">
        <v>6</v>
      </c>
      <c r="Q7" s="188">
        <v>2960.8355091383755</v>
      </c>
      <c r="R7" s="185">
        <f>IFERROR(Q7/P7,"")</f>
        <v>493.47258485639594</v>
      </c>
      <c r="S7" s="182">
        <f>RANK(R7, R$7:R$21)</f>
        <v>2</v>
      </c>
      <c r="T7" s="576">
        <f>AVERAGE(R7:R21)</f>
        <v>493.51860916015107</v>
      </c>
      <c r="U7" s="188">
        <v>6</v>
      </c>
      <c r="V7" s="188">
        <v>2963.7209302325577</v>
      </c>
      <c r="W7" s="185">
        <f t="shared" ref="W7:W8" si="11">IFERROR(V7/U7,"")</f>
        <v>493.95348837209298</v>
      </c>
      <c r="X7" s="182">
        <f>RANK(W7, W$7:W$21)</f>
        <v>1</v>
      </c>
      <c r="Y7" s="576">
        <f>AVERAGE(W7:W21)</f>
        <v>493.80387766525882</v>
      </c>
      <c r="Z7" s="188">
        <v>6</v>
      </c>
      <c r="AA7" s="188">
        <v>2963.6942675159057</v>
      </c>
      <c r="AB7" s="185">
        <f t="shared" ref="AB7:AB8" si="12">IFERROR(AA7/Z7,"")</f>
        <v>493.94904458598427</v>
      </c>
      <c r="AC7" s="182">
        <f>RANK(AB7, AB$7:AB$21)</f>
        <v>1</v>
      </c>
      <c r="AD7" s="576">
        <f>AVERAGE(AB7:AB21)</f>
        <v>493.86227739503278</v>
      </c>
      <c r="AE7" s="188">
        <v>6</v>
      </c>
      <c r="AF7" s="188">
        <v>2965.0582362728569</v>
      </c>
      <c r="AG7" s="185">
        <f>IFERROR(AF7/AE7,"")</f>
        <v>494.17637271214284</v>
      </c>
      <c r="AH7" s="182">
        <f>RANK(AG7, AG$7:AG$21)</f>
        <v>1</v>
      </c>
      <c r="AI7" s="576">
        <f>AVERAGE(AG7:AG21)</f>
        <v>494.11704883484799</v>
      </c>
      <c r="AJ7" s="188">
        <v>6</v>
      </c>
      <c r="AK7" s="188">
        <v>2964.7058823529328</v>
      </c>
      <c r="AL7" s="185">
        <f t="shared" ref="AL7:AL8" si="13">IFERROR(AK7/AJ7,"")</f>
        <v>494.11764705882212</v>
      </c>
      <c r="AM7" s="182">
        <f>RANK(AL7, AL$7:AL$21)</f>
        <v>1</v>
      </c>
      <c r="AN7" s="576">
        <f>AVERAGE(AL7:AL21)</f>
        <v>494.04087899433767</v>
      </c>
      <c r="AO7" s="188">
        <v>6</v>
      </c>
      <c r="AP7" s="188">
        <v>2965.9090909091119</v>
      </c>
      <c r="AQ7" s="185">
        <f t="shared" ref="AQ7:AQ8" si="14">IFERROR(AP7/AO7,"")</f>
        <v>494.31818181818534</v>
      </c>
      <c r="AR7" s="182">
        <f>RANK(AQ7, AQ$7:AQ$21)</f>
        <v>1</v>
      </c>
      <c r="AS7" s="576">
        <f>AVERAGE(AQ7:AQ21)</f>
        <v>494.2763871317573</v>
      </c>
      <c r="AT7" s="188">
        <v>6</v>
      </c>
      <c r="AU7" s="188">
        <v>2964.9484536082564</v>
      </c>
      <c r="AV7" s="185">
        <f t="shared" ref="AV7:AV8" si="15">IFERROR(AU7/AT7,"")</f>
        <v>494.15807560137608</v>
      </c>
      <c r="AW7" s="182">
        <f>RANK(AV7, AV$7:AV$21)</f>
        <v>2</v>
      </c>
      <c r="AX7" s="576">
        <f>AVERAGE(AV7:AV21)</f>
        <v>494.23500110344088</v>
      </c>
    </row>
    <row r="8" spans="1:50" ht="14.25" customHeight="1">
      <c r="B8" s="575"/>
      <c r="C8" s="180">
        <v>2</v>
      </c>
      <c r="D8" s="183" t="s">
        <v>532</v>
      </c>
      <c r="E8" s="180">
        <v>6</v>
      </c>
      <c r="F8" s="180">
        <v>3273</v>
      </c>
      <c r="G8" s="185">
        <f t="shared" si="10"/>
        <v>545.5</v>
      </c>
      <c r="H8" s="576"/>
      <c r="I8" s="186">
        <f t="shared" ref="I8:K8" si="16">AVERAGE(P8,U8,Z8,AE8,AJ8,AO8,AT8)</f>
        <v>6</v>
      </c>
      <c r="J8" s="186">
        <f t="shared" si="16"/>
        <v>2963.6252276268456</v>
      </c>
      <c r="K8" s="187">
        <f t="shared" si="16"/>
        <v>493.93753793780758</v>
      </c>
      <c r="L8" s="577"/>
      <c r="M8" s="186">
        <f>RANK(K8, K$7:$K$21)</f>
        <v>2</v>
      </c>
      <c r="N8" s="610"/>
      <c r="O8" s="610"/>
      <c r="P8" s="188">
        <v>6</v>
      </c>
      <c r="Q8" s="188">
        <v>2961.3878007834369</v>
      </c>
      <c r="R8" s="185">
        <f t="shared" ref="R8" si="17">IFERROR(Q8/P8,"")</f>
        <v>493.56463346390615</v>
      </c>
      <c r="S8" s="182">
        <f>RANK(R8, R$7:R$21)</f>
        <v>1</v>
      </c>
      <c r="T8" s="576"/>
      <c r="U8" s="188">
        <v>6</v>
      </c>
      <c r="V8" s="188">
        <v>2961.9256017505477</v>
      </c>
      <c r="W8" s="185">
        <f t="shared" si="11"/>
        <v>493.65426695842461</v>
      </c>
      <c r="X8" s="182">
        <f>RANK(W8, W$7:W$21)</f>
        <v>2</v>
      </c>
      <c r="Y8" s="576"/>
      <c r="Z8" s="188">
        <v>6</v>
      </c>
      <c r="AA8" s="188">
        <v>2962.6530612244878</v>
      </c>
      <c r="AB8" s="185">
        <f t="shared" si="12"/>
        <v>493.77551020408129</v>
      </c>
      <c r="AC8" s="182">
        <f>RANK(AB8, AB$7:AB$21)</f>
        <v>2</v>
      </c>
      <c r="AD8" s="576"/>
      <c r="AE8" s="188">
        <v>6</v>
      </c>
      <c r="AF8" s="188">
        <v>2964.3463497453185</v>
      </c>
      <c r="AG8" s="185">
        <f t="shared" ref="AG8" si="18">IFERROR(AF8/AE8,"")</f>
        <v>494.05772495755309</v>
      </c>
      <c r="AH8" s="182">
        <f>RANK(AG8, AG$7:AG$21)</f>
        <v>2</v>
      </c>
      <c r="AI8" s="576"/>
      <c r="AJ8" s="188">
        <v>6</v>
      </c>
      <c r="AK8" s="188">
        <v>2963.7846655791195</v>
      </c>
      <c r="AL8" s="185">
        <f t="shared" si="13"/>
        <v>493.96411092985323</v>
      </c>
      <c r="AM8" s="182">
        <f>RANK(AL8, AL$7:AL$21)</f>
        <v>2</v>
      </c>
      <c r="AN8" s="576"/>
      <c r="AO8" s="188">
        <v>6</v>
      </c>
      <c r="AP8" s="188">
        <v>2965.4075546719755</v>
      </c>
      <c r="AQ8" s="185">
        <f t="shared" si="14"/>
        <v>494.23459244532927</v>
      </c>
      <c r="AR8" s="182">
        <f>RANK(AQ8, AQ$7:AQ$21)</f>
        <v>2</v>
      </c>
      <c r="AS8" s="576"/>
      <c r="AT8" s="188">
        <v>6</v>
      </c>
      <c r="AU8" s="188">
        <v>2965.8715596330339</v>
      </c>
      <c r="AV8" s="185">
        <f t="shared" si="15"/>
        <v>494.31192660550568</v>
      </c>
      <c r="AW8" s="182">
        <f>RANK(AV8, AV$7:AV$21)</f>
        <v>1</v>
      </c>
      <c r="AX8" s="576"/>
    </row>
    <row r="9" spans="1:50" ht="14.25" customHeight="1">
      <c r="B9" s="575"/>
      <c r="C9" s="180">
        <v>3</v>
      </c>
      <c r="D9" s="183"/>
      <c r="E9" s="180"/>
      <c r="F9" s="180"/>
      <c r="G9" s="185"/>
      <c r="H9" s="576"/>
      <c r="I9" s="186"/>
      <c r="J9" s="186"/>
      <c r="K9" s="187"/>
      <c r="L9" s="577"/>
      <c r="M9" s="186"/>
      <c r="N9" s="610"/>
      <c r="O9" s="610"/>
      <c r="P9" s="188"/>
      <c r="Q9" s="188"/>
      <c r="R9" s="185"/>
      <c r="S9" s="182"/>
      <c r="T9" s="576"/>
      <c r="U9" s="188"/>
      <c r="V9" s="188"/>
      <c r="W9" s="185"/>
      <c r="X9" s="182"/>
      <c r="Y9" s="576"/>
      <c r="Z9" s="188"/>
      <c r="AA9" s="188"/>
      <c r="AB9" s="185"/>
      <c r="AC9" s="182"/>
      <c r="AD9" s="576"/>
      <c r="AE9" s="188"/>
      <c r="AF9" s="188"/>
      <c r="AG9" s="185"/>
      <c r="AH9" s="182"/>
      <c r="AI9" s="576"/>
      <c r="AJ9" s="188"/>
      <c r="AK9" s="188"/>
      <c r="AL9" s="185"/>
      <c r="AM9" s="182"/>
      <c r="AN9" s="576"/>
      <c r="AO9" s="188"/>
      <c r="AP9" s="188"/>
      <c r="AQ9" s="185"/>
      <c r="AR9" s="182"/>
      <c r="AS9" s="576"/>
      <c r="AT9" s="188"/>
      <c r="AU9" s="188"/>
      <c r="AV9" s="185"/>
      <c r="AW9" s="182"/>
      <c r="AX9" s="576"/>
    </row>
    <row r="10" spans="1:50" ht="14.25" customHeight="1">
      <c r="B10" s="575"/>
      <c r="C10" s="180">
        <v>4</v>
      </c>
      <c r="D10" s="183"/>
      <c r="E10" s="180"/>
      <c r="F10" s="180"/>
      <c r="G10" s="185"/>
      <c r="H10" s="576"/>
      <c r="I10" s="186"/>
      <c r="J10" s="186"/>
      <c r="K10" s="187"/>
      <c r="L10" s="577"/>
      <c r="M10" s="186"/>
      <c r="N10" s="610"/>
      <c r="O10" s="610"/>
      <c r="P10" s="188"/>
      <c r="Q10" s="188"/>
      <c r="R10" s="185"/>
      <c r="S10" s="182"/>
      <c r="T10" s="576"/>
      <c r="U10" s="188"/>
      <c r="V10" s="188"/>
      <c r="W10" s="185"/>
      <c r="X10" s="182"/>
      <c r="Y10" s="576"/>
      <c r="Z10" s="188"/>
      <c r="AA10" s="188"/>
      <c r="AB10" s="185"/>
      <c r="AC10" s="182"/>
      <c r="AD10" s="576"/>
      <c r="AE10" s="188"/>
      <c r="AF10" s="188"/>
      <c r="AG10" s="185"/>
      <c r="AH10" s="182"/>
      <c r="AI10" s="576"/>
      <c r="AJ10" s="188"/>
      <c r="AK10" s="188"/>
      <c r="AL10" s="185"/>
      <c r="AM10" s="182"/>
      <c r="AN10" s="576"/>
      <c r="AO10" s="188"/>
      <c r="AP10" s="188"/>
      <c r="AQ10" s="185"/>
      <c r="AR10" s="182"/>
      <c r="AS10" s="576"/>
      <c r="AT10" s="188"/>
      <c r="AU10" s="188"/>
      <c r="AV10" s="185"/>
      <c r="AW10" s="182"/>
      <c r="AX10" s="576"/>
    </row>
    <row r="11" spans="1:50" ht="14.25" customHeight="1">
      <c r="B11" s="575"/>
      <c r="C11" s="180">
        <v>5</v>
      </c>
      <c r="D11" s="183"/>
      <c r="E11" s="180"/>
      <c r="F11" s="180"/>
      <c r="G11" s="185"/>
      <c r="H11" s="576"/>
      <c r="I11" s="186"/>
      <c r="J11" s="186"/>
      <c r="K11" s="187"/>
      <c r="L11" s="577"/>
      <c r="M11" s="186"/>
      <c r="N11" s="610"/>
      <c r="O11" s="610"/>
      <c r="P11" s="188"/>
      <c r="Q11" s="188"/>
      <c r="R11" s="185"/>
      <c r="S11" s="182"/>
      <c r="T11" s="576"/>
      <c r="U11" s="188"/>
      <c r="V11" s="188"/>
      <c r="W11" s="185"/>
      <c r="X11" s="182"/>
      <c r="Y11" s="576"/>
      <c r="Z11" s="188"/>
      <c r="AA11" s="188"/>
      <c r="AB11" s="185"/>
      <c r="AC11" s="182"/>
      <c r="AD11" s="576"/>
      <c r="AE11" s="188"/>
      <c r="AF11" s="188"/>
      <c r="AG11" s="185"/>
      <c r="AH11" s="182"/>
      <c r="AI11" s="576"/>
      <c r="AJ11" s="188"/>
      <c r="AK11" s="188"/>
      <c r="AL11" s="185"/>
      <c r="AM11" s="182"/>
      <c r="AN11" s="576"/>
      <c r="AO11" s="188"/>
      <c r="AP11" s="188"/>
      <c r="AQ11" s="185"/>
      <c r="AR11" s="182"/>
      <c r="AS11" s="576"/>
      <c r="AT11" s="188"/>
      <c r="AU11" s="188"/>
      <c r="AV11" s="185"/>
      <c r="AW11" s="182"/>
      <c r="AX11" s="576"/>
    </row>
    <row r="12" spans="1:50" ht="14.25" customHeight="1">
      <c r="B12" s="575"/>
      <c r="C12" s="180">
        <v>6</v>
      </c>
      <c r="D12" s="183"/>
      <c r="E12" s="180"/>
      <c r="F12" s="180"/>
      <c r="G12" s="185"/>
      <c r="H12" s="576"/>
      <c r="I12" s="186"/>
      <c r="J12" s="186"/>
      <c r="K12" s="187"/>
      <c r="L12" s="577"/>
      <c r="M12" s="186"/>
      <c r="N12" s="610"/>
      <c r="O12" s="610"/>
      <c r="P12" s="188"/>
      <c r="Q12" s="188"/>
      <c r="R12" s="185"/>
      <c r="S12" s="182"/>
      <c r="T12" s="576"/>
      <c r="U12" s="188"/>
      <c r="V12" s="188"/>
      <c r="W12" s="185"/>
      <c r="X12" s="182"/>
      <c r="Y12" s="576"/>
      <c r="Z12" s="188"/>
      <c r="AA12" s="188"/>
      <c r="AB12" s="185"/>
      <c r="AC12" s="182"/>
      <c r="AD12" s="576"/>
      <c r="AE12" s="188"/>
      <c r="AF12" s="188"/>
      <c r="AG12" s="185"/>
      <c r="AH12" s="182"/>
      <c r="AI12" s="576"/>
      <c r="AJ12" s="188"/>
      <c r="AK12" s="188"/>
      <c r="AL12" s="185"/>
      <c r="AM12" s="182"/>
      <c r="AN12" s="576"/>
      <c r="AO12" s="188"/>
      <c r="AP12" s="188"/>
      <c r="AQ12" s="185"/>
      <c r="AR12" s="182"/>
      <c r="AS12" s="576"/>
      <c r="AT12" s="188"/>
      <c r="AU12" s="188"/>
      <c r="AV12" s="185"/>
      <c r="AW12" s="182"/>
      <c r="AX12" s="576"/>
    </row>
    <row r="13" spans="1:50" ht="14.25" customHeight="1">
      <c r="B13" s="575"/>
      <c r="C13" s="180">
        <v>7</v>
      </c>
      <c r="D13" s="183"/>
      <c r="E13" s="180"/>
      <c r="F13" s="180"/>
      <c r="G13" s="185"/>
      <c r="H13" s="576"/>
      <c r="I13" s="186"/>
      <c r="J13" s="186"/>
      <c r="K13" s="187"/>
      <c r="L13" s="577"/>
      <c r="M13" s="186"/>
      <c r="N13" s="610"/>
      <c r="O13" s="610"/>
      <c r="P13" s="188"/>
      <c r="Q13" s="188"/>
      <c r="R13" s="185"/>
      <c r="S13" s="182"/>
      <c r="T13" s="576"/>
      <c r="U13" s="188"/>
      <c r="V13" s="188"/>
      <c r="W13" s="185"/>
      <c r="X13" s="182"/>
      <c r="Y13" s="576"/>
      <c r="Z13" s="188"/>
      <c r="AA13" s="188"/>
      <c r="AB13" s="185"/>
      <c r="AC13" s="182"/>
      <c r="AD13" s="576"/>
      <c r="AE13" s="188"/>
      <c r="AF13" s="188"/>
      <c r="AG13" s="185"/>
      <c r="AH13" s="182"/>
      <c r="AI13" s="576"/>
      <c r="AJ13" s="188"/>
      <c r="AK13" s="188"/>
      <c r="AL13" s="185"/>
      <c r="AM13" s="182"/>
      <c r="AN13" s="576"/>
      <c r="AO13" s="188"/>
      <c r="AP13" s="188"/>
      <c r="AQ13" s="185"/>
      <c r="AR13" s="182"/>
      <c r="AS13" s="576"/>
      <c r="AT13" s="188"/>
      <c r="AU13" s="188"/>
      <c r="AV13" s="185"/>
      <c r="AW13" s="182"/>
      <c r="AX13" s="576"/>
    </row>
    <row r="14" spans="1:50" ht="14.25" customHeight="1">
      <c r="B14" s="575"/>
      <c r="C14" s="180">
        <v>8</v>
      </c>
      <c r="D14" s="183"/>
      <c r="E14" s="180"/>
      <c r="F14" s="180"/>
      <c r="G14" s="185"/>
      <c r="H14" s="576"/>
      <c r="I14" s="186"/>
      <c r="J14" s="186"/>
      <c r="K14" s="187"/>
      <c r="L14" s="577"/>
      <c r="M14" s="186"/>
      <c r="N14" s="610"/>
      <c r="O14" s="610"/>
      <c r="P14" s="188"/>
      <c r="Q14" s="188"/>
      <c r="R14" s="185"/>
      <c r="S14" s="182"/>
      <c r="T14" s="576"/>
      <c r="U14" s="188"/>
      <c r="V14" s="188"/>
      <c r="W14" s="185"/>
      <c r="X14" s="182"/>
      <c r="Y14" s="576"/>
      <c r="Z14" s="188"/>
      <c r="AA14" s="188"/>
      <c r="AB14" s="185"/>
      <c r="AC14" s="182"/>
      <c r="AD14" s="576"/>
      <c r="AE14" s="188"/>
      <c r="AF14" s="188"/>
      <c r="AG14" s="185"/>
      <c r="AH14" s="182"/>
      <c r="AI14" s="576"/>
      <c r="AJ14" s="188"/>
      <c r="AK14" s="188"/>
      <c r="AL14" s="185"/>
      <c r="AM14" s="182"/>
      <c r="AN14" s="576"/>
      <c r="AO14" s="188"/>
      <c r="AP14" s="188"/>
      <c r="AQ14" s="185"/>
      <c r="AR14" s="182"/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610"/>
      <c r="O15" s="610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610"/>
      <c r="O16" s="610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610"/>
      <c r="O17" s="610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610"/>
      <c r="O18" s="610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610"/>
      <c r="O19" s="610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610"/>
      <c r="O20" s="610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611"/>
      <c r="O21" s="611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 collapsed="1">
      <c r="B22" s="589" t="s">
        <v>657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09" t="s">
        <v>374</v>
      </c>
      <c r="O22" s="609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1"/>
      <c r="O23" s="611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375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376</v>
      </c>
      <c r="F25" s="575"/>
      <c r="G25" s="575"/>
      <c r="H25" s="575"/>
      <c r="I25" s="579" t="s">
        <v>376</v>
      </c>
      <c r="J25" s="579"/>
      <c r="K25" s="579"/>
      <c r="L25" s="579"/>
      <c r="M25" s="579"/>
      <c r="N25" s="575"/>
      <c r="O25" s="575"/>
      <c r="P25" s="575" t="s">
        <v>377</v>
      </c>
      <c r="Q25" s="575"/>
      <c r="R25" s="575"/>
      <c r="S25" s="575"/>
      <c r="T25" s="575"/>
      <c r="U25" s="575" t="s">
        <v>377</v>
      </c>
      <c r="V25" s="575"/>
      <c r="W25" s="575"/>
      <c r="X25" s="575"/>
      <c r="Y25" s="575"/>
      <c r="Z25" s="575" t="s">
        <v>377</v>
      </c>
      <c r="AA25" s="575"/>
      <c r="AB25" s="575"/>
      <c r="AC25" s="575"/>
      <c r="AD25" s="575"/>
      <c r="AE25" s="575" t="s">
        <v>377</v>
      </c>
      <c r="AF25" s="575"/>
      <c r="AG25" s="575"/>
      <c r="AH25" s="575"/>
      <c r="AI25" s="575"/>
      <c r="AJ25" s="575" t="s">
        <v>377</v>
      </c>
      <c r="AK25" s="575"/>
      <c r="AL25" s="575"/>
      <c r="AM25" s="575"/>
      <c r="AN25" s="575"/>
      <c r="AO25" s="575" t="s">
        <v>377</v>
      </c>
      <c r="AP25" s="575"/>
      <c r="AQ25" s="575"/>
      <c r="AR25" s="575"/>
      <c r="AS25" s="575"/>
      <c r="AT25" s="575" t="s">
        <v>377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378</v>
      </c>
      <c r="G26" s="180" t="s">
        <v>161</v>
      </c>
      <c r="H26" s="575"/>
      <c r="I26" s="181" t="s">
        <v>159</v>
      </c>
      <c r="J26" s="181" t="s">
        <v>378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378</v>
      </c>
      <c r="R26" s="180" t="s">
        <v>161</v>
      </c>
      <c r="S26" s="182" t="s">
        <v>165</v>
      </c>
      <c r="T26" s="575"/>
      <c r="U26" s="180" t="s">
        <v>159</v>
      </c>
      <c r="V26" s="180" t="s">
        <v>378</v>
      </c>
      <c r="W26" s="180" t="s">
        <v>161</v>
      </c>
      <c r="X26" s="182" t="s">
        <v>165</v>
      </c>
      <c r="Y26" s="575"/>
      <c r="Z26" s="180" t="s">
        <v>159</v>
      </c>
      <c r="AA26" s="180" t="s">
        <v>378</v>
      </c>
      <c r="AB26" s="180" t="s">
        <v>161</v>
      </c>
      <c r="AC26" s="182" t="s">
        <v>165</v>
      </c>
      <c r="AD26" s="575"/>
      <c r="AE26" s="180" t="s">
        <v>159</v>
      </c>
      <c r="AF26" s="180" t="s">
        <v>378</v>
      </c>
      <c r="AG26" s="180" t="s">
        <v>161</v>
      </c>
      <c r="AH26" s="182" t="s">
        <v>165</v>
      </c>
      <c r="AI26" s="575"/>
      <c r="AJ26" s="180" t="s">
        <v>159</v>
      </c>
      <c r="AK26" s="180" t="s">
        <v>378</v>
      </c>
      <c r="AL26" s="180" t="s">
        <v>161</v>
      </c>
      <c r="AM26" s="182" t="s">
        <v>165</v>
      </c>
      <c r="AN26" s="575"/>
      <c r="AO26" s="180" t="s">
        <v>159</v>
      </c>
      <c r="AP26" s="180" t="s">
        <v>378</v>
      </c>
      <c r="AQ26" s="180" t="s">
        <v>161</v>
      </c>
      <c r="AR26" s="182" t="s">
        <v>165</v>
      </c>
      <c r="AS26" s="575"/>
      <c r="AT26" s="180" t="s">
        <v>159</v>
      </c>
      <c r="AU26" s="180" t="s">
        <v>378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381</v>
      </c>
      <c r="C27" s="180">
        <v>1</v>
      </c>
      <c r="D27" s="183" t="s">
        <v>508</v>
      </c>
      <c r="E27" s="180">
        <v>6</v>
      </c>
      <c r="F27" s="180">
        <v>3273</v>
      </c>
      <c r="G27" s="185">
        <f t="shared" ref="G27:G29" si="19">F27/E27</f>
        <v>545.5</v>
      </c>
      <c r="H27" s="576">
        <f>AVERAGE(G27:G41)</f>
        <v>454.57575757575756</v>
      </c>
      <c r="I27" s="186">
        <f>AVERAGE(P27,U27,Z27,AE27,AJ27,AO27,AT27)</f>
        <v>6</v>
      </c>
      <c r="J27" s="186">
        <f>AVERAGE(Q27,V27,AA27,AF27,AK27,AP27,AU27)</f>
        <v>2964.6529653090147</v>
      </c>
      <c r="K27" s="187">
        <f>AVERAGE(R27,W27,AB27,AG27,AL27,AQ27,AV27)</f>
        <v>494.10882755150249</v>
      </c>
      <c r="L27" s="577">
        <f>IFERROR(AVERAGE(K27:K41),"-")</f>
        <v>407.51753331212581</v>
      </c>
      <c r="M27" s="186">
        <f>RANK(K27, K$27:$K$41)</f>
        <v>1</v>
      </c>
      <c r="N27" s="575"/>
      <c r="O27" s="575"/>
      <c r="P27" s="188">
        <v>6</v>
      </c>
      <c r="Q27" s="188">
        <v>2964.0718562874372</v>
      </c>
      <c r="R27" s="185">
        <f>IFERROR(Q27/P27,"")</f>
        <v>494.01197604790622</v>
      </c>
      <c r="S27" s="182">
        <f>RANK(R27, R$27:R$41)</f>
        <v>2</v>
      </c>
      <c r="T27" s="576">
        <f>AVERAGE(R27:R41)</f>
        <v>403.80896170473147</v>
      </c>
      <c r="U27" s="188">
        <v>6</v>
      </c>
      <c r="V27" s="188">
        <v>2963.2224168126108</v>
      </c>
      <c r="W27" s="185">
        <f t="shared" ref="W27:W29" si="20">IFERROR(V27/U27,"")</f>
        <v>493.87040280210181</v>
      </c>
      <c r="X27" s="182">
        <f>RANK(W27, W$27:W$41)</f>
        <v>1</v>
      </c>
      <c r="Y27" s="576">
        <f>AVERAGE(W27:W41)</f>
        <v>405.05823270304307</v>
      </c>
      <c r="Z27" s="188">
        <v>6</v>
      </c>
      <c r="AA27" s="188">
        <v>2964.8589168126109</v>
      </c>
      <c r="AB27" s="185">
        <f t="shared" ref="AB27:AB29" si="21">IFERROR(AA27/Z27,"")</f>
        <v>494.14315280210184</v>
      </c>
      <c r="AC27" s="182">
        <f>RANK(AB27, AB$27:AB$41)</f>
        <v>1</v>
      </c>
      <c r="AD27" s="576">
        <f>AVERAGE(AB27:AB41)</f>
        <v>406.56885965386988</v>
      </c>
      <c r="AE27" s="188">
        <v>6</v>
      </c>
      <c r="AF27" s="188">
        <v>2963.8770168126111</v>
      </c>
      <c r="AG27" s="185">
        <f>IFERROR(AF27/AE27,"")</f>
        <v>493.97950280210188</v>
      </c>
      <c r="AH27" s="182">
        <f>RANK(AG27, AG$27:AG$41)</f>
        <v>1</v>
      </c>
      <c r="AI27" s="576">
        <f>AVERAGE(AG27:AG41)</f>
        <v>408.09625255658119</v>
      </c>
      <c r="AJ27" s="188">
        <v>6</v>
      </c>
      <c r="AK27" s="188">
        <v>2964.8589168126109</v>
      </c>
      <c r="AL27" s="185">
        <f t="shared" ref="AL27:AL29" si="22">IFERROR(AK27/AJ27,"")</f>
        <v>494.14315280210184</v>
      </c>
      <c r="AM27" s="182">
        <f>RANK(AL27, AL$27:AL$41)</f>
        <v>1</v>
      </c>
      <c r="AN27" s="576">
        <f>AVERAGE(AL27:AL41)</f>
        <v>409.64831946161235</v>
      </c>
      <c r="AO27" s="188">
        <v>6</v>
      </c>
      <c r="AP27" s="188">
        <v>2966.1681168126106</v>
      </c>
      <c r="AQ27" s="185">
        <f t="shared" ref="AQ27:AQ29" si="23">IFERROR(AP27/AO27,"")</f>
        <v>494.36135280210175</v>
      </c>
      <c r="AR27" s="182">
        <f>RANK(AQ27, AQ$27:AQ$41)</f>
        <v>1</v>
      </c>
      <c r="AS27" s="576">
        <f>AVERAGE(AQ27:AQ41)</f>
        <v>409.74832703736985</v>
      </c>
      <c r="AT27" s="188">
        <v>6</v>
      </c>
      <c r="AU27" s="188">
        <v>2965.5135168126108</v>
      </c>
      <c r="AV27" s="185">
        <f t="shared" ref="AV27:AV29" si="24">IFERROR(AU27/AT27,"")</f>
        <v>494.25225280210179</v>
      </c>
      <c r="AW27" s="182">
        <f>RANK(AV27, AV$27:AV$41)</f>
        <v>1</v>
      </c>
      <c r="AX27" s="576">
        <f>AVERAGE(AV27:AV41)</f>
        <v>409.693780067673</v>
      </c>
    </row>
    <row r="28" spans="2:50" ht="14.25" customHeight="1">
      <c r="B28" s="575"/>
      <c r="C28" s="180">
        <v>2</v>
      </c>
      <c r="D28" s="183" t="s">
        <v>532</v>
      </c>
      <c r="E28" s="180">
        <v>6</v>
      </c>
      <c r="F28" s="180">
        <v>3273</v>
      </c>
      <c r="G28" s="185">
        <f t="shared" si="19"/>
        <v>545.5</v>
      </c>
      <c r="H28" s="576"/>
      <c r="I28" s="186">
        <f t="shared" ref="I28:K29" si="25">AVERAGE(P28,U28,Z28,AE28,AJ28,AO28,AT28)</f>
        <v>6</v>
      </c>
      <c r="J28" s="186">
        <f t="shared" si="25"/>
        <v>2962.6326621802014</v>
      </c>
      <c r="K28" s="187">
        <f t="shared" si="25"/>
        <v>493.77211036336683</v>
      </c>
      <c r="L28" s="577"/>
      <c r="M28" s="186">
        <f>RANK(K28, K$27:$K$41)</f>
        <v>2</v>
      </c>
      <c r="N28" s="575"/>
      <c r="O28" s="575"/>
      <c r="P28" s="188">
        <v>6</v>
      </c>
      <c r="Q28" s="188">
        <v>2965.8767772511815</v>
      </c>
      <c r="R28" s="185">
        <f t="shared" ref="R28:R29" si="26">IFERROR(Q28/P28,"")</f>
        <v>494.31279620853024</v>
      </c>
      <c r="S28" s="182">
        <f t="shared" ref="S28:S29" si="27">RANK(R28, R$27:R$41)</f>
        <v>1</v>
      </c>
      <c r="T28" s="576"/>
      <c r="U28" s="188">
        <v>6</v>
      </c>
      <c r="V28" s="188">
        <v>2962.692026335038</v>
      </c>
      <c r="W28" s="185">
        <f t="shared" si="20"/>
        <v>493.78200438917298</v>
      </c>
      <c r="X28" s="182">
        <f t="shared" ref="X28:X29" si="28">RANK(W28, W$27:W$41)</f>
        <v>2</v>
      </c>
      <c r="Y28" s="576"/>
      <c r="Z28" s="188">
        <v>6</v>
      </c>
      <c r="AA28" s="188">
        <v>2961.7101263350382</v>
      </c>
      <c r="AB28" s="185">
        <f t="shared" si="21"/>
        <v>493.61835438917302</v>
      </c>
      <c r="AC28" s="182">
        <f t="shared" ref="AC28:AC29" si="29">RANK(AB28, AB$27:AB$41)</f>
        <v>2</v>
      </c>
      <c r="AD28" s="576"/>
      <c r="AE28" s="188">
        <v>6</v>
      </c>
      <c r="AF28" s="188">
        <v>2963.0193263350375</v>
      </c>
      <c r="AG28" s="185">
        <f t="shared" ref="AG28:AG29" si="30">IFERROR(AF28/AE28,"")</f>
        <v>493.83655438917293</v>
      </c>
      <c r="AH28" s="182">
        <f t="shared" ref="AH28:AH29" si="31">RANK(AG28, AG$27:AG$41)</f>
        <v>2</v>
      </c>
      <c r="AI28" s="576"/>
      <c r="AJ28" s="188">
        <v>6</v>
      </c>
      <c r="AK28" s="188">
        <v>2961.3828263350379</v>
      </c>
      <c r="AL28" s="185">
        <f t="shared" si="22"/>
        <v>493.56380438917296</v>
      </c>
      <c r="AM28" s="182">
        <f t="shared" ref="AM28:AM29" si="32">RANK(AL28, AL$27:AL$41)</f>
        <v>2</v>
      </c>
      <c r="AN28" s="576"/>
      <c r="AO28" s="188">
        <v>6</v>
      </c>
      <c r="AP28" s="188">
        <v>2961.7101263350378</v>
      </c>
      <c r="AQ28" s="185">
        <f t="shared" si="23"/>
        <v>493.61835438917296</v>
      </c>
      <c r="AR28" s="182">
        <f t="shared" ref="AR28:AR29" si="33">RANK(AQ28, AQ$27:AQ$41)</f>
        <v>2</v>
      </c>
      <c r="AS28" s="576"/>
      <c r="AT28" s="188">
        <v>6</v>
      </c>
      <c r="AU28" s="188">
        <v>2962.0374263350377</v>
      </c>
      <c r="AV28" s="185">
        <f t="shared" si="24"/>
        <v>493.67290438917297</v>
      </c>
      <c r="AW28" s="182">
        <f t="shared" ref="AW28:AW29" si="34">RANK(AV28, AV$27:AV$41)</f>
        <v>2</v>
      </c>
      <c r="AX28" s="576"/>
    </row>
    <row r="29" spans="2:50" ht="14.25" customHeight="1">
      <c r="B29" s="575"/>
      <c r="C29" s="180">
        <v>3</v>
      </c>
      <c r="D29" s="183" t="s">
        <v>658</v>
      </c>
      <c r="E29" s="180">
        <v>11</v>
      </c>
      <c r="F29" s="180">
        <v>3000</v>
      </c>
      <c r="G29" s="185">
        <f t="shared" si="19"/>
        <v>272.72727272727275</v>
      </c>
      <c r="H29" s="576"/>
      <c r="I29" s="186">
        <f t="shared" si="25"/>
        <v>11</v>
      </c>
      <c r="J29" s="186">
        <f t="shared" si="25"/>
        <v>2581.3882822365895</v>
      </c>
      <c r="K29" s="187">
        <f t="shared" si="25"/>
        <v>234.67166202150818</v>
      </c>
      <c r="L29" s="577"/>
      <c r="M29" s="186">
        <f>RANK(K29, K$27:$K$41)</f>
        <v>3</v>
      </c>
      <c r="N29" s="575"/>
      <c r="O29" s="575"/>
      <c r="P29" s="188">
        <v>11</v>
      </c>
      <c r="Q29" s="188">
        <v>2454.1232414353371</v>
      </c>
      <c r="R29" s="185">
        <f t="shared" si="26"/>
        <v>223.10211285775793</v>
      </c>
      <c r="S29" s="182">
        <f t="shared" si="27"/>
        <v>3</v>
      </c>
      <c r="T29" s="576"/>
      <c r="U29" s="188">
        <v>11</v>
      </c>
      <c r="V29" s="188">
        <v>2502.7452000963995</v>
      </c>
      <c r="W29" s="185">
        <f t="shared" si="20"/>
        <v>227.52229091785449</v>
      </c>
      <c r="X29" s="182">
        <f t="shared" si="28"/>
        <v>3</v>
      </c>
      <c r="Y29" s="576"/>
      <c r="Z29" s="188">
        <v>11</v>
      </c>
      <c r="AA29" s="188">
        <v>2551.3957894736823</v>
      </c>
      <c r="AB29" s="185">
        <f t="shared" si="21"/>
        <v>231.94507177033475</v>
      </c>
      <c r="AC29" s="182">
        <f t="shared" si="29"/>
        <v>3</v>
      </c>
      <c r="AD29" s="576"/>
      <c r="AE29" s="188">
        <v>11</v>
      </c>
      <c r="AF29" s="188">
        <v>2601.1997052631559</v>
      </c>
      <c r="AG29" s="185">
        <f t="shared" si="30"/>
        <v>236.47270047846871</v>
      </c>
      <c r="AH29" s="182">
        <f t="shared" si="31"/>
        <v>3</v>
      </c>
      <c r="AI29" s="576"/>
      <c r="AJ29" s="188">
        <v>11</v>
      </c>
      <c r="AK29" s="188">
        <v>2653.6180131291849</v>
      </c>
      <c r="AL29" s="185">
        <f t="shared" si="22"/>
        <v>241.23800119356227</v>
      </c>
      <c r="AM29" s="182">
        <f t="shared" si="32"/>
        <v>3</v>
      </c>
      <c r="AN29" s="576"/>
      <c r="AO29" s="188">
        <v>11</v>
      </c>
      <c r="AP29" s="188">
        <v>2653.9180131291846</v>
      </c>
      <c r="AQ29" s="185">
        <f t="shared" si="23"/>
        <v>241.26527392083497</v>
      </c>
      <c r="AR29" s="182">
        <f t="shared" si="33"/>
        <v>3</v>
      </c>
      <c r="AS29" s="576"/>
      <c r="AT29" s="188">
        <v>11</v>
      </c>
      <c r="AU29" s="188">
        <v>2652.7180131291843</v>
      </c>
      <c r="AV29" s="185">
        <f t="shared" si="24"/>
        <v>241.15618301174402</v>
      </c>
      <c r="AW29" s="182">
        <f t="shared" si="34"/>
        <v>3</v>
      </c>
      <c r="AX29" s="576"/>
    </row>
    <row r="30" spans="2:50" ht="14.25" customHeight="1">
      <c r="B30" s="575"/>
      <c r="C30" s="180">
        <v>4</v>
      </c>
      <c r="D30" s="183"/>
      <c r="E30" s="180"/>
      <c r="F30" s="180"/>
      <c r="G30" s="185"/>
      <c r="H30" s="576"/>
      <c r="I30" s="186"/>
      <c r="J30" s="186"/>
      <c r="K30" s="187"/>
      <c r="L30" s="577"/>
      <c r="M30" s="186"/>
      <c r="N30" s="575"/>
      <c r="O30" s="575"/>
      <c r="P30" s="188"/>
      <c r="Q30" s="188"/>
      <c r="R30" s="185"/>
      <c r="S30" s="182"/>
      <c r="T30" s="576"/>
      <c r="U30" s="188"/>
      <c r="V30" s="188"/>
      <c r="W30" s="185"/>
      <c r="X30" s="182"/>
      <c r="Y30" s="576"/>
      <c r="Z30" s="188"/>
      <c r="AA30" s="188"/>
      <c r="AB30" s="185"/>
      <c r="AC30" s="182"/>
      <c r="AD30" s="576"/>
      <c r="AE30" s="188"/>
      <c r="AF30" s="188"/>
      <c r="AG30" s="185"/>
      <c r="AH30" s="182"/>
      <c r="AI30" s="576"/>
      <c r="AJ30" s="188"/>
      <c r="AK30" s="188"/>
      <c r="AL30" s="185"/>
      <c r="AM30" s="182"/>
      <c r="AN30" s="576"/>
      <c r="AO30" s="188"/>
      <c r="AP30" s="188"/>
      <c r="AQ30" s="185"/>
      <c r="AR30" s="182"/>
      <c r="AS30" s="576"/>
      <c r="AT30" s="188"/>
      <c r="AU30" s="188"/>
      <c r="AV30" s="185"/>
      <c r="AW30" s="182"/>
      <c r="AX30" s="576"/>
    </row>
    <row r="31" spans="2:50" ht="14.25" customHeight="1">
      <c r="B31" s="575"/>
      <c r="C31" s="180">
        <v>5</v>
      </c>
      <c r="D31" s="183"/>
      <c r="E31" s="180"/>
      <c r="F31" s="180"/>
      <c r="G31" s="185"/>
      <c r="H31" s="576"/>
      <c r="I31" s="186"/>
      <c r="J31" s="186"/>
      <c r="K31" s="187"/>
      <c r="L31" s="577"/>
      <c r="M31" s="186"/>
      <c r="N31" s="575"/>
      <c r="O31" s="575"/>
      <c r="P31" s="188"/>
      <c r="Q31" s="188"/>
      <c r="R31" s="185"/>
      <c r="S31" s="182"/>
      <c r="T31" s="576"/>
      <c r="U31" s="188"/>
      <c r="V31" s="188"/>
      <c r="W31" s="185"/>
      <c r="X31" s="182"/>
      <c r="Y31" s="576"/>
      <c r="Z31" s="188"/>
      <c r="AA31" s="188"/>
      <c r="AB31" s="185"/>
      <c r="AC31" s="182"/>
      <c r="AD31" s="576"/>
      <c r="AE31" s="188"/>
      <c r="AF31" s="188"/>
      <c r="AG31" s="185"/>
      <c r="AH31" s="182"/>
      <c r="AI31" s="576"/>
      <c r="AJ31" s="188"/>
      <c r="AK31" s="188"/>
      <c r="AL31" s="185"/>
      <c r="AM31" s="182"/>
      <c r="AN31" s="576"/>
      <c r="AO31" s="188"/>
      <c r="AP31" s="188"/>
      <c r="AQ31" s="185"/>
      <c r="AR31" s="182"/>
      <c r="AS31" s="576"/>
      <c r="AT31" s="188"/>
      <c r="AU31" s="188"/>
      <c r="AV31" s="185"/>
      <c r="AW31" s="182"/>
      <c r="AX31" s="576"/>
    </row>
    <row r="32" spans="2:50" ht="14.25" customHeight="1">
      <c r="B32" s="575"/>
      <c r="C32" s="180">
        <v>6</v>
      </c>
      <c r="D32" s="183"/>
      <c r="E32" s="180"/>
      <c r="F32" s="180"/>
      <c r="G32" s="185"/>
      <c r="H32" s="576"/>
      <c r="I32" s="186"/>
      <c r="J32" s="186"/>
      <c r="K32" s="187"/>
      <c r="L32" s="577"/>
      <c r="M32" s="186"/>
      <c r="N32" s="575"/>
      <c r="O32" s="575"/>
      <c r="P32" s="188"/>
      <c r="Q32" s="188"/>
      <c r="R32" s="185"/>
      <c r="S32" s="182"/>
      <c r="T32" s="576"/>
      <c r="U32" s="188"/>
      <c r="V32" s="188"/>
      <c r="W32" s="185"/>
      <c r="X32" s="182"/>
      <c r="Y32" s="576"/>
      <c r="Z32" s="188"/>
      <c r="AA32" s="188"/>
      <c r="AB32" s="185"/>
      <c r="AC32" s="182"/>
      <c r="AD32" s="576"/>
      <c r="AE32" s="188"/>
      <c r="AF32" s="188"/>
      <c r="AG32" s="185"/>
      <c r="AH32" s="182"/>
      <c r="AI32" s="576"/>
      <c r="AJ32" s="188"/>
      <c r="AK32" s="188"/>
      <c r="AL32" s="185"/>
      <c r="AM32" s="182"/>
      <c r="AN32" s="576"/>
      <c r="AO32" s="188"/>
      <c r="AP32" s="188"/>
      <c r="AQ32" s="185"/>
      <c r="AR32" s="182"/>
      <c r="AS32" s="576"/>
      <c r="AT32" s="188"/>
      <c r="AU32" s="188"/>
      <c r="AV32" s="185"/>
      <c r="AW32" s="182"/>
      <c r="AX32" s="576"/>
    </row>
    <row r="33" spans="2:50" ht="14.25" customHeight="1">
      <c r="B33" s="575"/>
      <c r="C33" s="180">
        <v>7</v>
      </c>
      <c r="D33" s="183"/>
      <c r="E33" s="180"/>
      <c r="F33" s="180"/>
      <c r="G33" s="185"/>
      <c r="H33" s="576"/>
      <c r="I33" s="186"/>
      <c r="J33" s="186"/>
      <c r="K33" s="187"/>
      <c r="L33" s="577"/>
      <c r="M33" s="186"/>
      <c r="N33" s="575"/>
      <c r="O33" s="575"/>
      <c r="P33" s="188"/>
      <c r="Q33" s="188"/>
      <c r="R33" s="185"/>
      <c r="S33" s="182"/>
      <c r="T33" s="576"/>
      <c r="U33" s="188"/>
      <c r="V33" s="188"/>
      <c r="W33" s="185"/>
      <c r="X33" s="182"/>
      <c r="Y33" s="576"/>
      <c r="Z33" s="188"/>
      <c r="AA33" s="188"/>
      <c r="AB33" s="185"/>
      <c r="AC33" s="182"/>
      <c r="AD33" s="576"/>
      <c r="AE33" s="188"/>
      <c r="AF33" s="188"/>
      <c r="AG33" s="185"/>
      <c r="AH33" s="182"/>
      <c r="AI33" s="576"/>
      <c r="AJ33" s="188"/>
      <c r="AK33" s="188"/>
      <c r="AL33" s="185"/>
      <c r="AM33" s="182"/>
      <c r="AN33" s="576"/>
      <c r="AO33" s="188"/>
      <c r="AP33" s="188"/>
      <c r="AQ33" s="185"/>
      <c r="AR33" s="182"/>
      <c r="AS33" s="576"/>
      <c r="AT33" s="188"/>
      <c r="AU33" s="188"/>
      <c r="AV33" s="185"/>
      <c r="AW33" s="182"/>
      <c r="AX33" s="576"/>
    </row>
    <row r="34" spans="2:50" ht="14.25" customHeight="1">
      <c r="B34" s="575"/>
      <c r="C34" s="180">
        <v>8</v>
      </c>
      <c r="D34" s="183"/>
      <c r="E34" s="180"/>
      <c r="F34" s="180"/>
      <c r="G34" s="185"/>
      <c r="H34" s="576"/>
      <c r="I34" s="186"/>
      <c r="J34" s="186"/>
      <c r="K34" s="187"/>
      <c r="L34" s="577"/>
      <c r="M34" s="186"/>
      <c r="N34" s="575"/>
      <c r="O34" s="575"/>
      <c r="P34" s="188"/>
      <c r="Q34" s="188"/>
      <c r="R34" s="185"/>
      <c r="S34" s="182"/>
      <c r="T34" s="576"/>
      <c r="U34" s="188"/>
      <c r="V34" s="188"/>
      <c r="W34" s="185"/>
      <c r="X34" s="182"/>
      <c r="Y34" s="576"/>
      <c r="Z34" s="188"/>
      <c r="AA34" s="188"/>
      <c r="AB34" s="185"/>
      <c r="AC34" s="182"/>
      <c r="AD34" s="576"/>
      <c r="AE34" s="188"/>
      <c r="AF34" s="188"/>
      <c r="AG34" s="185"/>
      <c r="AH34" s="182"/>
      <c r="AI34" s="576"/>
      <c r="AJ34" s="188"/>
      <c r="AK34" s="188"/>
      <c r="AL34" s="185"/>
      <c r="AM34" s="182"/>
      <c r="AN34" s="576"/>
      <c r="AO34" s="188"/>
      <c r="AP34" s="188"/>
      <c r="AQ34" s="185"/>
      <c r="AR34" s="182"/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 collapsed="1">
      <c r="B42" s="589" t="s">
        <v>715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09" t="s">
        <v>374</v>
      </c>
      <c r="O42" s="609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1"/>
      <c r="O43" s="611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375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376</v>
      </c>
      <c r="F45" s="575"/>
      <c r="G45" s="575"/>
      <c r="H45" s="575"/>
      <c r="I45" s="579" t="s">
        <v>376</v>
      </c>
      <c r="J45" s="579"/>
      <c r="K45" s="579"/>
      <c r="L45" s="579"/>
      <c r="M45" s="579"/>
      <c r="N45" s="575"/>
      <c r="O45" s="575"/>
      <c r="P45" s="575" t="s">
        <v>377</v>
      </c>
      <c r="Q45" s="575"/>
      <c r="R45" s="575"/>
      <c r="S45" s="575"/>
      <c r="T45" s="575"/>
      <c r="U45" s="575" t="s">
        <v>377</v>
      </c>
      <c r="V45" s="575"/>
      <c r="W45" s="575"/>
      <c r="X45" s="575"/>
      <c r="Y45" s="575"/>
      <c r="Z45" s="575" t="s">
        <v>377</v>
      </c>
      <c r="AA45" s="575"/>
      <c r="AB45" s="575"/>
      <c r="AC45" s="575"/>
      <c r="AD45" s="575"/>
      <c r="AE45" s="575" t="s">
        <v>377</v>
      </c>
      <c r="AF45" s="575"/>
      <c r="AG45" s="575"/>
      <c r="AH45" s="575"/>
      <c r="AI45" s="575"/>
      <c r="AJ45" s="575" t="s">
        <v>377</v>
      </c>
      <c r="AK45" s="575"/>
      <c r="AL45" s="575"/>
      <c r="AM45" s="575"/>
      <c r="AN45" s="575"/>
      <c r="AO45" s="575" t="s">
        <v>377</v>
      </c>
      <c r="AP45" s="575"/>
      <c r="AQ45" s="575"/>
      <c r="AR45" s="575"/>
      <c r="AS45" s="575"/>
      <c r="AT45" s="575" t="s">
        <v>377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378</v>
      </c>
      <c r="G46" s="180" t="s">
        <v>161</v>
      </c>
      <c r="H46" s="575"/>
      <c r="I46" s="181" t="s">
        <v>159</v>
      </c>
      <c r="J46" s="181" t="s">
        <v>378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378</v>
      </c>
      <c r="R46" s="180" t="s">
        <v>161</v>
      </c>
      <c r="S46" s="182" t="s">
        <v>165</v>
      </c>
      <c r="T46" s="575"/>
      <c r="U46" s="180" t="s">
        <v>159</v>
      </c>
      <c r="V46" s="180" t="s">
        <v>378</v>
      </c>
      <c r="W46" s="180" t="s">
        <v>161</v>
      </c>
      <c r="X46" s="182" t="s">
        <v>165</v>
      </c>
      <c r="Y46" s="575"/>
      <c r="Z46" s="180" t="s">
        <v>159</v>
      </c>
      <c r="AA46" s="180" t="s">
        <v>378</v>
      </c>
      <c r="AB46" s="180" t="s">
        <v>161</v>
      </c>
      <c r="AC46" s="182" t="s">
        <v>165</v>
      </c>
      <c r="AD46" s="575"/>
      <c r="AE46" s="180" t="s">
        <v>159</v>
      </c>
      <c r="AF46" s="180" t="s">
        <v>378</v>
      </c>
      <c r="AG46" s="180" t="s">
        <v>161</v>
      </c>
      <c r="AH46" s="182" t="s">
        <v>165</v>
      </c>
      <c r="AI46" s="575"/>
      <c r="AJ46" s="180" t="s">
        <v>159</v>
      </c>
      <c r="AK46" s="180" t="s">
        <v>378</v>
      </c>
      <c r="AL46" s="180" t="s">
        <v>161</v>
      </c>
      <c r="AM46" s="182" t="s">
        <v>165</v>
      </c>
      <c r="AN46" s="575"/>
      <c r="AO46" s="180" t="s">
        <v>159</v>
      </c>
      <c r="AP46" s="180" t="s">
        <v>378</v>
      </c>
      <c r="AQ46" s="180" t="s">
        <v>161</v>
      </c>
      <c r="AR46" s="182" t="s">
        <v>165</v>
      </c>
      <c r="AS46" s="575"/>
      <c r="AT46" s="180" t="s">
        <v>159</v>
      </c>
      <c r="AU46" s="180" t="s">
        <v>378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381</v>
      </c>
      <c r="C47" s="180">
        <v>1</v>
      </c>
      <c r="D47" s="183" t="s">
        <v>508</v>
      </c>
      <c r="E47" s="180">
        <v>6</v>
      </c>
      <c r="F47" s="180">
        <v>3273</v>
      </c>
      <c r="G47" s="185">
        <f t="shared" ref="G47:G50" si="35">F47/E47</f>
        <v>545.5</v>
      </c>
      <c r="H47" s="576">
        <f>AVERAGE(G47:G61)</f>
        <v>445.09848484848487</v>
      </c>
      <c r="I47" s="186">
        <f>AVERAGE(P47,U47,Z47,AE47,AJ47,AO47,AT47)</f>
        <v>6</v>
      </c>
      <c r="J47" s="186">
        <f>AVERAGE(Q47,V47,AA47,AF47,AK47,AP47,AU47)</f>
        <v>2966.2552183599291</v>
      </c>
      <c r="K47" s="187">
        <f>AVERAGE(R47,W47,AB47,AG47,AL47,AQ47,AV47)</f>
        <v>494.37586972665491</v>
      </c>
      <c r="L47" s="577">
        <f>IFERROR(AVERAGE(K47:K61),"-")</f>
        <v>397.22974223260462</v>
      </c>
      <c r="M47" s="186">
        <f>RANK(K47, K$47:$K$61)</f>
        <v>1</v>
      </c>
      <c r="N47" s="575"/>
      <c r="O47" s="575"/>
      <c r="P47" s="188">
        <v>6</v>
      </c>
      <c r="Q47" s="188">
        <v>2965.8408168126107</v>
      </c>
      <c r="R47" s="185">
        <f>IFERROR(Q47/P47,"")</f>
        <v>494.3068028021018</v>
      </c>
      <c r="S47" s="182">
        <f>RANK(R47, R$47:R$61)</f>
        <v>1</v>
      </c>
      <c r="T47" s="576">
        <f>AVERAGE(R47:R61)</f>
        <v>392.18018580833041</v>
      </c>
      <c r="U47" s="188">
        <v>6</v>
      </c>
      <c r="V47" s="188">
        <v>2964.5316168126105</v>
      </c>
      <c r="W47" s="185">
        <f t="shared" ref="W47:W50" si="36">IFERROR(V47/U47,"")</f>
        <v>494.08860280210178</v>
      </c>
      <c r="X47" s="182">
        <f>RANK(W47, W$47:W$61)</f>
        <v>1</v>
      </c>
      <c r="Y47" s="576">
        <f>AVERAGE(W47:W61)</f>
        <v>393.81714868711833</v>
      </c>
      <c r="Z47" s="188">
        <v>6</v>
      </c>
      <c r="AA47" s="188">
        <v>2965.1862168126104</v>
      </c>
      <c r="AB47" s="185">
        <f t="shared" ref="AB47:AB50" si="37">IFERROR(AA47/Z47,"")</f>
        <v>494.19770280210173</v>
      </c>
      <c r="AC47" s="182">
        <f>RANK(AB47, AB$47:AB$61)</f>
        <v>1</v>
      </c>
      <c r="AD47" s="576">
        <f>AVERAGE(AB47:AB61)</f>
        <v>395.59797255075466</v>
      </c>
      <c r="AE47" s="188">
        <v>6</v>
      </c>
      <c r="AF47" s="188">
        <v>2966.4954168126096</v>
      </c>
      <c r="AG47" s="185">
        <f>IFERROR(AF47/AE47,"")</f>
        <v>494.41590280210158</v>
      </c>
      <c r="AH47" s="182">
        <f>RANK(AG47, AG$47:AG$61)</f>
        <v>1</v>
      </c>
      <c r="AI47" s="576">
        <f>AVERAGE(AG47:AG61)</f>
        <v>397.43654468711821</v>
      </c>
      <c r="AJ47" s="188">
        <v>6</v>
      </c>
      <c r="AK47" s="188">
        <v>2966.5080229075265</v>
      </c>
      <c r="AL47" s="185">
        <f t="shared" ref="AL47:AL50" si="38">IFERROR(AK47/AJ47,"")</f>
        <v>494.41800381792109</v>
      </c>
      <c r="AM47" s="182">
        <f>RANK(AL47, AL$47:AL$61)</f>
        <v>1</v>
      </c>
      <c r="AN47" s="576">
        <f>AVERAGE(AL47:AL61)</f>
        <v>399.30094290652767</v>
      </c>
      <c r="AO47" s="188">
        <v>6</v>
      </c>
      <c r="AP47" s="188">
        <v>2966.9576191807687</v>
      </c>
      <c r="AQ47" s="185">
        <f t="shared" ref="AQ47:AQ50" si="39">IFERROR(AP47/AO47,"")</f>
        <v>494.49293653012813</v>
      </c>
      <c r="AR47" s="182">
        <f>RANK(AQ47, AQ$47:AQ$61)</f>
        <v>1</v>
      </c>
      <c r="AS47" s="576">
        <f>AVERAGE(AQ47:AQ61)</f>
        <v>401.12112644116127</v>
      </c>
      <c r="AT47" s="188">
        <v>6</v>
      </c>
      <c r="AU47" s="188">
        <v>2968.2668191807684</v>
      </c>
      <c r="AV47" s="185">
        <f t="shared" ref="AV47:AV50" si="40">IFERROR(AU47/AT47,"")</f>
        <v>494.71113653012804</v>
      </c>
      <c r="AW47" s="182">
        <f>RANK(AV47, AV$47:AV$61)</f>
        <v>1</v>
      </c>
      <c r="AX47" s="576">
        <f>AVERAGE(AV47:AV61)</f>
        <v>370.30260904434914</v>
      </c>
    </row>
    <row r="48" spans="2:50" ht="14.25" customHeight="1">
      <c r="B48" s="575"/>
      <c r="C48" s="180">
        <v>2</v>
      </c>
      <c r="D48" s="183" t="s">
        <v>532</v>
      </c>
      <c r="E48" s="180">
        <v>6</v>
      </c>
      <c r="F48" s="180">
        <v>3273</v>
      </c>
      <c r="G48" s="185">
        <f t="shared" si="35"/>
        <v>545.5</v>
      </c>
      <c r="H48" s="576"/>
      <c r="I48" s="186">
        <f t="shared" ref="I48:K50" si="41">AVERAGE(P48,U48,Z48,AE48,AJ48,AO48,AT48)</f>
        <v>6</v>
      </c>
      <c r="J48" s="186">
        <f t="shared" si="41"/>
        <v>2962.2556263350384</v>
      </c>
      <c r="K48" s="187">
        <f t="shared" si="41"/>
        <v>493.70927105583974</v>
      </c>
      <c r="L48" s="577"/>
      <c r="M48" s="186">
        <f>RANK(K48, K$47:$K$61)</f>
        <v>2</v>
      </c>
      <c r="N48" s="575"/>
      <c r="O48" s="575"/>
      <c r="P48" s="188">
        <v>6</v>
      </c>
      <c r="Q48" s="188">
        <v>2962.3647263350381</v>
      </c>
      <c r="R48" s="185">
        <f t="shared" ref="R48:R50" si="42">IFERROR(Q48/P48,"")</f>
        <v>493.72745438917303</v>
      </c>
      <c r="S48" s="182">
        <f t="shared" ref="S48:S50" si="43">RANK(R48, R$47:R$61)</f>
        <v>2</v>
      </c>
      <c r="T48" s="576"/>
      <c r="U48" s="188">
        <v>6</v>
      </c>
      <c r="V48" s="188">
        <v>2961.7101263350382</v>
      </c>
      <c r="W48" s="185">
        <f t="shared" si="36"/>
        <v>493.61835438917302</v>
      </c>
      <c r="X48" s="182">
        <f t="shared" ref="X48:X50" si="44">RANK(W48, W$47:W$61)</f>
        <v>2</v>
      </c>
      <c r="Y48" s="576"/>
      <c r="Z48" s="188">
        <v>6</v>
      </c>
      <c r="AA48" s="188">
        <v>2961.3828263350383</v>
      </c>
      <c r="AB48" s="185">
        <f t="shared" si="37"/>
        <v>493.56380438917307</v>
      </c>
      <c r="AC48" s="182">
        <f t="shared" ref="AC48:AC50" si="45">RANK(AB48, AB$47:AB$61)</f>
        <v>2</v>
      </c>
      <c r="AD48" s="576"/>
      <c r="AE48" s="188">
        <v>6</v>
      </c>
      <c r="AF48" s="188">
        <v>2962.3647263350385</v>
      </c>
      <c r="AG48" s="185">
        <f t="shared" ref="AG48:AG50" si="46">IFERROR(AF48/AE48,"")</f>
        <v>493.72745438917309</v>
      </c>
      <c r="AH48" s="182">
        <f t="shared" ref="AH48:AH50" si="47">RANK(AG48, AG$47:AG$61)</f>
        <v>2</v>
      </c>
      <c r="AI48" s="576"/>
      <c r="AJ48" s="188">
        <v>6</v>
      </c>
      <c r="AK48" s="188">
        <v>2963.3466263350388</v>
      </c>
      <c r="AL48" s="185">
        <f t="shared" si="38"/>
        <v>493.89110438917311</v>
      </c>
      <c r="AM48" s="182">
        <f t="shared" ref="AM48:AM50" si="48">RANK(AL48, AL$47:AL$61)</f>
        <v>2</v>
      </c>
      <c r="AN48" s="576"/>
      <c r="AO48" s="188">
        <v>6</v>
      </c>
      <c r="AP48" s="188">
        <v>2962.364726335039</v>
      </c>
      <c r="AQ48" s="185">
        <f t="shared" si="39"/>
        <v>493.72745438917315</v>
      </c>
      <c r="AR48" s="182">
        <f t="shared" ref="AR48:AR50" si="49">RANK(AQ48, AQ$47:AQ$61)</f>
        <v>2</v>
      </c>
      <c r="AS48" s="576"/>
      <c r="AT48" s="188"/>
      <c r="AU48" s="188"/>
      <c r="AV48" s="185"/>
      <c r="AW48" s="182"/>
      <c r="AX48" s="576"/>
    </row>
    <row r="49" spans="2:50" ht="14.25" customHeight="1">
      <c r="B49" s="575"/>
      <c r="C49" s="180">
        <v>3</v>
      </c>
      <c r="D49" s="183" t="s">
        <v>658</v>
      </c>
      <c r="E49" s="180">
        <v>11</v>
      </c>
      <c r="F49" s="180">
        <v>3000</v>
      </c>
      <c r="G49" s="185">
        <f t="shared" si="35"/>
        <v>272.72727272727275</v>
      </c>
      <c r="H49" s="576"/>
      <c r="I49" s="186">
        <f t="shared" si="41"/>
        <v>11</v>
      </c>
      <c r="J49" s="186">
        <f t="shared" si="41"/>
        <v>2652.203727414897</v>
      </c>
      <c r="K49" s="187">
        <f t="shared" si="41"/>
        <v>241.10942976499069</v>
      </c>
      <c r="L49" s="577"/>
      <c r="M49" s="186">
        <f>RANK(K49, K$47:$K$61)</f>
        <v>4</v>
      </c>
      <c r="N49" s="575"/>
      <c r="O49" s="575"/>
      <c r="P49" s="188">
        <v>11</v>
      </c>
      <c r="Q49" s="188">
        <v>2651.2180131291839</v>
      </c>
      <c r="R49" s="185">
        <f t="shared" si="42"/>
        <v>241.01981937538037</v>
      </c>
      <c r="S49" s="182">
        <f t="shared" si="43"/>
        <v>4</v>
      </c>
      <c r="T49" s="576"/>
      <c r="U49" s="188">
        <v>11</v>
      </c>
      <c r="V49" s="188">
        <v>2652.1180131291835</v>
      </c>
      <c r="W49" s="185">
        <f t="shared" si="36"/>
        <v>241.1016375571985</v>
      </c>
      <c r="X49" s="182">
        <f t="shared" si="44"/>
        <v>4</v>
      </c>
      <c r="Y49" s="576"/>
      <c r="Z49" s="188">
        <v>11</v>
      </c>
      <c r="AA49" s="188">
        <v>2652.718013129183</v>
      </c>
      <c r="AB49" s="185">
        <f t="shared" si="37"/>
        <v>241.15618301174391</v>
      </c>
      <c r="AC49" s="182">
        <f t="shared" si="45"/>
        <v>4</v>
      </c>
      <c r="AD49" s="576"/>
      <c r="AE49" s="188">
        <v>11</v>
      </c>
      <c r="AF49" s="188">
        <v>2652.1180131291831</v>
      </c>
      <c r="AG49" s="185">
        <f t="shared" si="46"/>
        <v>241.10163755719847</v>
      </c>
      <c r="AH49" s="182">
        <f t="shared" si="47"/>
        <v>4</v>
      </c>
      <c r="AI49" s="576"/>
      <c r="AJ49" s="188">
        <v>11</v>
      </c>
      <c r="AK49" s="188">
        <v>2653.0180131291827</v>
      </c>
      <c r="AL49" s="185">
        <f t="shared" si="38"/>
        <v>241.18345573901661</v>
      </c>
      <c r="AM49" s="182">
        <f t="shared" si="48"/>
        <v>4</v>
      </c>
      <c r="AN49" s="576"/>
      <c r="AO49" s="188">
        <v>11</v>
      </c>
      <c r="AP49" s="188">
        <v>2652.718013129183</v>
      </c>
      <c r="AQ49" s="185">
        <f t="shared" si="39"/>
        <v>241.15618301174391</v>
      </c>
      <c r="AR49" s="182">
        <f t="shared" si="49"/>
        <v>4</v>
      </c>
      <c r="AS49" s="576"/>
      <c r="AT49" s="188">
        <v>11</v>
      </c>
      <c r="AU49" s="188">
        <v>2651.5180131291831</v>
      </c>
      <c r="AV49" s="185">
        <f t="shared" si="40"/>
        <v>241.04709210265301</v>
      </c>
      <c r="AW49" s="182">
        <f t="shared" ref="AW49:AW50" si="50">RANK(AV49, AV$47:AV$61)</f>
        <v>3</v>
      </c>
      <c r="AX49" s="576"/>
    </row>
    <row r="50" spans="2:50" ht="14.25" customHeight="1">
      <c r="B50" s="575"/>
      <c r="C50" s="180">
        <v>4</v>
      </c>
      <c r="D50" s="183" t="s">
        <v>716</v>
      </c>
      <c r="E50" s="180">
        <v>6</v>
      </c>
      <c r="F50" s="180">
        <v>2500</v>
      </c>
      <c r="G50" s="185">
        <f t="shared" si="35"/>
        <v>416.66666666666669</v>
      </c>
      <c r="H50" s="576"/>
      <c r="I50" s="186">
        <f t="shared" si="41"/>
        <v>6</v>
      </c>
      <c r="J50" s="186">
        <f t="shared" si="41"/>
        <v>2158.3463902975996</v>
      </c>
      <c r="K50" s="187">
        <f t="shared" si="41"/>
        <v>359.7243983829332</v>
      </c>
      <c r="L50" s="577"/>
      <c r="M50" s="186">
        <f>RANK(K50, K$47:$K$61)</f>
        <v>3</v>
      </c>
      <c r="N50" s="575"/>
      <c r="O50" s="575"/>
      <c r="P50" s="188">
        <v>6</v>
      </c>
      <c r="Q50" s="188">
        <v>2037.9999999999998</v>
      </c>
      <c r="R50" s="185">
        <f t="shared" si="42"/>
        <v>339.66666666666663</v>
      </c>
      <c r="S50" s="182">
        <f t="shared" si="43"/>
        <v>3</v>
      </c>
      <c r="T50" s="576"/>
      <c r="U50" s="188">
        <v>6</v>
      </c>
      <c r="V50" s="188">
        <v>2078.7599999999998</v>
      </c>
      <c r="W50" s="185">
        <f t="shared" si="36"/>
        <v>346.46</v>
      </c>
      <c r="X50" s="182">
        <f t="shared" si="44"/>
        <v>3</v>
      </c>
      <c r="Y50" s="576"/>
      <c r="Z50" s="188">
        <v>6</v>
      </c>
      <c r="AA50" s="188">
        <v>2120.8451999999997</v>
      </c>
      <c r="AB50" s="185">
        <f t="shared" si="37"/>
        <v>353.47419999999994</v>
      </c>
      <c r="AC50" s="182">
        <f t="shared" si="45"/>
        <v>3</v>
      </c>
      <c r="AD50" s="576"/>
      <c r="AE50" s="188">
        <v>6</v>
      </c>
      <c r="AF50" s="188">
        <v>2163.0071039999989</v>
      </c>
      <c r="AG50" s="185">
        <f t="shared" si="46"/>
        <v>360.5011839999998</v>
      </c>
      <c r="AH50" s="182">
        <f t="shared" si="47"/>
        <v>3</v>
      </c>
      <c r="AI50" s="576"/>
      <c r="AJ50" s="188">
        <v>6</v>
      </c>
      <c r="AK50" s="188">
        <v>2206.2672460799995</v>
      </c>
      <c r="AL50" s="185">
        <f t="shared" si="38"/>
        <v>367.71120767999992</v>
      </c>
      <c r="AM50" s="182">
        <f t="shared" si="48"/>
        <v>3</v>
      </c>
      <c r="AN50" s="576"/>
      <c r="AO50" s="188">
        <v>6</v>
      </c>
      <c r="AP50" s="188">
        <v>2250.6475910015997</v>
      </c>
      <c r="AQ50" s="185">
        <f t="shared" si="39"/>
        <v>375.10793183359993</v>
      </c>
      <c r="AR50" s="182">
        <f t="shared" si="49"/>
        <v>3</v>
      </c>
      <c r="AS50" s="576"/>
      <c r="AT50" s="188">
        <v>6</v>
      </c>
      <c r="AU50" s="188">
        <v>2250.8975910015988</v>
      </c>
      <c r="AV50" s="185">
        <f t="shared" si="40"/>
        <v>375.14959850026645</v>
      </c>
      <c r="AW50" s="182">
        <f t="shared" si="50"/>
        <v>2</v>
      </c>
      <c r="AX50" s="576"/>
    </row>
    <row r="51" spans="2:50" ht="14.25" customHeight="1">
      <c r="B51" s="575"/>
      <c r="C51" s="180">
        <v>5</v>
      </c>
      <c r="D51" s="183"/>
      <c r="E51" s="180"/>
      <c r="F51" s="180"/>
      <c r="G51" s="185"/>
      <c r="H51" s="576"/>
      <c r="I51" s="186"/>
      <c r="J51" s="186"/>
      <c r="K51" s="187"/>
      <c r="L51" s="577"/>
      <c r="M51" s="186"/>
      <c r="N51" s="575"/>
      <c r="O51" s="575"/>
      <c r="P51" s="188"/>
      <c r="Q51" s="188"/>
      <c r="R51" s="185"/>
      <c r="S51" s="182"/>
      <c r="T51" s="576"/>
      <c r="U51" s="188"/>
      <c r="V51" s="188"/>
      <c r="W51" s="185"/>
      <c r="X51" s="182"/>
      <c r="Y51" s="576"/>
      <c r="Z51" s="188"/>
      <c r="AA51" s="188"/>
      <c r="AB51" s="185"/>
      <c r="AC51" s="182"/>
      <c r="AD51" s="576"/>
      <c r="AE51" s="188"/>
      <c r="AF51" s="188"/>
      <c r="AG51" s="185"/>
      <c r="AH51" s="182"/>
      <c r="AI51" s="576"/>
      <c r="AJ51" s="188"/>
      <c r="AK51" s="188"/>
      <c r="AL51" s="185"/>
      <c r="AM51" s="182"/>
      <c r="AN51" s="576"/>
      <c r="AO51" s="188"/>
      <c r="AP51" s="188"/>
      <c r="AQ51" s="185"/>
      <c r="AR51" s="182"/>
      <c r="AS51" s="576"/>
      <c r="AT51" s="188"/>
      <c r="AU51" s="188"/>
      <c r="AV51" s="185"/>
      <c r="AW51" s="182"/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576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576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576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  <row r="62" spans="2:50" ht="14.25" customHeight="1">
      <c r="B62" s="643" t="s">
        <v>754</v>
      </c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4"/>
      <c r="N62" s="609" t="s">
        <v>374</v>
      </c>
      <c r="O62" s="609" t="s">
        <v>105</v>
      </c>
      <c r="P62" s="655">
        <v>46133</v>
      </c>
      <c r="Q62" s="656"/>
      <c r="R62" s="656"/>
      <c r="S62" s="656"/>
      <c r="T62" s="656"/>
      <c r="U62" s="657">
        <v>46134</v>
      </c>
      <c r="V62" s="658"/>
      <c r="W62" s="658"/>
      <c r="X62" s="658"/>
      <c r="Y62" s="658"/>
      <c r="Z62" s="655">
        <v>46135</v>
      </c>
      <c r="AA62" s="656"/>
      <c r="AB62" s="656"/>
      <c r="AC62" s="656"/>
      <c r="AD62" s="656"/>
      <c r="AE62" s="657">
        <v>46136</v>
      </c>
      <c r="AF62" s="658"/>
      <c r="AG62" s="658"/>
      <c r="AH62" s="658"/>
      <c r="AI62" s="658"/>
      <c r="AJ62" s="647">
        <v>46137</v>
      </c>
      <c r="AK62" s="648"/>
      <c r="AL62" s="648"/>
      <c r="AM62" s="648"/>
      <c r="AN62" s="649"/>
      <c r="AO62" s="657">
        <v>46138</v>
      </c>
      <c r="AP62" s="658"/>
      <c r="AQ62" s="658"/>
      <c r="AR62" s="658"/>
      <c r="AS62" s="658"/>
      <c r="AT62" s="647">
        <v>46139</v>
      </c>
      <c r="AU62" s="648"/>
      <c r="AV62" s="648"/>
      <c r="AW62" s="648"/>
      <c r="AX62" s="649"/>
    </row>
    <row r="63" spans="2:50" ht="14.25" customHeight="1"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6"/>
      <c r="N63" s="611"/>
      <c r="O63" s="611"/>
      <c r="P63" s="650">
        <v>46133</v>
      </c>
      <c r="Q63" s="650"/>
      <c r="R63" s="650"/>
      <c r="S63" s="650"/>
      <c r="T63" s="650"/>
      <c r="U63" s="651">
        <v>46134</v>
      </c>
      <c r="V63" s="651"/>
      <c r="W63" s="651"/>
      <c r="X63" s="651"/>
      <c r="Y63" s="651"/>
      <c r="Z63" s="650">
        <v>46135</v>
      </c>
      <c r="AA63" s="650"/>
      <c r="AB63" s="650"/>
      <c r="AC63" s="650"/>
      <c r="AD63" s="650"/>
      <c r="AE63" s="651">
        <v>46136</v>
      </c>
      <c r="AF63" s="651"/>
      <c r="AG63" s="651"/>
      <c r="AH63" s="651"/>
      <c r="AI63" s="651"/>
      <c r="AJ63" s="652">
        <v>46137</v>
      </c>
      <c r="AK63" s="653"/>
      <c r="AL63" s="653"/>
      <c r="AM63" s="653"/>
      <c r="AN63" s="654"/>
      <c r="AO63" s="651">
        <v>46138</v>
      </c>
      <c r="AP63" s="651"/>
      <c r="AQ63" s="651"/>
      <c r="AR63" s="651"/>
      <c r="AS63" s="651"/>
      <c r="AT63" s="652">
        <v>46139</v>
      </c>
      <c r="AU63" s="653"/>
      <c r="AV63" s="653"/>
      <c r="AW63" s="653"/>
      <c r="AX63" s="654"/>
    </row>
    <row r="64" spans="2:50" ht="14.25" customHeight="1">
      <c r="B64" s="575" t="s">
        <v>162</v>
      </c>
      <c r="C64" s="575" t="s">
        <v>157</v>
      </c>
      <c r="D64" s="575"/>
      <c r="E64" s="575" t="s">
        <v>158</v>
      </c>
      <c r="F64" s="575"/>
      <c r="G64" s="575"/>
      <c r="H64" s="575" t="s">
        <v>163</v>
      </c>
      <c r="I64" s="579" t="s">
        <v>375</v>
      </c>
      <c r="J64" s="579"/>
      <c r="K64" s="579"/>
      <c r="L64" s="579" t="s">
        <v>163</v>
      </c>
      <c r="M64" s="579" t="s">
        <v>165</v>
      </c>
      <c r="N64" s="575"/>
      <c r="O64" s="575" t="s">
        <v>164</v>
      </c>
      <c r="P64" s="575" t="s">
        <v>160</v>
      </c>
      <c r="Q64" s="575"/>
      <c r="R64" s="575"/>
      <c r="S64" s="575"/>
      <c r="T64" s="575" t="s">
        <v>163</v>
      </c>
      <c r="U64" s="575" t="s">
        <v>160</v>
      </c>
      <c r="V64" s="575"/>
      <c r="W64" s="575"/>
      <c r="X64" s="575"/>
      <c r="Y64" s="575" t="s">
        <v>163</v>
      </c>
      <c r="Z64" s="575" t="s">
        <v>160</v>
      </c>
      <c r="AA64" s="575"/>
      <c r="AB64" s="575"/>
      <c r="AC64" s="575"/>
      <c r="AD64" s="575" t="s">
        <v>163</v>
      </c>
      <c r="AE64" s="575" t="s">
        <v>160</v>
      </c>
      <c r="AF64" s="575"/>
      <c r="AG64" s="575"/>
      <c r="AH64" s="575"/>
      <c r="AI64" s="575" t="s">
        <v>163</v>
      </c>
      <c r="AJ64" s="575" t="s">
        <v>160</v>
      </c>
      <c r="AK64" s="575"/>
      <c r="AL64" s="575"/>
      <c r="AM64" s="575"/>
      <c r="AN64" s="575" t="s">
        <v>163</v>
      </c>
      <c r="AO64" s="575" t="s">
        <v>160</v>
      </c>
      <c r="AP64" s="575"/>
      <c r="AQ64" s="575"/>
      <c r="AR64" s="575"/>
      <c r="AS64" s="575" t="s">
        <v>163</v>
      </c>
      <c r="AT64" s="575" t="s">
        <v>160</v>
      </c>
      <c r="AU64" s="575"/>
      <c r="AV64" s="575"/>
      <c r="AW64" s="575"/>
      <c r="AX64" s="575" t="s">
        <v>163</v>
      </c>
    </row>
    <row r="65" spans="2:50" ht="14.25" customHeight="1">
      <c r="B65" s="575"/>
      <c r="C65" s="575"/>
      <c r="D65" s="575"/>
      <c r="E65" s="575" t="s">
        <v>376</v>
      </c>
      <c r="F65" s="575"/>
      <c r="G65" s="575"/>
      <c r="H65" s="575"/>
      <c r="I65" s="579" t="s">
        <v>376</v>
      </c>
      <c r="J65" s="579"/>
      <c r="K65" s="579"/>
      <c r="L65" s="579"/>
      <c r="M65" s="579"/>
      <c r="N65" s="575"/>
      <c r="O65" s="575"/>
      <c r="P65" s="575" t="s">
        <v>377</v>
      </c>
      <c r="Q65" s="575"/>
      <c r="R65" s="575"/>
      <c r="S65" s="575"/>
      <c r="T65" s="575"/>
      <c r="U65" s="575" t="s">
        <v>377</v>
      </c>
      <c r="V65" s="575"/>
      <c r="W65" s="575"/>
      <c r="X65" s="575"/>
      <c r="Y65" s="575"/>
      <c r="Z65" s="575" t="s">
        <v>377</v>
      </c>
      <c r="AA65" s="575"/>
      <c r="AB65" s="575"/>
      <c r="AC65" s="575"/>
      <c r="AD65" s="575"/>
      <c r="AE65" s="575" t="s">
        <v>377</v>
      </c>
      <c r="AF65" s="575"/>
      <c r="AG65" s="575"/>
      <c r="AH65" s="575"/>
      <c r="AI65" s="575"/>
      <c r="AJ65" s="575" t="s">
        <v>377</v>
      </c>
      <c r="AK65" s="575"/>
      <c r="AL65" s="575"/>
      <c r="AM65" s="575"/>
      <c r="AN65" s="575"/>
      <c r="AO65" s="575" t="s">
        <v>377</v>
      </c>
      <c r="AP65" s="575"/>
      <c r="AQ65" s="575"/>
      <c r="AR65" s="575"/>
      <c r="AS65" s="575"/>
      <c r="AT65" s="575" t="s">
        <v>377</v>
      </c>
      <c r="AU65" s="575"/>
      <c r="AV65" s="575"/>
      <c r="AW65" s="575"/>
      <c r="AX65" s="575"/>
    </row>
    <row r="66" spans="2:50" ht="14.25" customHeight="1">
      <c r="B66" s="575"/>
      <c r="C66" s="575"/>
      <c r="D66" s="575"/>
      <c r="E66" s="180" t="s">
        <v>159</v>
      </c>
      <c r="F66" s="180" t="s">
        <v>378</v>
      </c>
      <c r="G66" s="180" t="s">
        <v>161</v>
      </c>
      <c r="H66" s="575"/>
      <c r="I66" s="181" t="s">
        <v>159</v>
      </c>
      <c r="J66" s="181" t="s">
        <v>378</v>
      </c>
      <c r="K66" s="181" t="s">
        <v>161</v>
      </c>
      <c r="L66" s="579"/>
      <c r="M66" s="579"/>
      <c r="N66" s="575"/>
      <c r="O66" s="575"/>
      <c r="P66" s="180" t="s">
        <v>159</v>
      </c>
      <c r="Q66" s="180" t="s">
        <v>378</v>
      </c>
      <c r="R66" s="180" t="s">
        <v>161</v>
      </c>
      <c r="S66" s="182" t="s">
        <v>165</v>
      </c>
      <c r="T66" s="575"/>
      <c r="U66" s="180" t="s">
        <v>159</v>
      </c>
      <c r="V66" s="180" t="s">
        <v>378</v>
      </c>
      <c r="W66" s="180" t="s">
        <v>161</v>
      </c>
      <c r="X66" s="182" t="s">
        <v>165</v>
      </c>
      <c r="Y66" s="575"/>
      <c r="Z66" s="180" t="s">
        <v>159</v>
      </c>
      <c r="AA66" s="180" t="s">
        <v>378</v>
      </c>
      <c r="AB66" s="180" t="s">
        <v>161</v>
      </c>
      <c r="AC66" s="182" t="s">
        <v>165</v>
      </c>
      <c r="AD66" s="575"/>
      <c r="AE66" s="180" t="s">
        <v>159</v>
      </c>
      <c r="AF66" s="180" t="s">
        <v>378</v>
      </c>
      <c r="AG66" s="180" t="s">
        <v>161</v>
      </c>
      <c r="AH66" s="182" t="s">
        <v>165</v>
      </c>
      <c r="AI66" s="575"/>
      <c r="AJ66" s="180" t="s">
        <v>159</v>
      </c>
      <c r="AK66" s="180" t="s">
        <v>378</v>
      </c>
      <c r="AL66" s="180" t="s">
        <v>161</v>
      </c>
      <c r="AM66" s="182" t="s">
        <v>165</v>
      </c>
      <c r="AN66" s="575"/>
      <c r="AO66" s="180" t="s">
        <v>159</v>
      </c>
      <c r="AP66" s="180" t="s">
        <v>378</v>
      </c>
      <c r="AQ66" s="180" t="s">
        <v>161</v>
      </c>
      <c r="AR66" s="182" t="s">
        <v>165</v>
      </c>
      <c r="AS66" s="575"/>
      <c r="AT66" s="180" t="s">
        <v>159</v>
      </c>
      <c r="AU66" s="180" t="s">
        <v>378</v>
      </c>
      <c r="AV66" s="180" t="s">
        <v>161</v>
      </c>
      <c r="AW66" s="182" t="s">
        <v>165</v>
      </c>
      <c r="AX66" s="575"/>
    </row>
    <row r="67" spans="2:50" ht="14.25" customHeight="1">
      <c r="B67" s="575" t="s">
        <v>381</v>
      </c>
      <c r="C67" s="180">
        <v>1</v>
      </c>
      <c r="D67" s="183" t="s">
        <v>508</v>
      </c>
      <c r="E67" s="180">
        <v>6</v>
      </c>
      <c r="F67" s="180">
        <v>3273</v>
      </c>
      <c r="G67" s="185">
        <f t="shared" ref="G67:G70" si="51">F67/E67</f>
        <v>545.5</v>
      </c>
      <c r="H67" s="576">
        <f>AVERAGE(G67:G81)</f>
        <v>412.89015151515156</v>
      </c>
      <c r="I67" s="186">
        <f>AVERAGE(P67,U67,Z67,AE67,AJ67,AO67,AT67)</f>
        <v>6</v>
      </c>
      <c r="J67" s="186">
        <f>AVERAGE(Q67,V67,AA67,AF67,AK67,AP67,AU67)</f>
        <v>2968.6142771404593</v>
      </c>
      <c r="K67" s="187">
        <f>AVERAGE(R67,W67,AB67,AG67,AL67,AQ67,AV67)</f>
        <v>494.76904619007649</v>
      </c>
      <c r="L67" s="577">
        <f>IFERROR(AVERAGE(K67:K81),"-")</f>
        <v>368.48117707341515</v>
      </c>
      <c r="M67" s="186">
        <f>RANK(K67, K$67:$K$81)</f>
        <v>1</v>
      </c>
      <c r="N67" s="575"/>
      <c r="O67" s="575"/>
      <c r="P67" s="188">
        <v>6</v>
      </c>
      <c r="Q67" s="188">
        <v>2968.9214191807682</v>
      </c>
      <c r="R67" s="185">
        <f>IFERROR(Q67/P67,"")</f>
        <v>494.82023653012806</v>
      </c>
      <c r="S67" s="182">
        <f>RANK(R67, R$67:R$81)</f>
        <v>1</v>
      </c>
      <c r="T67" s="576">
        <f>AVERAGE(R67:R81)</f>
        <v>363.69135299538306</v>
      </c>
      <c r="U67" s="188">
        <v>6</v>
      </c>
      <c r="V67" s="188">
        <v>2969.5760191807685</v>
      </c>
      <c r="W67" s="185">
        <f t="shared" ref="W67:W70" si="52">IFERROR(V67/U67,"")</f>
        <v>494.92933653012807</v>
      </c>
      <c r="X67" s="182">
        <f>RANK(W67, W$67:W$81)</f>
        <v>1</v>
      </c>
      <c r="Y67" s="576">
        <f>AVERAGE(W67:W81)</f>
        <v>365.38182875295882</v>
      </c>
      <c r="Z67" s="188">
        <v>6</v>
      </c>
      <c r="AA67" s="188">
        <v>2968.9214191807691</v>
      </c>
      <c r="AB67" s="185">
        <f t="shared" ref="AB67:AB70" si="53">IFERROR(AA67/Z67,"")</f>
        <v>494.82023653012817</v>
      </c>
      <c r="AC67" s="182">
        <f>RANK(AB67, AB$67:AB$81)</f>
        <v>1</v>
      </c>
      <c r="AD67" s="576">
        <f>AVERAGE(AB67:AB81)</f>
        <v>367.1738026165952</v>
      </c>
      <c r="AE67" s="188">
        <v>6</v>
      </c>
      <c r="AF67" s="188">
        <v>2968.2668191807688</v>
      </c>
      <c r="AG67" s="185">
        <f>IFERROR(AF67/AE67,"")</f>
        <v>494.71113653012816</v>
      </c>
      <c r="AH67" s="182">
        <f>RANK(AG67, AG$67:AG$81)</f>
        <v>1</v>
      </c>
      <c r="AI67" s="576">
        <f>AVERAGE(AG67:AG81)</f>
        <v>368.86196448780737</v>
      </c>
      <c r="AJ67" s="188">
        <v>6</v>
      </c>
      <c r="AK67" s="188">
        <v>2968.5941191807683</v>
      </c>
      <c r="AL67" s="185">
        <f t="shared" ref="AL67:AL70" si="54">IFERROR(AK67/AJ67,"")</f>
        <v>494.76568653012805</v>
      </c>
      <c r="AM67" s="182">
        <f>RANK(AL67, AL$67:AL$81)</f>
        <v>1</v>
      </c>
      <c r="AN67" s="576">
        <f>AVERAGE(AL67:AL81)</f>
        <v>371.42378028190376</v>
      </c>
      <c r="AO67" s="188">
        <v>6</v>
      </c>
      <c r="AP67" s="188">
        <v>2969.903319180768</v>
      </c>
      <c r="AQ67" s="185">
        <f t="shared" ref="AQ67:AQ70" si="55">IFERROR(AP67/AO67,"")</f>
        <v>494.98388653012802</v>
      </c>
      <c r="AR67" s="182">
        <f>RANK(AQ67, AQ$67:AQ$81)</f>
        <v>1</v>
      </c>
      <c r="AS67" s="576">
        <f>AVERAGE(AQ67:AQ81)</f>
        <v>371.48230755463106</v>
      </c>
      <c r="AT67" s="188">
        <v>6</v>
      </c>
      <c r="AU67" s="188">
        <v>2966.1168248986032</v>
      </c>
      <c r="AV67" s="185">
        <f t="shared" ref="AV67:AV70" si="56">IFERROR(AU67/AT67,"")</f>
        <v>494.35280414976722</v>
      </c>
      <c r="AW67" s="182">
        <f>RANK(AV67, AV$67:AV$81)</f>
        <v>1</v>
      </c>
      <c r="AX67" s="576">
        <f>AVERAGE(AV67:AV81)</f>
        <v>371.35320282462681</v>
      </c>
    </row>
    <row r="68" spans="2:50" ht="14.25" customHeight="1">
      <c r="B68" s="575"/>
      <c r="C68" s="180">
        <v>2</v>
      </c>
      <c r="D68" s="183" t="s">
        <v>658</v>
      </c>
      <c r="E68" s="180">
        <v>11</v>
      </c>
      <c r="F68" s="180">
        <v>3000</v>
      </c>
      <c r="G68" s="185">
        <f t="shared" si="51"/>
        <v>272.72727272727275</v>
      </c>
      <c r="H68" s="576"/>
      <c r="I68" s="186">
        <f t="shared" ref="I68:K70" si="57">AVERAGE(P68,U68,Z68,AE68,AJ68,AO68,AT68)</f>
        <v>11</v>
      </c>
      <c r="J68" s="186">
        <f t="shared" si="57"/>
        <v>2651.5180131291818</v>
      </c>
      <c r="K68" s="187">
        <f t="shared" si="57"/>
        <v>241.0470921026529</v>
      </c>
      <c r="L68" s="577"/>
      <c r="M68" s="186">
        <f>RANK(K68, K$67:$K$81)</f>
        <v>4</v>
      </c>
      <c r="N68" s="575"/>
      <c r="O68" s="575"/>
      <c r="P68" s="188">
        <v>11</v>
      </c>
      <c r="Q68" s="188">
        <v>2652.4180131291828</v>
      </c>
      <c r="R68" s="185">
        <f t="shared" ref="R68:R70" si="58">IFERROR(Q68/P68,"")</f>
        <v>241.12891028447117</v>
      </c>
      <c r="S68" s="182">
        <f t="shared" ref="S68:S70" si="59">RANK(R68, R$67:R$81)</f>
        <v>4</v>
      </c>
      <c r="T68" s="576"/>
      <c r="U68" s="188">
        <v>11</v>
      </c>
      <c r="V68" s="188">
        <v>2650.9180131291828</v>
      </c>
      <c r="W68" s="185">
        <f t="shared" si="52"/>
        <v>240.99254664810752</v>
      </c>
      <c r="X68" s="182">
        <f t="shared" ref="X68:X70" si="60">RANK(W68, W$67:W$81)</f>
        <v>4</v>
      </c>
      <c r="Y68" s="576"/>
      <c r="Z68" s="188">
        <v>11</v>
      </c>
      <c r="AA68" s="188">
        <v>2651.5180131291818</v>
      </c>
      <c r="AB68" s="185">
        <f t="shared" si="53"/>
        <v>241.0470921026529</v>
      </c>
      <c r="AC68" s="182">
        <f t="shared" ref="AC68:AC70" si="61">RANK(AB68, AB$67:AB$81)</f>
        <v>4</v>
      </c>
      <c r="AD68" s="576"/>
      <c r="AE68" s="188">
        <v>11</v>
      </c>
      <c r="AF68" s="188">
        <v>2650.6180131291817</v>
      </c>
      <c r="AG68" s="185">
        <f t="shared" ref="AG68:AG70" si="62">IFERROR(AF68/AE68,"")</f>
        <v>240.9652739208347</v>
      </c>
      <c r="AH68" s="182">
        <f t="shared" ref="AH68:AH70" si="63">RANK(AG68, AG$67:AG$81)</f>
        <v>4</v>
      </c>
      <c r="AI68" s="576"/>
      <c r="AJ68" s="188">
        <v>11</v>
      </c>
      <c r="AK68" s="188">
        <v>2652.1180131291812</v>
      </c>
      <c r="AL68" s="185">
        <f t="shared" si="54"/>
        <v>241.1016375571983</v>
      </c>
      <c r="AM68" s="182">
        <f t="shared" ref="AM68:AM70" si="64">RANK(AL68, AL$67:AL$81)</f>
        <v>4</v>
      </c>
      <c r="AN68" s="576"/>
      <c r="AO68" s="188">
        <v>11</v>
      </c>
      <c r="AP68" s="188">
        <v>2650.9180131291814</v>
      </c>
      <c r="AQ68" s="185">
        <f t="shared" si="55"/>
        <v>240.99254664810741</v>
      </c>
      <c r="AR68" s="182">
        <f t="shared" ref="AR68:AR70" si="65">RANK(AQ68, AQ$67:AQ$81)</f>
        <v>4</v>
      </c>
      <c r="AS68" s="576"/>
      <c r="AT68" s="188">
        <v>11</v>
      </c>
      <c r="AU68" s="188">
        <v>2652.1180131291812</v>
      </c>
      <c r="AV68" s="185">
        <f t="shared" si="56"/>
        <v>241.1016375571983</v>
      </c>
      <c r="AW68" s="182">
        <f t="shared" ref="AW68:AW70" si="66">RANK(AV68, AV$67:AV$81)</f>
        <v>4</v>
      </c>
      <c r="AX68" s="576"/>
    </row>
    <row r="69" spans="2:50" ht="14.25" customHeight="1">
      <c r="B69" s="575"/>
      <c r="C69" s="180">
        <v>3</v>
      </c>
      <c r="D69" s="183" t="s">
        <v>716</v>
      </c>
      <c r="E69" s="180">
        <v>6</v>
      </c>
      <c r="F69" s="180">
        <v>2500</v>
      </c>
      <c r="G69" s="185">
        <f t="shared" si="51"/>
        <v>416.66666666666669</v>
      </c>
      <c r="H69" s="576"/>
      <c r="I69" s="186">
        <f t="shared" si="57"/>
        <v>6</v>
      </c>
      <c r="J69" s="186">
        <f t="shared" si="57"/>
        <v>2249.9023674741015</v>
      </c>
      <c r="K69" s="187">
        <f t="shared" si="57"/>
        <v>374.98372791235028</v>
      </c>
      <c r="L69" s="577"/>
      <c r="M69" s="186">
        <f>RANK(K69, K$67:$K$81)</f>
        <v>2</v>
      </c>
      <c r="N69" s="575"/>
      <c r="O69" s="575"/>
      <c r="P69" s="188">
        <v>6</v>
      </c>
      <c r="Q69" s="188">
        <v>2249.8975910015988</v>
      </c>
      <c r="R69" s="185">
        <f t="shared" si="58"/>
        <v>374.98293183359982</v>
      </c>
      <c r="S69" s="182">
        <f t="shared" si="59"/>
        <v>2</v>
      </c>
      <c r="T69" s="576"/>
      <c r="U69" s="188">
        <v>6</v>
      </c>
      <c r="V69" s="188">
        <v>2250.6475910015988</v>
      </c>
      <c r="W69" s="185">
        <f t="shared" si="52"/>
        <v>375.10793183359982</v>
      </c>
      <c r="X69" s="182">
        <f t="shared" si="60"/>
        <v>2</v>
      </c>
      <c r="Y69" s="576"/>
      <c r="Z69" s="188">
        <v>6</v>
      </c>
      <c r="AA69" s="188">
        <v>2250.6475910015988</v>
      </c>
      <c r="AB69" s="185">
        <f t="shared" si="53"/>
        <v>375.10793183359982</v>
      </c>
      <c r="AC69" s="182">
        <f t="shared" si="61"/>
        <v>2</v>
      </c>
      <c r="AD69" s="576"/>
      <c r="AE69" s="188">
        <v>6</v>
      </c>
      <c r="AF69" s="188">
        <v>2250.1475910015988</v>
      </c>
      <c r="AG69" s="185">
        <f t="shared" si="62"/>
        <v>375.02459850026645</v>
      </c>
      <c r="AH69" s="182">
        <f t="shared" si="63"/>
        <v>2</v>
      </c>
      <c r="AI69" s="576"/>
      <c r="AJ69" s="188">
        <v>6</v>
      </c>
      <c r="AK69" s="188">
        <v>2249.1475910015988</v>
      </c>
      <c r="AL69" s="185">
        <f t="shared" si="54"/>
        <v>374.85793183359982</v>
      </c>
      <c r="AM69" s="182">
        <f t="shared" si="64"/>
        <v>3</v>
      </c>
      <c r="AN69" s="576"/>
      <c r="AO69" s="188">
        <v>6</v>
      </c>
      <c r="AP69" s="188">
        <v>2248.8975910015993</v>
      </c>
      <c r="AQ69" s="185">
        <f t="shared" si="55"/>
        <v>374.81626516693319</v>
      </c>
      <c r="AR69" s="182">
        <f t="shared" si="65"/>
        <v>3</v>
      </c>
      <c r="AS69" s="576"/>
      <c r="AT69" s="188">
        <v>6</v>
      </c>
      <c r="AU69" s="188">
        <v>2249.9310263091174</v>
      </c>
      <c r="AV69" s="185">
        <f t="shared" si="56"/>
        <v>374.98850438485289</v>
      </c>
      <c r="AW69" s="182">
        <f t="shared" si="66"/>
        <v>2</v>
      </c>
      <c r="AX69" s="576"/>
    </row>
    <row r="70" spans="2:50" ht="14.25" customHeight="1">
      <c r="B70" s="575"/>
      <c r="C70" s="180">
        <v>4</v>
      </c>
      <c r="D70" s="183" t="s">
        <v>755</v>
      </c>
      <c r="E70" s="180">
        <v>6</v>
      </c>
      <c r="F70" s="180">
        <v>2500</v>
      </c>
      <c r="G70" s="185">
        <f t="shared" si="51"/>
        <v>416.66666666666669</v>
      </c>
      <c r="H70" s="576"/>
      <c r="I70" s="186">
        <f t="shared" si="57"/>
        <v>6</v>
      </c>
      <c r="J70" s="186">
        <f t="shared" si="57"/>
        <v>2178.7490525314856</v>
      </c>
      <c r="K70" s="187">
        <f t="shared" si="57"/>
        <v>363.12484208858092</v>
      </c>
      <c r="L70" s="577"/>
      <c r="M70" s="186">
        <f>RANK(K70, K$67:$K$81)</f>
        <v>3</v>
      </c>
      <c r="N70" s="575"/>
      <c r="O70" s="575"/>
      <c r="P70" s="188">
        <v>6</v>
      </c>
      <c r="Q70" s="188">
        <v>2063</v>
      </c>
      <c r="R70" s="185">
        <f t="shared" si="58"/>
        <v>343.83333333333331</v>
      </c>
      <c r="S70" s="182">
        <f t="shared" si="59"/>
        <v>3</v>
      </c>
      <c r="T70" s="576"/>
      <c r="U70" s="188">
        <v>6</v>
      </c>
      <c r="V70" s="188">
        <v>2102.9850000000001</v>
      </c>
      <c r="W70" s="185">
        <f t="shared" si="52"/>
        <v>350.4975</v>
      </c>
      <c r="X70" s="182">
        <f t="shared" si="60"/>
        <v>3</v>
      </c>
      <c r="Y70" s="576"/>
      <c r="Z70" s="188">
        <v>6</v>
      </c>
      <c r="AA70" s="188">
        <v>2146.3197</v>
      </c>
      <c r="AB70" s="185">
        <f t="shared" si="53"/>
        <v>357.71994999999998</v>
      </c>
      <c r="AC70" s="182">
        <f t="shared" si="61"/>
        <v>3</v>
      </c>
      <c r="AD70" s="576"/>
      <c r="AE70" s="188">
        <v>6</v>
      </c>
      <c r="AF70" s="188">
        <v>2188.4810940000002</v>
      </c>
      <c r="AG70" s="185">
        <f t="shared" si="62"/>
        <v>364.74684900000005</v>
      </c>
      <c r="AH70" s="182">
        <f t="shared" si="63"/>
        <v>3</v>
      </c>
      <c r="AI70" s="576"/>
      <c r="AJ70" s="188">
        <v>6</v>
      </c>
      <c r="AK70" s="188">
        <v>2249.819191240133</v>
      </c>
      <c r="AL70" s="185">
        <f t="shared" si="54"/>
        <v>374.96986520668884</v>
      </c>
      <c r="AM70" s="182">
        <f t="shared" si="64"/>
        <v>2</v>
      </c>
      <c r="AN70" s="576"/>
      <c r="AO70" s="188">
        <v>6</v>
      </c>
      <c r="AP70" s="188">
        <v>2250.819191240133</v>
      </c>
      <c r="AQ70" s="185">
        <f t="shared" si="55"/>
        <v>375.13653187335552</v>
      </c>
      <c r="AR70" s="182">
        <f t="shared" si="65"/>
        <v>2</v>
      </c>
      <c r="AS70" s="576"/>
      <c r="AT70" s="188">
        <v>6</v>
      </c>
      <c r="AU70" s="188">
        <v>2249.819191240133</v>
      </c>
      <c r="AV70" s="185">
        <f t="shared" si="56"/>
        <v>374.96986520668884</v>
      </c>
      <c r="AW70" s="182">
        <f t="shared" si="66"/>
        <v>3</v>
      </c>
      <c r="AX70" s="576"/>
    </row>
    <row r="71" spans="2:50" ht="14.25" customHeight="1">
      <c r="B71" s="575"/>
      <c r="C71" s="180">
        <v>5</v>
      </c>
      <c r="D71" s="183"/>
      <c r="E71" s="180"/>
      <c r="F71" s="180"/>
      <c r="G71" s="185"/>
      <c r="H71" s="576"/>
      <c r="I71" s="186"/>
      <c r="J71" s="186"/>
      <c r="K71" s="187"/>
      <c r="L71" s="577"/>
      <c r="M71" s="186"/>
      <c r="N71" s="575"/>
      <c r="O71" s="575"/>
      <c r="P71" s="188"/>
      <c r="Q71" s="188"/>
      <c r="R71" s="185"/>
      <c r="S71" s="182"/>
      <c r="T71" s="576"/>
      <c r="U71" s="188"/>
      <c r="V71" s="188"/>
      <c r="W71" s="185"/>
      <c r="X71" s="182"/>
      <c r="Y71" s="576"/>
      <c r="Z71" s="188"/>
      <c r="AA71" s="188"/>
      <c r="AB71" s="185"/>
      <c r="AC71" s="182"/>
      <c r="AD71" s="576"/>
      <c r="AE71" s="188"/>
      <c r="AF71" s="188"/>
      <c r="AG71" s="185"/>
      <c r="AH71" s="182"/>
      <c r="AI71" s="576"/>
      <c r="AJ71" s="188"/>
      <c r="AK71" s="188"/>
      <c r="AL71" s="185"/>
      <c r="AM71" s="182"/>
      <c r="AN71" s="576"/>
      <c r="AO71" s="188"/>
      <c r="AP71" s="188"/>
      <c r="AQ71" s="185"/>
      <c r="AR71" s="182"/>
      <c r="AS71" s="576"/>
      <c r="AT71" s="188"/>
      <c r="AU71" s="188"/>
      <c r="AV71" s="185"/>
      <c r="AW71" s="182"/>
      <c r="AX71" s="576"/>
    </row>
    <row r="72" spans="2:50" ht="14.25" customHeight="1">
      <c r="B72" s="575"/>
      <c r="C72" s="180">
        <v>6</v>
      </c>
      <c r="D72" s="183"/>
      <c r="E72" s="180"/>
      <c r="F72" s="180"/>
      <c r="G72" s="185"/>
      <c r="H72" s="576"/>
      <c r="I72" s="186"/>
      <c r="J72" s="186"/>
      <c r="K72" s="187"/>
      <c r="L72" s="577"/>
      <c r="M72" s="186"/>
      <c r="N72" s="575"/>
      <c r="O72" s="575"/>
      <c r="P72" s="188"/>
      <c r="Q72" s="188"/>
      <c r="R72" s="185"/>
      <c r="S72" s="182"/>
      <c r="T72" s="576"/>
      <c r="U72" s="188"/>
      <c r="V72" s="188"/>
      <c r="W72" s="185"/>
      <c r="X72" s="182"/>
      <c r="Y72" s="576"/>
      <c r="Z72" s="188"/>
      <c r="AA72" s="188"/>
      <c r="AB72" s="185"/>
      <c r="AC72" s="182"/>
      <c r="AD72" s="576"/>
      <c r="AE72" s="188"/>
      <c r="AF72" s="188"/>
      <c r="AG72" s="185"/>
      <c r="AH72" s="182"/>
      <c r="AI72" s="576"/>
      <c r="AJ72" s="188"/>
      <c r="AK72" s="188"/>
      <c r="AL72" s="185"/>
      <c r="AM72" s="182"/>
      <c r="AN72" s="576"/>
      <c r="AO72" s="188"/>
      <c r="AP72" s="188"/>
      <c r="AQ72" s="185"/>
      <c r="AR72" s="182"/>
      <c r="AS72" s="576"/>
      <c r="AT72" s="188"/>
      <c r="AU72" s="188"/>
      <c r="AV72" s="185"/>
      <c r="AW72" s="182"/>
      <c r="AX72" s="576"/>
    </row>
    <row r="73" spans="2:50" ht="14.25" customHeight="1">
      <c r="B73" s="575"/>
      <c r="C73" s="180">
        <v>7</v>
      </c>
      <c r="D73" s="183"/>
      <c r="E73" s="180"/>
      <c r="F73" s="180"/>
      <c r="G73" s="185"/>
      <c r="H73" s="576"/>
      <c r="I73" s="186"/>
      <c r="J73" s="186"/>
      <c r="K73" s="187"/>
      <c r="L73" s="577"/>
      <c r="M73" s="186"/>
      <c r="N73" s="575"/>
      <c r="O73" s="575"/>
      <c r="P73" s="188"/>
      <c r="Q73" s="188"/>
      <c r="R73" s="185"/>
      <c r="S73" s="182"/>
      <c r="T73" s="576"/>
      <c r="U73" s="188"/>
      <c r="V73" s="188"/>
      <c r="W73" s="185"/>
      <c r="X73" s="182"/>
      <c r="Y73" s="576"/>
      <c r="Z73" s="188"/>
      <c r="AA73" s="188"/>
      <c r="AB73" s="185"/>
      <c r="AC73" s="182"/>
      <c r="AD73" s="576"/>
      <c r="AE73" s="188"/>
      <c r="AF73" s="188"/>
      <c r="AG73" s="185"/>
      <c r="AH73" s="182"/>
      <c r="AI73" s="576"/>
      <c r="AJ73" s="188"/>
      <c r="AK73" s="188"/>
      <c r="AL73" s="185"/>
      <c r="AM73" s="182"/>
      <c r="AN73" s="576"/>
      <c r="AO73" s="188"/>
      <c r="AP73" s="188"/>
      <c r="AQ73" s="185"/>
      <c r="AR73" s="182"/>
      <c r="AS73" s="576"/>
      <c r="AT73" s="188"/>
      <c r="AU73" s="188"/>
      <c r="AV73" s="185"/>
      <c r="AW73" s="182"/>
      <c r="AX73" s="576"/>
    </row>
    <row r="74" spans="2:50" ht="14.25" customHeight="1">
      <c r="B74" s="575"/>
      <c r="C74" s="180">
        <v>8</v>
      </c>
      <c r="D74" s="183"/>
      <c r="E74" s="180"/>
      <c r="F74" s="180"/>
      <c r="G74" s="185"/>
      <c r="H74" s="576"/>
      <c r="I74" s="186"/>
      <c r="J74" s="186"/>
      <c r="K74" s="187"/>
      <c r="L74" s="577"/>
      <c r="M74" s="186"/>
      <c r="N74" s="575"/>
      <c r="O74" s="575"/>
      <c r="P74" s="188"/>
      <c r="Q74" s="188"/>
      <c r="R74" s="185"/>
      <c r="S74" s="182"/>
      <c r="T74" s="576"/>
      <c r="U74" s="188"/>
      <c r="V74" s="188"/>
      <c r="W74" s="185"/>
      <c r="X74" s="182"/>
      <c r="Y74" s="576"/>
      <c r="Z74" s="188"/>
      <c r="AA74" s="188"/>
      <c r="AB74" s="185"/>
      <c r="AC74" s="182"/>
      <c r="AD74" s="576"/>
      <c r="AE74" s="188"/>
      <c r="AF74" s="188"/>
      <c r="AG74" s="185"/>
      <c r="AH74" s="182"/>
      <c r="AI74" s="576"/>
      <c r="AJ74" s="188"/>
      <c r="AK74" s="188"/>
      <c r="AL74" s="185"/>
      <c r="AM74" s="182"/>
      <c r="AN74" s="576"/>
      <c r="AO74" s="188"/>
      <c r="AP74" s="188"/>
      <c r="AQ74" s="185"/>
      <c r="AR74" s="182"/>
      <c r="AS74" s="576"/>
      <c r="AT74" s="188"/>
      <c r="AU74" s="188"/>
      <c r="AV74" s="185"/>
      <c r="AW74" s="182"/>
      <c r="AX74" s="576"/>
    </row>
    <row r="75" spans="2:50" ht="14.25" customHeight="1">
      <c r="B75" s="575"/>
      <c r="C75" s="180">
        <v>9</v>
      </c>
      <c r="D75" s="183"/>
      <c r="E75" s="180"/>
      <c r="F75" s="180"/>
      <c r="G75" s="185"/>
      <c r="H75" s="576"/>
      <c r="I75" s="186"/>
      <c r="J75" s="186"/>
      <c r="K75" s="187"/>
      <c r="L75" s="577"/>
      <c r="M75" s="186"/>
      <c r="N75" s="575"/>
      <c r="O75" s="575"/>
      <c r="P75" s="188"/>
      <c r="Q75" s="188"/>
      <c r="R75" s="185"/>
      <c r="S75" s="182"/>
      <c r="T75" s="576"/>
      <c r="U75" s="188"/>
      <c r="V75" s="188"/>
      <c r="W75" s="185"/>
      <c r="X75" s="182"/>
      <c r="Y75" s="576"/>
      <c r="Z75" s="188"/>
      <c r="AA75" s="188"/>
      <c r="AB75" s="185"/>
      <c r="AC75" s="182"/>
      <c r="AD75" s="576"/>
      <c r="AE75" s="188"/>
      <c r="AF75" s="188"/>
      <c r="AG75" s="185"/>
      <c r="AH75" s="182"/>
      <c r="AI75" s="576"/>
      <c r="AJ75" s="188"/>
      <c r="AK75" s="188"/>
      <c r="AL75" s="185"/>
      <c r="AM75" s="182"/>
      <c r="AN75" s="576"/>
      <c r="AO75" s="188"/>
      <c r="AP75" s="188"/>
      <c r="AQ75" s="185"/>
      <c r="AR75" s="182"/>
      <c r="AS75" s="576"/>
      <c r="AT75" s="188"/>
      <c r="AU75" s="188"/>
      <c r="AV75" s="185"/>
      <c r="AW75" s="182"/>
      <c r="AX75" s="576"/>
    </row>
    <row r="76" spans="2:50" ht="14.25" customHeight="1">
      <c r="B76" s="575"/>
      <c r="C76" s="180">
        <v>10</v>
      </c>
      <c r="D76" s="183"/>
      <c r="E76" s="180"/>
      <c r="F76" s="180"/>
      <c r="G76" s="185"/>
      <c r="H76" s="576"/>
      <c r="I76" s="186"/>
      <c r="J76" s="186"/>
      <c r="K76" s="187"/>
      <c r="L76" s="577"/>
      <c r="M76" s="186"/>
      <c r="N76" s="575"/>
      <c r="O76" s="575"/>
      <c r="P76" s="188"/>
      <c r="Q76" s="188"/>
      <c r="R76" s="185"/>
      <c r="S76" s="182"/>
      <c r="T76" s="576"/>
      <c r="U76" s="188"/>
      <c r="V76" s="188"/>
      <c r="W76" s="185"/>
      <c r="X76" s="182"/>
      <c r="Y76" s="576"/>
      <c r="Z76" s="188"/>
      <c r="AA76" s="188"/>
      <c r="AB76" s="185"/>
      <c r="AC76" s="182"/>
      <c r="AD76" s="576"/>
      <c r="AE76" s="188"/>
      <c r="AF76" s="188"/>
      <c r="AG76" s="185"/>
      <c r="AH76" s="182"/>
      <c r="AI76" s="576"/>
      <c r="AJ76" s="188"/>
      <c r="AK76" s="188"/>
      <c r="AL76" s="185"/>
      <c r="AM76" s="182"/>
      <c r="AN76" s="576"/>
      <c r="AO76" s="188"/>
      <c r="AP76" s="188"/>
      <c r="AQ76" s="185"/>
      <c r="AR76" s="182"/>
      <c r="AS76" s="576"/>
      <c r="AT76" s="188"/>
      <c r="AU76" s="188"/>
      <c r="AV76" s="185"/>
      <c r="AW76" s="182"/>
      <c r="AX76" s="576"/>
    </row>
    <row r="77" spans="2:50" ht="14.25" customHeight="1">
      <c r="B77" s="575"/>
      <c r="C77" s="180">
        <v>11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75"/>
      <c r="O77" s="575"/>
      <c r="P77" s="188"/>
      <c r="Q77" s="188"/>
      <c r="R77" s="185"/>
      <c r="S77" s="182"/>
      <c r="T77" s="576"/>
      <c r="U77" s="188"/>
      <c r="V77" s="188"/>
      <c r="W77" s="185"/>
      <c r="X77" s="182"/>
      <c r="Y77" s="576"/>
      <c r="Z77" s="188"/>
      <c r="AA77" s="188"/>
      <c r="AB77" s="185"/>
      <c r="AC77" s="182"/>
      <c r="AD77" s="576"/>
      <c r="AE77" s="188"/>
      <c r="AF77" s="188"/>
      <c r="AG77" s="185"/>
      <c r="AH77" s="182"/>
      <c r="AI77" s="576"/>
      <c r="AJ77" s="188"/>
      <c r="AK77" s="188"/>
      <c r="AL77" s="185"/>
      <c r="AM77" s="182"/>
      <c r="AN77" s="576"/>
      <c r="AO77" s="188"/>
      <c r="AP77" s="188"/>
      <c r="AQ77" s="185"/>
      <c r="AR77" s="182"/>
      <c r="AS77" s="576"/>
      <c r="AT77" s="188"/>
      <c r="AU77" s="188"/>
      <c r="AV77" s="185"/>
      <c r="AW77" s="182"/>
      <c r="AX77" s="576"/>
    </row>
    <row r="78" spans="2:50" ht="14.25" customHeight="1">
      <c r="B78" s="575"/>
      <c r="C78" s="180">
        <v>12</v>
      </c>
      <c r="D78" s="183"/>
      <c r="E78" s="180"/>
      <c r="F78" s="180"/>
      <c r="G78" s="185"/>
      <c r="H78" s="576"/>
      <c r="I78" s="186"/>
      <c r="J78" s="186"/>
      <c r="K78" s="187"/>
      <c r="L78" s="577"/>
      <c r="M78" s="186"/>
      <c r="N78" s="575"/>
      <c r="O78" s="575"/>
      <c r="P78" s="188"/>
      <c r="Q78" s="188"/>
      <c r="R78" s="185"/>
      <c r="S78" s="182"/>
      <c r="T78" s="576"/>
      <c r="U78" s="188"/>
      <c r="V78" s="188"/>
      <c r="W78" s="185"/>
      <c r="X78" s="182"/>
      <c r="Y78" s="576"/>
      <c r="Z78" s="188"/>
      <c r="AA78" s="188"/>
      <c r="AB78" s="185"/>
      <c r="AC78" s="182"/>
      <c r="AD78" s="576"/>
      <c r="AE78" s="188"/>
      <c r="AF78" s="188"/>
      <c r="AG78" s="185"/>
      <c r="AH78" s="182"/>
      <c r="AI78" s="576"/>
      <c r="AJ78" s="188"/>
      <c r="AK78" s="188"/>
      <c r="AL78" s="185"/>
      <c r="AM78" s="182"/>
      <c r="AN78" s="576"/>
      <c r="AO78" s="188"/>
      <c r="AP78" s="188"/>
      <c r="AQ78" s="185"/>
      <c r="AR78" s="182"/>
      <c r="AS78" s="576"/>
      <c r="AT78" s="188"/>
      <c r="AU78" s="188"/>
      <c r="AV78" s="185"/>
      <c r="AW78" s="182"/>
      <c r="AX78" s="576"/>
    </row>
    <row r="79" spans="2:50" ht="14.25" customHeight="1">
      <c r="B79" s="575"/>
      <c r="C79" s="180">
        <v>13</v>
      </c>
      <c r="D79" s="183"/>
      <c r="E79" s="180"/>
      <c r="F79" s="180"/>
      <c r="G79" s="185"/>
      <c r="H79" s="576"/>
      <c r="I79" s="186"/>
      <c r="J79" s="186"/>
      <c r="K79" s="187"/>
      <c r="L79" s="577"/>
      <c r="M79" s="186"/>
      <c r="N79" s="575"/>
      <c r="O79" s="575"/>
      <c r="P79" s="188"/>
      <c r="Q79" s="188"/>
      <c r="R79" s="185"/>
      <c r="S79" s="182"/>
      <c r="T79" s="576"/>
      <c r="U79" s="188"/>
      <c r="V79" s="188"/>
      <c r="W79" s="185"/>
      <c r="X79" s="182"/>
      <c r="Y79" s="576"/>
      <c r="Z79" s="188"/>
      <c r="AA79" s="188"/>
      <c r="AB79" s="185"/>
      <c r="AC79" s="182"/>
      <c r="AD79" s="576"/>
      <c r="AE79" s="188"/>
      <c r="AF79" s="188"/>
      <c r="AG79" s="185"/>
      <c r="AH79" s="182"/>
      <c r="AI79" s="576"/>
      <c r="AJ79" s="188"/>
      <c r="AK79" s="188"/>
      <c r="AL79" s="185"/>
      <c r="AM79" s="182"/>
      <c r="AN79" s="576"/>
      <c r="AO79" s="188"/>
      <c r="AP79" s="188"/>
      <c r="AQ79" s="185"/>
      <c r="AR79" s="182"/>
      <c r="AS79" s="576"/>
      <c r="AT79" s="188"/>
      <c r="AU79" s="188"/>
      <c r="AV79" s="185"/>
      <c r="AW79" s="182"/>
      <c r="AX79" s="576"/>
    </row>
    <row r="80" spans="2:50" ht="14.25" customHeight="1">
      <c r="B80" s="575"/>
      <c r="C80" s="180">
        <v>14</v>
      </c>
      <c r="D80" s="183"/>
      <c r="E80" s="180"/>
      <c r="F80" s="180"/>
      <c r="G80" s="185"/>
      <c r="H80" s="576"/>
      <c r="I80" s="186"/>
      <c r="J80" s="186"/>
      <c r="K80" s="187"/>
      <c r="L80" s="577"/>
      <c r="M80" s="186"/>
      <c r="N80" s="575"/>
      <c r="O80" s="575"/>
      <c r="P80" s="188"/>
      <c r="Q80" s="188"/>
      <c r="R80" s="185"/>
      <c r="S80" s="182"/>
      <c r="T80" s="576"/>
      <c r="U80" s="188"/>
      <c r="V80" s="188"/>
      <c r="W80" s="185"/>
      <c r="X80" s="182"/>
      <c r="Y80" s="576"/>
      <c r="Z80" s="188"/>
      <c r="AA80" s="188"/>
      <c r="AB80" s="185"/>
      <c r="AC80" s="182"/>
      <c r="AD80" s="576"/>
      <c r="AE80" s="188"/>
      <c r="AF80" s="188"/>
      <c r="AG80" s="185"/>
      <c r="AH80" s="182"/>
      <c r="AI80" s="576"/>
      <c r="AJ80" s="188"/>
      <c r="AK80" s="188"/>
      <c r="AL80" s="185"/>
      <c r="AM80" s="182"/>
      <c r="AN80" s="576"/>
      <c r="AO80" s="188"/>
      <c r="AP80" s="188"/>
      <c r="AQ80" s="185"/>
      <c r="AR80" s="182"/>
      <c r="AS80" s="576"/>
      <c r="AT80" s="188"/>
      <c r="AU80" s="188"/>
      <c r="AV80" s="185"/>
      <c r="AW80" s="182"/>
      <c r="AX80" s="576"/>
    </row>
    <row r="81" spans="2:50" ht="14.25" customHeight="1">
      <c r="B81" s="575"/>
      <c r="C81" s="180">
        <v>15</v>
      </c>
      <c r="D81" s="183"/>
      <c r="E81" s="180"/>
      <c r="F81" s="180"/>
      <c r="G81" s="185"/>
      <c r="H81" s="576"/>
      <c r="I81" s="186"/>
      <c r="J81" s="186"/>
      <c r="K81" s="187"/>
      <c r="L81" s="577"/>
      <c r="M81" s="186"/>
      <c r="N81" s="575"/>
      <c r="O81" s="575"/>
      <c r="P81" s="188"/>
      <c r="Q81" s="188"/>
      <c r="R81" s="185"/>
      <c r="S81" s="182"/>
      <c r="T81" s="576"/>
      <c r="U81" s="188"/>
      <c r="V81" s="188"/>
      <c r="W81" s="185"/>
      <c r="X81" s="182"/>
      <c r="Y81" s="576"/>
      <c r="Z81" s="188"/>
      <c r="AA81" s="188"/>
      <c r="AB81" s="185"/>
      <c r="AC81" s="182"/>
      <c r="AD81" s="576"/>
      <c r="AE81" s="188"/>
      <c r="AF81" s="188"/>
      <c r="AG81" s="185"/>
      <c r="AH81" s="182"/>
      <c r="AI81" s="576"/>
      <c r="AJ81" s="188"/>
      <c r="AK81" s="188"/>
      <c r="AL81" s="185"/>
      <c r="AM81" s="182"/>
      <c r="AN81" s="576"/>
      <c r="AO81" s="188"/>
      <c r="AP81" s="188"/>
      <c r="AQ81" s="185"/>
      <c r="AR81" s="182"/>
      <c r="AS81" s="576"/>
      <c r="AT81" s="188"/>
      <c r="AU81" s="188"/>
      <c r="AV81" s="185"/>
      <c r="AW81" s="182"/>
      <c r="AX81" s="576"/>
    </row>
    <row r="82" spans="2:50" ht="14.25" customHeight="1" collapsed="1">
      <c r="B82" s="643" t="s">
        <v>784</v>
      </c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4"/>
      <c r="N82" s="609" t="s">
        <v>374</v>
      </c>
      <c r="O82" s="609" t="s">
        <v>105</v>
      </c>
      <c r="P82" s="655">
        <v>46140</v>
      </c>
      <c r="Q82" s="656"/>
      <c r="R82" s="656"/>
      <c r="S82" s="656"/>
      <c r="T82" s="656"/>
      <c r="U82" s="657">
        <v>46141</v>
      </c>
      <c r="V82" s="658"/>
      <c r="W82" s="658"/>
      <c r="X82" s="658"/>
      <c r="Y82" s="658"/>
      <c r="Z82" s="655">
        <v>46142</v>
      </c>
      <c r="AA82" s="656"/>
      <c r="AB82" s="656"/>
      <c r="AC82" s="656"/>
      <c r="AD82" s="656"/>
      <c r="AE82" s="657">
        <v>46143</v>
      </c>
      <c r="AF82" s="658"/>
      <c r="AG82" s="658"/>
      <c r="AH82" s="658"/>
      <c r="AI82" s="658"/>
      <c r="AJ82" s="647">
        <v>46144</v>
      </c>
      <c r="AK82" s="648"/>
      <c r="AL82" s="648"/>
      <c r="AM82" s="648"/>
      <c r="AN82" s="649"/>
      <c r="AO82" s="657">
        <v>46145</v>
      </c>
      <c r="AP82" s="658"/>
      <c r="AQ82" s="658"/>
      <c r="AR82" s="658"/>
      <c r="AS82" s="658"/>
      <c r="AT82" s="647">
        <v>46146</v>
      </c>
      <c r="AU82" s="648"/>
      <c r="AV82" s="648"/>
      <c r="AW82" s="648"/>
      <c r="AX82" s="649"/>
    </row>
    <row r="83" spans="2:50" ht="14.25" customHeight="1">
      <c r="B83" s="645"/>
      <c r="C83" s="645"/>
      <c r="D83" s="645"/>
      <c r="E83" s="645"/>
      <c r="F83" s="645"/>
      <c r="G83" s="645"/>
      <c r="H83" s="645"/>
      <c r="I83" s="645"/>
      <c r="J83" s="645"/>
      <c r="K83" s="645"/>
      <c r="L83" s="645"/>
      <c r="M83" s="646"/>
      <c r="N83" s="611"/>
      <c r="O83" s="611"/>
      <c r="P83" s="650">
        <v>46140</v>
      </c>
      <c r="Q83" s="650"/>
      <c r="R83" s="650"/>
      <c r="S83" s="650"/>
      <c r="T83" s="650"/>
      <c r="U83" s="651">
        <v>46141</v>
      </c>
      <c r="V83" s="651"/>
      <c r="W83" s="651"/>
      <c r="X83" s="651"/>
      <c r="Y83" s="651"/>
      <c r="Z83" s="650">
        <v>46142</v>
      </c>
      <c r="AA83" s="650"/>
      <c r="AB83" s="650"/>
      <c r="AC83" s="650"/>
      <c r="AD83" s="650"/>
      <c r="AE83" s="651">
        <v>46143</v>
      </c>
      <c r="AF83" s="651"/>
      <c r="AG83" s="651"/>
      <c r="AH83" s="651"/>
      <c r="AI83" s="651"/>
      <c r="AJ83" s="652">
        <v>46144</v>
      </c>
      <c r="AK83" s="653"/>
      <c r="AL83" s="653"/>
      <c r="AM83" s="653"/>
      <c r="AN83" s="654"/>
      <c r="AO83" s="651">
        <v>46145</v>
      </c>
      <c r="AP83" s="651"/>
      <c r="AQ83" s="651"/>
      <c r="AR83" s="651"/>
      <c r="AS83" s="651"/>
      <c r="AT83" s="652">
        <v>46146</v>
      </c>
      <c r="AU83" s="653"/>
      <c r="AV83" s="653"/>
      <c r="AW83" s="653"/>
      <c r="AX83" s="654"/>
    </row>
    <row r="84" spans="2:50" ht="14.25" customHeight="1">
      <c r="B84" s="575" t="s">
        <v>162</v>
      </c>
      <c r="C84" s="575" t="s">
        <v>157</v>
      </c>
      <c r="D84" s="575"/>
      <c r="E84" s="575" t="s">
        <v>158</v>
      </c>
      <c r="F84" s="575"/>
      <c r="G84" s="575"/>
      <c r="H84" s="575" t="s">
        <v>163</v>
      </c>
      <c r="I84" s="579" t="s">
        <v>375</v>
      </c>
      <c r="J84" s="579"/>
      <c r="K84" s="579"/>
      <c r="L84" s="579" t="s">
        <v>163</v>
      </c>
      <c r="M84" s="579" t="s">
        <v>165</v>
      </c>
      <c r="N84" s="575"/>
      <c r="O84" s="575" t="s">
        <v>164</v>
      </c>
      <c r="P84" s="575" t="s">
        <v>160</v>
      </c>
      <c r="Q84" s="575"/>
      <c r="R84" s="575"/>
      <c r="S84" s="575"/>
      <c r="T84" s="575" t="s">
        <v>163</v>
      </c>
      <c r="U84" s="575" t="s">
        <v>160</v>
      </c>
      <c r="V84" s="575"/>
      <c r="W84" s="575"/>
      <c r="X84" s="575"/>
      <c r="Y84" s="575" t="s">
        <v>163</v>
      </c>
      <c r="Z84" s="575" t="s">
        <v>160</v>
      </c>
      <c r="AA84" s="575"/>
      <c r="AB84" s="575"/>
      <c r="AC84" s="575"/>
      <c r="AD84" s="575" t="s">
        <v>163</v>
      </c>
      <c r="AE84" s="575" t="s">
        <v>160</v>
      </c>
      <c r="AF84" s="575"/>
      <c r="AG84" s="575"/>
      <c r="AH84" s="575"/>
      <c r="AI84" s="575" t="s">
        <v>163</v>
      </c>
      <c r="AJ84" s="575" t="s">
        <v>160</v>
      </c>
      <c r="AK84" s="575"/>
      <c r="AL84" s="575"/>
      <c r="AM84" s="575"/>
      <c r="AN84" s="575" t="s">
        <v>163</v>
      </c>
      <c r="AO84" s="575" t="s">
        <v>160</v>
      </c>
      <c r="AP84" s="575"/>
      <c r="AQ84" s="575"/>
      <c r="AR84" s="575"/>
      <c r="AS84" s="575" t="s">
        <v>163</v>
      </c>
      <c r="AT84" s="575" t="s">
        <v>160</v>
      </c>
      <c r="AU84" s="575"/>
      <c r="AV84" s="575"/>
      <c r="AW84" s="575"/>
      <c r="AX84" s="575" t="s">
        <v>163</v>
      </c>
    </row>
    <row r="85" spans="2:50" ht="14.25" customHeight="1">
      <c r="B85" s="575"/>
      <c r="C85" s="575"/>
      <c r="D85" s="575"/>
      <c r="E85" s="575" t="s">
        <v>376</v>
      </c>
      <c r="F85" s="575"/>
      <c r="G85" s="575"/>
      <c r="H85" s="575"/>
      <c r="I85" s="579" t="s">
        <v>376</v>
      </c>
      <c r="J85" s="579"/>
      <c r="K85" s="579"/>
      <c r="L85" s="579"/>
      <c r="M85" s="579"/>
      <c r="N85" s="575"/>
      <c r="O85" s="575"/>
      <c r="P85" s="575" t="s">
        <v>377</v>
      </c>
      <c r="Q85" s="575"/>
      <c r="R85" s="575"/>
      <c r="S85" s="575"/>
      <c r="T85" s="575"/>
      <c r="U85" s="575" t="s">
        <v>377</v>
      </c>
      <c r="V85" s="575"/>
      <c r="W85" s="575"/>
      <c r="X85" s="575"/>
      <c r="Y85" s="575"/>
      <c r="Z85" s="575" t="s">
        <v>377</v>
      </c>
      <c r="AA85" s="575"/>
      <c r="AB85" s="575"/>
      <c r="AC85" s="575"/>
      <c r="AD85" s="575"/>
      <c r="AE85" s="575" t="s">
        <v>377</v>
      </c>
      <c r="AF85" s="575"/>
      <c r="AG85" s="575"/>
      <c r="AH85" s="575"/>
      <c r="AI85" s="575"/>
      <c r="AJ85" s="575" t="s">
        <v>377</v>
      </c>
      <c r="AK85" s="575"/>
      <c r="AL85" s="575"/>
      <c r="AM85" s="575"/>
      <c r="AN85" s="575"/>
      <c r="AO85" s="575" t="s">
        <v>377</v>
      </c>
      <c r="AP85" s="575"/>
      <c r="AQ85" s="575"/>
      <c r="AR85" s="575"/>
      <c r="AS85" s="575"/>
      <c r="AT85" s="575" t="s">
        <v>377</v>
      </c>
      <c r="AU85" s="575"/>
      <c r="AV85" s="575"/>
      <c r="AW85" s="575"/>
      <c r="AX85" s="575"/>
    </row>
    <row r="86" spans="2:50" ht="14.25" customHeight="1">
      <c r="B86" s="575"/>
      <c r="C86" s="575"/>
      <c r="D86" s="575"/>
      <c r="E86" s="180" t="s">
        <v>159</v>
      </c>
      <c r="F86" s="180" t="s">
        <v>378</v>
      </c>
      <c r="G86" s="180" t="s">
        <v>161</v>
      </c>
      <c r="H86" s="575"/>
      <c r="I86" s="181" t="s">
        <v>159</v>
      </c>
      <c r="J86" s="181" t="s">
        <v>378</v>
      </c>
      <c r="K86" s="181" t="s">
        <v>161</v>
      </c>
      <c r="L86" s="579"/>
      <c r="M86" s="579"/>
      <c r="N86" s="575"/>
      <c r="O86" s="575"/>
      <c r="P86" s="180" t="s">
        <v>159</v>
      </c>
      <c r="Q86" s="180" t="s">
        <v>378</v>
      </c>
      <c r="R86" s="180" t="s">
        <v>161</v>
      </c>
      <c r="S86" s="182" t="s">
        <v>165</v>
      </c>
      <c r="T86" s="575"/>
      <c r="U86" s="180" t="s">
        <v>159</v>
      </c>
      <c r="V86" s="180" t="s">
        <v>378</v>
      </c>
      <c r="W86" s="180" t="s">
        <v>161</v>
      </c>
      <c r="X86" s="182" t="s">
        <v>165</v>
      </c>
      <c r="Y86" s="575"/>
      <c r="Z86" s="180" t="s">
        <v>159</v>
      </c>
      <c r="AA86" s="180" t="s">
        <v>378</v>
      </c>
      <c r="AB86" s="180" t="s">
        <v>161</v>
      </c>
      <c r="AC86" s="182" t="s">
        <v>165</v>
      </c>
      <c r="AD86" s="575"/>
      <c r="AE86" s="180" t="s">
        <v>159</v>
      </c>
      <c r="AF86" s="180" t="s">
        <v>378</v>
      </c>
      <c r="AG86" s="180" t="s">
        <v>161</v>
      </c>
      <c r="AH86" s="182" t="s">
        <v>165</v>
      </c>
      <c r="AI86" s="575"/>
      <c r="AJ86" s="180" t="s">
        <v>159</v>
      </c>
      <c r="AK86" s="180" t="s">
        <v>378</v>
      </c>
      <c r="AL86" s="180" t="s">
        <v>161</v>
      </c>
      <c r="AM86" s="182" t="s">
        <v>165</v>
      </c>
      <c r="AN86" s="575"/>
      <c r="AO86" s="180" t="s">
        <v>159</v>
      </c>
      <c r="AP86" s="180" t="s">
        <v>378</v>
      </c>
      <c r="AQ86" s="180" t="s">
        <v>161</v>
      </c>
      <c r="AR86" s="182" t="s">
        <v>165</v>
      </c>
      <c r="AS86" s="575"/>
      <c r="AT86" s="180" t="s">
        <v>159</v>
      </c>
      <c r="AU86" s="180" t="s">
        <v>378</v>
      </c>
      <c r="AV86" s="180" t="s">
        <v>161</v>
      </c>
      <c r="AW86" s="182" t="s">
        <v>165</v>
      </c>
      <c r="AX86" s="575"/>
    </row>
    <row r="87" spans="2:50" ht="14.25" customHeight="1">
      <c r="B87" s="575" t="s">
        <v>381</v>
      </c>
      <c r="C87" s="180">
        <v>1</v>
      </c>
      <c r="D87" s="183" t="s">
        <v>658</v>
      </c>
      <c r="E87" s="180">
        <v>11</v>
      </c>
      <c r="F87" s="180">
        <v>3000</v>
      </c>
      <c r="G87" s="185">
        <f t="shared" ref="G87:G89" si="67">F87/E87</f>
        <v>272.72727272727275</v>
      </c>
      <c r="H87" s="576">
        <f>AVERAGE(G87:G101)</f>
        <v>368.68686868686876</v>
      </c>
      <c r="I87" s="186">
        <f>AVERAGE(P87,U87,Z87,AE87,AJ87,AO87,AT87)</f>
        <v>11</v>
      </c>
      <c r="J87" s="186">
        <f>AVERAGE(Q87,V87,AA87,AF87,AK87,AP87,AU87)</f>
        <v>2652.1180131291808</v>
      </c>
      <c r="K87" s="187">
        <f>AVERAGE(R87,W87,AB87,AG87,AL87,AQ87,AV87)</f>
        <v>241.10163755719825</v>
      </c>
      <c r="L87" s="577">
        <f>IFERROR(AVERAGE(K87:K101),"-")</f>
        <v>330.46632943390705</v>
      </c>
      <c r="M87" s="186">
        <f>RANK(K87, K$87:$K$101)</f>
        <v>3</v>
      </c>
      <c r="N87" s="575"/>
      <c r="O87" s="575"/>
      <c r="P87" s="188">
        <v>11</v>
      </c>
      <c r="Q87" s="188">
        <v>2651.5180131291809</v>
      </c>
      <c r="R87" s="185">
        <f>IFERROR(Q87/P87,"")</f>
        <v>241.04709210265281</v>
      </c>
      <c r="S87" s="182">
        <f>RANK(R87, R$87:R$101)</f>
        <v>3</v>
      </c>
      <c r="T87" s="576">
        <f>AVERAGE(R87:R101)</f>
        <v>330.30737612028707</v>
      </c>
      <c r="U87" s="188">
        <v>11</v>
      </c>
      <c r="V87" s="188">
        <v>2651.8180131291811</v>
      </c>
      <c r="W87" s="185">
        <f t="shared" ref="W87:W89" si="68">IFERROR(V87/U87,"")</f>
        <v>241.07436482992554</v>
      </c>
      <c r="X87" s="182">
        <f>RANK(W87, W$87:W$101)</f>
        <v>3</v>
      </c>
      <c r="Y87" s="576">
        <f>AVERAGE(W87:W101)</f>
        <v>330.35813369604466</v>
      </c>
      <c r="Z87" s="188">
        <v>11</v>
      </c>
      <c r="AA87" s="188">
        <v>2653.0180131291804</v>
      </c>
      <c r="AB87" s="185">
        <f t="shared" ref="AB87:AB89" si="69">IFERROR(AA87/Z87,"")</f>
        <v>241.18345573901641</v>
      </c>
      <c r="AC87" s="182">
        <f>RANK(AB87, AB$87:AB$101)</f>
        <v>3</v>
      </c>
      <c r="AD87" s="576">
        <f>AVERAGE(AB87:AB101)</f>
        <v>330.43454478709486</v>
      </c>
      <c r="AE87" s="188"/>
      <c r="AF87" s="188"/>
      <c r="AG87" s="185"/>
      <c r="AH87" s="182"/>
      <c r="AI87" s="637">
        <f>AVERAGE(AG87:AG101)</f>
        <v>375.08092264446736</v>
      </c>
      <c r="AJ87" s="188"/>
      <c r="AK87" s="188"/>
      <c r="AL87" s="185"/>
      <c r="AM87" s="182"/>
      <c r="AN87" s="576">
        <f>AVERAGE(AL87:AL101)</f>
        <v>375.03925597780074</v>
      </c>
      <c r="AO87" s="188"/>
      <c r="AP87" s="188"/>
      <c r="AQ87" s="185"/>
      <c r="AR87" s="182"/>
      <c r="AS87" s="576">
        <f>AVERAGE(AQ87:AQ101)</f>
        <v>375.18508931113399</v>
      </c>
      <c r="AT87" s="188"/>
      <c r="AU87" s="188"/>
      <c r="AV87" s="185"/>
      <c r="AW87" s="182"/>
      <c r="AX87" s="576">
        <f>AVERAGE(AV87:AV101)</f>
        <v>375.73783410308505</v>
      </c>
    </row>
    <row r="88" spans="2:50" ht="14.25" customHeight="1">
      <c r="B88" s="575"/>
      <c r="C88" s="180">
        <v>2</v>
      </c>
      <c r="D88" s="183" t="s">
        <v>716</v>
      </c>
      <c r="E88" s="180">
        <v>6</v>
      </c>
      <c r="F88" s="180">
        <v>2500</v>
      </c>
      <c r="G88" s="185">
        <f t="shared" si="67"/>
        <v>416.66666666666669</v>
      </c>
      <c r="H88" s="576"/>
      <c r="I88" s="186">
        <f t="shared" ref="I88:K89" si="70">AVERAGE(P88,U88,Z88,AE88,AJ88,AO88,AT88)</f>
        <v>6</v>
      </c>
      <c r="J88" s="186">
        <f t="shared" si="70"/>
        <v>2250.7227073064419</v>
      </c>
      <c r="K88" s="187">
        <f t="shared" si="70"/>
        <v>375.12045121774042</v>
      </c>
      <c r="L88" s="577"/>
      <c r="M88" s="186">
        <f>RANK(K88, K$87:$K$101)</f>
        <v>2</v>
      </c>
      <c r="N88" s="575"/>
      <c r="O88" s="575"/>
      <c r="P88" s="188">
        <v>6</v>
      </c>
      <c r="Q88" s="188">
        <v>2249.181026309117</v>
      </c>
      <c r="R88" s="185">
        <f t="shared" ref="R88:R89" si="71">IFERROR(Q88/P88,"")</f>
        <v>374.86350438485283</v>
      </c>
      <c r="S88" s="182">
        <f>RANK(R88, R$87:R$101)</f>
        <v>2</v>
      </c>
      <c r="T88" s="576"/>
      <c r="U88" s="188">
        <v>6</v>
      </c>
      <c r="V88" s="188">
        <v>2249.181026309117</v>
      </c>
      <c r="W88" s="185">
        <f t="shared" si="68"/>
        <v>374.86350438485283</v>
      </c>
      <c r="X88" s="182">
        <f>RANK(W88, W$87:W$101)</f>
        <v>2</v>
      </c>
      <c r="Y88" s="576"/>
      <c r="Z88" s="188">
        <v>6</v>
      </c>
      <c r="AA88" s="188">
        <v>2250.1518804934758</v>
      </c>
      <c r="AB88" s="185">
        <f t="shared" si="69"/>
        <v>375.02531341557932</v>
      </c>
      <c r="AC88" s="182">
        <f>RANK(AB88, AB$87:AB$101)</f>
        <v>2</v>
      </c>
      <c r="AD88" s="576"/>
      <c r="AE88" s="188">
        <v>6</v>
      </c>
      <c r="AF88" s="188">
        <v>2250.4018804934758</v>
      </c>
      <c r="AG88" s="185">
        <f t="shared" ref="AG88:AG89" si="72">IFERROR(AF88/AE88,"")</f>
        <v>375.06698008224595</v>
      </c>
      <c r="AH88" s="182">
        <f>RANK(AG88, AG$87:AG$101)</f>
        <v>2</v>
      </c>
      <c r="AI88" s="638"/>
      <c r="AJ88" s="188">
        <v>6</v>
      </c>
      <c r="AK88" s="188">
        <v>2249.9018804934758</v>
      </c>
      <c r="AL88" s="185">
        <f t="shared" ref="AL88:AL89" si="73">IFERROR(AK88/AJ88,"")</f>
        <v>374.98364674891263</v>
      </c>
      <c r="AM88" s="182">
        <f>RANK(AL88, AL$87:AL$101)</f>
        <v>2</v>
      </c>
      <c r="AN88" s="576"/>
      <c r="AO88" s="188">
        <v>6</v>
      </c>
      <c r="AP88" s="188">
        <v>2251.1518804934753</v>
      </c>
      <c r="AQ88" s="185">
        <f t="shared" ref="AQ88:AQ89" si="74">IFERROR(AP88/AO88,"")</f>
        <v>375.19198008224589</v>
      </c>
      <c r="AR88" s="182">
        <f>RANK(AQ88, AQ$87:AQ$101)</f>
        <v>1</v>
      </c>
      <c r="AS88" s="576"/>
      <c r="AT88" s="188">
        <v>6</v>
      </c>
      <c r="AU88" s="188">
        <v>2255.0893765529581</v>
      </c>
      <c r="AV88" s="185">
        <f t="shared" ref="AV88:AV89" si="75">IFERROR(AU88/AT88,"")</f>
        <v>375.848229425493</v>
      </c>
      <c r="AW88" s="182">
        <f>RANK(AV88, AV$87:AV$101)</f>
        <v>1</v>
      </c>
      <c r="AX88" s="576"/>
    </row>
    <row r="89" spans="2:50" ht="14.25" customHeight="1">
      <c r="B89" s="575"/>
      <c r="C89" s="180">
        <v>3</v>
      </c>
      <c r="D89" s="183" t="s">
        <v>755</v>
      </c>
      <c r="E89" s="180">
        <v>6</v>
      </c>
      <c r="F89" s="180">
        <v>2500</v>
      </c>
      <c r="G89" s="185">
        <f t="shared" si="67"/>
        <v>416.66666666666669</v>
      </c>
      <c r="H89" s="576"/>
      <c r="I89" s="186">
        <f t="shared" si="70"/>
        <v>6</v>
      </c>
      <c r="J89" s="186">
        <f t="shared" si="70"/>
        <v>2251.061397160694</v>
      </c>
      <c r="K89" s="187">
        <f t="shared" si="70"/>
        <v>375.17689952678239</v>
      </c>
      <c r="L89" s="577"/>
      <c r="M89" s="186">
        <f>RANK(K89, K$87:$K$101)</f>
        <v>1</v>
      </c>
      <c r="N89" s="575"/>
      <c r="O89" s="575"/>
      <c r="P89" s="188">
        <v>6</v>
      </c>
      <c r="Q89" s="188">
        <v>2250.069191240133</v>
      </c>
      <c r="R89" s="185">
        <f t="shared" si="71"/>
        <v>375.01153187335552</v>
      </c>
      <c r="S89" s="182">
        <f>RANK(R89, R$87:R$101)</f>
        <v>1</v>
      </c>
      <c r="T89" s="576"/>
      <c r="U89" s="188">
        <v>6</v>
      </c>
      <c r="V89" s="188">
        <v>2250.819191240133</v>
      </c>
      <c r="W89" s="185">
        <f t="shared" si="68"/>
        <v>375.13653187335552</v>
      </c>
      <c r="X89" s="182">
        <f>RANK(W89, W$87:W$101)</f>
        <v>1</v>
      </c>
      <c r="Y89" s="576"/>
      <c r="Z89" s="188">
        <v>6</v>
      </c>
      <c r="AA89" s="188">
        <v>2250.5691912401326</v>
      </c>
      <c r="AB89" s="185">
        <f t="shared" si="69"/>
        <v>375.09486520668878</v>
      </c>
      <c r="AC89" s="182">
        <f>RANK(AB89, AB$87:AB$101)</f>
        <v>1</v>
      </c>
      <c r="AD89" s="576"/>
      <c r="AE89" s="188">
        <v>6</v>
      </c>
      <c r="AF89" s="188">
        <v>2250.5691912401326</v>
      </c>
      <c r="AG89" s="185">
        <f t="shared" si="72"/>
        <v>375.09486520668878</v>
      </c>
      <c r="AH89" s="182">
        <f>RANK(AG89, AG$87:AG$101)</f>
        <v>1</v>
      </c>
      <c r="AI89" s="638"/>
      <c r="AJ89" s="188">
        <v>6</v>
      </c>
      <c r="AK89" s="188">
        <v>2250.5691912401326</v>
      </c>
      <c r="AL89" s="185">
        <f t="shared" si="73"/>
        <v>375.09486520668878</v>
      </c>
      <c r="AM89" s="182">
        <f>RANK(AL89, AL$87:AL$101)</f>
        <v>1</v>
      </c>
      <c r="AN89" s="576"/>
      <c r="AO89" s="188">
        <v>6</v>
      </c>
      <c r="AP89" s="188">
        <v>2251.0691912401321</v>
      </c>
      <c r="AQ89" s="185">
        <f t="shared" si="74"/>
        <v>375.17819854002204</v>
      </c>
      <c r="AR89" s="182">
        <f>RANK(AQ89, AQ$87:AQ$101)</f>
        <v>2</v>
      </c>
      <c r="AS89" s="576"/>
      <c r="AT89" s="188">
        <v>6</v>
      </c>
      <c r="AU89" s="188">
        <v>2253.7646326840627</v>
      </c>
      <c r="AV89" s="185">
        <f t="shared" si="75"/>
        <v>375.6274387806771</v>
      </c>
      <c r="AW89" s="182">
        <f>RANK(AV89, AV$87:AV$101)</f>
        <v>2</v>
      </c>
      <c r="AX89" s="576"/>
    </row>
    <row r="90" spans="2:50" ht="14.25" customHeight="1">
      <c r="B90" s="575"/>
      <c r="C90" s="180">
        <v>4</v>
      </c>
      <c r="D90" s="183"/>
      <c r="E90" s="180"/>
      <c r="F90" s="180"/>
      <c r="G90" s="185"/>
      <c r="H90" s="576"/>
      <c r="I90" s="186"/>
      <c r="J90" s="186"/>
      <c r="K90" s="187"/>
      <c r="L90" s="577"/>
      <c r="M90" s="186"/>
      <c r="N90" s="575"/>
      <c r="O90" s="575"/>
      <c r="P90" s="188"/>
      <c r="Q90" s="188"/>
      <c r="R90" s="185"/>
      <c r="S90" s="182"/>
      <c r="T90" s="576"/>
      <c r="U90" s="188"/>
      <c r="V90" s="188"/>
      <c r="W90" s="185"/>
      <c r="X90" s="182"/>
      <c r="Y90" s="576"/>
      <c r="Z90" s="188"/>
      <c r="AA90" s="188"/>
      <c r="AB90" s="185"/>
      <c r="AC90" s="182"/>
      <c r="AD90" s="576"/>
      <c r="AE90" s="188"/>
      <c r="AF90" s="188"/>
      <c r="AG90" s="185"/>
      <c r="AH90" s="182"/>
      <c r="AI90" s="638"/>
      <c r="AJ90" s="188"/>
      <c r="AK90" s="188"/>
      <c r="AL90" s="185"/>
      <c r="AM90" s="182"/>
      <c r="AN90" s="576"/>
      <c r="AO90" s="188"/>
      <c r="AP90" s="188"/>
      <c r="AQ90" s="185"/>
      <c r="AR90" s="182"/>
      <c r="AS90" s="576"/>
      <c r="AT90" s="188"/>
      <c r="AU90" s="188"/>
      <c r="AV90" s="185"/>
      <c r="AW90" s="182"/>
      <c r="AX90" s="576"/>
    </row>
    <row r="91" spans="2:50" ht="14.25" customHeight="1">
      <c r="B91" s="575"/>
      <c r="C91" s="180">
        <v>5</v>
      </c>
      <c r="D91" s="183"/>
      <c r="E91" s="180"/>
      <c r="F91" s="180"/>
      <c r="G91" s="185"/>
      <c r="H91" s="576"/>
      <c r="I91" s="186"/>
      <c r="J91" s="186"/>
      <c r="K91" s="187"/>
      <c r="L91" s="577"/>
      <c r="M91" s="186"/>
      <c r="N91" s="575"/>
      <c r="O91" s="575"/>
      <c r="P91" s="188"/>
      <c r="Q91" s="188"/>
      <c r="R91" s="185"/>
      <c r="S91" s="182"/>
      <c r="T91" s="576"/>
      <c r="U91" s="188"/>
      <c r="V91" s="188"/>
      <c r="W91" s="185"/>
      <c r="X91" s="182"/>
      <c r="Y91" s="576"/>
      <c r="Z91" s="188"/>
      <c r="AA91" s="188"/>
      <c r="AB91" s="185"/>
      <c r="AC91" s="182"/>
      <c r="AD91" s="576"/>
      <c r="AE91" s="188"/>
      <c r="AF91" s="188"/>
      <c r="AG91" s="185"/>
      <c r="AH91" s="182"/>
      <c r="AI91" s="638"/>
      <c r="AJ91" s="188"/>
      <c r="AK91" s="188"/>
      <c r="AL91" s="185"/>
      <c r="AM91" s="182"/>
      <c r="AN91" s="576"/>
      <c r="AO91" s="188"/>
      <c r="AP91" s="188"/>
      <c r="AQ91" s="185"/>
      <c r="AR91" s="182"/>
      <c r="AS91" s="576"/>
      <c r="AT91" s="188"/>
      <c r="AU91" s="188"/>
      <c r="AV91" s="185"/>
      <c r="AW91" s="182"/>
      <c r="AX91" s="576"/>
    </row>
    <row r="92" spans="2:50" ht="14.25" customHeight="1">
      <c r="B92" s="575"/>
      <c r="C92" s="180">
        <v>6</v>
      </c>
      <c r="D92" s="183"/>
      <c r="E92" s="180"/>
      <c r="F92" s="180"/>
      <c r="G92" s="185"/>
      <c r="H92" s="576"/>
      <c r="I92" s="186"/>
      <c r="J92" s="186"/>
      <c r="K92" s="187"/>
      <c r="L92" s="577"/>
      <c r="M92" s="186"/>
      <c r="N92" s="575"/>
      <c r="O92" s="575"/>
      <c r="P92" s="188"/>
      <c r="Q92" s="188"/>
      <c r="R92" s="185"/>
      <c r="S92" s="182"/>
      <c r="T92" s="576"/>
      <c r="U92" s="188"/>
      <c r="V92" s="188"/>
      <c r="W92" s="185"/>
      <c r="X92" s="182"/>
      <c r="Y92" s="576"/>
      <c r="Z92" s="188"/>
      <c r="AA92" s="188"/>
      <c r="AB92" s="185"/>
      <c r="AC92" s="182"/>
      <c r="AD92" s="576"/>
      <c r="AE92" s="188"/>
      <c r="AF92" s="188"/>
      <c r="AG92" s="185"/>
      <c r="AH92" s="182"/>
      <c r="AI92" s="638"/>
      <c r="AJ92" s="188"/>
      <c r="AK92" s="188"/>
      <c r="AL92" s="185"/>
      <c r="AM92" s="182"/>
      <c r="AN92" s="576"/>
      <c r="AO92" s="188"/>
      <c r="AP92" s="188"/>
      <c r="AQ92" s="185"/>
      <c r="AR92" s="182"/>
      <c r="AS92" s="576"/>
      <c r="AT92" s="188"/>
      <c r="AU92" s="188"/>
      <c r="AV92" s="185"/>
      <c r="AW92" s="182"/>
      <c r="AX92" s="576"/>
    </row>
    <row r="93" spans="2:50" ht="14.25" customHeight="1">
      <c r="B93" s="575"/>
      <c r="C93" s="180">
        <v>7</v>
      </c>
      <c r="D93" s="183"/>
      <c r="E93" s="180"/>
      <c r="F93" s="180"/>
      <c r="G93" s="185"/>
      <c r="H93" s="576"/>
      <c r="I93" s="186"/>
      <c r="J93" s="186"/>
      <c r="K93" s="187"/>
      <c r="L93" s="577"/>
      <c r="M93" s="186"/>
      <c r="N93" s="575"/>
      <c r="O93" s="575"/>
      <c r="P93" s="188"/>
      <c r="Q93" s="188"/>
      <c r="R93" s="185"/>
      <c r="S93" s="182"/>
      <c r="T93" s="576"/>
      <c r="U93" s="188"/>
      <c r="V93" s="188"/>
      <c r="W93" s="185"/>
      <c r="X93" s="182"/>
      <c r="Y93" s="576"/>
      <c r="Z93" s="188"/>
      <c r="AA93" s="188"/>
      <c r="AB93" s="185"/>
      <c r="AC93" s="182"/>
      <c r="AD93" s="576"/>
      <c r="AE93" s="188"/>
      <c r="AF93" s="188"/>
      <c r="AG93" s="185"/>
      <c r="AH93" s="182"/>
      <c r="AI93" s="638"/>
      <c r="AJ93" s="188"/>
      <c r="AK93" s="188"/>
      <c r="AL93" s="185"/>
      <c r="AM93" s="182"/>
      <c r="AN93" s="576"/>
      <c r="AO93" s="188"/>
      <c r="AP93" s="188"/>
      <c r="AQ93" s="185"/>
      <c r="AR93" s="182"/>
      <c r="AS93" s="576"/>
      <c r="AT93" s="188"/>
      <c r="AU93" s="188"/>
      <c r="AV93" s="185"/>
      <c r="AW93" s="182"/>
      <c r="AX93" s="576"/>
    </row>
    <row r="94" spans="2:50" ht="14.25" customHeight="1">
      <c r="B94" s="575"/>
      <c r="C94" s="180">
        <v>8</v>
      </c>
      <c r="D94" s="183"/>
      <c r="E94" s="180"/>
      <c r="F94" s="180"/>
      <c r="G94" s="185"/>
      <c r="H94" s="576"/>
      <c r="I94" s="186"/>
      <c r="J94" s="186"/>
      <c r="K94" s="187"/>
      <c r="L94" s="577"/>
      <c r="M94" s="186"/>
      <c r="N94" s="575"/>
      <c r="O94" s="575"/>
      <c r="P94" s="188"/>
      <c r="Q94" s="188"/>
      <c r="R94" s="185"/>
      <c r="S94" s="182"/>
      <c r="T94" s="576"/>
      <c r="U94" s="188"/>
      <c r="V94" s="188"/>
      <c r="W94" s="185"/>
      <c r="X94" s="182"/>
      <c r="Y94" s="576"/>
      <c r="Z94" s="188"/>
      <c r="AA94" s="188"/>
      <c r="AB94" s="185"/>
      <c r="AC94" s="182"/>
      <c r="AD94" s="576"/>
      <c r="AE94" s="188"/>
      <c r="AF94" s="188"/>
      <c r="AG94" s="185"/>
      <c r="AH94" s="182"/>
      <c r="AI94" s="638"/>
      <c r="AJ94" s="188"/>
      <c r="AK94" s="188"/>
      <c r="AL94" s="185"/>
      <c r="AM94" s="182"/>
      <c r="AN94" s="576"/>
      <c r="AO94" s="188"/>
      <c r="AP94" s="188"/>
      <c r="AQ94" s="185"/>
      <c r="AR94" s="182"/>
      <c r="AS94" s="576"/>
      <c r="AT94" s="188"/>
      <c r="AU94" s="188"/>
      <c r="AV94" s="185"/>
      <c r="AW94" s="182"/>
      <c r="AX94" s="576"/>
    </row>
    <row r="95" spans="2:50" ht="14.25" customHeight="1">
      <c r="B95" s="575"/>
      <c r="C95" s="180">
        <v>9</v>
      </c>
      <c r="D95" s="183"/>
      <c r="E95" s="180"/>
      <c r="F95" s="180"/>
      <c r="G95" s="185"/>
      <c r="H95" s="576"/>
      <c r="I95" s="186"/>
      <c r="J95" s="186"/>
      <c r="K95" s="187"/>
      <c r="L95" s="577"/>
      <c r="M95" s="186"/>
      <c r="N95" s="575"/>
      <c r="O95" s="575"/>
      <c r="P95" s="188"/>
      <c r="Q95" s="188"/>
      <c r="R95" s="185"/>
      <c r="S95" s="182"/>
      <c r="T95" s="576"/>
      <c r="U95" s="188"/>
      <c r="V95" s="188"/>
      <c r="W95" s="185"/>
      <c r="X95" s="182"/>
      <c r="Y95" s="576"/>
      <c r="Z95" s="188"/>
      <c r="AA95" s="188"/>
      <c r="AB95" s="185"/>
      <c r="AC95" s="182"/>
      <c r="AD95" s="576"/>
      <c r="AE95" s="188"/>
      <c r="AF95" s="188"/>
      <c r="AG95" s="185"/>
      <c r="AH95" s="182"/>
      <c r="AI95" s="638"/>
      <c r="AJ95" s="188"/>
      <c r="AK95" s="188"/>
      <c r="AL95" s="185"/>
      <c r="AM95" s="182"/>
      <c r="AN95" s="576"/>
      <c r="AO95" s="188"/>
      <c r="AP95" s="188"/>
      <c r="AQ95" s="185"/>
      <c r="AR95" s="182"/>
      <c r="AS95" s="576"/>
      <c r="AT95" s="188"/>
      <c r="AU95" s="188"/>
      <c r="AV95" s="185"/>
      <c r="AW95" s="182"/>
      <c r="AX95" s="576"/>
    </row>
    <row r="96" spans="2:50" ht="14.25" customHeight="1">
      <c r="B96" s="575"/>
      <c r="C96" s="180">
        <v>10</v>
      </c>
      <c r="D96" s="183"/>
      <c r="E96" s="180"/>
      <c r="F96" s="180"/>
      <c r="G96" s="185"/>
      <c r="H96" s="576"/>
      <c r="I96" s="186"/>
      <c r="J96" s="186"/>
      <c r="K96" s="187"/>
      <c r="L96" s="577"/>
      <c r="M96" s="186"/>
      <c r="N96" s="575"/>
      <c r="O96" s="575"/>
      <c r="P96" s="188"/>
      <c r="Q96" s="188"/>
      <c r="R96" s="185"/>
      <c r="S96" s="182"/>
      <c r="T96" s="576"/>
      <c r="U96" s="188"/>
      <c r="V96" s="188"/>
      <c r="W96" s="185"/>
      <c r="X96" s="182"/>
      <c r="Y96" s="576"/>
      <c r="Z96" s="188"/>
      <c r="AA96" s="188"/>
      <c r="AB96" s="185"/>
      <c r="AC96" s="182"/>
      <c r="AD96" s="576"/>
      <c r="AE96" s="188"/>
      <c r="AF96" s="188"/>
      <c r="AG96" s="185"/>
      <c r="AH96" s="182"/>
      <c r="AI96" s="638"/>
      <c r="AJ96" s="188"/>
      <c r="AK96" s="188"/>
      <c r="AL96" s="185"/>
      <c r="AM96" s="182"/>
      <c r="AN96" s="576"/>
      <c r="AO96" s="188"/>
      <c r="AP96" s="188"/>
      <c r="AQ96" s="185"/>
      <c r="AR96" s="182"/>
      <c r="AS96" s="576"/>
      <c r="AT96" s="188"/>
      <c r="AU96" s="188"/>
      <c r="AV96" s="185"/>
      <c r="AW96" s="182"/>
      <c r="AX96" s="576"/>
    </row>
    <row r="97" spans="2:50" ht="14.25" customHeight="1">
      <c r="B97" s="575"/>
      <c r="C97" s="180">
        <v>11</v>
      </c>
      <c r="D97" s="183"/>
      <c r="E97" s="180"/>
      <c r="F97" s="180"/>
      <c r="G97" s="185"/>
      <c r="H97" s="576"/>
      <c r="I97" s="186"/>
      <c r="J97" s="186"/>
      <c r="K97" s="187"/>
      <c r="L97" s="577"/>
      <c r="M97" s="186"/>
      <c r="N97" s="575"/>
      <c r="O97" s="575"/>
      <c r="P97" s="188"/>
      <c r="Q97" s="188"/>
      <c r="R97" s="185"/>
      <c r="S97" s="182"/>
      <c r="T97" s="576"/>
      <c r="U97" s="188"/>
      <c r="V97" s="188"/>
      <c r="W97" s="185"/>
      <c r="X97" s="182"/>
      <c r="Y97" s="576"/>
      <c r="Z97" s="188"/>
      <c r="AA97" s="188"/>
      <c r="AB97" s="185"/>
      <c r="AC97" s="182"/>
      <c r="AD97" s="576"/>
      <c r="AE97" s="188"/>
      <c r="AF97" s="188"/>
      <c r="AG97" s="185"/>
      <c r="AH97" s="182"/>
      <c r="AI97" s="638"/>
      <c r="AJ97" s="188"/>
      <c r="AK97" s="188"/>
      <c r="AL97" s="185"/>
      <c r="AM97" s="182"/>
      <c r="AN97" s="576"/>
      <c r="AO97" s="188"/>
      <c r="AP97" s="188"/>
      <c r="AQ97" s="185"/>
      <c r="AR97" s="182"/>
      <c r="AS97" s="576"/>
      <c r="AT97" s="188"/>
      <c r="AU97" s="188"/>
      <c r="AV97" s="185"/>
      <c r="AW97" s="182"/>
      <c r="AX97" s="576"/>
    </row>
    <row r="98" spans="2:50" ht="14.25" customHeight="1">
      <c r="B98" s="575"/>
      <c r="C98" s="180">
        <v>12</v>
      </c>
      <c r="D98" s="183"/>
      <c r="E98" s="180"/>
      <c r="F98" s="180"/>
      <c r="G98" s="185"/>
      <c r="H98" s="576"/>
      <c r="I98" s="186"/>
      <c r="J98" s="186"/>
      <c r="K98" s="187"/>
      <c r="L98" s="577"/>
      <c r="M98" s="186"/>
      <c r="N98" s="575"/>
      <c r="O98" s="575"/>
      <c r="P98" s="188"/>
      <c r="Q98" s="188"/>
      <c r="R98" s="185"/>
      <c r="S98" s="182"/>
      <c r="T98" s="576"/>
      <c r="U98" s="188"/>
      <c r="V98" s="188"/>
      <c r="W98" s="185"/>
      <c r="X98" s="182"/>
      <c r="Y98" s="576"/>
      <c r="Z98" s="188"/>
      <c r="AA98" s="188"/>
      <c r="AB98" s="185"/>
      <c r="AC98" s="182"/>
      <c r="AD98" s="576"/>
      <c r="AE98" s="188"/>
      <c r="AF98" s="188"/>
      <c r="AG98" s="185"/>
      <c r="AH98" s="182"/>
      <c r="AI98" s="638"/>
      <c r="AJ98" s="188"/>
      <c r="AK98" s="188"/>
      <c r="AL98" s="185"/>
      <c r="AM98" s="182"/>
      <c r="AN98" s="576"/>
      <c r="AO98" s="188"/>
      <c r="AP98" s="188"/>
      <c r="AQ98" s="185"/>
      <c r="AR98" s="182"/>
      <c r="AS98" s="576"/>
      <c r="AT98" s="188"/>
      <c r="AU98" s="188"/>
      <c r="AV98" s="185"/>
      <c r="AW98" s="182"/>
      <c r="AX98" s="576"/>
    </row>
    <row r="99" spans="2:50" ht="14.25" customHeight="1">
      <c r="B99" s="575"/>
      <c r="C99" s="180">
        <v>13</v>
      </c>
      <c r="D99" s="183"/>
      <c r="E99" s="180"/>
      <c r="F99" s="180"/>
      <c r="G99" s="185"/>
      <c r="H99" s="576"/>
      <c r="I99" s="186"/>
      <c r="J99" s="186"/>
      <c r="K99" s="187"/>
      <c r="L99" s="577"/>
      <c r="M99" s="186"/>
      <c r="N99" s="575"/>
      <c r="O99" s="575"/>
      <c r="P99" s="188"/>
      <c r="Q99" s="188"/>
      <c r="R99" s="185"/>
      <c r="S99" s="182"/>
      <c r="T99" s="576"/>
      <c r="U99" s="188"/>
      <c r="V99" s="188"/>
      <c r="W99" s="185"/>
      <c r="X99" s="182"/>
      <c r="Y99" s="576"/>
      <c r="Z99" s="188"/>
      <c r="AA99" s="188"/>
      <c r="AB99" s="185"/>
      <c r="AC99" s="182"/>
      <c r="AD99" s="576"/>
      <c r="AE99" s="188"/>
      <c r="AF99" s="188"/>
      <c r="AG99" s="185"/>
      <c r="AH99" s="182"/>
      <c r="AI99" s="638"/>
      <c r="AJ99" s="188"/>
      <c r="AK99" s="188"/>
      <c r="AL99" s="185"/>
      <c r="AM99" s="182"/>
      <c r="AN99" s="576"/>
      <c r="AO99" s="188"/>
      <c r="AP99" s="188"/>
      <c r="AQ99" s="185"/>
      <c r="AR99" s="182"/>
      <c r="AS99" s="576"/>
      <c r="AT99" s="188"/>
      <c r="AU99" s="188"/>
      <c r="AV99" s="185"/>
      <c r="AW99" s="182"/>
      <c r="AX99" s="576"/>
    </row>
    <row r="100" spans="2:50" ht="14.25" customHeight="1">
      <c r="B100" s="575"/>
      <c r="C100" s="180">
        <v>14</v>
      </c>
      <c r="D100" s="183"/>
      <c r="E100" s="180"/>
      <c r="F100" s="180"/>
      <c r="G100" s="185"/>
      <c r="H100" s="576"/>
      <c r="I100" s="186"/>
      <c r="J100" s="186"/>
      <c r="K100" s="187"/>
      <c r="L100" s="577"/>
      <c r="M100" s="186"/>
      <c r="N100" s="575"/>
      <c r="O100" s="575"/>
      <c r="P100" s="188"/>
      <c r="Q100" s="188"/>
      <c r="R100" s="185"/>
      <c r="S100" s="182"/>
      <c r="T100" s="576"/>
      <c r="U100" s="188"/>
      <c r="V100" s="188"/>
      <c r="W100" s="185"/>
      <c r="X100" s="182"/>
      <c r="Y100" s="576"/>
      <c r="Z100" s="188"/>
      <c r="AA100" s="188"/>
      <c r="AB100" s="185"/>
      <c r="AC100" s="182"/>
      <c r="AD100" s="576"/>
      <c r="AE100" s="188"/>
      <c r="AF100" s="188"/>
      <c r="AG100" s="185"/>
      <c r="AH100" s="182"/>
      <c r="AI100" s="638"/>
      <c r="AJ100" s="188"/>
      <c r="AK100" s="188"/>
      <c r="AL100" s="185"/>
      <c r="AM100" s="182"/>
      <c r="AN100" s="576"/>
      <c r="AO100" s="188"/>
      <c r="AP100" s="188"/>
      <c r="AQ100" s="185"/>
      <c r="AR100" s="182"/>
      <c r="AS100" s="576"/>
      <c r="AT100" s="188"/>
      <c r="AU100" s="188"/>
      <c r="AV100" s="185"/>
      <c r="AW100" s="182"/>
      <c r="AX100" s="576"/>
    </row>
    <row r="101" spans="2:50" ht="14.25" customHeight="1">
      <c r="B101" s="575"/>
      <c r="C101" s="180">
        <v>15</v>
      </c>
      <c r="D101" s="183"/>
      <c r="E101" s="180"/>
      <c r="F101" s="180"/>
      <c r="G101" s="185"/>
      <c r="H101" s="576"/>
      <c r="I101" s="186"/>
      <c r="J101" s="186"/>
      <c r="K101" s="187"/>
      <c r="L101" s="577"/>
      <c r="M101" s="186"/>
      <c r="N101" s="575"/>
      <c r="O101" s="575"/>
      <c r="P101" s="188"/>
      <c r="Q101" s="188"/>
      <c r="R101" s="185"/>
      <c r="S101" s="182"/>
      <c r="T101" s="576"/>
      <c r="U101" s="188"/>
      <c r="V101" s="188"/>
      <c r="W101" s="185"/>
      <c r="X101" s="182"/>
      <c r="Y101" s="576"/>
      <c r="Z101" s="188"/>
      <c r="AA101" s="188"/>
      <c r="AB101" s="185"/>
      <c r="AC101" s="182"/>
      <c r="AD101" s="576"/>
      <c r="AE101" s="188"/>
      <c r="AF101" s="188"/>
      <c r="AG101" s="185"/>
      <c r="AH101" s="182"/>
      <c r="AI101" s="639"/>
      <c r="AJ101" s="188"/>
      <c r="AK101" s="188"/>
      <c r="AL101" s="185"/>
      <c r="AM101" s="182"/>
      <c r="AN101" s="576"/>
      <c r="AO101" s="188"/>
      <c r="AP101" s="188"/>
      <c r="AQ101" s="185"/>
      <c r="AR101" s="182"/>
      <c r="AS101" s="576"/>
      <c r="AT101" s="188"/>
      <c r="AU101" s="188"/>
      <c r="AV101" s="185"/>
      <c r="AW101" s="182"/>
      <c r="AX101" s="576"/>
    </row>
  </sheetData>
  <mergeCells count="295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X7:AX21"/>
    <mergeCell ref="AT23:AX23"/>
    <mergeCell ref="AT22:AX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2">
    <tabColor rgb="FFFFFFCC"/>
  </sheetPr>
  <dimension ref="A1:AX101"/>
  <sheetViews>
    <sheetView zoomScaleNormal="100" workbookViewId="0">
      <pane xSplit="13" ySplit="1" topLeftCell="N77" activePane="bottomRight" state="frozen"/>
      <selection activeCell="L95" sqref="L95"/>
      <selection pane="topRight" activeCell="L95" sqref="L95"/>
      <selection pane="bottomLeft" activeCell="L95" sqref="L95"/>
      <selection pane="bottomRight" activeCell="AM87" sqref="AM87:AM94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5" t="s">
        <v>656</v>
      </c>
      <c r="C1" s="175">
        <f>AVERAGE(L7,L27,L47,L67)</f>
        <v>82.282454157599574</v>
      </c>
    </row>
    <row r="2" spans="1:50" ht="14.25" customHeight="1" collapsed="1">
      <c r="B2" s="589" t="s">
        <v>539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600"/>
      <c r="N2" s="609" t="s">
        <v>374</v>
      </c>
      <c r="O2" s="609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2"/>
      <c r="N3" s="611"/>
      <c r="O3" s="611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375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376</v>
      </c>
      <c r="F5" s="575"/>
      <c r="G5" s="575"/>
      <c r="H5" s="575"/>
      <c r="I5" s="579" t="s">
        <v>376</v>
      </c>
      <c r="J5" s="579"/>
      <c r="K5" s="579"/>
      <c r="L5" s="579"/>
      <c r="M5" s="579"/>
      <c r="N5" s="575"/>
      <c r="O5" s="575"/>
      <c r="P5" s="575" t="s">
        <v>377</v>
      </c>
      <c r="Q5" s="575"/>
      <c r="R5" s="575"/>
      <c r="S5" s="575"/>
      <c r="T5" s="575"/>
      <c r="U5" s="575" t="s">
        <v>377</v>
      </c>
      <c r="V5" s="575"/>
      <c r="W5" s="575"/>
      <c r="X5" s="575"/>
      <c r="Y5" s="575"/>
      <c r="Z5" s="575" t="s">
        <v>377</v>
      </c>
      <c r="AA5" s="575"/>
      <c r="AB5" s="575"/>
      <c r="AC5" s="575"/>
      <c r="AD5" s="575"/>
      <c r="AE5" s="575" t="s">
        <v>377</v>
      </c>
      <c r="AF5" s="575"/>
      <c r="AG5" s="575"/>
      <c r="AH5" s="575"/>
      <c r="AI5" s="575"/>
      <c r="AJ5" s="575" t="s">
        <v>377</v>
      </c>
      <c r="AK5" s="575"/>
      <c r="AL5" s="575"/>
      <c r="AM5" s="575"/>
      <c r="AN5" s="575"/>
      <c r="AO5" s="575" t="s">
        <v>377</v>
      </c>
      <c r="AP5" s="575"/>
      <c r="AQ5" s="575"/>
      <c r="AR5" s="575"/>
      <c r="AS5" s="575"/>
      <c r="AT5" s="575" t="s">
        <v>377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378</v>
      </c>
      <c r="G6" s="180" t="s">
        <v>161</v>
      </c>
      <c r="H6" s="575"/>
      <c r="I6" s="181" t="s">
        <v>159</v>
      </c>
      <c r="J6" s="181" t="s">
        <v>378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378</v>
      </c>
      <c r="R6" s="180" t="s">
        <v>161</v>
      </c>
      <c r="S6" s="182" t="s">
        <v>165</v>
      </c>
      <c r="T6" s="575"/>
      <c r="U6" s="180" t="s">
        <v>159</v>
      </c>
      <c r="V6" s="180" t="s">
        <v>378</v>
      </c>
      <c r="W6" s="180" t="s">
        <v>161</v>
      </c>
      <c r="X6" s="182" t="s">
        <v>165</v>
      </c>
      <c r="Y6" s="575"/>
      <c r="Z6" s="180" t="s">
        <v>159</v>
      </c>
      <c r="AA6" s="180" t="s">
        <v>378</v>
      </c>
      <c r="AB6" s="180" t="s">
        <v>161</v>
      </c>
      <c r="AC6" s="182" t="s">
        <v>165</v>
      </c>
      <c r="AD6" s="575"/>
      <c r="AE6" s="180" t="s">
        <v>159</v>
      </c>
      <c r="AF6" s="180" t="s">
        <v>378</v>
      </c>
      <c r="AG6" s="180" t="s">
        <v>161</v>
      </c>
      <c r="AH6" s="182" t="s">
        <v>165</v>
      </c>
      <c r="AI6" s="575"/>
      <c r="AJ6" s="180" t="s">
        <v>159</v>
      </c>
      <c r="AK6" s="180" t="s">
        <v>378</v>
      </c>
      <c r="AL6" s="180" t="s">
        <v>161</v>
      </c>
      <c r="AM6" s="182" t="s">
        <v>165</v>
      </c>
      <c r="AN6" s="575"/>
      <c r="AO6" s="180" t="s">
        <v>159</v>
      </c>
      <c r="AP6" s="180" t="s">
        <v>378</v>
      </c>
      <c r="AQ6" s="180" t="s">
        <v>161</v>
      </c>
      <c r="AR6" s="182" t="s">
        <v>165</v>
      </c>
      <c r="AS6" s="575"/>
      <c r="AT6" s="180" t="s">
        <v>159</v>
      </c>
      <c r="AU6" s="180" t="s">
        <v>378</v>
      </c>
      <c r="AV6" s="180" t="s">
        <v>161</v>
      </c>
      <c r="AW6" s="182" t="s">
        <v>165</v>
      </c>
      <c r="AX6" s="575"/>
    </row>
    <row r="7" spans="1:50" ht="14.25" customHeight="1">
      <c r="B7" s="575" t="s">
        <v>355</v>
      </c>
      <c r="C7" s="180">
        <v>1</v>
      </c>
      <c r="D7" s="183" t="s">
        <v>344</v>
      </c>
      <c r="E7" s="180">
        <v>24</v>
      </c>
      <c r="F7" s="180">
        <v>2000</v>
      </c>
      <c r="G7" s="185">
        <f t="shared" ref="G7:G14" si="10">F7/E7</f>
        <v>83.333333333333329</v>
      </c>
      <c r="H7" s="576">
        <f>AVERAGE(G7:G21)</f>
        <v>91.239648033126286</v>
      </c>
      <c r="I7" s="186">
        <f>AVERAGE(P7,U7,Z7,AE7,AJ7,AO7,AT7)</f>
        <v>24</v>
      </c>
      <c r="J7" s="186">
        <f>AVERAGE(Q7,V7,AA7,AF7,AK7,AP7,AU7)</f>
        <v>1785.5616371524959</v>
      </c>
      <c r="K7" s="187">
        <f>AVERAGE(R7,W7,AB7,AG7,AL7,AQ7,AV7)</f>
        <v>74.398401548020658</v>
      </c>
      <c r="L7" s="577">
        <f>IFERROR(AVERAGE(K7:K21),"-")</f>
        <v>80.926905816289917</v>
      </c>
      <c r="M7" s="186">
        <f>RANK(K7, K$7:$K$21)</f>
        <v>8</v>
      </c>
      <c r="N7" s="575"/>
      <c r="O7" s="575"/>
      <c r="P7" s="188">
        <v>24</v>
      </c>
      <c r="Q7" s="188">
        <v>1785.2952993169945</v>
      </c>
      <c r="R7" s="185">
        <f>IFERROR(Q7/P7,"")</f>
        <v>74.387304138208108</v>
      </c>
      <c r="S7" s="182">
        <f>RANK(R7, R$7:R$21)</f>
        <v>8</v>
      </c>
      <c r="T7" s="576">
        <f>AVERAGE(R7:R21)</f>
        <v>80.910463248378548</v>
      </c>
      <c r="U7" s="188">
        <v>24</v>
      </c>
      <c r="V7" s="188">
        <v>1785.4522847373339</v>
      </c>
      <c r="W7" s="185">
        <f t="shared" ref="W7:W14" si="11">IFERROR(V7/U7,"")</f>
        <v>74.393845197388913</v>
      </c>
      <c r="X7" s="182">
        <f>RANK(W7, W$7:W$21)</f>
        <v>8</v>
      </c>
      <c r="Y7" s="576">
        <f>AVERAGE(W7:W21)</f>
        <v>80.912277897667664</v>
      </c>
      <c r="Z7" s="188">
        <v>24</v>
      </c>
      <c r="AA7" s="188">
        <v>1785.6349757113126</v>
      </c>
      <c r="AB7" s="185">
        <f t="shared" ref="AB7:AB14" si="12">IFERROR(AA7/Z7,"")</f>
        <v>74.40145732130469</v>
      </c>
      <c r="AC7" s="182">
        <f>RANK(AB7, AB$7:AB$21)</f>
        <v>8</v>
      </c>
      <c r="AD7" s="576">
        <f>AVERAGE(AB7:AB21)</f>
        <v>80.920721067550318</v>
      </c>
      <c r="AE7" s="188">
        <v>24</v>
      </c>
      <c r="AF7" s="188">
        <v>1785.5852785823827</v>
      </c>
      <c r="AG7" s="185">
        <f>IFERROR(AF7/AE7,"")</f>
        <v>74.399386607599283</v>
      </c>
      <c r="AH7" s="182">
        <f>RANK(AG7, AG$7:AG$21)</f>
        <v>8</v>
      </c>
      <c r="AI7" s="576">
        <f>AVERAGE(AG7:AG21)</f>
        <v>80.92790132274061</v>
      </c>
      <c r="AJ7" s="188">
        <v>24</v>
      </c>
      <c r="AK7" s="188">
        <v>1785.5819067064554</v>
      </c>
      <c r="AL7" s="185">
        <f t="shared" ref="AL7:AL14" si="13">IFERROR(AK7/AJ7,"")</f>
        <v>74.399246112768978</v>
      </c>
      <c r="AM7" s="182">
        <f>RANK(AL7, AL$7:AL$21)</f>
        <v>8</v>
      </c>
      <c r="AN7" s="576">
        <f>AVERAGE(AL7:AL21)</f>
        <v>80.934874402526887</v>
      </c>
      <c r="AO7" s="188">
        <v>24</v>
      </c>
      <c r="AP7" s="188">
        <v>1785.6880733944952</v>
      </c>
      <c r="AQ7" s="185">
        <f t="shared" ref="AQ7:AQ14" si="14">IFERROR(AP7/AO7,"")</f>
        <v>74.403669724770637</v>
      </c>
      <c r="AR7" s="182">
        <f>RANK(AQ7, AQ$7:AQ$21)</f>
        <v>8</v>
      </c>
      <c r="AS7" s="576">
        <f>AVERAGE(AQ7:AQ21)</f>
        <v>80.937870915160943</v>
      </c>
      <c r="AT7" s="188">
        <v>24</v>
      </c>
      <c r="AU7" s="188">
        <v>1785.6936416184974</v>
      </c>
      <c r="AV7" s="185">
        <f t="shared" ref="AV7:AV14" si="15">IFERROR(AU7/AT7,"")</f>
        <v>74.403901734104053</v>
      </c>
      <c r="AW7" s="182">
        <f>RANK(AV7, AV$7:AV$21)</f>
        <v>8</v>
      </c>
      <c r="AX7" s="576">
        <f>AVERAGE(AV7:AV21)</f>
        <v>80.944231860004493</v>
      </c>
    </row>
    <row r="8" spans="1:50" ht="14.25" customHeight="1">
      <c r="B8" s="575"/>
      <c r="C8" s="180">
        <v>2</v>
      </c>
      <c r="D8" s="183" t="s">
        <v>343</v>
      </c>
      <c r="E8" s="180">
        <v>23</v>
      </c>
      <c r="F8" s="180">
        <v>2000</v>
      </c>
      <c r="G8" s="185">
        <f t="shared" si="10"/>
        <v>86.956521739130437</v>
      </c>
      <c r="H8" s="576"/>
      <c r="I8" s="186">
        <f t="shared" ref="I8:K14" si="16">AVERAGE(P8,U8,Z8,AE8,AJ8,AO8,AT8)</f>
        <v>23</v>
      </c>
      <c r="J8" s="186">
        <f t="shared" si="16"/>
        <v>1787.7124237029086</v>
      </c>
      <c r="K8" s="187">
        <f t="shared" si="16"/>
        <v>77.726627117517751</v>
      </c>
      <c r="L8" s="577"/>
      <c r="M8" s="186">
        <f>RANK(K8, K$7:$K$21)</f>
        <v>5</v>
      </c>
      <c r="N8" s="575"/>
      <c r="O8" s="575"/>
      <c r="P8" s="188">
        <v>23</v>
      </c>
      <c r="Q8" s="188">
        <v>1787.2899926953985</v>
      </c>
      <c r="R8" s="185">
        <f t="shared" ref="R8:R14" si="17">IFERROR(Q8/P8,"")</f>
        <v>77.708260551973851</v>
      </c>
      <c r="S8" s="182">
        <f t="shared" ref="S8:S14" si="18">RANK(R8, R$7:R$21)</f>
        <v>5</v>
      </c>
      <c r="T8" s="576"/>
      <c r="U8" s="188">
        <v>23</v>
      </c>
      <c r="V8" s="188">
        <v>1787.2967167842908</v>
      </c>
      <c r="W8" s="185">
        <f t="shared" si="11"/>
        <v>77.70855290366481</v>
      </c>
      <c r="X8" s="182">
        <f t="shared" ref="X8:X14" si="19">RANK(W8, W$7:W$21)</f>
        <v>5</v>
      </c>
      <c r="Y8" s="576"/>
      <c r="Z8" s="188">
        <v>23</v>
      </c>
      <c r="AA8" s="188">
        <v>1787.6712328767107</v>
      </c>
      <c r="AB8" s="185">
        <f t="shared" si="12"/>
        <v>77.724836212030908</v>
      </c>
      <c r="AC8" s="182">
        <f t="shared" ref="AC8:AC14" si="20">RANK(AB8, AB$7:AB$21)</f>
        <v>5</v>
      </c>
      <c r="AD8" s="576"/>
      <c r="AE8" s="188">
        <v>23</v>
      </c>
      <c r="AF8" s="188">
        <v>1787.8414096916326</v>
      </c>
      <c r="AG8" s="185">
        <f t="shared" ref="AG8:AG14" si="21">IFERROR(AF8/AE8,"")</f>
        <v>77.732235203984033</v>
      </c>
      <c r="AH8" s="182">
        <f t="shared" ref="AH8:AH14" si="22">RANK(AG8, AG$7:AG$21)</f>
        <v>6</v>
      </c>
      <c r="AI8" s="576"/>
      <c r="AJ8" s="188">
        <v>23</v>
      </c>
      <c r="AK8" s="188">
        <v>1787.7171215880901</v>
      </c>
      <c r="AL8" s="185">
        <f t="shared" si="13"/>
        <v>77.726831373395228</v>
      </c>
      <c r="AM8" s="182">
        <f t="shared" ref="AM8:AM14" si="23">RANK(AL8, AL$7:AL$21)</f>
        <v>6</v>
      </c>
      <c r="AN8" s="576"/>
      <c r="AO8" s="188">
        <v>23</v>
      </c>
      <c r="AP8" s="188">
        <v>1787.9970363052594</v>
      </c>
      <c r="AQ8" s="185">
        <f t="shared" si="14"/>
        <v>77.739001578489535</v>
      </c>
      <c r="AR8" s="182">
        <f t="shared" ref="AR8:AR14" si="24">RANK(AQ8, AQ$7:AQ$21)</f>
        <v>5</v>
      </c>
      <c r="AS8" s="576"/>
      <c r="AT8" s="188">
        <v>23</v>
      </c>
      <c r="AU8" s="188">
        <v>1788.1734559789772</v>
      </c>
      <c r="AV8" s="185">
        <f t="shared" si="15"/>
        <v>77.746671999085962</v>
      </c>
      <c r="AW8" s="182">
        <f t="shared" ref="AW8:AW14" si="25">RANK(AV8, AV$7:AV$21)</f>
        <v>5</v>
      </c>
      <c r="AX8" s="576"/>
    </row>
    <row r="9" spans="1:50" ht="14.25" customHeight="1">
      <c r="B9" s="575"/>
      <c r="C9" s="180">
        <v>3</v>
      </c>
      <c r="D9" s="183" t="s">
        <v>356</v>
      </c>
      <c r="E9" s="180">
        <v>23</v>
      </c>
      <c r="F9" s="180">
        <v>2000</v>
      </c>
      <c r="G9" s="185">
        <f t="shared" si="10"/>
        <v>86.956521739130437</v>
      </c>
      <c r="H9" s="576"/>
      <c r="I9" s="186">
        <f t="shared" si="16"/>
        <v>23</v>
      </c>
      <c r="J9" s="186">
        <f t="shared" si="16"/>
        <v>1787.6415234531344</v>
      </c>
      <c r="K9" s="187">
        <f t="shared" si="16"/>
        <v>77.723544497962379</v>
      </c>
      <c r="L9" s="577"/>
      <c r="M9" s="186">
        <f>RANK(K9, K$7:$K$21)</f>
        <v>6</v>
      </c>
      <c r="N9" s="575"/>
      <c r="O9" s="575"/>
      <c r="P9" s="188">
        <v>23</v>
      </c>
      <c r="Q9" s="188">
        <v>1787.0658682634776</v>
      </c>
      <c r="R9" s="185">
        <f t="shared" si="17"/>
        <v>77.698516011455553</v>
      </c>
      <c r="S9" s="182">
        <f t="shared" si="18"/>
        <v>6</v>
      </c>
      <c r="T9" s="576"/>
      <c r="U9" s="188">
        <v>23</v>
      </c>
      <c r="V9" s="188">
        <v>1787.2138910812969</v>
      </c>
      <c r="W9" s="185">
        <f t="shared" si="11"/>
        <v>77.70495178614334</v>
      </c>
      <c r="X9" s="182">
        <f t="shared" si="19"/>
        <v>6</v>
      </c>
      <c r="Y9" s="576"/>
      <c r="Z9" s="188">
        <v>23</v>
      </c>
      <c r="AA9" s="188">
        <v>1787.517337031906</v>
      </c>
      <c r="AB9" s="185">
        <f t="shared" si="12"/>
        <v>77.718145088343732</v>
      </c>
      <c r="AC9" s="182">
        <f t="shared" si="20"/>
        <v>6</v>
      </c>
      <c r="AD9" s="576"/>
      <c r="AE9" s="188">
        <v>23</v>
      </c>
      <c r="AF9" s="188">
        <v>1788.0294014700721</v>
      </c>
      <c r="AG9" s="185">
        <f t="shared" si="21"/>
        <v>77.740408759568354</v>
      </c>
      <c r="AH9" s="182">
        <f t="shared" si="22"/>
        <v>5</v>
      </c>
      <c r="AI9" s="576"/>
      <c r="AJ9" s="188">
        <v>23</v>
      </c>
      <c r="AK9" s="188">
        <v>1787.9194630872503</v>
      </c>
      <c r="AL9" s="185">
        <f t="shared" si="13"/>
        <v>77.73562882988044</v>
      </c>
      <c r="AM9" s="182">
        <f t="shared" si="23"/>
        <v>5</v>
      </c>
      <c r="AN9" s="576"/>
      <c r="AO9" s="188">
        <v>23</v>
      </c>
      <c r="AP9" s="188">
        <v>1787.724736515813</v>
      </c>
      <c r="AQ9" s="185">
        <f t="shared" si="14"/>
        <v>77.727162457209261</v>
      </c>
      <c r="AR9" s="182">
        <f t="shared" si="24"/>
        <v>6</v>
      </c>
      <c r="AS9" s="576"/>
      <c r="AT9" s="188">
        <v>23</v>
      </c>
      <c r="AU9" s="188">
        <v>1788.0199667221261</v>
      </c>
      <c r="AV9" s="185">
        <f t="shared" si="15"/>
        <v>77.739998553135919</v>
      </c>
      <c r="AW9" s="182">
        <f t="shared" si="25"/>
        <v>6</v>
      </c>
      <c r="AX9" s="576"/>
    </row>
    <row r="10" spans="1:50" ht="14.25" customHeight="1">
      <c r="B10" s="575"/>
      <c r="C10" s="180">
        <v>4</v>
      </c>
      <c r="D10" s="183" t="s">
        <v>345</v>
      </c>
      <c r="E10" s="180">
        <v>23</v>
      </c>
      <c r="F10" s="180">
        <v>2000</v>
      </c>
      <c r="G10" s="185">
        <f t="shared" si="10"/>
        <v>86.956521739130437</v>
      </c>
      <c r="H10" s="576"/>
      <c r="I10" s="186">
        <f t="shared" si="16"/>
        <v>23</v>
      </c>
      <c r="J10" s="186">
        <f t="shared" si="16"/>
        <v>1789.618373605475</v>
      </c>
      <c r="K10" s="187">
        <f t="shared" si="16"/>
        <v>77.809494504585857</v>
      </c>
      <c r="L10" s="577"/>
      <c r="M10" s="186">
        <f>RANK(K10, K$7:$K$21)</f>
        <v>4</v>
      </c>
      <c r="N10" s="575"/>
      <c r="O10" s="575"/>
      <c r="P10" s="188">
        <v>23</v>
      </c>
      <c r="Q10" s="188">
        <v>1789.0851568679168</v>
      </c>
      <c r="R10" s="185">
        <f t="shared" si="17"/>
        <v>77.7863111681703</v>
      </c>
      <c r="S10" s="182">
        <f t="shared" si="18"/>
        <v>4</v>
      </c>
      <c r="T10" s="576"/>
      <c r="U10" s="188">
        <v>23</v>
      </c>
      <c r="V10" s="188">
        <v>1789.3491124260347</v>
      </c>
      <c r="W10" s="185">
        <f t="shared" si="11"/>
        <v>77.797787496784125</v>
      </c>
      <c r="X10" s="182">
        <f t="shared" si="19"/>
        <v>4</v>
      </c>
      <c r="Y10" s="576"/>
      <c r="Z10" s="188">
        <v>23</v>
      </c>
      <c r="AA10" s="188">
        <v>1789.2899642998827</v>
      </c>
      <c r="AB10" s="185">
        <f t="shared" si="12"/>
        <v>77.795215839125333</v>
      </c>
      <c r="AC10" s="182">
        <f t="shared" si="20"/>
        <v>4</v>
      </c>
      <c r="AD10" s="576"/>
      <c r="AE10" s="188">
        <v>23</v>
      </c>
      <c r="AF10" s="188">
        <v>1789.7761443367851</v>
      </c>
      <c r="AG10" s="185">
        <f t="shared" si="21"/>
        <v>77.816354101599359</v>
      </c>
      <c r="AH10" s="182">
        <f t="shared" si="22"/>
        <v>4</v>
      </c>
      <c r="AI10" s="576"/>
      <c r="AJ10" s="188">
        <v>23</v>
      </c>
      <c r="AK10" s="188">
        <v>1789.9441340782123</v>
      </c>
      <c r="AL10" s="185">
        <f t="shared" si="13"/>
        <v>77.823658003400539</v>
      </c>
      <c r="AM10" s="182">
        <f t="shared" si="23"/>
        <v>4</v>
      </c>
      <c r="AN10" s="576"/>
      <c r="AO10" s="188">
        <v>23</v>
      </c>
      <c r="AP10" s="188">
        <v>1789.9497487437168</v>
      </c>
      <c r="AQ10" s="185">
        <f t="shared" si="14"/>
        <v>77.823902119292029</v>
      </c>
      <c r="AR10" s="182">
        <f t="shared" si="24"/>
        <v>4</v>
      </c>
      <c r="AS10" s="576"/>
      <c r="AT10" s="188">
        <v>23</v>
      </c>
      <c r="AU10" s="188">
        <v>1789.9343544857766</v>
      </c>
      <c r="AV10" s="185">
        <f t="shared" si="15"/>
        <v>77.823232803729411</v>
      </c>
      <c r="AW10" s="182">
        <f t="shared" si="25"/>
        <v>4</v>
      </c>
      <c r="AX10" s="576"/>
    </row>
    <row r="11" spans="1:50" ht="14.25" customHeight="1">
      <c r="B11" s="575"/>
      <c r="C11" s="180">
        <v>5</v>
      </c>
      <c r="D11" s="183" t="s">
        <v>495</v>
      </c>
      <c r="E11" s="180">
        <v>19</v>
      </c>
      <c r="F11" s="180">
        <v>1800</v>
      </c>
      <c r="G11" s="185">
        <f t="shared" si="10"/>
        <v>94.736842105263165</v>
      </c>
      <c r="H11" s="576"/>
      <c r="I11" s="186">
        <f t="shared" si="16"/>
        <v>19</v>
      </c>
      <c r="J11" s="186">
        <f t="shared" si="16"/>
        <v>1606.138385538095</v>
      </c>
      <c r="K11" s="187">
        <f t="shared" si="16"/>
        <v>84.533599238847117</v>
      </c>
      <c r="L11" s="577"/>
      <c r="M11" s="186">
        <f>RANK(K11, K$7:$K$21)</f>
        <v>3</v>
      </c>
      <c r="N11" s="575"/>
      <c r="O11" s="575"/>
      <c r="P11" s="188">
        <v>19</v>
      </c>
      <c r="Q11" s="188">
        <v>1605.9843590615458</v>
      </c>
      <c r="R11" s="185">
        <f t="shared" si="17"/>
        <v>84.525492582186615</v>
      </c>
      <c r="S11" s="182">
        <f t="shared" si="18"/>
        <v>3</v>
      </c>
      <c r="T11" s="576"/>
      <c r="U11" s="188">
        <v>19</v>
      </c>
      <c r="V11" s="188">
        <v>1605.8950395398992</v>
      </c>
      <c r="W11" s="185">
        <f t="shared" si="11"/>
        <v>84.520791554731545</v>
      </c>
      <c r="X11" s="182">
        <f t="shared" si="19"/>
        <v>3</v>
      </c>
      <c r="Y11" s="576"/>
      <c r="Z11" s="188">
        <v>19</v>
      </c>
      <c r="AA11" s="188">
        <v>1605.8893752487047</v>
      </c>
      <c r="AB11" s="185">
        <f t="shared" si="12"/>
        <v>84.520493434142352</v>
      </c>
      <c r="AC11" s="182">
        <f t="shared" si="20"/>
        <v>3</v>
      </c>
      <c r="AD11" s="576"/>
      <c r="AE11" s="188">
        <v>19</v>
      </c>
      <c r="AF11" s="188">
        <v>1606.2500000000005</v>
      </c>
      <c r="AG11" s="185">
        <f t="shared" si="21"/>
        <v>84.539473684210549</v>
      </c>
      <c r="AH11" s="182">
        <f t="shared" si="22"/>
        <v>3</v>
      </c>
      <c r="AI11" s="576"/>
      <c r="AJ11" s="188">
        <v>19</v>
      </c>
      <c r="AK11" s="188">
        <v>1606.1331338818236</v>
      </c>
      <c r="AL11" s="185">
        <f t="shared" si="13"/>
        <v>84.533322835885457</v>
      </c>
      <c r="AM11" s="182">
        <f t="shared" si="23"/>
        <v>3</v>
      </c>
      <c r="AN11" s="576"/>
      <c r="AO11" s="188">
        <v>19</v>
      </c>
      <c r="AP11" s="188">
        <v>1606.0240963855385</v>
      </c>
      <c r="AQ11" s="185">
        <f t="shared" si="14"/>
        <v>84.527584020291499</v>
      </c>
      <c r="AR11" s="182">
        <f t="shared" si="24"/>
        <v>3</v>
      </c>
      <c r="AS11" s="576"/>
      <c r="AT11" s="188">
        <v>19</v>
      </c>
      <c r="AU11" s="188">
        <v>1606.7926946491532</v>
      </c>
      <c r="AV11" s="185">
        <f t="shared" si="15"/>
        <v>84.568036560481744</v>
      </c>
      <c r="AW11" s="182">
        <f t="shared" si="25"/>
        <v>3</v>
      </c>
      <c r="AX11" s="576"/>
    </row>
    <row r="12" spans="1:50" ht="14.25" customHeight="1">
      <c r="B12" s="575"/>
      <c r="C12" s="180">
        <v>6</v>
      </c>
      <c r="D12" s="183" t="s">
        <v>473</v>
      </c>
      <c r="E12" s="180">
        <v>19</v>
      </c>
      <c r="F12" s="180">
        <v>2000</v>
      </c>
      <c r="G12" s="185">
        <f t="shared" si="10"/>
        <v>105.26315789473684</v>
      </c>
      <c r="H12" s="576"/>
      <c r="I12" s="186">
        <f t="shared" si="16"/>
        <v>20</v>
      </c>
      <c r="J12" s="186">
        <f t="shared" si="16"/>
        <v>1787.6833225479334</v>
      </c>
      <c r="K12" s="187">
        <f t="shared" si="16"/>
        <v>89.384166127396682</v>
      </c>
      <c r="L12" s="577"/>
      <c r="M12" s="186">
        <f>RANK(K12, K$7:$K$21)</f>
        <v>1</v>
      </c>
      <c r="N12" s="575"/>
      <c r="O12" s="575"/>
      <c r="P12" s="188">
        <v>20</v>
      </c>
      <c r="Q12" s="188">
        <v>1787.3684210526301</v>
      </c>
      <c r="R12" s="185">
        <f t="shared" si="17"/>
        <v>89.368421052631504</v>
      </c>
      <c r="S12" s="182">
        <f t="shared" si="18"/>
        <v>1</v>
      </c>
      <c r="T12" s="576"/>
      <c r="U12" s="188">
        <v>20</v>
      </c>
      <c r="V12" s="188">
        <v>1787.0216306156465</v>
      </c>
      <c r="W12" s="185">
        <f t="shared" si="11"/>
        <v>89.351081530782324</v>
      </c>
      <c r="X12" s="182">
        <f t="shared" si="19"/>
        <v>1</v>
      </c>
      <c r="Y12" s="576"/>
      <c r="Z12" s="188">
        <v>20</v>
      </c>
      <c r="AA12" s="188">
        <v>1787.8706199460971</v>
      </c>
      <c r="AB12" s="185">
        <f t="shared" si="12"/>
        <v>89.39353099730485</v>
      </c>
      <c r="AC12" s="182">
        <f t="shared" si="20"/>
        <v>1</v>
      </c>
      <c r="AD12" s="576"/>
      <c r="AE12" s="188">
        <v>20</v>
      </c>
      <c r="AF12" s="188">
        <v>1787.5200000000041</v>
      </c>
      <c r="AG12" s="185">
        <f t="shared" si="21"/>
        <v>89.376000000000204</v>
      </c>
      <c r="AH12" s="182">
        <f t="shared" si="22"/>
        <v>1</v>
      </c>
      <c r="AI12" s="576"/>
      <c r="AJ12" s="188">
        <v>20</v>
      </c>
      <c r="AK12" s="188">
        <v>1787.9194630872548</v>
      </c>
      <c r="AL12" s="185">
        <f t="shared" si="13"/>
        <v>89.395973154362736</v>
      </c>
      <c r="AM12" s="182">
        <f t="shared" si="23"/>
        <v>1</v>
      </c>
      <c r="AN12" s="576"/>
      <c r="AO12" s="188">
        <v>20</v>
      </c>
      <c r="AP12" s="188">
        <v>1788.1941407958027</v>
      </c>
      <c r="AQ12" s="185">
        <f t="shared" si="14"/>
        <v>89.409707039790135</v>
      </c>
      <c r="AR12" s="182">
        <f t="shared" si="24"/>
        <v>1</v>
      </c>
      <c r="AS12" s="576"/>
      <c r="AT12" s="188">
        <v>20</v>
      </c>
      <c r="AU12" s="188">
        <v>1787.8889823380987</v>
      </c>
      <c r="AV12" s="185">
        <f t="shared" si="15"/>
        <v>89.394449116904937</v>
      </c>
      <c r="AW12" s="182">
        <f t="shared" si="25"/>
        <v>1</v>
      </c>
      <c r="AX12" s="576"/>
    </row>
    <row r="13" spans="1:50" ht="14.25" customHeight="1">
      <c r="B13" s="575"/>
      <c r="C13" s="180">
        <v>7</v>
      </c>
      <c r="D13" s="183" t="s">
        <v>533</v>
      </c>
      <c r="E13" s="180">
        <v>21</v>
      </c>
      <c r="F13" s="180">
        <v>1800</v>
      </c>
      <c r="G13" s="185">
        <f t="shared" si="10"/>
        <v>85.714285714285708</v>
      </c>
      <c r="H13" s="576"/>
      <c r="I13" s="186">
        <f t="shared" si="16"/>
        <v>21</v>
      </c>
      <c r="J13" s="186">
        <f t="shared" si="16"/>
        <v>1606.6644565081072</v>
      </c>
      <c r="K13" s="187">
        <f t="shared" si="16"/>
        <v>76.507831262290807</v>
      </c>
      <c r="L13" s="577"/>
      <c r="M13" s="186">
        <f>RANK(K13, K$7:$K$21)</f>
        <v>7</v>
      </c>
      <c r="N13" s="575"/>
      <c r="O13" s="575"/>
      <c r="P13" s="188">
        <v>21</v>
      </c>
      <c r="Q13" s="188">
        <v>1606.4361956348575</v>
      </c>
      <c r="R13" s="185">
        <f t="shared" si="17"/>
        <v>76.496961696897984</v>
      </c>
      <c r="S13" s="182">
        <f t="shared" si="18"/>
        <v>7</v>
      </c>
      <c r="T13" s="576"/>
      <c r="U13" s="188">
        <v>21</v>
      </c>
      <c r="V13" s="188">
        <v>1606.5173116089611</v>
      </c>
      <c r="W13" s="185">
        <f t="shared" si="11"/>
        <v>76.500824362331485</v>
      </c>
      <c r="X13" s="182">
        <f t="shared" si="19"/>
        <v>7</v>
      </c>
      <c r="Y13" s="576"/>
      <c r="Z13" s="188">
        <v>21</v>
      </c>
      <c r="AA13" s="188">
        <v>1606.6336633663359</v>
      </c>
      <c r="AB13" s="185">
        <f t="shared" si="12"/>
        <v>76.506364922206473</v>
      </c>
      <c r="AC13" s="182">
        <f t="shared" si="20"/>
        <v>7</v>
      </c>
      <c r="AD13" s="576"/>
      <c r="AE13" s="188">
        <v>21</v>
      </c>
      <c r="AF13" s="188">
        <v>1606.7929457870644</v>
      </c>
      <c r="AG13" s="185">
        <f t="shared" si="21"/>
        <v>76.513949799384022</v>
      </c>
      <c r="AH13" s="182">
        <f t="shared" si="22"/>
        <v>7</v>
      </c>
      <c r="AI13" s="576"/>
      <c r="AJ13" s="188">
        <v>21</v>
      </c>
      <c r="AK13" s="188">
        <v>1606.7383803531563</v>
      </c>
      <c r="AL13" s="185">
        <f t="shared" si="13"/>
        <v>76.511351445388399</v>
      </c>
      <c r="AM13" s="182">
        <f t="shared" si="23"/>
        <v>7</v>
      </c>
      <c r="AN13" s="576"/>
      <c r="AO13" s="188">
        <v>21</v>
      </c>
      <c r="AP13" s="188">
        <v>1606.7047338368029</v>
      </c>
      <c r="AQ13" s="185">
        <f t="shared" si="14"/>
        <v>76.509749230323948</v>
      </c>
      <c r="AR13" s="182">
        <f t="shared" si="24"/>
        <v>7</v>
      </c>
      <c r="AS13" s="576"/>
      <c r="AT13" s="188">
        <v>21</v>
      </c>
      <c r="AU13" s="188">
        <v>1606.8279649695705</v>
      </c>
      <c r="AV13" s="185">
        <f t="shared" si="15"/>
        <v>76.515617379503354</v>
      </c>
      <c r="AW13" s="182">
        <f t="shared" si="25"/>
        <v>7</v>
      </c>
      <c r="AX13" s="576"/>
    </row>
    <row r="14" spans="1:50" ht="14.25" customHeight="1">
      <c r="B14" s="575"/>
      <c r="C14" s="180">
        <v>8</v>
      </c>
      <c r="D14" s="183" t="s">
        <v>534</v>
      </c>
      <c r="E14" s="180">
        <v>20</v>
      </c>
      <c r="F14" s="180">
        <v>2000</v>
      </c>
      <c r="G14" s="185">
        <f t="shared" si="10"/>
        <v>100</v>
      </c>
      <c r="H14" s="576"/>
      <c r="I14" s="186">
        <f t="shared" si="16"/>
        <v>20</v>
      </c>
      <c r="J14" s="186">
        <f t="shared" si="16"/>
        <v>1786.6316446739627</v>
      </c>
      <c r="K14" s="187">
        <f t="shared" si="16"/>
        <v>89.331582233698143</v>
      </c>
      <c r="L14" s="577"/>
      <c r="M14" s="186">
        <f>RANK(K14, K$7:$K$21)</f>
        <v>2</v>
      </c>
      <c r="N14" s="575"/>
      <c r="O14" s="575"/>
      <c r="P14" s="188">
        <v>20</v>
      </c>
      <c r="Q14" s="188">
        <v>1786.2487757100898</v>
      </c>
      <c r="R14" s="185">
        <f t="shared" si="17"/>
        <v>89.312438785504497</v>
      </c>
      <c r="S14" s="182">
        <f t="shared" si="18"/>
        <v>2</v>
      </c>
      <c r="T14" s="576"/>
      <c r="U14" s="188">
        <v>20</v>
      </c>
      <c r="V14" s="188">
        <v>1786.4077669902954</v>
      </c>
      <c r="W14" s="185">
        <f t="shared" si="11"/>
        <v>89.320388349514772</v>
      </c>
      <c r="X14" s="182">
        <f t="shared" si="19"/>
        <v>2</v>
      </c>
      <c r="Y14" s="576"/>
      <c r="Z14" s="188">
        <v>20</v>
      </c>
      <c r="AA14" s="188">
        <v>1786.1144945188855</v>
      </c>
      <c r="AB14" s="185">
        <f t="shared" si="12"/>
        <v>89.305724725944273</v>
      </c>
      <c r="AC14" s="182">
        <f t="shared" si="20"/>
        <v>2</v>
      </c>
      <c r="AD14" s="576"/>
      <c r="AE14" s="188">
        <v>20</v>
      </c>
      <c r="AF14" s="188">
        <v>1786.1080485115808</v>
      </c>
      <c r="AG14" s="185">
        <f t="shared" si="21"/>
        <v>89.305402425579047</v>
      </c>
      <c r="AH14" s="182">
        <f t="shared" si="22"/>
        <v>2</v>
      </c>
      <c r="AI14" s="576"/>
      <c r="AJ14" s="188">
        <v>20</v>
      </c>
      <c r="AK14" s="188">
        <v>1787.0596693026664</v>
      </c>
      <c r="AL14" s="185">
        <f t="shared" si="13"/>
        <v>89.35298346513332</v>
      </c>
      <c r="AM14" s="182">
        <f t="shared" si="23"/>
        <v>2</v>
      </c>
      <c r="AN14" s="576"/>
      <c r="AO14" s="188">
        <v>20</v>
      </c>
      <c r="AP14" s="188">
        <v>1787.2438230224104</v>
      </c>
      <c r="AQ14" s="185">
        <f t="shared" si="14"/>
        <v>89.362191151120527</v>
      </c>
      <c r="AR14" s="182">
        <f t="shared" si="24"/>
        <v>2</v>
      </c>
      <c r="AS14" s="576"/>
      <c r="AT14" s="188">
        <v>20</v>
      </c>
      <c r="AU14" s="188">
        <v>1787.2389346618115</v>
      </c>
      <c r="AV14" s="185">
        <f t="shared" si="15"/>
        <v>89.361946733090576</v>
      </c>
      <c r="AW14" s="182">
        <f t="shared" si="25"/>
        <v>2</v>
      </c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575"/>
      <c r="O15" s="575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589" t="s">
        <v>657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09" t="s">
        <v>374</v>
      </c>
      <c r="O22" s="609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1"/>
      <c r="O23" s="611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375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376</v>
      </c>
      <c r="F25" s="575"/>
      <c r="G25" s="575"/>
      <c r="H25" s="575"/>
      <c r="I25" s="579" t="s">
        <v>376</v>
      </c>
      <c r="J25" s="579"/>
      <c r="K25" s="579"/>
      <c r="L25" s="579"/>
      <c r="M25" s="579"/>
      <c r="N25" s="575"/>
      <c r="O25" s="575"/>
      <c r="P25" s="575" t="s">
        <v>377</v>
      </c>
      <c r="Q25" s="575"/>
      <c r="R25" s="575"/>
      <c r="S25" s="575"/>
      <c r="T25" s="575"/>
      <c r="U25" s="575" t="s">
        <v>377</v>
      </c>
      <c r="V25" s="575"/>
      <c r="W25" s="575"/>
      <c r="X25" s="575"/>
      <c r="Y25" s="575"/>
      <c r="Z25" s="575" t="s">
        <v>377</v>
      </c>
      <c r="AA25" s="575"/>
      <c r="AB25" s="575"/>
      <c r="AC25" s="575"/>
      <c r="AD25" s="575"/>
      <c r="AE25" s="575" t="s">
        <v>377</v>
      </c>
      <c r="AF25" s="575"/>
      <c r="AG25" s="575"/>
      <c r="AH25" s="575"/>
      <c r="AI25" s="575"/>
      <c r="AJ25" s="575" t="s">
        <v>377</v>
      </c>
      <c r="AK25" s="575"/>
      <c r="AL25" s="575"/>
      <c r="AM25" s="575"/>
      <c r="AN25" s="575"/>
      <c r="AO25" s="575" t="s">
        <v>377</v>
      </c>
      <c r="AP25" s="575"/>
      <c r="AQ25" s="575"/>
      <c r="AR25" s="575"/>
      <c r="AS25" s="575"/>
      <c r="AT25" s="575" t="s">
        <v>377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378</v>
      </c>
      <c r="G26" s="180" t="s">
        <v>161</v>
      </c>
      <c r="H26" s="575"/>
      <c r="I26" s="181" t="s">
        <v>159</v>
      </c>
      <c r="J26" s="181" t="s">
        <v>378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378</v>
      </c>
      <c r="R26" s="180" t="s">
        <v>161</v>
      </c>
      <c r="S26" s="182" t="s">
        <v>165</v>
      </c>
      <c r="T26" s="575"/>
      <c r="U26" s="180" t="s">
        <v>159</v>
      </c>
      <c r="V26" s="180" t="s">
        <v>378</v>
      </c>
      <c r="W26" s="180" t="s">
        <v>161</v>
      </c>
      <c r="X26" s="182" t="s">
        <v>165</v>
      </c>
      <c r="Y26" s="575"/>
      <c r="Z26" s="180" t="s">
        <v>159</v>
      </c>
      <c r="AA26" s="180" t="s">
        <v>378</v>
      </c>
      <c r="AB26" s="180" t="s">
        <v>161</v>
      </c>
      <c r="AC26" s="182" t="s">
        <v>165</v>
      </c>
      <c r="AD26" s="575"/>
      <c r="AE26" s="180" t="s">
        <v>159</v>
      </c>
      <c r="AF26" s="180" t="s">
        <v>378</v>
      </c>
      <c r="AG26" s="180" t="s">
        <v>161</v>
      </c>
      <c r="AH26" s="182" t="s">
        <v>165</v>
      </c>
      <c r="AI26" s="575"/>
      <c r="AJ26" s="180" t="s">
        <v>159</v>
      </c>
      <c r="AK26" s="180" t="s">
        <v>378</v>
      </c>
      <c r="AL26" s="180" t="s">
        <v>161</v>
      </c>
      <c r="AM26" s="182" t="s">
        <v>165</v>
      </c>
      <c r="AN26" s="575"/>
      <c r="AO26" s="180" t="s">
        <v>159</v>
      </c>
      <c r="AP26" s="180" t="s">
        <v>378</v>
      </c>
      <c r="AQ26" s="180" t="s">
        <v>161</v>
      </c>
      <c r="AR26" s="182" t="s">
        <v>165</v>
      </c>
      <c r="AS26" s="575"/>
      <c r="AT26" s="180" t="s">
        <v>159</v>
      </c>
      <c r="AU26" s="180" t="s">
        <v>378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355</v>
      </c>
      <c r="C27" s="180">
        <v>1</v>
      </c>
      <c r="D27" s="183" t="s">
        <v>344</v>
      </c>
      <c r="E27" s="180">
        <v>24</v>
      </c>
      <c r="F27" s="180">
        <v>2000</v>
      </c>
      <c r="G27" s="185">
        <f t="shared" ref="G27:G34" si="26">F27/E27</f>
        <v>83.333333333333329</v>
      </c>
      <c r="H27" s="576">
        <f>AVERAGE(G27:G41)</f>
        <v>91.239648033126286</v>
      </c>
      <c r="I27" s="186">
        <f>AVERAGE(P27,U27,Z27,AE27,AJ27,AO27,AT27)</f>
        <v>24</v>
      </c>
      <c r="J27" s="186">
        <f>AVERAGE(Q27,V27,AA27,AF27,AK27,AP27,AU27)</f>
        <v>1784.4472714435858</v>
      </c>
      <c r="K27" s="187">
        <f>AVERAGE(R27,W27,AB27,AG27,AL27,AQ27,AV27)</f>
        <v>74.351969643482718</v>
      </c>
      <c r="L27" s="577">
        <f>IFERROR(AVERAGE(K27:K41),"-")</f>
        <v>80.940665444417604</v>
      </c>
      <c r="M27" s="186">
        <f>RANK(K27, K$27:$K$41)</f>
        <v>8</v>
      </c>
      <c r="N27" s="575"/>
      <c r="O27" s="575"/>
      <c r="P27" s="188">
        <v>24</v>
      </c>
      <c r="Q27" s="188">
        <v>1785.7798165137617</v>
      </c>
      <c r="R27" s="185">
        <f>IFERROR(Q27/P27,"")</f>
        <v>74.407492354740072</v>
      </c>
      <c r="S27" s="182">
        <f>RANK(R27, R$27:R$41)</f>
        <v>8</v>
      </c>
      <c r="T27" s="576">
        <f>AVERAGE(R27:R41)</f>
        <v>80.951074187080124</v>
      </c>
      <c r="U27" s="188">
        <v>24</v>
      </c>
      <c r="V27" s="188">
        <v>1785.7585139318892</v>
      </c>
      <c r="W27" s="185">
        <f t="shared" ref="W27:W34" si="27">IFERROR(V27/U27,"")</f>
        <v>74.406604747162049</v>
      </c>
      <c r="X27" s="182">
        <f>RANK(W27, W$27:W$41)</f>
        <v>8</v>
      </c>
      <c r="Y27" s="576">
        <f>AVERAGE(W27:W41)</f>
        <v>80.954852393714134</v>
      </c>
      <c r="Z27" s="188">
        <v>24</v>
      </c>
      <c r="AA27" s="188">
        <v>1785.1585139318895</v>
      </c>
      <c r="AB27" s="185">
        <f t="shared" ref="AB27:AB34" si="28">IFERROR(AA27/Z27,"")</f>
        <v>74.381604747162058</v>
      </c>
      <c r="AC27" s="182">
        <f>RANK(AB27, AB$27:AB$41)</f>
        <v>8</v>
      </c>
      <c r="AD27" s="576">
        <f>AVERAGE(AB27:AB41)</f>
        <v>80.965202339858436</v>
      </c>
      <c r="AE27" s="188">
        <v>24</v>
      </c>
      <c r="AF27" s="188">
        <v>1784.5585139318896</v>
      </c>
      <c r="AG27" s="185">
        <f>IFERROR(AF27/AE27,"")</f>
        <v>74.356604747162066</v>
      </c>
      <c r="AH27" s="182">
        <f>RANK(AG27, AG$27:AG$41)</f>
        <v>8</v>
      </c>
      <c r="AI27" s="576">
        <f>AVERAGE(AG27:AG41)</f>
        <v>80.926977545878643</v>
      </c>
      <c r="AJ27" s="188">
        <v>24</v>
      </c>
      <c r="AK27" s="188">
        <v>1784.15851393189</v>
      </c>
      <c r="AL27" s="185">
        <f t="shared" ref="AL27:AL34" si="29">IFERROR(AK27/AJ27,"")</f>
        <v>74.339938080495415</v>
      </c>
      <c r="AM27" s="182">
        <f>RANK(AL27, AL$27:AL$41)</f>
        <v>8</v>
      </c>
      <c r="AN27" s="576">
        <f>AVERAGE(AL27:AL41)</f>
        <v>80.92823353912263</v>
      </c>
      <c r="AO27" s="188">
        <v>24</v>
      </c>
      <c r="AP27" s="188">
        <v>1783.15851393189</v>
      </c>
      <c r="AQ27" s="185">
        <f t="shared" ref="AQ27:AQ34" si="30">IFERROR(AP27/AO27,"")</f>
        <v>74.298271413828743</v>
      </c>
      <c r="AR27" s="182">
        <f>RANK(AQ27, AQ$27:AQ$41)</f>
        <v>8</v>
      </c>
      <c r="AS27" s="576">
        <f>AVERAGE(AQ27:AQ41)</f>
        <v>80.930777739296985</v>
      </c>
      <c r="AT27" s="188">
        <v>24</v>
      </c>
      <c r="AU27" s="188">
        <v>1782.5585139318898</v>
      </c>
      <c r="AV27" s="185">
        <f t="shared" ref="AV27:AV34" si="31">IFERROR(AU27/AT27,"")</f>
        <v>74.273271413828738</v>
      </c>
      <c r="AW27" s="182">
        <f>RANK(AV27, AV$27:AV$41)</f>
        <v>8</v>
      </c>
      <c r="AX27" s="576">
        <f>AVERAGE(AV27:AV41)</f>
        <v>80.927540365972362</v>
      </c>
    </row>
    <row r="28" spans="2:50" ht="14.25" customHeight="1">
      <c r="B28" s="575"/>
      <c r="C28" s="180">
        <v>2</v>
      </c>
      <c r="D28" s="183" t="s">
        <v>343</v>
      </c>
      <c r="E28" s="180">
        <v>23</v>
      </c>
      <c r="F28" s="180">
        <v>2000</v>
      </c>
      <c r="G28" s="185">
        <f t="shared" si="26"/>
        <v>86.956521739130437</v>
      </c>
      <c r="H28" s="576"/>
      <c r="I28" s="186">
        <f t="shared" ref="I28:K34" si="32">AVERAGE(P28,U28,Z28,AE28,AJ28,AO28,AT28)</f>
        <v>23</v>
      </c>
      <c r="J28" s="186">
        <f t="shared" si="32"/>
        <v>1789.1262279315683</v>
      </c>
      <c r="K28" s="187">
        <f t="shared" si="32"/>
        <v>77.788096866589939</v>
      </c>
      <c r="L28" s="577"/>
      <c r="M28" s="186">
        <f>RANK(K28, K$27:$K$41)</f>
        <v>5</v>
      </c>
      <c r="N28" s="575"/>
      <c r="O28" s="575"/>
      <c r="P28" s="188">
        <v>23</v>
      </c>
      <c r="Q28" s="188">
        <v>1788.4334145801049</v>
      </c>
      <c r="R28" s="185">
        <f t="shared" ref="R28:R34" si="33">IFERROR(Q28/P28,"")</f>
        <v>77.75797454696108</v>
      </c>
      <c r="S28" s="182">
        <f t="shared" ref="S28:S34" si="34">RANK(R28, R$27:R$41)</f>
        <v>5</v>
      </c>
      <c r="T28" s="576"/>
      <c r="U28" s="188">
        <v>23</v>
      </c>
      <c r="V28" s="188">
        <v>1788.2750301568119</v>
      </c>
      <c r="W28" s="185">
        <f t="shared" si="27"/>
        <v>77.751088267687479</v>
      </c>
      <c r="X28" s="182">
        <f t="shared" ref="X28:X34" si="35">RANK(W28, W$27:W$41)</f>
        <v>5</v>
      </c>
      <c r="Y28" s="576"/>
      <c r="Z28" s="188">
        <v>23</v>
      </c>
      <c r="AA28" s="188">
        <v>1789.2750301568121</v>
      </c>
      <c r="AB28" s="185">
        <f t="shared" si="28"/>
        <v>77.794566528557056</v>
      </c>
      <c r="AC28" s="182">
        <f t="shared" ref="AC28:AC34" si="36">RANK(AB28, AB$27:AB$41)</f>
        <v>5</v>
      </c>
      <c r="AD28" s="576"/>
      <c r="AE28" s="188">
        <v>23</v>
      </c>
      <c r="AF28" s="188">
        <v>1788.4750301568126</v>
      </c>
      <c r="AG28" s="185">
        <f t="shared" ref="AG28:AG34" si="37">IFERROR(AF28/AE28,"")</f>
        <v>77.75978391986142</v>
      </c>
      <c r="AH28" s="182">
        <f t="shared" ref="AH28:AH34" si="38">RANK(AG28, AG$27:AG$41)</f>
        <v>6</v>
      </c>
      <c r="AI28" s="576"/>
      <c r="AJ28" s="188">
        <v>23</v>
      </c>
      <c r="AK28" s="188">
        <v>1789.0750301568123</v>
      </c>
      <c r="AL28" s="185">
        <f t="shared" si="29"/>
        <v>77.785870876383143</v>
      </c>
      <c r="AM28" s="182">
        <f t="shared" ref="AM28:AM34" si="39">RANK(AL28, AL$27:AL$41)</f>
        <v>5</v>
      </c>
      <c r="AN28" s="576"/>
      <c r="AO28" s="188">
        <v>23</v>
      </c>
      <c r="AP28" s="188">
        <v>1789.8750301568118</v>
      </c>
      <c r="AQ28" s="185">
        <f t="shared" si="30"/>
        <v>77.820653485078779</v>
      </c>
      <c r="AR28" s="182">
        <f t="shared" ref="AR28:AR34" si="40">RANK(AQ28, AQ$27:AQ$41)</f>
        <v>4</v>
      </c>
      <c r="AS28" s="576"/>
      <c r="AT28" s="188">
        <v>23</v>
      </c>
      <c r="AU28" s="188">
        <v>1790.4750301568117</v>
      </c>
      <c r="AV28" s="185">
        <f t="shared" si="31"/>
        <v>77.846740441600517</v>
      </c>
      <c r="AW28" s="182">
        <f t="shared" ref="AW28:AW34" si="41">RANK(AV28, AV$27:AV$41)</f>
        <v>4</v>
      </c>
      <c r="AX28" s="576"/>
    </row>
    <row r="29" spans="2:50" ht="14.25" customHeight="1">
      <c r="B29" s="575"/>
      <c r="C29" s="180">
        <v>3</v>
      </c>
      <c r="D29" s="183" t="s">
        <v>356</v>
      </c>
      <c r="E29" s="180">
        <v>23</v>
      </c>
      <c r="F29" s="180">
        <v>2000</v>
      </c>
      <c r="G29" s="185">
        <f t="shared" si="26"/>
        <v>86.956521739130437</v>
      </c>
      <c r="H29" s="576"/>
      <c r="I29" s="186">
        <f t="shared" si="32"/>
        <v>23</v>
      </c>
      <c r="J29" s="186">
        <f t="shared" si="32"/>
        <v>1788.8604209252978</v>
      </c>
      <c r="K29" s="187">
        <f t="shared" si="32"/>
        <v>77.776540040230344</v>
      </c>
      <c r="L29" s="577"/>
      <c r="M29" s="186">
        <f>RANK(K29, K$27:$K$41)</f>
        <v>6</v>
      </c>
      <c r="N29" s="575"/>
      <c r="O29" s="575"/>
      <c r="P29" s="188">
        <v>23</v>
      </c>
      <c r="Q29" s="188">
        <v>1788.2951653944037</v>
      </c>
      <c r="R29" s="185">
        <f t="shared" si="33"/>
        <v>77.751963712800162</v>
      </c>
      <c r="S29" s="182">
        <f t="shared" si="34"/>
        <v>6</v>
      </c>
      <c r="T29" s="576"/>
      <c r="U29" s="188">
        <v>23</v>
      </c>
      <c r="V29" s="188">
        <v>1788.2212968471142</v>
      </c>
      <c r="W29" s="185">
        <f t="shared" si="27"/>
        <v>77.74875203683105</v>
      </c>
      <c r="X29" s="182">
        <f t="shared" si="35"/>
        <v>6</v>
      </c>
      <c r="Y29" s="576"/>
      <c r="Z29" s="188">
        <v>23</v>
      </c>
      <c r="AA29" s="188">
        <v>1789.221296847114</v>
      </c>
      <c r="AB29" s="185">
        <f t="shared" si="28"/>
        <v>77.792230297700613</v>
      </c>
      <c r="AC29" s="182">
        <f t="shared" si="36"/>
        <v>6</v>
      </c>
      <c r="AD29" s="576"/>
      <c r="AE29" s="188">
        <v>23</v>
      </c>
      <c r="AF29" s="188">
        <v>1788.6212968471141</v>
      </c>
      <c r="AG29" s="185">
        <f t="shared" si="37"/>
        <v>77.766143341178875</v>
      </c>
      <c r="AH29" s="182">
        <f t="shared" si="38"/>
        <v>5</v>
      </c>
      <c r="AI29" s="576"/>
      <c r="AJ29" s="188">
        <v>23</v>
      </c>
      <c r="AK29" s="188">
        <v>1789.0212968471139</v>
      </c>
      <c r="AL29" s="185">
        <f t="shared" si="29"/>
        <v>77.7835346455267</v>
      </c>
      <c r="AM29" s="182">
        <f t="shared" si="39"/>
        <v>6</v>
      </c>
      <c r="AN29" s="576"/>
      <c r="AO29" s="188">
        <v>23</v>
      </c>
      <c r="AP29" s="188">
        <v>1789.8212968471137</v>
      </c>
      <c r="AQ29" s="185">
        <f t="shared" si="30"/>
        <v>77.818317254222336</v>
      </c>
      <c r="AR29" s="182">
        <f t="shared" si="40"/>
        <v>6</v>
      </c>
      <c r="AS29" s="576"/>
      <c r="AT29" s="188">
        <v>23</v>
      </c>
      <c r="AU29" s="188">
        <v>1788.8212968471134</v>
      </c>
      <c r="AV29" s="185">
        <f t="shared" si="31"/>
        <v>77.774838993352759</v>
      </c>
      <c r="AW29" s="182">
        <f t="shared" si="41"/>
        <v>6</v>
      </c>
      <c r="AX29" s="576"/>
    </row>
    <row r="30" spans="2:50" ht="14.25" customHeight="1">
      <c r="B30" s="575"/>
      <c r="C30" s="180">
        <v>4</v>
      </c>
      <c r="D30" s="183" t="s">
        <v>345</v>
      </c>
      <c r="E30" s="180">
        <v>23</v>
      </c>
      <c r="F30" s="180">
        <v>2000</v>
      </c>
      <c r="G30" s="185">
        <f t="shared" si="26"/>
        <v>86.956521739130437</v>
      </c>
      <c r="H30" s="576"/>
      <c r="I30" s="186">
        <f t="shared" si="32"/>
        <v>23</v>
      </c>
      <c r="J30" s="186">
        <f t="shared" si="32"/>
        <v>1789.9258533190828</v>
      </c>
      <c r="K30" s="187">
        <f t="shared" si="32"/>
        <v>77.822863187786197</v>
      </c>
      <c r="L30" s="577"/>
      <c r="M30" s="186">
        <f>RANK(K30, K$27:$K$41)</f>
        <v>4</v>
      </c>
      <c r="N30" s="575"/>
      <c r="O30" s="575"/>
      <c r="P30" s="188">
        <v>23</v>
      </c>
      <c r="Q30" s="188">
        <v>1789.9494815208739</v>
      </c>
      <c r="R30" s="185">
        <f t="shared" si="33"/>
        <v>77.823890500907552</v>
      </c>
      <c r="S30" s="182">
        <f t="shared" si="34"/>
        <v>4</v>
      </c>
      <c r="T30" s="576"/>
      <c r="U30" s="188">
        <v>23</v>
      </c>
      <c r="V30" s="188">
        <v>1790.0552486187846</v>
      </c>
      <c r="W30" s="185">
        <f t="shared" si="27"/>
        <v>77.828489070381934</v>
      </c>
      <c r="X30" s="182">
        <f t="shared" si="35"/>
        <v>4</v>
      </c>
      <c r="Y30" s="576"/>
      <c r="Z30" s="188">
        <v>23</v>
      </c>
      <c r="AA30" s="188">
        <v>1790.0552486187844</v>
      </c>
      <c r="AB30" s="185">
        <f t="shared" si="28"/>
        <v>77.828489070381934</v>
      </c>
      <c r="AC30" s="182">
        <f t="shared" si="36"/>
        <v>4</v>
      </c>
      <c r="AD30" s="576"/>
      <c r="AE30" s="188">
        <v>23</v>
      </c>
      <c r="AF30" s="188">
        <v>1790.2552486187844</v>
      </c>
      <c r="AG30" s="185">
        <f t="shared" si="37"/>
        <v>77.837184722555847</v>
      </c>
      <c r="AH30" s="182">
        <f t="shared" si="38"/>
        <v>4</v>
      </c>
      <c r="AI30" s="576"/>
      <c r="AJ30" s="188">
        <v>23</v>
      </c>
      <c r="AK30" s="188">
        <v>1789.6552486187845</v>
      </c>
      <c r="AL30" s="185">
        <f t="shared" si="29"/>
        <v>77.811097766034109</v>
      </c>
      <c r="AM30" s="182">
        <f t="shared" si="39"/>
        <v>4</v>
      </c>
      <c r="AN30" s="576"/>
      <c r="AO30" s="188">
        <v>23</v>
      </c>
      <c r="AP30" s="188">
        <v>1789.8552486187843</v>
      </c>
      <c r="AQ30" s="185">
        <f t="shared" si="30"/>
        <v>77.819793418208022</v>
      </c>
      <c r="AR30" s="182">
        <f t="shared" si="40"/>
        <v>5</v>
      </c>
      <c r="AS30" s="576"/>
      <c r="AT30" s="188">
        <v>23</v>
      </c>
      <c r="AU30" s="188">
        <v>1789.6552486187843</v>
      </c>
      <c r="AV30" s="185">
        <f t="shared" si="31"/>
        <v>77.811097766034095</v>
      </c>
      <c r="AW30" s="182">
        <f t="shared" si="41"/>
        <v>5</v>
      </c>
      <c r="AX30" s="576"/>
    </row>
    <row r="31" spans="2:50" ht="14.25" customHeight="1">
      <c r="B31" s="575"/>
      <c r="C31" s="180">
        <v>5</v>
      </c>
      <c r="D31" s="183" t="s">
        <v>495</v>
      </c>
      <c r="E31" s="180">
        <v>19</v>
      </c>
      <c r="F31" s="180">
        <v>1800</v>
      </c>
      <c r="G31" s="185">
        <f t="shared" si="26"/>
        <v>94.736842105263165</v>
      </c>
      <c r="H31" s="576"/>
      <c r="I31" s="186">
        <f t="shared" si="32"/>
        <v>19</v>
      </c>
      <c r="J31" s="186">
        <f t="shared" si="32"/>
        <v>1606.9609559721014</v>
      </c>
      <c r="K31" s="187">
        <f t="shared" si="32"/>
        <v>84.576892419584297</v>
      </c>
      <c r="L31" s="577"/>
      <c r="M31" s="186">
        <f>RANK(K31, K$27:$K$41)</f>
        <v>3</v>
      </c>
      <c r="N31" s="575"/>
      <c r="O31" s="575"/>
      <c r="P31" s="188">
        <v>19</v>
      </c>
      <c r="Q31" s="188">
        <v>1606.9495489475435</v>
      </c>
      <c r="R31" s="185">
        <f t="shared" si="33"/>
        <v>84.576292049870702</v>
      </c>
      <c r="S31" s="182">
        <f t="shared" si="34"/>
        <v>3</v>
      </c>
      <c r="T31" s="576"/>
      <c r="U31" s="188">
        <v>19</v>
      </c>
      <c r="V31" s="188">
        <v>1607.142857142861</v>
      </c>
      <c r="W31" s="185">
        <f t="shared" si="27"/>
        <v>84.586466165413739</v>
      </c>
      <c r="X31" s="182">
        <f t="shared" si="35"/>
        <v>3</v>
      </c>
      <c r="Y31" s="576"/>
      <c r="Z31" s="188">
        <v>19</v>
      </c>
      <c r="AA31" s="188">
        <v>1606.9628571428614</v>
      </c>
      <c r="AB31" s="185">
        <f t="shared" si="28"/>
        <v>84.576992481203234</v>
      </c>
      <c r="AC31" s="182">
        <f t="shared" si="36"/>
        <v>3</v>
      </c>
      <c r="AD31" s="576"/>
      <c r="AE31" s="188">
        <v>19</v>
      </c>
      <c r="AF31" s="188">
        <v>1606.2428571428613</v>
      </c>
      <c r="AG31" s="185">
        <f t="shared" si="37"/>
        <v>84.539097744361129</v>
      </c>
      <c r="AH31" s="182">
        <f t="shared" si="38"/>
        <v>3</v>
      </c>
      <c r="AI31" s="576"/>
      <c r="AJ31" s="188">
        <v>19</v>
      </c>
      <c r="AK31" s="188">
        <v>1606.9628571428611</v>
      </c>
      <c r="AL31" s="185">
        <f t="shared" si="29"/>
        <v>84.57699248120322</v>
      </c>
      <c r="AM31" s="182">
        <f t="shared" si="39"/>
        <v>3</v>
      </c>
      <c r="AN31" s="576"/>
      <c r="AO31" s="188">
        <v>19</v>
      </c>
      <c r="AP31" s="188">
        <v>1607.142857142861</v>
      </c>
      <c r="AQ31" s="185">
        <f t="shared" si="30"/>
        <v>84.586466165413739</v>
      </c>
      <c r="AR31" s="182">
        <f t="shared" si="40"/>
        <v>3</v>
      </c>
      <c r="AS31" s="576"/>
      <c r="AT31" s="188">
        <v>19</v>
      </c>
      <c r="AU31" s="188">
        <v>1607.3228571428608</v>
      </c>
      <c r="AV31" s="185">
        <f t="shared" si="31"/>
        <v>84.595939849624258</v>
      </c>
      <c r="AW31" s="182">
        <f t="shared" si="41"/>
        <v>3</v>
      </c>
      <c r="AX31" s="576"/>
    </row>
    <row r="32" spans="2:50" ht="14.25" customHeight="1">
      <c r="B32" s="575"/>
      <c r="C32" s="180">
        <v>6</v>
      </c>
      <c r="D32" s="183" t="s">
        <v>473</v>
      </c>
      <c r="E32" s="180">
        <v>19</v>
      </c>
      <c r="F32" s="180">
        <v>2000</v>
      </c>
      <c r="G32" s="185">
        <f t="shared" si="26"/>
        <v>105.26315789473684</v>
      </c>
      <c r="H32" s="576"/>
      <c r="I32" s="186">
        <f t="shared" si="32"/>
        <v>20</v>
      </c>
      <c r="J32" s="186">
        <f t="shared" si="32"/>
        <v>1787.0489243034135</v>
      </c>
      <c r="K32" s="187">
        <f t="shared" si="32"/>
        <v>89.352446215170659</v>
      </c>
      <c r="L32" s="577"/>
      <c r="M32" s="186">
        <f>RANK(K32, K$27:$K$41)</f>
        <v>1</v>
      </c>
      <c r="N32" s="575"/>
      <c r="O32" s="575"/>
      <c r="P32" s="188">
        <v>20</v>
      </c>
      <c r="Q32" s="188">
        <v>1788.0053309640134</v>
      </c>
      <c r="R32" s="185">
        <f t="shared" si="33"/>
        <v>89.400266548200676</v>
      </c>
      <c r="S32" s="182">
        <f t="shared" si="34"/>
        <v>1</v>
      </c>
      <c r="T32" s="576"/>
      <c r="U32" s="188">
        <v>20</v>
      </c>
      <c r="V32" s="188">
        <v>1788.4368308351122</v>
      </c>
      <c r="W32" s="185">
        <f t="shared" si="27"/>
        <v>89.421841541755612</v>
      </c>
      <c r="X32" s="182">
        <f t="shared" si="35"/>
        <v>1</v>
      </c>
      <c r="Y32" s="576"/>
      <c r="Z32" s="188">
        <v>20</v>
      </c>
      <c r="AA32" s="188">
        <v>1788.9003083247685</v>
      </c>
      <c r="AB32" s="185">
        <f t="shared" si="28"/>
        <v>89.445015416238419</v>
      </c>
      <c r="AC32" s="182">
        <f t="shared" si="36"/>
        <v>1</v>
      </c>
      <c r="AD32" s="576"/>
      <c r="AE32" s="188">
        <v>20</v>
      </c>
      <c r="AF32" s="188">
        <v>1786</v>
      </c>
      <c r="AG32" s="185">
        <f t="shared" si="37"/>
        <v>89.3</v>
      </c>
      <c r="AH32" s="182">
        <f t="shared" si="38"/>
        <v>2</v>
      </c>
      <c r="AI32" s="576"/>
      <c r="AJ32" s="188">
        <v>20</v>
      </c>
      <c r="AK32" s="188">
        <v>1786.0000000000002</v>
      </c>
      <c r="AL32" s="185">
        <f t="shared" si="29"/>
        <v>89.300000000000011</v>
      </c>
      <c r="AM32" s="182">
        <f t="shared" si="39"/>
        <v>2</v>
      </c>
      <c r="AN32" s="576"/>
      <c r="AO32" s="188">
        <v>20</v>
      </c>
      <c r="AP32" s="188">
        <v>1786</v>
      </c>
      <c r="AQ32" s="185">
        <f t="shared" si="30"/>
        <v>89.3</v>
      </c>
      <c r="AR32" s="182">
        <f t="shared" si="40"/>
        <v>2</v>
      </c>
      <c r="AS32" s="576"/>
      <c r="AT32" s="188">
        <v>20</v>
      </c>
      <c r="AU32" s="188">
        <v>1786</v>
      </c>
      <c r="AV32" s="185">
        <f t="shared" si="31"/>
        <v>89.3</v>
      </c>
      <c r="AW32" s="182">
        <f t="shared" si="41"/>
        <v>2</v>
      </c>
      <c r="AX32" s="576"/>
    </row>
    <row r="33" spans="2:50" ht="14.25" customHeight="1">
      <c r="B33" s="575"/>
      <c r="C33" s="180">
        <v>7</v>
      </c>
      <c r="D33" s="183" t="s">
        <v>533</v>
      </c>
      <c r="E33" s="180">
        <v>21</v>
      </c>
      <c r="F33" s="180">
        <v>1800</v>
      </c>
      <c r="G33" s="185">
        <f t="shared" si="26"/>
        <v>85.714285714285708</v>
      </c>
      <c r="H33" s="576"/>
      <c r="I33" s="186">
        <f t="shared" si="32"/>
        <v>21</v>
      </c>
      <c r="J33" s="186">
        <f t="shared" si="32"/>
        <v>1606.7959111775167</v>
      </c>
      <c r="K33" s="187">
        <f t="shared" si="32"/>
        <v>76.514091008453178</v>
      </c>
      <c r="L33" s="577"/>
      <c r="M33" s="186">
        <f>RANK(K33, K$27:$K$41)</f>
        <v>7</v>
      </c>
      <c r="N33" s="575"/>
      <c r="O33" s="575"/>
      <c r="P33" s="188">
        <v>21</v>
      </c>
      <c r="Q33" s="188">
        <v>1606.9371948139415</v>
      </c>
      <c r="R33" s="185">
        <f t="shared" si="33"/>
        <v>76.520818800663875</v>
      </c>
      <c r="S33" s="182">
        <f t="shared" si="34"/>
        <v>7</v>
      </c>
      <c r="T33" s="576"/>
      <c r="U33" s="188">
        <v>21</v>
      </c>
      <c r="V33" s="188">
        <v>1607.0123639047795</v>
      </c>
      <c r="W33" s="185">
        <f t="shared" si="27"/>
        <v>76.52439828117997</v>
      </c>
      <c r="X33" s="182">
        <f t="shared" si="35"/>
        <v>7</v>
      </c>
      <c r="Y33" s="576"/>
      <c r="Z33" s="188">
        <v>21</v>
      </c>
      <c r="AA33" s="188">
        <v>1607.3723639047791</v>
      </c>
      <c r="AB33" s="185">
        <f t="shared" si="28"/>
        <v>76.541541138322813</v>
      </c>
      <c r="AC33" s="182">
        <f t="shared" si="36"/>
        <v>7</v>
      </c>
      <c r="AD33" s="576"/>
      <c r="AE33" s="188">
        <v>21</v>
      </c>
      <c r="AF33" s="188">
        <v>1606.8323639047792</v>
      </c>
      <c r="AG33" s="185">
        <f t="shared" si="37"/>
        <v>76.515826852608527</v>
      </c>
      <c r="AH33" s="182">
        <f t="shared" si="38"/>
        <v>7</v>
      </c>
      <c r="AI33" s="576"/>
      <c r="AJ33" s="188">
        <v>21</v>
      </c>
      <c r="AK33" s="188">
        <v>1606.6523639047791</v>
      </c>
      <c r="AL33" s="185">
        <f t="shared" si="29"/>
        <v>76.507255424037098</v>
      </c>
      <c r="AM33" s="182">
        <f t="shared" si="39"/>
        <v>7</v>
      </c>
      <c r="AN33" s="576"/>
      <c r="AO33" s="188">
        <v>21</v>
      </c>
      <c r="AP33" s="188">
        <v>1606.1123639047794</v>
      </c>
      <c r="AQ33" s="185">
        <f t="shared" si="30"/>
        <v>76.481541138322825</v>
      </c>
      <c r="AR33" s="182">
        <f t="shared" si="40"/>
        <v>7</v>
      </c>
      <c r="AS33" s="576"/>
      <c r="AT33" s="188">
        <v>21</v>
      </c>
      <c r="AU33" s="188">
        <v>1606.6523639047793</v>
      </c>
      <c r="AV33" s="185">
        <f t="shared" si="31"/>
        <v>76.507255424037112</v>
      </c>
      <c r="AW33" s="182">
        <f t="shared" si="41"/>
        <v>7</v>
      </c>
      <c r="AX33" s="576"/>
    </row>
    <row r="34" spans="2:50" ht="14.25" customHeight="1">
      <c r="B34" s="575"/>
      <c r="C34" s="180">
        <v>8</v>
      </c>
      <c r="D34" s="183" t="s">
        <v>534</v>
      </c>
      <c r="E34" s="180">
        <v>20</v>
      </c>
      <c r="F34" s="180">
        <v>2000</v>
      </c>
      <c r="G34" s="185">
        <f t="shared" si="26"/>
        <v>100</v>
      </c>
      <c r="H34" s="576"/>
      <c r="I34" s="186">
        <f t="shared" si="32"/>
        <v>20</v>
      </c>
      <c r="J34" s="186">
        <f t="shared" si="32"/>
        <v>1786.8484834808712</v>
      </c>
      <c r="K34" s="187">
        <f t="shared" si="32"/>
        <v>89.342424174043572</v>
      </c>
      <c r="L34" s="577"/>
      <c r="M34" s="186">
        <f>RANK(K34, K$27:$K$41)</f>
        <v>2</v>
      </c>
      <c r="N34" s="575"/>
      <c r="O34" s="575"/>
      <c r="P34" s="188">
        <v>20</v>
      </c>
      <c r="Q34" s="188">
        <v>1787.3978996499391</v>
      </c>
      <c r="R34" s="185">
        <f t="shared" si="33"/>
        <v>89.369894982496959</v>
      </c>
      <c r="S34" s="182">
        <f t="shared" si="34"/>
        <v>2</v>
      </c>
      <c r="T34" s="576"/>
      <c r="U34" s="188">
        <v>20</v>
      </c>
      <c r="V34" s="188">
        <v>1787.4235807860264</v>
      </c>
      <c r="W34" s="185">
        <f t="shared" si="27"/>
        <v>89.371179039301325</v>
      </c>
      <c r="X34" s="182">
        <f t="shared" si="35"/>
        <v>2</v>
      </c>
      <c r="Y34" s="576"/>
      <c r="Z34" s="188">
        <v>20</v>
      </c>
      <c r="AA34" s="188">
        <v>1787.2235807860266</v>
      </c>
      <c r="AB34" s="185">
        <f t="shared" si="28"/>
        <v>89.361179039301334</v>
      </c>
      <c r="AC34" s="182">
        <f t="shared" si="36"/>
        <v>2</v>
      </c>
      <c r="AD34" s="576"/>
      <c r="AE34" s="188">
        <v>20</v>
      </c>
      <c r="AF34" s="188">
        <v>1786.8235807860267</v>
      </c>
      <c r="AG34" s="185">
        <f t="shared" si="37"/>
        <v>89.341179039301338</v>
      </c>
      <c r="AH34" s="182">
        <f t="shared" si="38"/>
        <v>1</v>
      </c>
      <c r="AI34" s="576"/>
      <c r="AJ34" s="188">
        <v>20</v>
      </c>
      <c r="AK34" s="188">
        <v>1786.4235807860268</v>
      </c>
      <c r="AL34" s="185">
        <f t="shared" si="29"/>
        <v>89.321179039301342</v>
      </c>
      <c r="AM34" s="182">
        <f t="shared" si="39"/>
        <v>1</v>
      </c>
      <c r="AN34" s="576"/>
      <c r="AO34" s="188">
        <v>20</v>
      </c>
      <c r="AP34" s="188">
        <v>1786.4235807860268</v>
      </c>
      <c r="AQ34" s="185">
        <f t="shared" si="30"/>
        <v>89.321179039301342</v>
      </c>
      <c r="AR34" s="182">
        <f t="shared" si="40"/>
        <v>1</v>
      </c>
      <c r="AS34" s="576"/>
      <c r="AT34" s="188">
        <v>20</v>
      </c>
      <c r="AU34" s="188">
        <v>1786.223580786027</v>
      </c>
      <c r="AV34" s="185">
        <f t="shared" si="31"/>
        <v>89.311179039301351</v>
      </c>
      <c r="AW34" s="182">
        <f t="shared" si="41"/>
        <v>1</v>
      </c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589" t="s">
        <v>715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09" t="s">
        <v>374</v>
      </c>
      <c r="O42" s="609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1"/>
      <c r="O43" s="611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375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376</v>
      </c>
      <c r="F45" s="575"/>
      <c r="G45" s="575"/>
      <c r="H45" s="575"/>
      <c r="I45" s="579" t="s">
        <v>376</v>
      </c>
      <c r="J45" s="579"/>
      <c r="K45" s="579"/>
      <c r="L45" s="579"/>
      <c r="M45" s="579"/>
      <c r="N45" s="575"/>
      <c r="O45" s="575"/>
      <c r="P45" s="575" t="s">
        <v>377</v>
      </c>
      <c r="Q45" s="575"/>
      <c r="R45" s="575"/>
      <c r="S45" s="575"/>
      <c r="T45" s="575"/>
      <c r="U45" s="575" t="s">
        <v>377</v>
      </c>
      <c r="V45" s="575"/>
      <c r="W45" s="575"/>
      <c r="X45" s="575"/>
      <c r="Y45" s="575"/>
      <c r="Z45" s="575" t="s">
        <v>377</v>
      </c>
      <c r="AA45" s="575"/>
      <c r="AB45" s="575"/>
      <c r="AC45" s="575"/>
      <c r="AD45" s="575"/>
      <c r="AE45" s="575" t="s">
        <v>377</v>
      </c>
      <c r="AF45" s="575"/>
      <c r="AG45" s="575"/>
      <c r="AH45" s="575"/>
      <c r="AI45" s="575"/>
      <c r="AJ45" s="575" t="s">
        <v>377</v>
      </c>
      <c r="AK45" s="575"/>
      <c r="AL45" s="575"/>
      <c r="AM45" s="575"/>
      <c r="AN45" s="575"/>
      <c r="AO45" s="575" t="s">
        <v>377</v>
      </c>
      <c r="AP45" s="575"/>
      <c r="AQ45" s="575"/>
      <c r="AR45" s="575"/>
      <c r="AS45" s="575"/>
      <c r="AT45" s="575" t="s">
        <v>377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378</v>
      </c>
      <c r="G46" s="180" t="s">
        <v>161</v>
      </c>
      <c r="H46" s="575"/>
      <c r="I46" s="181" t="s">
        <v>159</v>
      </c>
      <c r="J46" s="181" t="s">
        <v>378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378</v>
      </c>
      <c r="R46" s="180" t="s">
        <v>161</v>
      </c>
      <c r="S46" s="182" t="s">
        <v>165</v>
      </c>
      <c r="T46" s="575"/>
      <c r="U46" s="180" t="s">
        <v>159</v>
      </c>
      <c r="V46" s="180" t="s">
        <v>378</v>
      </c>
      <c r="W46" s="180" t="s">
        <v>161</v>
      </c>
      <c r="X46" s="182" t="s">
        <v>165</v>
      </c>
      <c r="Y46" s="575"/>
      <c r="Z46" s="180" t="s">
        <v>159</v>
      </c>
      <c r="AA46" s="180" t="s">
        <v>378</v>
      </c>
      <c r="AB46" s="180" t="s">
        <v>161</v>
      </c>
      <c r="AC46" s="182" t="s">
        <v>165</v>
      </c>
      <c r="AD46" s="575"/>
      <c r="AE46" s="180" t="s">
        <v>159</v>
      </c>
      <c r="AF46" s="180" t="s">
        <v>378</v>
      </c>
      <c r="AG46" s="180" t="s">
        <v>161</v>
      </c>
      <c r="AH46" s="182" t="s">
        <v>165</v>
      </c>
      <c r="AI46" s="575"/>
      <c r="AJ46" s="180" t="s">
        <v>159</v>
      </c>
      <c r="AK46" s="180" t="s">
        <v>378</v>
      </c>
      <c r="AL46" s="180" t="s">
        <v>161</v>
      </c>
      <c r="AM46" s="182" t="s">
        <v>165</v>
      </c>
      <c r="AN46" s="575"/>
      <c r="AO46" s="180" t="s">
        <v>159</v>
      </c>
      <c r="AP46" s="180" t="s">
        <v>378</v>
      </c>
      <c r="AQ46" s="180" t="s">
        <v>161</v>
      </c>
      <c r="AR46" s="182" t="s">
        <v>165</v>
      </c>
      <c r="AS46" s="575"/>
      <c r="AT46" s="180" t="s">
        <v>159</v>
      </c>
      <c r="AU46" s="180" t="s">
        <v>378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355</v>
      </c>
      <c r="C47" s="180">
        <v>1</v>
      </c>
      <c r="D47" s="183" t="s">
        <v>344</v>
      </c>
      <c r="E47" s="180">
        <v>24</v>
      </c>
      <c r="F47" s="180">
        <v>2000</v>
      </c>
      <c r="G47" s="185">
        <f t="shared" ref="G47:G55" si="42">F47/E47</f>
        <v>83.333333333333329</v>
      </c>
      <c r="H47" s="576">
        <f>AVERAGE(G47:G61)</f>
        <v>94.990798251667812</v>
      </c>
      <c r="I47" s="186">
        <f>AVERAGE(P47,U47,Z47,AE47,AJ47,AO47,AT47)</f>
        <v>24</v>
      </c>
      <c r="J47" s="186">
        <f>AVERAGE(Q47,V47,AA47,AF47,AK47,AP47,AU47)</f>
        <v>1781.8156567890328</v>
      </c>
      <c r="K47" s="187">
        <f>AVERAGE(R47,W47,AB47,AG47,AL47,AQ47,AV47)</f>
        <v>74.242319032876367</v>
      </c>
      <c r="L47" s="577">
        <f>IFERROR(AVERAGE(K47:K61),"-")</f>
        <v>83.235515738202622</v>
      </c>
      <c r="M47" s="186">
        <f>RANK(K47, K$47:$K$61)</f>
        <v>9</v>
      </c>
      <c r="N47" s="575"/>
      <c r="O47" s="575"/>
      <c r="P47" s="188">
        <v>24</v>
      </c>
      <c r="Q47" s="188">
        <v>1782.7585139318901</v>
      </c>
      <c r="R47" s="185">
        <f>IFERROR(Q47/P47,"")</f>
        <v>74.281604747162092</v>
      </c>
      <c r="S47" s="182">
        <f>RANK(R47, R$47:R$61)</f>
        <v>8</v>
      </c>
      <c r="T47" s="576">
        <f>AVERAGE(R47:R61)</f>
        <v>80.919475298412152</v>
      </c>
      <c r="U47" s="188">
        <v>24</v>
      </c>
      <c r="V47" s="188">
        <v>1782.35851393189</v>
      </c>
      <c r="W47" s="185">
        <f t="shared" ref="W47:W54" si="43">IFERROR(V47/U47,"")</f>
        <v>74.264938080495412</v>
      </c>
      <c r="X47" s="182">
        <f>RANK(W47, W$47:W$61)</f>
        <v>8</v>
      </c>
      <c r="Y47" s="576">
        <f>AVERAGE(W47:W61)</f>
        <v>80.910951134742106</v>
      </c>
      <c r="Z47" s="188">
        <v>24</v>
      </c>
      <c r="AA47" s="188">
        <v>1782.15851393189</v>
      </c>
      <c r="AB47" s="185">
        <f t="shared" ref="AB47:AB54" si="44">IFERROR(AA47/Z47,"")</f>
        <v>74.256604747162086</v>
      </c>
      <c r="AC47" s="182" t="e">
        <f>RANK(AB47, AB$7:AB$21)</f>
        <v>#N/A</v>
      </c>
      <c r="AD47" s="576">
        <f>AVERAGE(AB47:AB61)</f>
        <v>80.906097356274216</v>
      </c>
      <c r="AE47" s="188">
        <v>24</v>
      </c>
      <c r="AF47" s="188">
        <v>1781.1585139318902</v>
      </c>
      <c r="AG47" s="185">
        <f>IFERROR(AF47/AE47,"")</f>
        <v>74.214938080495429</v>
      </c>
      <c r="AH47" s="182" t="e">
        <f>RANK(AG47, AG$7:AG$21)</f>
        <v>#N/A</v>
      </c>
      <c r="AI47" s="576">
        <f>AVERAGE(AG47:AG61)</f>
        <v>80.901882403130472</v>
      </c>
      <c r="AJ47" s="188">
        <v>24</v>
      </c>
      <c r="AK47" s="188">
        <v>1781.3585139318902</v>
      </c>
      <c r="AL47" s="185">
        <f t="shared" ref="AL47:AL54" si="45">IFERROR(AK47/AJ47,"")</f>
        <v>74.223271413828755</v>
      </c>
      <c r="AM47" s="182">
        <f>RANK(AL47, AL$47:AL$61)</f>
        <v>8</v>
      </c>
      <c r="AN47" s="576">
        <f>AVERAGE(AL47:AL61)</f>
        <v>80.898478581075324</v>
      </c>
      <c r="AO47" s="188">
        <v>24</v>
      </c>
      <c r="AP47" s="188">
        <v>1781.35851393189</v>
      </c>
      <c r="AQ47" s="185">
        <f t="shared" ref="AQ47:AQ54" si="46">IFERROR(AP47/AO47,"")</f>
        <v>74.223271413828755</v>
      </c>
      <c r="AR47" s="182">
        <f>RANK(AQ47, AQ$47:AQ$61)</f>
        <v>8</v>
      </c>
      <c r="AS47" s="576">
        <f>AVERAGE(AQ47:AQ61)</f>
        <v>80.902636802716387</v>
      </c>
      <c r="AT47" s="188">
        <v>24</v>
      </c>
      <c r="AU47" s="188">
        <v>1781.55851393189</v>
      </c>
      <c r="AV47" s="185">
        <f t="shared" ref="AV47:AV55" si="47">IFERROR(AU47/AT47,"")</f>
        <v>74.231604747162081</v>
      </c>
      <c r="AW47" s="182">
        <f>RANK(AV47, AV$47:AV$61)</f>
        <v>9</v>
      </c>
      <c r="AX47" s="576">
        <f>AVERAGE(AV47:AV61)</f>
        <v>83.230146543995559</v>
      </c>
    </row>
    <row r="48" spans="2:50" ht="14.25" customHeight="1">
      <c r="B48" s="575"/>
      <c r="C48" s="180">
        <v>2</v>
      </c>
      <c r="D48" s="183" t="s">
        <v>343</v>
      </c>
      <c r="E48" s="180">
        <v>23</v>
      </c>
      <c r="F48" s="180">
        <v>2000</v>
      </c>
      <c r="G48" s="185">
        <f t="shared" si="42"/>
        <v>86.956521739130437</v>
      </c>
      <c r="H48" s="576"/>
      <c r="I48" s="186">
        <f t="shared" ref="I48:K55" si="48">AVERAGE(P48,U48,Z48,AE48,AJ48,AO48,AT48)</f>
        <v>23</v>
      </c>
      <c r="J48" s="186">
        <f t="shared" si="48"/>
        <v>1790.0464587282399</v>
      </c>
      <c r="K48" s="187">
        <f t="shared" si="48"/>
        <v>77.828106901227827</v>
      </c>
      <c r="L48" s="577"/>
      <c r="M48" s="186">
        <f>RANK(K48, K$47:$K$61)</f>
        <v>5</v>
      </c>
      <c r="N48" s="575"/>
      <c r="O48" s="575"/>
      <c r="P48" s="188">
        <v>23</v>
      </c>
      <c r="Q48" s="188">
        <v>1790.0750301568116</v>
      </c>
      <c r="R48" s="185">
        <f t="shared" ref="R48:R54" si="49">IFERROR(Q48/P48,"")</f>
        <v>77.829349137252677</v>
      </c>
      <c r="S48" s="182">
        <f t="shared" ref="S48:S54" si="50">RANK(R48, R$47:R$61)</f>
        <v>4</v>
      </c>
      <c r="T48" s="576"/>
      <c r="U48" s="188">
        <v>23</v>
      </c>
      <c r="V48" s="188">
        <v>1789.8750301568116</v>
      </c>
      <c r="W48" s="185">
        <f t="shared" si="43"/>
        <v>77.820653485078765</v>
      </c>
      <c r="X48" s="182">
        <f t="shared" ref="X48:X54" si="51">RANK(W48, W$47:W$61)</f>
        <v>4</v>
      </c>
      <c r="Y48" s="576"/>
      <c r="Z48" s="188">
        <v>23</v>
      </c>
      <c r="AA48" s="188">
        <v>1790.6750301568115</v>
      </c>
      <c r="AB48" s="185">
        <f t="shared" si="44"/>
        <v>77.855436093774415</v>
      </c>
      <c r="AC48" s="182" t="e">
        <f t="shared" ref="AC48:AC54" si="52">RANK(AB48, AB$7:AB$21)</f>
        <v>#N/A</v>
      </c>
      <c r="AD48" s="576"/>
      <c r="AE48" s="188">
        <v>23</v>
      </c>
      <c r="AF48" s="188">
        <v>1790.2750301568112</v>
      </c>
      <c r="AG48" s="185">
        <f t="shared" ref="AG48:AG54" si="53">IFERROR(AF48/AE48,"")</f>
        <v>77.838044789426576</v>
      </c>
      <c r="AH48" s="182" t="e">
        <f t="shared" ref="AH48:AH53" si="54">RANK(AG48, AG$7:AG$21)</f>
        <v>#N/A</v>
      </c>
      <c r="AI48" s="576"/>
      <c r="AJ48" s="188">
        <v>23</v>
      </c>
      <c r="AK48" s="188">
        <v>1790.4750301568113</v>
      </c>
      <c r="AL48" s="185">
        <f t="shared" si="45"/>
        <v>77.846740441600488</v>
      </c>
      <c r="AM48" s="182">
        <f t="shared" ref="AM48:AM54" si="55">RANK(AL48, AL$47:AL$61)</f>
        <v>4</v>
      </c>
      <c r="AN48" s="576"/>
      <c r="AO48" s="188">
        <v>23</v>
      </c>
      <c r="AP48" s="188">
        <v>1789.8750301568114</v>
      </c>
      <c r="AQ48" s="185">
        <f t="shared" si="46"/>
        <v>77.820653485078751</v>
      </c>
      <c r="AR48" s="182">
        <f t="shared" ref="AR48:AR54" si="56">RANK(AQ48, AQ$47:AQ$61)</f>
        <v>4</v>
      </c>
      <c r="AS48" s="576"/>
      <c r="AT48" s="188">
        <v>23</v>
      </c>
      <c r="AU48" s="188">
        <v>1789.0750301568112</v>
      </c>
      <c r="AV48" s="185">
        <f t="shared" si="47"/>
        <v>77.7858708763831</v>
      </c>
      <c r="AW48" s="182">
        <f t="shared" ref="AW48:AW55" si="57">RANK(AV48, AV$47:AV$61)</f>
        <v>6</v>
      </c>
      <c r="AX48" s="576"/>
    </row>
    <row r="49" spans="2:50" ht="14.25" customHeight="1">
      <c r="B49" s="575"/>
      <c r="C49" s="180">
        <v>3</v>
      </c>
      <c r="D49" s="183" t="s">
        <v>356</v>
      </c>
      <c r="E49" s="180">
        <v>23</v>
      </c>
      <c r="F49" s="180">
        <v>2000</v>
      </c>
      <c r="G49" s="185">
        <f t="shared" si="42"/>
        <v>86.956521739130437</v>
      </c>
      <c r="H49" s="576"/>
      <c r="I49" s="186">
        <f t="shared" si="48"/>
        <v>23</v>
      </c>
      <c r="J49" s="186">
        <f t="shared" si="48"/>
        <v>1789.2212968471126</v>
      </c>
      <c r="K49" s="187">
        <f t="shared" si="48"/>
        <v>77.79223029770057</v>
      </c>
      <c r="L49" s="577"/>
      <c r="M49" s="186">
        <f>RANK(K49, K$47:$K$61)</f>
        <v>6</v>
      </c>
      <c r="N49" s="575"/>
      <c r="O49" s="575"/>
      <c r="P49" s="188">
        <v>23</v>
      </c>
      <c r="Q49" s="188">
        <v>1789.2212968471131</v>
      </c>
      <c r="R49" s="185">
        <f t="shared" si="49"/>
        <v>77.79223029770057</v>
      </c>
      <c r="S49" s="182">
        <f t="shared" si="50"/>
        <v>5</v>
      </c>
      <c r="T49" s="576"/>
      <c r="U49" s="188">
        <v>23</v>
      </c>
      <c r="V49" s="188">
        <v>1789.4212968471131</v>
      </c>
      <c r="W49" s="185">
        <f t="shared" si="43"/>
        <v>77.800925949874483</v>
      </c>
      <c r="X49" s="182">
        <f t="shared" si="51"/>
        <v>5</v>
      </c>
      <c r="Y49" s="576"/>
      <c r="Z49" s="188">
        <v>23</v>
      </c>
      <c r="AA49" s="188">
        <v>1788.6212968471132</v>
      </c>
      <c r="AB49" s="185">
        <f t="shared" si="44"/>
        <v>77.766143341178832</v>
      </c>
      <c r="AC49" s="182" t="e">
        <f t="shared" si="52"/>
        <v>#N/A</v>
      </c>
      <c r="AD49" s="576"/>
      <c r="AE49" s="188">
        <v>23</v>
      </c>
      <c r="AF49" s="188">
        <v>1789.4212968471131</v>
      </c>
      <c r="AG49" s="185">
        <f t="shared" si="53"/>
        <v>77.800925949874483</v>
      </c>
      <c r="AH49" s="182" t="e">
        <f t="shared" si="54"/>
        <v>#N/A</v>
      </c>
      <c r="AI49" s="576"/>
      <c r="AJ49" s="188">
        <v>23</v>
      </c>
      <c r="AK49" s="188">
        <v>1789.6212968471127</v>
      </c>
      <c r="AL49" s="185">
        <f t="shared" si="45"/>
        <v>77.809621602048381</v>
      </c>
      <c r="AM49" s="182">
        <f t="shared" si="55"/>
        <v>5</v>
      </c>
      <c r="AN49" s="576"/>
      <c r="AO49" s="188">
        <v>23</v>
      </c>
      <c r="AP49" s="188">
        <v>1789.0212968471128</v>
      </c>
      <c r="AQ49" s="185">
        <f t="shared" si="46"/>
        <v>77.783534645526643</v>
      </c>
      <c r="AR49" s="182">
        <f t="shared" si="56"/>
        <v>5</v>
      </c>
      <c r="AS49" s="576"/>
      <c r="AT49" s="188">
        <v>23</v>
      </c>
      <c r="AU49" s="188">
        <v>1789.2212968471126</v>
      </c>
      <c r="AV49" s="185">
        <f t="shared" si="47"/>
        <v>77.792230297700556</v>
      </c>
      <c r="AW49" s="182">
        <f t="shared" si="57"/>
        <v>5</v>
      </c>
      <c r="AX49" s="576"/>
    </row>
    <row r="50" spans="2:50" ht="14.25" customHeight="1">
      <c r="B50" s="575"/>
      <c r="C50" s="180">
        <v>4</v>
      </c>
      <c r="D50" s="183" t="s">
        <v>345</v>
      </c>
      <c r="E50" s="180">
        <v>23</v>
      </c>
      <c r="F50" s="180">
        <v>2000</v>
      </c>
      <c r="G50" s="185">
        <f t="shared" si="42"/>
        <v>86.956521739130437</v>
      </c>
      <c r="H50" s="576"/>
      <c r="I50" s="186">
        <f t="shared" si="48"/>
        <v>23</v>
      </c>
      <c r="J50" s="186">
        <f t="shared" si="48"/>
        <v>1787.5695343330704</v>
      </c>
      <c r="K50" s="187">
        <f t="shared" si="48"/>
        <v>77.72041453622046</v>
      </c>
      <c r="L50" s="577"/>
      <c r="M50" s="186">
        <f>RANK(K50, K$47:$K$61)</f>
        <v>7</v>
      </c>
      <c r="N50" s="575"/>
      <c r="O50" s="575"/>
      <c r="P50" s="188">
        <v>23</v>
      </c>
      <c r="Q50" s="188">
        <v>1789.0552486187846</v>
      </c>
      <c r="R50" s="185">
        <f t="shared" si="49"/>
        <v>77.785010809512372</v>
      </c>
      <c r="S50" s="182">
        <f t="shared" si="50"/>
        <v>6</v>
      </c>
      <c r="T50" s="576"/>
      <c r="U50" s="188">
        <v>23</v>
      </c>
      <c r="V50" s="188">
        <v>1788.6552486187845</v>
      </c>
      <c r="W50" s="185">
        <f t="shared" si="43"/>
        <v>77.767619505164546</v>
      </c>
      <c r="X50" s="182">
        <f t="shared" si="51"/>
        <v>6</v>
      </c>
      <c r="Y50" s="576"/>
      <c r="Z50" s="188">
        <v>23</v>
      </c>
      <c r="AA50" s="188">
        <v>1787.8552486187846</v>
      </c>
      <c r="AB50" s="185">
        <f t="shared" si="44"/>
        <v>77.732836896468896</v>
      </c>
      <c r="AC50" s="182" t="e">
        <f t="shared" si="52"/>
        <v>#N/A</v>
      </c>
      <c r="AD50" s="576"/>
      <c r="AE50" s="188">
        <v>23</v>
      </c>
      <c r="AF50" s="188">
        <v>1787.0552486187848</v>
      </c>
      <c r="AG50" s="185">
        <f t="shared" si="53"/>
        <v>77.69805428777326</v>
      </c>
      <c r="AH50" s="182" t="e">
        <f t="shared" si="54"/>
        <v>#N/A</v>
      </c>
      <c r="AI50" s="576"/>
      <c r="AJ50" s="188">
        <v>23</v>
      </c>
      <c r="AK50" s="188">
        <v>1786.6552486187848</v>
      </c>
      <c r="AL50" s="185">
        <f t="shared" si="45"/>
        <v>77.680662983425421</v>
      </c>
      <c r="AM50" s="182">
        <f t="shared" si="55"/>
        <v>6</v>
      </c>
      <c r="AN50" s="576"/>
      <c r="AO50" s="188">
        <v>23</v>
      </c>
      <c r="AP50" s="188">
        <v>1786.4552486187843</v>
      </c>
      <c r="AQ50" s="185">
        <f t="shared" si="46"/>
        <v>77.671967331251494</v>
      </c>
      <c r="AR50" s="182">
        <f t="shared" si="56"/>
        <v>6</v>
      </c>
      <c r="AS50" s="576"/>
      <c r="AT50" s="188">
        <v>23</v>
      </c>
      <c r="AU50" s="188">
        <v>1787.2552486187842</v>
      </c>
      <c r="AV50" s="185">
        <f t="shared" si="47"/>
        <v>77.706749939947144</v>
      </c>
      <c r="AW50" s="182">
        <f t="shared" si="57"/>
        <v>7</v>
      </c>
      <c r="AX50" s="576"/>
    </row>
    <row r="51" spans="2:50" ht="14.25" customHeight="1">
      <c r="B51" s="575"/>
      <c r="C51" s="180">
        <v>5</v>
      </c>
      <c r="D51" s="183" t="s">
        <v>495</v>
      </c>
      <c r="E51" s="180">
        <v>19</v>
      </c>
      <c r="F51" s="180">
        <v>1800</v>
      </c>
      <c r="G51" s="185">
        <f t="shared" si="42"/>
        <v>94.736842105263165</v>
      </c>
      <c r="H51" s="576"/>
      <c r="I51" s="186">
        <f t="shared" si="48"/>
        <v>19</v>
      </c>
      <c r="J51" s="186">
        <f t="shared" si="48"/>
        <v>1606.8857142857175</v>
      </c>
      <c r="K51" s="187">
        <f t="shared" si="48"/>
        <v>84.572932330827243</v>
      </c>
      <c r="L51" s="577"/>
      <c r="M51" s="186">
        <f>RANK(K51, K$47:$K$61)</f>
        <v>4</v>
      </c>
      <c r="N51" s="575"/>
      <c r="O51" s="575"/>
      <c r="P51" s="188">
        <v>19</v>
      </c>
      <c r="Q51" s="188">
        <v>1607.6828571428607</v>
      </c>
      <c r="R51" s="185">
        <f t="shared" si="49"/>
        <v>84.614887218045297</v>
      </c>
      <c r="S51" s="182">
        <f t="shared" si="50"/>
        <v>3</v>
      </c>
      <c r="T51" s="576"/>
      <c r="U51" s="188">
        <v>19</v>
      </c>
      <c r="V51" s="188">
        <v>1607.1428571428605</v>
      </c>
      <c r="W51" s="185">
        <f t="shared" si="43"/>
        <v>84.586466165413711</v>
      </c>
      <c r="X51" s="182">
        <f t="shared" si="51"/>
        <v>3</v>
      </c>
      <c r="Y51" s="576"/>
      <c r="Z51" s="188">
        <v>19</v>
      </c>
      <c r="AA51" s="188">
        <v>1607.1428571428607</v>
      </c>
      <c r="AB51" s="185">
        <f t="shared" si="44"/>
        <v>84.586466165413725</v>
      </c>
      <c r="AC51" s="182" t="e">
        <f t="shared" si="52"/>
        <v>#N/A</v>
      </c>
      <c r="AD51" s="576"/>
      <c r="AE51" s="188">
        <v>19</v>
      </c>
      <c r="AF51" s="188">
        <v>1606.7828571428606</v>
      </c>
      <c r="AG51" s="185">
        <f t="shared" si="53"/>
        <v>84.567518796992658</v>
      </c>
      <c r="AH51" s="182" t="e">
        <f t="shared" si="54"/>
        <v>#N/A</v>
      </c>
      <c r="AI51" s="576"/>
      <c r="AJ51" s="188">
        <v>19</v>
      </c>
      <c r="AK51" s="188">
        <v>1606.2428571428604</v>
      </c>
      <c r="AL51" s="185">
        <f t="shared" si="45"/>
        <v>84.539097744361072</v>
      </c>
      <c r="AM51" s="182">
        <f t="shared" si="55"/>
        <v>3</v>
      </c>
      <c r="AN51" s="576"/>
      <c r="AO51" s="188">
        <v>19</v>
      </c>
      <c r="AP51" s="188">
        <v>1606.7828571428599</v>
      </c>
      <c r="AQ51" s="185">
        <f t="shared" si="46"/>
        <v>84.56751879699263</v>
      </c>
      <c r="AR51" s="182">
        <f t="shared" si="56"/>
        <v>3</v>
      </c>
      <c r="AS51" s="576"/>
      <c r="AT51" s="188">
        <v>19</v>
      </c>
      <c r="AU51" s="188">
        <v>1606.42285714286</v>
      </c>
      <c r="AV51" s="185">
        <f t="shared" si="47"/>
        <v>84.548571428571577</v>
      </c>
      <c r="AW51" s="182">
        <f t="shared" si="57"/>
        <v>4</v>
      </c>
      <c r="AX51" s="576"/>
    </row>
    <row r="52" spans="2:50" ht="14.25" customHeight="1">
      <c r="B52" s="575"/>
      <c r="C52" s="180">
        <v>6</v>
      </c>
      <c r="D52" s="183" t="s">
        <v>473</v>
      </c>
      <c r="E52" s="180">
        <v>19</v>
      </c>
      <c r="F52" s="180">
        <v>2000</v>
      </c>
      <c r="G52" s="185">
        <f t="shared" si="42"/>
        <v>105.26315789473684</v>
      </c>
      <c r="H52" s="576"/>
      <c r="I52" s="186">
        <f t="shared" si="48"/>
        <v>20</v>
      </c>
      <c r="J52" s="186">
        <f t="shared" si="48"/>
        <v>1786</v>
      </c>
      <c r="K52" s="187">
        <f t="shared" si="48"/>
        <v>89.299999999999983</v>
      </c>
      <c r="L52" s="577"/>
      <c r="M52" s="186">
        <f>RANK(K52, K$47:$K$61)</f>
        <v>2</v>
      </c>
      <c r="N52" s="575"/>
      <c r="O52" s="575"/>
      <c r="P52" s="188">
        <v>20</v>
      </c>
      <c r="Q52" s="188">
        <v>1786.0000000000002</v>
      </c>
      <c r="R52" s="185">
        <f t="shared" si="49"/>
        <v>89.300000000000011</v>
      </c>
      <c r="S52" s="182">
        <f t="shared" si="50"/>
        <v>1</v>
      </c>
      <c r="T52" s="576"/>
      <c r="U52" s="188">
        <v>20</v>
      </c>
      <c r="V52" s="188">
        <v>1786.0000000000002</v>
      </c>
      <c r="W52" s="185">
        <f t="shared" si="43"/>
        <v>89.300000000000011</v>
      </c>
      <c r="X52" s="182">
        <f t="shared" si="51"/>
        <v>1</v>
      </c>
      <c r="Y52" s="576"/>
      <c r="Z52" s="188">
        <v>20</v>
      </c>
      <c r="AA52" s="188">
        <v>1786</v>
      </c>
      <c r="AB52" s="185">
        <f t="shared" si="44"/>
        <v>89.3</v>
      </c>
      <c r="AC52" s="182" t="e">
        <f t="shared" si="52"/>
        <v>#N/A</v>
      </c>
      <c r="AD52" s="576"/>
      <c r="AE52" s="188">
        <v>20</v>
      </c>
      <c r="AF52" s="188">
        <v>1786</v>
      </c>
      <c r="AG52" s="185">
        <f t="shared" si="53"/>
        <v>89.3</v>
      </c>
      <c r="AH52" s="182" t="e">
        <f t="shared" si="54"/>
        <v>#N/A</v>
      </c>
      <c r="AI52" s="576"/>
      <c r="AJ52" s="188">
        <v>20</v>
      </c>
      <c r="AK52" s="188">
        <v>1785.9999999999998</v>
      </c>
      <c r="AL52" s="185">
        <f t="shared" si="45"/>
        <v>89.299999999999983</v>
      </c>
      <c r="AM52" s="182">
        <f t="shared" si="55"/>
        <v>1</v>
      </c>
      <c r="AN52" s="576"/>
      <c r="AO52" s="188">
        <v>20</v>
      </c>
      <c r="AP52" s="188">
        <v>1786</v>
      </c>
      <c r="AQ52" s="185">
        <f t="shared" si="46"/>
        <v>89.3</v>
      </c>
      <c r="AR52" s="182">
        <f t="shared" si="56"/>
        <v>2</v>
      </c>
      <c r="AS52" s="576"/>
      <c r="AT52" s="188">
        <v>20</v>
      </c>
      <c r="AU52" s="188">
        <v>1786.0000000000002</v>
      </c>
      <c r="AV52" s="185">
        <f t="shared" si="47"/>
        <v>89.300000000000011</v>
      </c>
      <c r="AW52" s="182">
        <f t="shared" si="57"/>
        <v>2</v>
      </c>
      <c r="AX52" s="576"/>
    </row>
    <row r="53" spans="2:50" ht="14.25" customHeight="1">
      <c r="B53" s="575"/>
      <c r="C53" s="180">
        <v>7</v>
      </c>
      <c r="D53" s="183" t="s">
        <v>533</v>
      </c>
      <c r="E53" s="180">
        <v>21</v>
      </c>
      <c r="F53" s="180">
        <v>1800</v>
      </c>
      <c r="G53" s="185">
        <f t="shared" si="42"/>
        <v>85.714285714285708</v>
      </c>
      <c r="H53" s="576"/>
      <c r="I53" s="186">
        <f t="shared" si="48"/>
        <v>21</v>
      </c>
      <c r="J53" s="186">
        <f t="shared" si="48"/>
        <v>1606.6266496190656</v>
      </c>
      <c r="K53" s="187">
        <f t="shared" si="48"/>
        <v>76.506030934241195</v>
      </c>
      <c r="L53" s="577"/>
      <c r="M53" s="186">
        <f>RANK(K53, K$47:$K$61)</f>
        <v>8</v>
      </c>
      <c r="N53" s="575"/>
      <c r="O53" s="575"/>
      <c r="P53" s="188">
        <v>21</v>
      </c>
      <c r="Q53" s="188">
        <v>1606.1123639047794</v>
      </c>
      <c r="R53" s="185">
        <f t="shared" si="49"/>
        <v>76.481541138322825</v>
      </c>
      <c r="S53" s="182">
        <f t="shared" si="50"/>
        <v>7</v>
      </c>
      <c r="T53" s="576"/>
      <c r="U53" s="188">
        <v>21</v>
      </c>
      <c r="V53" s="188">
        <v>1605.5723639047796</v>
      </c>
      <c r="W53" s="185">
        <f t="shared" si="43"/>
        <v>76.455826852608553</v>
      </c>
      <c r="X53" s="182">
        <f t="shared" si="51"/>
        <v>7</v>
      </c>
      <c r="Y53" s="576"/>
      <c r="Z53" s="188">
        <v>21</v>
      </c>
      <c r="AA53" s="188">
        <v>1606.2923639047797</v>
      </c>
      <c r="AB53" s="185">
        <f t="shared" si="44"/>
        <v>76.490112566894268</v>
      </c>
      <c r="AC53" s="182" t="e">
        <f t="shared" si="52"/>
        <v>#N/A</v>
      </c>
      <c r="AD53" s="576"/>
      <c r="AE53" s="188">
        <v>21</v>
      </c>
      <c r="AF53" s="188">
        <v>1607.0123639047797</v>
      </c>
      <c r="AG53" s="185">
        <f t="shared" si="53"/>
        <v>76.524398281179984</v>
      </c>
      <c r="AH53" s="182" t="e">
        <f t="shared" si="54"/>
        <v>#N/A</v>
      </c>
      <c r="AI53" s="576"/>
      <c r="AJ53" s="188">
        <v>21</v>
      </c>
      <c r="AK53" s="188">
        <v>1606.6523639047796</v>
      </c>
      <c r="AL53" s="185">
        <f t="shared" si="45"/>
        <v>76.507255424037126</v>
      </c>
      <c r="AM53" s="182">
        <f t="shared" si="55"/>
        <v>7</v>
      </c>
      <c r="AN53" s="576"/>
      <c r="AO53" s="188">
        <v>21</v>
      </c>
      <c r="AP53" s="188">
        <v>1607.19236390478</v>
      </c>
      <c r="AQ53" s="185">
        <f t="shared" si="46"/>
        <v>76.532969709751427</v>
      </c>
      <c r="AR53" s="182">
        <f t="shared" si="56"/>
        <v>7</v>
      </c>
      <c r="AS53" s="576"/>
      <c r="AT53" s="188">
        <v>21</v>
      </c>
      <c r="AU53" s="188">
        <v>1607.5523639047801</v>
      </c>
      <c r="AV53" s="185">
        <f t="shared" si="47"/>
        <v>76.550112566894285</v>
      </c>
      <c r="AW53" s="182">
        <f t="shared" si="57"/>
        <v>8</v>
      </c>
      <c r="AX53" s="576"/>
    </row>
    <row r="54" spans="2:50" ht="14.25" customHeight="1">
      <c r="B54" s="575"/>
      <c r="C54" s="180">
        <v>8</v>
      </c>
      <c r="D54" s="183" t="s">
        <v>534</v>
      </c>
      <c r="E54" s="180">
        <v>20</v>
      </c>
      <c r="F54" s="180">
        <v>2000</v>
      </c>
      <c r="G54" s="185">
        <f t="shared" si="42"/>
        <v>100</v>
      </c>
      <c r="H54" s="576"/>
      <c r="I54" s="186">
        <f t="shared" si="48"/>
        <v>20</v>
      </c>
      <c r="J54" s="186">
        <f t="shared" si="48"/>
        <v>1785.6521522145993</v>
      </c>
      <c r="K54" s="187">
        <f t="shared" si="48"/>
        <v>89.282607610729954</v>
      </c>
      <c r="L54" s="577"/>
      <c r="M54" s="186">
        <f>RANK(K54, K$47:$K$61)</f>
        <v>3</v>
      </c>
      <c r="N54" s="575"/>
      <c r="O54" s="575"/>
      <c r="P54" s="188">
        <v>20</v>
      </c>
      <c r="Q54" s="188">
        <v>1785.4235807860271</v>
      </c>
      <c r="R54" s="185">
        <f t="shared" si="49"/>
        <v>89.271179039301359</v>
      </c>
      <c r="S54" s="182">
        <f t="shared" si="50"/>
        <v>2</v>
      </c>
      <c r="T54" s="576"/>
      <c r="U54" s="188">
        <v>20</v>
      </c>
      <c r="V54" s="188">
        <v>1785.8235807860274</v>
      </c>
      <c r="W54" s="185">
        <f t="shared" si="43"/>
        <v>89.291179039301369</v>
      </c>
      <c r="X54" s="182">
        <f t="shared" si="51"/>
        <v>2</v>
      </c>
      <c r="Y54" s="576"/>
      <c r="Z54" s="188">
        <v>20</v>
      </c>
      <c r="AA54" s="188">
        <v>1785.2235807860277</v>
      </c>
      <c r="AB54" s="185">
        <f t="shared" si="44"/>
        <v>89.261179039301382</v>
      </c>
      <c r="AC54" s="182" t="e">
        <f t="shared" si="52"/>
        <v>#N/A</v>
      </c>
      <c r="AD54" s="576"/>
      <c r="AE54" s="188">
        <v>20</v>
      </c>
      <c r="AF54" s="188">
        <v>1785.423580786028</v>
      </c>
      <c r="AG54" s="185">
        <f t="shared" si="53"/>
        <v>89.271179039301401</v>
      </c>
      <c r="AH54" s="182" t="e">
        <f>RANK(AG54, AG$7:AG$21)</f>
        <v>#N/A</v>
      </c>
      <c r="AI54" s="576"/>
      <c r="AJ54" s="188">
        <v>20</v>
      </c>
      <c r="AK54" s="188">
        <v>1785.6235807860278</v>
      </c>
      <c r="AL54" s="185">
        <f t="shared" si="45"/>
        <v>89.281179039301392</v>
      </c>
      <c r="AM54" s="182">
        <f t="shared" si="55"/>
        <v>2</v>
      </c>
      <c r="AN54" s="576"/>
      <c r="AO54" s="188">
        <v>20</v>
      </c>
      <c r="AP54" s="188">
        <v>1786.423580786028</v>
      </c>
      <c r="AQ54" s="185">
        <f t="shared" si="46"/>
        <v>89.321179039301398</v>
      </c>
      <c r="AR54" s="182">
        <f t="shared" si="56"/>
        <v>1</v>
      </c>
      <c r="AS54" s="576"/>
      <c r="AT54" s="188">
        <v>20</v>
      </c>
      <c r="AU54" s="188">
        <v>1785.623580786028</v>
      </c>
      <c r="AV54" s="185">
        <f t="shared" si="47"/>
        <v>89.281179039301406</v>
      </c>
      <c r="AW54" s="182">
        <f t="shared" si="57"/>
        <v>3</v>
      </c>
      <c r="AX54" s="576"/>
    </row>
    <row r="55" spans="2:50" ht="14.25" customHeight="1">
      <c r="B55" s="575"/>
      <c r="C55" s="180">
        <v>9</v>
      </c>
      <c r="D55" s="183" t="s">
        <v>717</v>
      </c>
      <c r="E55" s="180">
        <v>16</v>
      </c>
      <c r="F55" s="180">
        <v>2000</v>
      </c>
      <c r="G55" s="185">
        <f t="shared" si="42"/>
        <v>125</v>
      </c>
      <c r="H55" s="576"/>
      <c r="I55" s="186">
        <f t="shared" si="48"/>
        <v>16</v>
      </c>
      <c r="J55" s="186">
        <f t="shared" si="48"/>
        <v>1630</v>
      </c>
      <c r="K55" s="187">
        <f t="shared" si="48"/>
        <v>101.875</v>
      </c>
      <c r="L55" s="577"/>
      <c r="M55" s="186">
        <f>RANK(K55, K$47:$K$61)</f>
        <v>1</v>
      </c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>
        <v>16</v>
      </c>
      <c r="AU55" s="188">
        <v>1630</v>
      </c>
      <c r="AV55" s="185">
        <f t="shared" si="47"/>
        <v>101.875</v>
      </c>
      <c r="AW55" s="182">
        <f t="shared" si="57"/>
        <v>1</v>
      </c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  <row r="62" spans="2:50" ht="14.25" customHeight="1">
      <c r="B62" s="643" t="s">
        <v>754</v>
      </c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4"/>
      <c r="N62" s="609" t="s">
        <v>374</v>
      </c>
      <c r="O62" s="609" t="s">
        <v>105</v>
      </c>
      <c r="P62" s="655">
        <v>46133</v>
      </c>
      <c r="Q62" s="656"/>
      <c r="R62" s="656"/>
      <c r="S62" s="656"/>
      <c r="T62" s="656"/>
      <c r="U62" s="657">
        <v>46134</v>
      </c>
      <c r="V62" s="658"/>
      <c r="W62" s="658"/>
      <c r="X62" s="658"/>
      <c r="Y62" s="658"/>
      <c r="Z62" s="655">
        <v>46135</v>
      </c>
      <c r="AA62" s="656"/>
      <c r="AB62" s="656"/>
      <c r="AC62" s="656"/>
      <c r="AD62" s="656"/>
      <c r="AE62" s="657">
        <v>46136</v>
      </c>
      <c r="AF62" s="658"/>
      <c r="AG62" s="658"/>
      <c r="AH62" s="658"/>
      <c r="AI62" s="658"/>
      <c r="AJ62" s="647">
        <v>46137</v>
      </c>
      <c r="AK62" s="648"/>
      <c r="AL62" s="648"/>
      <c r="AM62" s="648"/>
      <c r="AN62" s="649"/>
      <c r="AO62" s="657">
        <v>46138</v>
      </c>
      <c r="AP62" s="658"/>
      <c r="AQ62" s="658"/>
      <c r="AR62" s="658"/>
      <c r="AS62" s="658"/>
      <c r="AT62" s="647">
        <v>46139</v>
      </c>
      <c r="AU62" s="648"/>
      <c r="AV62" s="648"/>
      <c r="AW62" s="648"/>
      <c r="AX62" s="649"/>
    </row>
    <row r="63" spans="2:50" ht="14.25" customHeight="1"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6"/>
      <c r="N63" s="611"/>
      <c r="O63" s="611"/>
      <c r="P63" s="650">
        <v>46133</v>
      </c>
      <c r="Q63" s="650"/>
      <c r="R63" s="650"/>
      <c r="S63" s="650"/>
      <c r="T63" s="650"/>
      <c r="U63" s="651">
        <v>46134</v>
      </c>
      <c r="V63" s="651"/>
      <c r="W63" s="651"/>
      <c r="X63" s="651"/>
      <c r="Y63" s="651"/>
      <c r="Z63" s="650">
        <v>46135</v>
      </c>
      <c r="AA63" s="650"/>
      <c r="AB63" s="650"/>
      <c r="AC63" s="650"/>
      <c r="AD63" s="650"/>
      <c r="AE63" s="651">
        <v>46136</v>
      </c>
      <c r="AF63" s="651"/>
      <c r="AG63" s="651"/>
      <c r="AH63" s="651"/>
      <c r="AI63" s="651"/>
      <c r="AJ63" s="652">
        <v>46137</v>
      </c>
      <c r="AK63" s="653"/>
      <c r="AL63" s="653"/>
      <c r="AM63" s="653"/>
      <c r="AN63" s="654"/>
      <c r="AO63" s="651">
        <v>46138</v>
      </c>
      <c r="AP63" s="651"/>
      <c r="AQ63" s="651"/>
      <c r="AR63" s="651"/>
      <c r="AS63" s="651"/>
      <c r="AT63" s="652">
        <v>46139</v>
      </c>
      <c r="AU63" s="653"/>
      <c r="AV63" s="653"/>
      <c r="AW63" s="653"/>
      <c r="AX63" s="654"/>
    </row>
    <row r="64" spans="2:50" ht="14.25" customHeight="1">
      <c r="B64" s="575" t="s">
        <v>162</v>
      </c>
      <c r="C64" s="575" t="s">
        <v>157</v>
      </c>
      <c r="D64" s="575"/>
      <c r="E64" s="575" t="s">
        <v>158</v>
      </c>
      <c r="F64" s="575"/>
      <c r="G64" s="575"/>
      <c r="H64" s="575" t="s">
        <v>163</v>
      </c>
      <c r="I64" s="579" t="s">
        <v>375</v>
      </c>
      <c r="J64" s="579"/>
      <c r="K64" s="579"/>
      <c r="L64" s="579" t="s">
        <v>163</v>
      </c>
      <c r="M64" s="579" t="s">
        <v>165</v>
      </c>
      <c r="N64" s="575"/>
      <c r="O64" s="575" t="s">
        <v>164</v>
      </c>
      <c r="P64" s="575" t="s">
        <v>160</v>
      </c>
      <c r="Q64" s="575"/>
      <c r="R64" s="575"/>
      <c r="S64" s="575"/>
      <c r="T64" s="575" t="s">
        <v>163</v>
      </c>
      <c r="U64" s="575" t="s">
        <v>160</v>
      </c>
      <c r="V64" s="575"/>
      <c r="W64" s="575"/>
      <c r="X64" s="575"/>
      <c r="Y64" s="575" t="s">
        <v>163</v>
      </c>
      <c r="Z64" s="575" t="s">
        <v>160</v>
      </c>
      <c r="AA64" s="575"/>
      <c r="AB64" s="575"/>
      <c r="AC64" s="575"/>
      <c r="AD64" s="575" t="s">
        <v>163</v>
      </c>
      <c r="AE64" s="575" t="s">
        <v>160</v>
      </c>
      <c r="AF64" s="575"/>
      <c r="AG64" s="575"/>
      <c r="AH64" s="575"/>
      <c r="AI64" s="575" t="s">
        <v>163</v>
      </c>
      <c r="AJ64" s="575" t="s">
        <v>160</v>
      </c>
      <c r="AK64" s="575"/>
      <c r="AL64" s="575"/>
      <c r="AM64" s="575"/>
      <c r="AN64" s="575" t="s">
        <v>163</v>
      </c>
      <c r="AO64" s="575" t="s">
        <v>160</v>
      </c>
      <c r="AP64" s="575"/>
      <c r="AQ64" s="575"/>
      <c r="AR64" s="575"/>
      <c r="AS64" s="575" t="s">
        <v>163</v>
      </c>
      <c r="AT64" s="575" t="s">
        <v>160</v>
      </c>
      <c r="AU64" s="575"/>
      <c r="AV64" s="575"/>
      <c r="AW64" s="575"/>
      <c r="AX64" s="575" t="s">
        <v>163</v>
      </c>
    </row>
    <row r="65" spans="2:50" ht="14.25" customHeight="1">
      <c r="B65" s="575"/>
      <c r="C65" s="575"/>
      <c r="D65" s="575"/>
      <c r="E65" s="575" t="s">
        <v>376</v>
      </c>
      <c r="F65" s="575"/>
      <c r="G65" s="575"/>
      <c r="H65" s="575"/>
      <c r="I65" s="579" t="s">
        <v>376</v>
      </c>
      <c r="J65" s="579"/>
      <c r="K65" s="579"/>
      <c r="L65" s="579"/>
      <c r="M65" s="579"/>
      <c r="N65" s="575"/>
      <c r="O65" s="575"/>
      <c r="P65" s="575" t="s">
        <v>377</v>
      </c>
      <c r="Q65" s="575"/>
      <c r="R65" s="575"/>
      <c r="S65" s="575"/>
      <c r="T65" s="575"/>
      <c r="U65" s="575" t="s">
        <v>377</v>
      </c>
      <c r="V65" s="575"/>
      <c r="W65" s="575"/>
      <c r="X65" s="575"/>
      <c r="Y65" s="575"/>
      <c r="Z65" s="575" t="s">
        <v>377</v>
      </c>
      <c r="AA65" s="575"/>
      <c r="AB65" s="575"/>
      <c r="AC65" s="575"/>
      <c r="AD65" s="575"/>
      <c r="AE65" s="575" t="s">
        <v>377</v>
      </c>
      <c r="AF65" s="575"/>
      <c r="AG65" s="575"/>
      <c r="AH65" s="575"/>
      <c r="AI65" s="575"/>
      <c r="AJ65" s="575" t="s">
        <v>377</v>
      </c>
      <c r="AK65" s="575"/>
      <c r="AL65" s="575"/>
      <c r="AM65" s="575"/>
      <c r="AN65" s="575"/>
      <c r="AO65" s="575" t="s">
        <v>377</v>
      </c>
      <c r="AP65" s="575"/>
      <c r="AQ65" s="575"/>
      <c r="AR65" s="575"/>
      <c r="AS65" s="575"/>
      <c r="AT65" s="575" t="s">
        <v>377</v>
      </c>
      <c r="AU65" s="575"/>
      <c r="AV65" s="575"/>
      <c r="AW65" s="575"/>
      <c r="AX65" s="575"/>
    </row>
    <row r="66" spans="2:50" ht="14.25" customHeight="1">
      <c r="B66" s="575"/>
      <c r="C66" s="575"/>
      <c r="D66" s="575"/>
      <c r="E66" s="180" t="s">
        <v>159</v>
      </c>
      <c r="F66" s="180" t="s">
        <v>378</v>
      </c>
      <c r="G66" s="180" t="s">
        <v>161</v>
      </c>
      <c r="H66" s="575"/>
      <c r="I66" s="181" t="s">
        <v>159</v>
      </c>
      <c r="J66" s="181" t="s">
        <v>378</v>
      </c>
      <c r="K66" s="181" t="s">
        <v>161</v>
      </c>
      <c r="L66" s="579"/>
      <c r="M66" s="579"/>
      <c r="N66" s="575"/>
      <c r="O66" s="575"/>
      <c r="P66" s="180" t="s">
        <v>159</v>
      </c>
      <c r="Q66" s="180" t="s">
        <v>378</v>
      </c>
      <c r="R66" s="180" t="s">
        <v>161</v>
      </c>
      <c r="S66" s="182" t="s">
        <v>165</v>
      </c>
      <c r="T66" s="575"/>
      <c r="U66" s="180" t="s">
        <v>159</v>
      </c>
      <c r="V66" s="180" t="s">
        <v>378</v>
      </c>
      <c r="W66" s="180" t="s">
        <v>161</v>
      </c>
      <c r="X66" s="182" t="s">
        <v>165</v>
      </c>
      <c r="Y66" s="575"/>
      <c r="Z66" s="180" t="s">
        <v>159</v>
      </c>
      <c r="AA66" s="180" t="s">
        <v>378</v>
      </c>
      <c r="AB66" s="180" t="s">
        <v>161</v>
      </c>
      <c r="AC66" s="182" t="s">
        <v>165</v>
      </c>
      <c r="AD66" s="575"/>
      <c r="AE66" s="180" t="s">
        <v>159</v>
      </c>
      <c r="AF66" s="180" t="s">
        <v>378</v>
      </c>
      <c r="AG66" s="180" t="s">
        <v>161</v>
      </c>
      <c r="AH66" s="182" t="s">
        <v>165</v>
      </c>
      <c r="AI66" s="575"/>
      <c r="AJ66" s="180" t="s">
        <v>159</v>
      </c>
      <c r="AK66" s="180" t="s">
        <v>378</v>
      </c>
      <c r="AL66" s="180" t="s">
        <v>161</v>
      </c>
      <c r="AM66" s="182" t="s">
        <v>165</v>
      </c>
      <c r="AN66" s="575"/>
      <c r="AO66" s="180" t="s">
        <v>159</v>
      </c>
      <c r="AP66" s="180" t="s">
        <v>378</v>
      </c>
      <c r="AQ66" s="180" t="s">
        <v>161</v>
      </c>
      <c r="AR66" s="182" t="s">
        <v>165</v>
      </c>
      <c r="AS66" s="575"/>
      <c r="AT66" s="180" t="s">
        <v>159</v>
      </c>
      <c r="AU66" s="180" t="s">
        <v>378</v>
      </c>
      <c r="AV66" s="180" t="s">
        <v>161</v>
      </c>
      <c r="AW66" s="182" t="s">
        <v>165</v>
      </c>
      <c r="AX66" s="575"/>
    </row>
    <row r="67" spans="2:50" ht="14.25" customHeight="1">
      <c r="B67" s="575" t="s">
        <v>355</v>
      </c>
      <c r="C67" s="180">
        <v>1</v>
      </c>
      <c r="D67" s="183" t="s">
        <v>344</v>
      </c>
      <c r="E67" s="180">
        <v>24</v>
      </c>
      <c r="F67" s="180">
        <v>2000</v>
      </c>
      <c r="G67" s="185">
        <f t="shared" ref="G67:G75" si="58">F67/E67</f>
        <v>83.333333333333329</v>
      </c>
      <c r="H67" s="576">
        <f>AVERAGE(G67:G81)</f>
        <v>94.990798251667812</v>
      </c>
      <c r="I67" s="186">
        <f>AVERAGE(P67,U67,Z67,AE67,AJ67,AO67,AT67)</f>
        <v>24</v>
      </c>
      <c r="J67" s="186">
        <f>AVERAGE(Q67,V67,AA67,AF67,AK67,AP67,AU67)</f>
        <v>1781.6156567890332</v>
      </c>
      <c r="K67" s="187">
        <f>AVERAGE(R67,W67,AB67,AG67,AL67,AQ67,AV67)</f>
        <v>74.233985699543055</v>
      </c>
      <c r="L67" s="577">
        <f>IFERROR(AVERAGE(K67:K81),"-")</f>
        <v>84.026729631488195</v>
      </c>
      <c r="M67" s="186">
        <f>RANK(K67, K$67:$K$81)</f>
        <v>9</v>
      </c>
      <c r="N67" s="575"/>
      <c r="O67" s="575"/>
      <c r="P67" s="188">
        <v>24</v>
      </c>
      <c r="Q67" s="188">
        <v>1781.9585139318899</v>
      </c>
      <c r="R67" s="185">
        <f>IFERROR(Q67/P67,"")</f>
        <v>74.248271413828746</v>
      </c>
      <c r="S67" s="182">
        <f>RANK(R67, R$67:R$81)</f>
        <v>9</v>
      </c>
      <c r="T67" s="576">
        <f>AVERAGE(R67:R81)</f>
        <v>83.46220217522341</v>
      </c>
      <c r="U67" s="188">
        <v>24</v>
      </c>
      <c r="V67" s="188">
        <v>1781.7585139318901</v>
      </c>
      <c r="W67" s="185">
        <f t="shared" ref="W67:W75" si="59">IFERROR(V67/U67,"")</f>
        <v>74.239938080495421</v>
      </c>
      <c r="X67" s="182">
        <f>RANK(W67, W$67:W$81)</f>
        <v>9</v>
      </c>
      <c r="Y67" s="576">
        <f>AVERAGE(W67:W81)</f>
        <v>83.684616246210055</v>
      </c>
      <c r="Z67" s="188">
        <v>24</v>
      </c>
      <c r="AA67" s="188">
        <v>1781.3585139318902</v>
      </c>
      <c r="AB67" s="185">
        <f t="shared" ref="AB67:AB75" si="60">IFERROR(AA67/Z67,"")</f>
        <v>74.223271413828755</v>
      </c>
      <c r="AC67" s="182">
        <f>RANK(AB67, AB$67:AB$81)</f>
        <v>9</v>
      </c>
      <c r="AD67" s="576">
        <f>AVERAGE(AB67:AB81)</f>
        <v>83.922754571761843</v>
      </c>
      <c r="AE67" s="188">
        <v>24</v>
      </c>
      <c r="AF67" s="188">
        <v>1781.9585139318901</v>
      </c>
      <c r="AG67" s="185">
        <f>IFERROR(AF67/AE67,"")</f>
        <v>74.248271413828761</v>
      </c>
      <c r="AH67" s="182">
        <f>RANK(AG67, AG$67:AG$81)</f>
        <v>8</v>
      </c>
      <c r="AI67" s="576">
        <f>AVERAGE(AG67:AG81)</f>
        <v>84.113760744146674</v>
      </c>
      <c r="AJ67" s="188">
        <v>24</v>
      </c>
      <c r="AK67" s="188">
        <v>1781.7585139318903</v>
      </c>
      <c r="AL67" s="185">
        <f t="shared" ref="AL67:AL75" si="61">IFERROR(AK67/AJ67,"")</f>
        <v>74.239938080495435</v>
      </c>
      <c r="AM67" s="182">
        <f>RANK(AL67, AL$67:AL$81)</f>
        <v>8</v>
      </c>
      <c r="AN67" s="576">
        <f>AVERAGE(AL67:AL81)</f>
        <v>84.272782917559894</v>
      </c>
      <c r="AO67" s="188">
        <v>24</v>
      </c>
      <c r="AP67" s="188">
        <v>1781.5585139318907</v>
      </c>
      <c r="AQ67" s="185">
        <f t="shared" ref="AQ67:AQ75" si="62">IFERROR(AP67/AO67,"")</f>
        <v>74.231604747162109</v>
      </c>
      <c r="AR67" s="182">
        <f>RANK(AQ67, AQ$67:AQ$81)</f>
        <v>8</v>
      </c>
      <c r="AS67" s="576">
        <f>AVERAGE(AQ67:AQ81)</f>
        <v>84.302210001768643</v>
      </c>
      <c r="AT67" s="188">
        <v>24</v>
      </c>
      <c r="AU67" s="188">
        <v>1780.9585139318908</v>
      </c>
      <c r="AV67" s="185">
        <f t="shared" ref="AV67:AV75" si="63">IFERROR(AU67/AT67,"")</f>
        <v>74.206604747162118</v>
      </c>
      <c r="AW67" s="182">
        <f>RANK(AV67, AV$67:AV$81)</f>
        <v>8</v>
      </c>
      <c r="AX67" s="576">
        <f>AVERAGE(AV67:AV81)</f>
        <v>84.292607905495359</v>
      </c>
    </row>
    <row r="68" spans="2:50" ht="14.25" customHeight="1">
      <c r="B68" s="575"/>
      <c r="C68" s="180">
        <v>2</v>
      </c>
      <c r="D68" s="183" t="s">
        <v>343</v>
      </c>
      <c r="E68" s="180">
        <v>23</v>
      </c>
      <c r="F68" s="180">
        <v>2000</v>
      </c>
      <c r="G68" s="185">
        <f t="shared" si="58"/>
        <v>86.956521739130437</v>
      </c>
      <c r="H68" s="576"/>
      <c r="I68" s="186">
        <f t="shared" ref="I68:K75" si="64">AVERAGE(P68,U68,Z68,AE68,AJ68,AO68,AT68)</f>
        <v>23</v>
      </c>
      <c r="J68" s="186">
        <f t="shared" si="64"/>
        <v>1791.4178872996686</v>
      </c>
      <c r="K68" s="187">
        <f t="shared" si="64"/>
        <v>77.887734230420364</v>
      </c>
      <c r="L68" s="577"/>
      <c r="M68" s="186">
        <f>RANK(K68, K$67:$K$81)</f>
        <v>5</v>
      </c>
      <c r="N68" s="575"/>
      <c r="O68" s="575"/>
      <c r="P68" s="188">
        <v>23</v>
      </c>
      <c r="Q68" s="188">
        <v>1789.8750301568111</v>
      </c>
      <c r="R68" s="185">
        <f t="shared" ref="R68:R75" si="65">IFERROR(Q68/P68,"")</f>
        <v>77.820653485078751</v>
      </c>
      <c r="S68" s="182">
        <f t="shared" ref="S68:S75" si="66">RANK(R68, R$67:R$81)</f>
        <v>5</v>
      </c>
      <c r="T68" s="576"/>
      <c r="U68" s="188">
        <v>23</v>
      </c>
      <c r="V68" s="188">
        <v>1790.6750301568111</v>
      </c>
      <c r="W68" s="185">
        <f t="shared" si="59"/>
        <v>77.855436093774401</v>
      </c>
      <c r="X68" s="182">
        <f t="shared" ref="X68:X75" si="67">RANK(W68, W$67:W$81)</f>
        <v>5</v>
      </c>
      <c r="Y68" s="576"/>
      <c r="Z68" s="188">
        <v>23</v>
      </c>
      <c r="AA68" s="188">
        <v>1791.475030156811</v>
      </c>
      <c r="AB68" s="185">
        <f t="shared" si="60"/>
        <v>77.890218702470051</v>
      </c>
      <c r="AC68" s="182">
        <f t="shared" ref="AC68:AC75" si="68">RANK(AB68, AB$67:AB$81)</f>
        <v>5</v>
      </c>
      <c r="AD68" s="576"/>
      <c r="AE68" s="188">
        <v>23</v>
      </c>
      <c r="AF68" s="188">
        <v>1792.2750301568112</v>
      </c>
      <c r="AG68" s="185">
        <f t="shared" ref="AG68:AG75" si="69">IFERROR(AF68/AE68,"")</f>
        <v>77.925001311165701</v>
      </c>
      <c r="AH68" s="182">
        <f t="shared" ref="AH68:AH75" si="70">RANK(AG68, AG$67:AG$81)</f>
        <v>4</v>
      </c>
      <c r="AI68" s="576"/>
      <c r="AJ68" s="188">
        <v>23</v>
      </c>
      <c r="AK68" s="188">
        <v>1791.8750301568114</v>
      </c>
      <c r="AL68" s="185">
        <f t="shared" si="61"/>
        <v>77.90761000681789</v>
      </c>
      <c r="AM68" s="182">
        <f t="shared" ref="AM68:AM75" si="71">RANK(AL68, AL$67:AL$81)</f>
        <v>4</v>
      </c>
      <c r="AN68" s="576"/>
      <c r="AO68" s="188">
        <v>23</v>
      </c>
      <c r="AP68" s="188">
        <v>1791.6750301568111</v>
      </c>
      <c r="AQ68" s="185">
        <f t="shared" si="62"/>
        <v>77.898914354643964</v>
      </c>
      <c r="AR68" s="182">
        <f t="shared" ref="AR68:AR75" si="72">RANK(AQ68, AQ$67:AQ$81)</f>
        <v>4</v>
      </c>
      <c r="AS68" s="576"/>
      <c r="AT68" s="188">
        <v>23</v>
      </c>
      <c r="AU68" s="188">
        <v>1792.075030156811</v>
      </c>
      <c r="AV68" s="185">
        <f t="shared" si="63"/>
        <v>77.916305658991774</v>
      </c>
      <c r="AW68" s="182">
        <f t="shared" ref="AW68:AW75" si="73">RANK(AV68, AV$67:AV$81)</f>
        <v>4</v>
      </c>
      <c r="AX68" s="576"/>
    </row>
    <row r="69" spans="2:50" ht="14.25" customHeight="1">
      <c r="B69" s="575"/>
      <c r="C69" s="180">
        <v>3</v>
      </c>
      <c r="D69" s="183" t="s">
        <v>356</v>
      </c>
      <c r="E69" s="180">
        <v>23</v>
      </c>
      <c r="F69" s="180">
        <v>2000</v>
      </c>
      <c r="G69" s="185">
        <f t="shared" si="58"/>
        <v>86.956521739130437</v>
      </c>
      <c r="H69" s="576"/>
      <c r="I69" s="186">
        <f t="shared" si="64"/>
        <v>23</v>
      </c>
      <c r="J69" s="186">
        <f t="shared" si="64"/>
        <v>1788.5927254185419</v>
      </c>
      <c r="K69" s="187">
        <f t="shared" si="64"/>
        <v>77.764901105153996</v>
      </c>
      <c r="L69" s="577"/>
      <c r="M69" s="186">
        <f>RANK(K69, K$67:$K$81)</f>
        <v>6</v>
      </c>
      <c r="N69" s="575"/>
      <c r="O69" s="575"/>
      <c r="P69" s="188">
        <v>23</v>
      </c>
      <c r="Q69" s="188">
        <v>1789.2212968471126</v>
      </c>
      <c r="R69" s="185">
        <f t="shared" si="65"/>
        <v>77.792230297700556</v>
      </c>
      <c r="S69" s="182">
        <f t="shared" si="66"/>
        <v>6</v>
      </c>
      <c r="T69" s="576"/>
      <c r="U69" s="188">
        <v>23</v>
      </c>
      <c r="V69" s="188">
        <v>1788.2212968471131</v>
      </c>
      <c r="W69" s="185">
        <f t="shared" si="59"/>
        <v>77.748752036831007</v>
      </c>
      <c r="X69" s="182">
        <f t="shared" si="67"/>
        <v>6</v>
      </c>
      <c r="Y69" s="576"/>
      <c r="Z69" s="188">
        <v>23</v>
      </c>
      <c r="AA69" s="188">
        <v>1788.8212968471134</v>
      </c>
      <c r="AB69" s="185">
        <f t="shared" si="60"/>
        <v>77.774838993352759</v>
      </c>
      <c r="AC69" s="182">
        <f t="shared" si="68"/>
        <v>6</v>
      </c>
      <c r="AD69" s="576"/>
      <c r="AE69" s="188">
        <v>23</v>
      </c>
      <c r="AF69" s="188">
        <v>1788.6212968471134</v>
      </c>
      <c r="AG69" s="185">
        <f t="shared" si="69"/>
        <v>77.766143341178847</v>
      </c>
      <c r="AH69" s="182">
        <f t="shared" si="70"/>
        <v>5</v>
      </c>
      <c r="AI69" s="576"/>
      <c r="AJ69" s="188">
        <v>23</v>
      </c>
      <c r="AK69" s="188">
        <v>1788.6212968471132</v>
      </c>
      <c r="AL69" s="185">
        <f t="shared" si="61"/>
        <v>77.766143341178832</v>
      </c>
      <c r="AM69" s="182">
        <f t="shared" si="71"/>
        <v>5</v>
      </c>
      <c r="AN69" s="576"/>
      <c r="AO69" s="188">
        <v>23</v>
      </c>
      <c r="AP69" s="188">
        <v>1788.6212968471132</v>
      </c>
      <c r="AQ69" s="185">
        <f t="shared" si="62"/>
        <v>77.766143341178832</v>
      </c>
      <c r="AR69" s="182">
        <f t="shared" si="72"/>
        <v>5</v>
      </c>
      <c r="AS69" s="576"/>
      <c r="AT69" s="188">
        <v>23</v>
      </c>
      <c r="AU69" s="188">
        <v>1788.0212968471133</v>
      </c>
      <c r="AV69" s="185">
        <f t="shared" si="63"/>
        <v>77.740056384657095</v>
      </c>
      <c r="AW69" s="182">
        <f t="shared" si="73"/>
        <v>5</v>
      </c>
      <c r="AX69" s="576"/>
    </row>
    <row r="70" spans="2:50" ht="14.25" customHeight="1">
      <c r="B70" s="575"/>
      <c r="C70" s="180">
        <v>4</v>
      </c>
      <c r="D70" s="183" t="s">
        <v>345</v>
      </c>
      <c r="E70" s="180">
        <v>23</v>
      </c>
      <c r="F70" s="180">
        <v>2000</v>
      </c>
      <c r="G70" s="185">
        <f t="shared" si="58"/>
        <v>86.956521739130437</v>
      </c>
      <c r="H70" s="576"/>
      <c r="I70" s="186">
        <f t="shared" si="64"/>
        <v>23</v>
      </c>
      <c r="J70" s="186">
        <f t="shared" si="64"/>
        <v>1787.0552486187842</v>
      </c>
      <c r="K70" s="187">
        <f t="shared" si="64"/>
        <v>77.698054287773218</v>
      </c>
      <c r="L70" s="577"/>
      <c r="M70" s="186">
        <f>RANK(K70, K$67:$K$81)</f>
        <v>7</v>
      </c>
      <c r="N70" s="575"/>
      <c r="O70" s="575"/>
      <c r="P70" s="188">
        <v>23</v>
      </c>
      <c r="Q70" s="188">
        <v>1788.0552486187842</v>
      </c>
      <c r="R70" s="185">
        <f t="shared" si="65"/>
        <v>77.741532548642795</v>
      </c>
      <c r="S70" s="182">
        <f t="shared" si="66"/>
        <v>7</v>
      </c>
      <c r="T70" s="576"/>
      <c r="U70" s="188">
        <v>23</v>
      </c>
      <c r="V70" s="188">
        <v>1787.255248618784</v>
      </c>
      <c r="W70" s="185">
        <f t="shared" si="59"/>
        <v>77.70674993994713</v>
      </c>
      <c r="X70" s="182">
        <f t="shared" si="67"/>
        <v>7</v>
      </c>
      <c r="Y70" s="576"/>
      <c r="Z70" s="188">
        <v>23</v>
      </c>
      <c r="AA70" s="188">
        <v>1787.6552486187838</v>
      </c>
      <c r="AB70" s="185">
        <f t="shared" si="60"/>
        <v>77.724141244294955</v>
      </c>
      <c r="AC70" s="182">
        <f t="shared" si="68"/>
        <v>7</v>
      </c>
      <c r="AD70" s="576"/>
      <c r="AE70" s="188">
        <v>23</v>
      </c>
      <c r="AF70" s="188">
        <v>1787.255248618784</v>
      </c>
      <c r="AG70" s="185">
        <f t="shared" si="69"/>
        <v>77.70674993994713</v>
      </c>
      <c r="AH70" s="182">
        <f t="shared" si="70"/>
        <v>6</v>
      </c>
      <c r="AI70" s="576"/>
      <c r="AJ70" s="188">
        <v>23</v>
      </c>
      <c r="AK70" s="188">
        <v>1787.255248618784</v>
      </c>
      <c r="AL70" s="185">
        <f t="shared" si="61"/>
        <v>77.70674993994713</v>
      </c>
      <c r="AM70" s="182">
        <f t="shared" si="71"/>
        <v>6</v>
      </c>
      <c r="AN70" s="576"/>
      <c r="AO70" s="188">
        <v>23</v>
      </c>
      <c r="AP70" s="188">
        <v>1786.455248618784</v>
      </c>
      <c r="AQ70" s="185">
        <f t="shared" si="62"/>
        <v>77.67196733125148</v>
      </c>
      <c r="AR70" s="182">
        <f t="shared" si="72"/>
        <v>6</v>
      </c>
      <c r="AS70" s="576"/>
      <c r="AT70" s="188">
        <v>23</v>
      </c>
      <c r="AU70" s="188">
        <v>1785.455248618784</v>
      </c>
      <c r="AV70" s="185">
        <f t="shared" si="63"/>
        <v>77.628489070381917</v>
      </c>
      <c r="AW70" s="182">
        <f t="shared" si="73"/>
        <v>6</v>
      </c>
      <c r="AX70" s="576"/>
    </row>
    <row r="71" spans="2:50" ht="14.25" customHeight="1">
      <c r="B71" s="575"/>
      <c r="C71" s="180">
        <v>5</v>
      </c>
      <c r="D71" s="183" t="s">
        <v>495</v>
      </c>
      <c r="E71" s="180">
        <v>19</v>
      </c>
      <c r="F71" s="180">
        <v>1800</v>
      </c>
      <c r="G71" s="185">
        <f t="shared" si="58"/>
        <v>94.736842105263165</v>
      </c>
      <c r="H71" s="576"/>
      <c r="I71" s="186">
        <f t="shared" si="64"/>
        <v>19</v>
      </c>
      <c r="J71" s="186">
        <f t="shared" si="64"/>
        <v>1606.48285714286</v>
      </c>
      <c r="K71" s="187">
        <f t="shared" si="64"/>
        <v>84.551729323308408</v>
      </c>
      <c r="L71" s="577"/>
      <c r="M71" s="186">
        <f>RANK(K71, K$67:$K$81)</f>
        <v>4</v>
      </c>
      <c r="N71" s="575"/>
      <c r="O71" s="575"/>
      <c r="P71" s="188">
        <v>19</v>
      </c>
      <c r="Q71" s="188">
        <v>1606.7828571428599</v>
      </c>
      <c r="R71" s="185">
        <f t="shared" si="65"/>
        <v>84.56751879699263</v>
      </c>
      <c r="S71" s="182">
        <f t="shared" si="66"/>
        <v>4</v>
      </c>
      <c r="T71" s="576"/>
      <c r="U71" s="188">
        <v>19</v>
      </c>
      <c r="V71" s="188">
        <v>1606.24285714286</v>
      </c>
      <c r="W71" s="185">
        <f t="shared" si="59"/>
        <v>84.539097744361058</v>
      </c>
      <c r="X71" s="182">
        <f t="shared" si="67"/>
        <v>4</v>
      </c>
      <c r="Y71" s="576"/>
      <c r="Z71" s="188">
        <v>19</v>
      </c>
      <c r="AA71" s="188">
        <v>1606.4228571428598</v>
      </c>
      <c r="AB71" s="185">
        <f t="shared" si="60"/>
        <v>84.548571428571563</v>
      </c>
      <c r="AC71" s="182">
        <f t="shared" si="68"/>
        <v>4</v>
      </c>
      <c r="AD71" s="576"/>
      <c r="AE71" s="188"/>
      <c r="AF71" s="188"/>
      <c r="AG71" s="185"/>
      <c r="AH71" s="182"/>
      <c r="AI71" s="576"/>
      <c r="AJ71" s="188"/>
      <c r="AK71" s="188"/>
      <c r="AL71" s="185"/>
      <c r="AM71" s="182"/>
      <c r="AN71" s="576"/>
      <c r="AO71" s="188"/>
      <c r="AP71" s="188"/>
      <c r="AQ71" s="185"/>
      <c r="AR71" s="182"/>
      <c r="AS71" s="576"/>
      <c r="AT71" s="188"/>
      <c r="AU71" s="188"/>
      <c r="AV71" s="185"/>
      <c r="AW71" s="182"/>
      <c r="AX71" s="576"/>
    </row>
    <row r="72" spans="2:50" ht="14.25" customHeight="1">
      <c r="B72" s="575"/>
      <c r="C72" s="180">
        <v>6</v>
      </c>
      <c r="D72" s="183" t="s">
        <v>473</v>
      </c>
      <c r="E72" s="180">
        <v>19</v>
      </c>
      <c r="F72" s="180">
        <v>2000</v>
      </c>
      <c r="G72" s="185">
        <f t="shared" si="58"/>
        <v>105.26315789473684</v>
      </c>
      <c r="H72" s="576"/>
      <c r="I72" s="186">
        <f t="shared" si="64"/>
        <v>20</v>
      </c>
      <c r="J72" s="186">
        <f t="shared" si="64"/>
        <v>1786</v>
      </c>
      <c r="K72" s="187">
        <f t="shared" si="64"/>
        <v>89.3</v>
      </c>
      <c r="L72" s="577"/>
      <c r="M72" s="186">
        <f>RANK(K72, K$67:$K$81)</f>
        <v>2</v>
      </c>
      <c r="N72" s="575"/>
      <c r="O72" s="575"/>
      <c r="P72" s="188">
        <v>20</v>
      </c>
      <c r="Q72" s="188">
        <v>1786</v>
      </c>
      <c r="R72" s="185">
        <f t="shared" si="65"/>
        <v>89.3</v>
      </c>
      <c r="S72" s="182">
        <f t="shared" si="66"/>
        <v>2</v>
      </c>
      <c r="T72" s="576"/>
      <c r="U72" s="188">
        <v>20</v>
      </c>
      <c r="V72" s="188">
        <v>1786.0000000000002</v>
      </c>
      <c r="W72" s="185">
        <f t="shared" si="59"/>
        <v>89.300000000000011</v>
      </c>
      <c r="X72" s="182">
        <f t="shared" si="67"/>
        <v>2</v>
      </c>
      <c r="Y72" s="576"/>
      <c r="Z72" s="188">
        <v>20</v>
      </c>
      <c r="AA72" s="188">
        <v>1786.0000000000002</v>
      </c>
      <c r="AB72" s="185">
        <f t="shared" si="60"/>
        <v>89.300000000000011</v>
      </c>
      <c r="AC72" s="182">
        <f t="shared" si="68"/>
        <v>2</v>
      </c>
      <c r="AD72" s="576"/>
      <c r="AE72" s="188">
        <v>20</v>
      </c>
      <c r="AF72" s="188">
        <v>1786</v>
      </c>
      <c r="AG72" s="185">
        <f t="shared" si="69"/>
        <v>89.3</v>
      </c>
      <c r="AH72" s="182">
        <f t="shared" si="70"/>
        <v>2</v>
      </c>
      <c r="AI72" s="576"/>
      <c r="AJ72" s="188">
        <v>20</v>
      </c>
      <c r="AK72" s="188">
        <v>1786</v>
      </c>
      <c r="AL72" s="185">
        <f t="shared" si="61"/>
        <v>89.3</v>
      </c>
      <c r="AM72" s="182">
        <f t="shared" si="71"/>
        <v>2</v>
      </c>
      <c r="AN72" s="576"/>
      <c r="AO72" s="188">
        <v>20</v>
      </c>
      <c r="AP72" s="188">
        <v>1786</v>
      </c>
      <c r="AQ72" s="185">
        <f t="shared" si="62"/>
        <v>89.3</v>
      </c>
      <c r="AR72" s="182">
        <f t="shared" si="72"/>
        <v>3</v>
      </c>
      <c r="AS72" s="576"/>
      <c r="AT72" s="188">
        <v>20</v>
      </c>
      <c r="AU72" s="188">
        <v>1786</v>
      </c>
      <c r="AV72" s="185">
        <f t="shared" si="63"/>
        <v>89.3</v>
      </c>
      <c r="AW72" s="182">
        <f t="shared" si="73"/>
        <v>3</v>
      </c>
      <c r="AX72" s="576"/>
    </row>
    <row r="73" spans="2:50" ht="14.25" customHeight="1">
      <c r="B73" s="575"/>
      <c r="C73" s="180">
        <v>7</v>
      </c>
      <c r="D73" s="183" t="s">
        <v>533</v>
      </c>
      <c r="E73" s="180">
        <v>21</v>
      </c>
      <c r="F73" s="180">
        <v>1800</v>
      </c>
      <c r="G73" s="185">
        <f t="shared" si="58"/>
        <v>85.714285714285708</v>
      </c>
      <c r="H73" s="576"/>
      <c r="I73" s="186">
        <f t="shared" si="64"/>
        <v>21</v>
      </c>
      <c r="J73" s="186">
        <f t="shared" si="64"/>
        <v>1606.6523639047807</v>
      </c>
      <c r="K73" s="187">
        <f t="shared" si="64"/>
        <v>76.507255424037183</v>
      </c>
      <c r="L73" s="577"/>
      <c r="M73" s="186">
        <f>RANK(K73, K$67:$K$81)</f>
        <v>8</v>
      </c>
      <c r="N73" s="575"/>
      <c r="O73" s="575"/>
      <c r="P73" s="188">
        <v>21</v>
      </c>
      <c r="Q73" s="188">
        <v>1607.7323639047802</v>
      </c>
      <c r="R73" s="185">
        <f t="shared" si="65"/>
        <v>76.558683995465728</v>
      </c>
      <c r="S73" s="182">
        <f t="shared" si="66"/>
        <v>8</v>
      </c>
      <c r="T73" s="576"/>
      <c r="U73" s="188">
        <v>21</v>
      </c>
      <c r="V73" s="188">
        <v>1607.0123639047804</v>
      </c>
      <c r="W73" s="185">
        <f t="shared" si="59"/>
        <v>76.524398281180012</v>
      </c>
      <c r="X73" s="182">
        <f t="shared" si="67"/>
        <v>8</v>
      </c>
      <c r="Y73" s="576"/>
      <c r="Z73" s="188">
        <v>21</v>
      </c>
      <c r="AA73" s="188">
        <v>1606.6523639047805</v>
      </c>
      <c r="AB73" s="185">
        <f t="shared" si="60"/>
        <v>76.507255424037169</v>
      </c>
      <c r="AC73" s="182">
        <f t="shared" si="68"/>
        <v>8</v>
      </c>
      <c r="AD73" s="576"/>
      <c r="AE73" s="188">
        <v>21</v>
      </c>
      <c r="AF73" s="188">
        <v>1605.9323639047807</v>
      </c>
      <c r="AG73" s="185">
        <f t="shared" si="69"/>
        <v>76.472969709751467</v>
      </c>
      <c r="AH73" s="182">
        <f t="shared" si="70"/>
        <v>7</v>
      </c>
      <c r="AI73" s="576"/>
      <c r="AJ73" s="188">
        <v>21</v>
      </c>
      <c r="AK73" s="188">
        <v>1605.9323639047807</v>
      </c>
      <c r="AL73" s="185">
        <f t="shared" si="61"/>
        <v>76.472969709751467</v>
      </c>
      <c r="AM73" s="182">
        <f t="shared" si="71"/>
        <v>7</v>
      </c>
      <c r="AN73" s="576"/>
      <c r="AO73" s="188">
        <v>21</v>
      </c>
      <c r="AP73" s="188">
        <v>1606.832363904781</v>
      </c>
      <c r="AQ73" s="185">
        <f t="shared" si="62"/>
        <v>76.515826852608626</v>
      </c>
      <c r="AR73" s="182">
        <f t="shared" si="72"/>
        <v>7</v>
      </c>
      <c r="AS73" s="576"/>
      <c r="AT73" s="188">
        <v>21</v>
      </c>
      <c r="AU73" s="188">
        <v>1606.4723639047813</v>
      </c>
      <c r="AV73" s="185">
        <f t="shared" si="63"/>
        <v>76.498683995465782</v>
      </c>
      <c r="AW73" s="182">
        <f t="shared" si="73"/>
        <v>7</v>
      </c>
      <c r="AX73" s="576"/>
    </row>
    <row r="74" spans="2:50" ht="14.25" customHeight="1">
      <c r="B74" s="575"/>
      <c r="C74" s="180">
        <v>8</v>
      </c>
      <c r="D74" s="183" t="s">
        <v>534</v>
      </c>
      <c r="E74" s="180">
        <v>20</v>
      </c>
      <c r="F74" s="180">
        <v>2000</v>
      </c>
      <c r="G74" s="185">
        <f t="shared" si="58"/>
        <v>100</v>
      </c>
      <c r="H74" s="576"/>
      <c r="I74" s="186">
        <f t="shared" si="64"/>
        <v>20</v>
      </c>
      <c r="J74" s="186">
        <f t="shared" si="64"/>
        <v>1785.3199872146899</v>
      </c>
      <c r="K74" s="187">
        <f t="shared" si="64"/>
        <v>89.265999360734511</v>
      </c>
      <c r="L74" s="577"/>
      <c r="M74" s="186">
        <f>RANK(K74, K$67:$K$81)</f>
        <v>3</v>
      </c>
      <c r="N74" s="575"/>
      <c r="O74" s="575"/>
      <c r="P74" s="188">
        <v>20</v>
      </c>
      <c r="Q74" s="188">
        <v>1784.6235807860282</v>
      </c>
      <c r="R74" s="185">
        <f t="shared" si="65"/>
        <v>89.231179039301409</v>
      </c>
      <c r="S74" s="182">
        <f t="shared" si="66"/>
        <v>3</v>
      </c>
      <c r="T74" s="576"/>
      <c r="U74" s="188">
        <v>20</v>
      </c>
      <c r="V74" s="188">
        <v>1784.6235807860282</v>
      </c>
      <c r="W74" s="185">
        <f t="shared" si="59"/>
        <v>89.231179039301409</v>
      </c>
      <c r="X74" s="182">
        <f t="shared" si="67"/>
        <v>3</v>
      </c>
      <c r="Y74" s="576"/>
      <c r="Z74" s="188">
        <v>20</v>
      </c>
      <c r="AA74" s="188">
        <v>1785.0235807860281</v>
      </c>
      <c r="AB74" s="185">
        <f t="shared" si="60"/>
        <v>89.251179039301405</v>
      </c>
      <c r="AC74" s="182">
        <f t="shared" si="68"/>
        <v>3</v>
      </c>
      <c r="AD74" s="576"/>
      <c r="AE74" s="188">
        <v>20</v>
      </c>
      <c r="AF74" s="188">
        <v>1784.6235807860282</v>
      </c>
      <c r="AG74" s="185">
        <f t="shared" si="69"/>
        <v>89.231179039301409</v>
      </c>
      <c r="AH74" s="182">
        <f t="shared" si="70"/>
        <v>3</v>
      </c>
      <c r="AI74" s="576"/>
      <c r="AJ74" s="188">
        <v>20</v>
      </c>
      <c r="AK74" s="188">
        <v>1783.8235807860283</v>
      </c>
      <c r="AL74" s="185">
        <f t="shared" si="61"/>
        <v>89.191179039301417</v>
      </c>
      <c r="AM74" s="182">
        <f t="shared" si="71"/>
        <v>3</v>
      </c>
      <c r="AN74" s="576"/>
      <c r="AO74" s="188">
        <v>20</v>
      </c>
      <c r="AP74" s="188">
        <v>1787.4610032863445</v>
      </c>
      <c r="AQ74" s="185">
        <f t="shared" si="62"/>
        <v>89.37305016431722</v>
      </c>
      <c r="AR74" s="182">
        <f t="shared" si="72"/>
        <v>2</v>
      </c>
      <c r="AS74" s="576"/>
      <c r="AT74" s="188">
        <v>20</v>
      </c>
      <c r="AU74" s="188">
        <v>1787.0610032863444</v>
      </c>
      <c r="AV74" s="185">
        <f t="shared" si="63"/>
        <v>89.353050164317224</v>
      </c>
      <c r="AW74" s="182">
        <f t="shared" si="73"/>
        <v>2</v>
      </c>
      <c r="AX74" s="576"/>
    </row>
    <row r="75" spans="2:50" ht="14.25" customHeight="1">
      <c r="B75" s="575"/>
      <c r="C75" s="180">
        <v>9</v>
      </c>
      <c r="D75" s="183" t="s">
        <v>717</v>
      </c>
      <c r="E75" s="180">
        <v>16</v>
      </c>
      <c r="F75" s="180">
        <v>2000</v>
      </c>
      <c r="G75" s="185">
        <f t="shared" si="58"/>
        <v>125</v>
      </c>
      <c r="H75" s="576"/>
      <c r="I75" s="186">
        <f t="shared" si="64"/>
        <v>16</v>
      </c>
      <c r="J75" s="186">
        <f t="shared" si="64"/>
        <v>1744.4945160387674</v>
      </c>
      <c r="K75" s="187">
        <f t="shared" si="64"/>
        <v>109.03090725242296</v>
      </c>
      <c r="L75" s="577"/>
      <c r="M75" s="186">
        <f>RANK(K75, K$67:$K$81)</f>
        <v>1</v>
      </c>
      <c r="N75" s="575"/>
      <c r="O75" s="575"/>
      <c r="P75" s="188">
        <v>16</v>
      </c>
      <c r="Q75" s="188">
        <v>1662.396</v>
      </c>
      <c r="R75" s="185">
        <f t="shared" si="65"/>
        <v>103.89975</v>
      </c>
      <c r="S75" s="182">
        <f t="shared" si="66"/>
        <v>1</v>
      </c>
      <c r="T75" s="576"/>
      <c r="U75" s="188">
        <v>16</v>
      </c>
      <c r="V75" s="188">
        <v>1696.2559199999998</v>
      </c>
      <c r="W75" s="185">
        <f t="shared" si="59"/>
        <v>106.01599499999999</v>
      </c>
      <c r="X75" s="182">
        <f t="shared" si="67"/>
        <v>1</v>
      </c>
      <c r="Y75" s="576"/>
      <c r="Z75" s="188">
        <v>16</v>
      </c>
      <c r="AA75" s="188">
        <v>1729.3650384</v>
      </c>
      <c r="AB75" s="185">
        <f t="shared" si="60"/>
        <v>108.0853149</v>
      </c>
      <c r="AC75" s="182">
        <f t="shared" si="68"/>
        <v>1</v>
      </c>
      <c r="AD75" s="576"/>
      <c r="AE75" s="188">
        <v>16</v>
      </c>
      <c r="AF75" s="188">
        <v>1764.1563391680004</v>
      </c>
      <c r="AG75" s="185">
        <f t="shared" si="69"/>
        <v>110.25977119800002</v>
      </c>
      <c r="AH75" s="182">
        <f t="shared" si="70"/>
        <v>1</v>
      </c>
      <c r="AI75" s="576"/>
      <c r="AJ75" s="188">
        <v>16</v>
      </c>
      <c r="AK75" s="188">
        <v>1785.5627715677908</v>
      </c>
      <c r="AL75" s="185">
        <f t="shared" si="61"/>
        <v>111.59767322298693</v>
      </c>
      <c r="AM75" s="182">
        <f t="shared" si="71"/>
        <v>1</v>
      </c>
      <c r="AN75" s="576"/>
      <c r="AO75" s="188">
        <v>16</v>
      </c>
      <c r="AP75" s="188">
        <v>1786.5627715677908</v>
      </c>
      <c r="AQ75" s="185">
        <f t="shared" si="62"/>
        <v>111.66017322298693</v>
      </c>
      <c r="AR75" s="182">
        <f t="shared" si="72"/>
        <v>1</v>
      </c>
      <c r="AS75" s="576"/>
      <c r="AT75" s="188">
        <v>16</v>
      </c>
      <c r="AU75" s="188">
        <v>1787.162771567791</v>
      </c>
      <c r="AV75" s="185">
        <f t="shared" si="63"/>
        <v>111.69767322298694</v>
      </c>
      <c r="AW75" s="182">
        <f t="shared" si="73"/>
        <v>1</v>
      </c>
      <c r="AX75" s="576"/>
    </row>
    <row r="76" spans="2:50" ht="14.25" customHeight="1">
      <c r="B76" s="575"/>
      <c r="C76" s="180">
        <v>10</v>
      </c>
      <c r="D76" s="183"/>
      <c r="E76" s="180"/>
      <c r="F76" s="180"/>
      <c r="G76" s="185"/>
      <c r="H76" s="576"/>
      <c r="I76" s="186"/>
      <c r="J76" s="186"/>
      <c r="K76" s="187"/>
      <c r="L76" s="577"/>
      <c r="M76" s="186"/>
      <c r="N76" s="575"/>
      <c r="O76" s="575"/>
      <c r="P76" s="188"/>
      <c r="Q76" s="188"/>
      <c r="R76" s="185"/>
      <c r="S76" s="182"/>
      <c r="T76" s="576"/>
      <c r="U76" s="188"/>
      <c r="V76" s="188"/>
      <c r="W76" s="185"/>
      <c r="X76" s="182"/>
      <c r="Y76" s="576"/>
      <c r="Z76" s="188"/>
      <c r="AA76" s="188"/>
      <c r="AB76" s="185"/>
      <c r="AC76" s="182"/>
      <c r="AD76" s="576"/>
      <c r="AE76" s="188"/>
      <c r="AF76" s="188"/>
      <c r="AG76" s="185"/>
      <c r="AH76" s="182"/>
      <c r="AI76" s="576"/>
      <c r="AJ76" s="188"/>
      <c r="AK76" s="188"/>
      <c r="AL76" s="185"/>
      <c r="AM76" s="182"/>
      <c r="AN76" s="576"/>
      <c r="AO76" s="188"/>
      <c r="AP76" s="188"/>
      <c r="AQ76" s="185"/>
      <c r="AR76" s="182"/>
      <c r="AS76" s="576"/>
      <c r="AT76" s="188"/>
      <c r="AU76" s="188"/>
      <c r="AV76" s="185"/>
      <c r="AW76" s="182"/>
      <c r="AX76" s="576"/>
    </row>
    <row r="77" spans="2:50" ht="14.25" customHeight="1">
      <c r="B77" s="575"/>
      <c r="C77" s="180">
        <v>11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75"/>
      <c r="O77" s="575"/>
      <c r="P77" s="188"/>
      <c r="Q77" s="188"/>
      <c r="R77" s="185"/>
      <c r="S77" s="182"/>
      <c r="T77" s="576"/>
      <c r="U77" s="188"/>
      <c r="V77" s="188"/>
      <c r="W77" s="185"/>
      <c r="X77" s="182"/>
      <c r="Y77" s="576"/>
      <c r="Z77" s="188"/>
      <c r="AA77" s="188"/>
      <c r="AB77" s="185"/>
      <c r="AC77" s="182"/>
      <c r="AD77" s="576"/>
      <c r="AE77" s="188"/>
      <c r="AF77" s="188"/>
      <c r="AG77" s="185"/>
      <c r="AH77" s="182"/>
      <c r="AI77" s="576"/>
      <c r="AJ77" s="188"/>
      <c r="AK77" s="188"/>
      <c r="AL77" s="185"/>
      <c r="AM77" s="182"/>
      <c r="AN77" s="576"/>
      <c r="AO77" s="188"/>
      <c r="AP77" s="188"/>
      <c r="AQ77" s="185"/>
      <c r="AR77" s="182"/>
      <c r="AS77" s="576"/>
      <c r="AT77" s="188"/>
      <c r="AU77" s="188"/>
      <c r="AV77" s="185"/>
      <c r="AW77" s="182"/>
      <c r="AX77" s="576"/>
    </row>
    <row r="78" spans="2:50" ht="14.25" customHeight="1">
      <c r="B78" s="575"/>
      <c r="C78" s="180">
        <v>12</v>
      </c>
      <c r="D78" s="183"/>
      <c r="E78" s="180"/>
      <c r="F78" s="180"/>
      <c r="G78" s="185"/>
      <c r="H78" s="576"/>
      <c r="I78" s="186"/>
      <c r="J78" s="186"/>
      <c r="K78" s="187"/>
      <c r="L78" s="577"/>
      <c r="M78" s="186"/>
      <c r="N78" s="575"/>
      <c r="O78" s="575"/>
      <c r="P78" s="188"/>
      <c r="Q78" s="188"/>
      <c r="R78" s="185"/>
      <c r="S78" s="182"/>
      <c r="T78" s="576"/>
      <c r="U78" s="188"/>
      <c r="V78" s="188"/>
      <c r="W78" s="185"/>
      <c r="X78" s="182"/>
      <c r="Y78" s="576"/>
      <c r="Z78" s="188"/>
      <c r="AA78" s="188"/>
      <c r="AB78" s="185"/>
      <c r="AC78" s="182"/>
      <c r="AD78" s="576"/>
      <c r="AE78" s="188"/>
      <c r="AF78" s="188"/>
      <c r="AG78" s="185"/>
      <c r="AH78" s="182"/>
      <c r="AI78" s="576"/>
      <c r="AJ78" s="188"/>
      <c r="AK78" s="188"/>
      <c r="AL78" s="185"/>
      <c r="AM78" s="182"/>
      <c r="AN78" s="576"/>
      <c r="AO78" s="188"/>
      <c r="AP78" s="188"/>
      <c r="AQ78" s="185"/>
      <c r="AR78" s="182"/>
      <c r="AS78" s="576"/>
      <c r="AT78" s="188"/>
      <c r="AU78" s="188"/>
      <c r="AV78" s="185"/>
      <c r="AW78" s="182"/>
      <c r="AX78" s="576"/>
    </row>
    <row r="79" spans="2:50" ht="14.25" customHeight="1">
      <c r="B79" s="575"/>
      <c r="C79" s="180">
        <v>13</v>
      </c>
      <c r="D79" s="183"/>
      <c r="E79" s="180"/>
      <c r="F79" s="180"/>
      <c r="G79" s="185"/>
      <c r="H79" s="576"/>
      <c r="I79" s="186"/>
      <c r="J79" s="186"/>
      <c r="K79" s="187"/>
      <c r="L79" s="577"/>
      <c r="M79" s="186"/>
      <c r="N79" s="575"/>
      <c r="O79" s="575"/>
      <c r="P79" s="188"/>
      <c r="Q79" s="188"/>
      <c r="R79" s="185"/>
      <c r="S79" s="182"/>
      <c r="T79" s="576"/>
      <c r="U79" s="188"/>
      <c r="V79" s="188"/>
      <c r="W79" s="185"/>
      <c r="X79" s="182"/>
      <c r="Y79" s="576"/>
      <c r="Z79" s="188"/>
      <c r="AA79" s="188"/>
      <c r="AB79" s="185"/>
      <c r="AC79" s="182"/>
      <c r="AD79" s="576"/>
      <c r="AE79" s="188"/>
      <c r="AF79" s="188"/>
      <c r="AG79" s="185"/>
      <c r="AH79" s="182"/>
      <c r="AI79" s="576"/>
      <c r="AJ79" s="188"/>
      <c r="AK79" s="188"/>
      <c r="AL79" s="185"/>
      <c r="AM79" s="182"/>
      <c r="AN79" s="576"/>
      <c r="AO79" s="188"/>
      <c r="AP79" s="188"/>
      <c r="AQ79" s="185"/>
      <c r="AR79" s="182"/>
      <c r="AS79" s="576"/>
      <c r="AT79" s="188"/>
      <c r="AU79" s="188"/>
      <c r="AV79" s="185"/>
      <c r="AW79" s="182"/>
      <c r="AX79" s="576"/>
    </row>
    <row r="80" spans="2:50" ht="14.25" customHeight="1">
      <c r="B80" s="575"/>
      <c r="C80" s="180">
        <v>14</v>
      </c>
      <c r="D80" s="183"/>
      <c r="E80" s="180"/>
      <c r="F80" s="180"/>
      <c r="G80" s="185"/>
      <c r="H80" s="576"/>
      <c r="I80" s="186"/>
      <c r="J80" s="186"/>
      <c r="K80" s="187"/>
      <c r="L80" s="577"/>
      <c r="M80" s="186"/>
      <c r="N80" s="575"/>
      <c r="O80" s="575"/>
      <c r="P80" s="188"/>
      <c r="Q80" s="188"/>
      <c r="R80" s="185"/>
      <c r="S80" s="182"/>
      <c r="T80" s="576"/>
      <c r="U80" s="188"/>
      <c r="V80" s="188"/>
      <c r="W80" s="185"/>
      <c r="X80" s="182"/>
      <c r="Y80" s="576"/>
      <c r="Z80" s="188"/>
      <c r="AA80" s="188"/>
      <c r="AB80" s="185"/>
      <c r="AC80" s="182"/>
      <c r="AD80" s="576"/>
      <c r="AE80" s="188"/>
      <c r="AF80" s="188"/>
      <c r="AG80" s="185"/>
      <c r="AH80" s="182"/>
      <c r="AI80" s="576"/>
      <c r="AJ80" s="188"/>
      <c r="AK80" s="188"/>
      <c r="AL80" s="185"/>
      <c r="AM80" s="182"/>
      <c r="AN80" s="576"/>
      <c r="AO80" s="188"/>
      <c r="AP80" s="188"/>
      <c r="AQ80" s="185"/>
      <c r="AR80" s="182"/>
      <c r="AS80" s="576"/>
      <c r="AT80" s="188"/>
      <c r="AU80" s="188"/>
      <c r="AV80" s="185"/>
      <c r="AW80" s="182"/>
      <c r="AX80" s="576"/>
    </row>
    <row r="81" spans="2:50" ht="14.25" customHeight="1">
      <c r="B81" s="575"/>
      <c r="C81" s="180">
        <v>15</v>
      </c>
      <c r="D81" s="183"/>
      <c r="E81" s="180"/>
      <c r="F81" s="180"/>
      <c r="G81" s="185"/>
      <c r="H81" s="576"/>
      <c r="I81" s="186"/>
      <c r="J81" s="186"/>
      <c r="K81" s="187"/>
      <c r="L81" s="577"/>
      <c r="M81" s="186"/>
      <c r="N81" s="575"/>
      <c r="O81" s="575"/>
      <c r="P81" s="188"/>
      <c r="Q81" s="188"/>
      <c r="R81" s="185"/>
      <c r="S81" s="182"/>
      <c r="T81" s="576"/>
      <c r="U81" s="188"/>
      <c r="V81" s="188"/>
      <c r="W81" s="185"/>
      <c r="X81" s="182"/>
      <c r="Y81" s="576"/>
      <c r="Z81" s="188"/>
      <c r="AA81" s="188"/>
      <c r="AB81" s="185"/>
      <c r="AC81" s="182"/>
      <c r="AD81" s="576"/>
      <c r="AE81" s="188"/>
      <c r="AF81" s="188"/>
      <c r="AG81" s="185"/>
      <c r="AH81" s="182"/>
      <c r="AI81" s="576"/>
      <c r="AJ81" s="188"/>
      <c r="AK81" s="188"/>
      <c r="AL81" s="185"/>
      <c r="AM81" s="182"/>
      <c r="AN81" s="576"/>
      <c r="AO81" s="188"/>
      <c r="AP81" s="188"/>
      <c r="AQ81" s="185"/>
      <c r="AR81" s="182"/>
      <c r="AS81" s="576"/>
      <c r="AT81" s="188"/>
      <c r="AU81" s="188"/>
      <c r="AV81" s="185"/>
      <c r="AW81" s="182"/>
      <c r="AX81" s="576"/>
    </row>
    <row r="82" spans="2:50" ht="14.25" customHeight="1">
      <c r="B82" s="643" t="s">
        <v>784</v>
      </c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4"/>
      <c r="N82" s="609" t="s">
        <v>374</v>
      </c>
      <c r="O82" s="609" t="s">
        <v>105</v>
      </c>
      <c r="P82" s="655">
        <v>46140</v>
      </c>
      <c r="Q82" s="656"/>
      <c r="R82" s="656"/>
      <c r="S82" s="656"/>
      <c r="T82" s="656"/>
      <c r="U82" s="657">
        <v>46141</v>
      </c>
      <c r="V82" s="658"/>
      <c r="W82" s="658"/>
      <c r="X82" s="658"/>
      <c r="Y82" s="658"/>
      <c r="Z82" s="655">
        <v>46142</v>
      </c>
      <c r="AA82" s="656"/>
      <c r="AB82" s="656"/>
      <c r="AC82" s="656"/>
      <c r="AD82" s="656"/>
      <c r="AE82" s="657">
        <v>46143</v>
      </c>
      <c r="AF82" s="658"/>
      <c r="AG82" s="658"/>
      <c r="AH82" s="658"/>
      <c r="AI82" s="658"/>
      <c r="AJ82" s="647">
        <v>46144</v>
      </c>
      <c r="AK82" s="648"/>
      <c r="AL82" s="648"/>
      <c r="AM82" s="648"/>
      <c r="AN82" s="649"/>
      <c r="AO82" s="657">
        <v>46145</v>
      </c>
      <c r="AP82" s="658"/>
      <c r="AQ82" s="658"/>
      <c r="AR82" s="658"/>
      <c r="AS82" s="658"/>
      <c r="AT82" s="647">
        <v>46146</v>
      </c>
      <c r="AU82" s="648"/>
      <c r="AV82" s="648"/>
      <c r="AW82" s="648"/>
      <c r="AX82" s="649"/>
    </row>
    <row r="83" spans="2:50" ht="14.25" customHeight="1">
      <c r="B83" s="645"/>
      <c r="C83" s="645"/>
      <c r="D83" s="645"/>
      <c r="E83" s="645"/>
      <c r="F83" s="645"/>
      <c r="G83" s="645"/>
      <c r="H83" s="645"/>
      <c r="I83" s="645"/>
      <c r="J83" s="645"/>
      <c r="K83" s="645"/>
      <c r="L83" s="645"/>
      <c r="M83" s="646"/>
      <c r="N83" s="611"/>
      <c r="O83" s="611"/>
      <c r="P83" s="650">
        <v>46140</v>
      </c>
      <c r="Q83" s="650"/>
      <c r="R83" s="650"/>
      <c r="S83" s="650"/>
      <c r="T83" s="650"/>
      <c r="U83" s="651">
        <v>46141</v>
      </c>
      <c r="V83" s="651"/>
      <c r="W83" s="651"/>
      <c r="X83" s="651"/>
      <c r="Y83" s="651"/>
      <c r="Z83" s="650">
        <v>46142</v>
      </c>
      <c r="AA83" s="650"/>
      <c r="AB83" s="650"/>
      <c r="AC83" s="650"/>
      <c r="AD83" s="650"/>
      <c r="AE83" s="651">
        <v>46143</v>
      </c>
      <c r="AF83" s="651"/>
      <c r="AG83" s="651"/>
      <c r="AH83" s="651"/>
      <c r="AI83" s="651"/>
      <c r="AJ83" s="652">
        <v>46144</v>
      </c>
      <c r="AK83" s="653"/>
      <c r="AL83" s="653"/>
      <c r="AM83" s="653"/>
      <c r="AN83" s="654"/>
      <c r="AO83" s="651">
        <v>46145</v>
      </c>
      <c r="AP83" s="651"/>
      <c r="AQ83" s="651"/>
      <c r="AR83" s="651"/>
      <c r="AS83" s="651"/>
      <c r="AT83" s="652">
        <v>46146</v>
      </c>
      <c r="AU83" s="653"/>
      <c r="AV83" s="653"/>
      <c r="AW83" s="653"/>
      <c r="AX83" s="654"/>
    </row>
    <row r="84" spans="2:50" ht="14.25" customHeight="1">
      <c r="B84" s="575" t="s">
        <v>162</v>
      </c>
      <c r="C84" s="575" t="s">
        <v>157</v>
      </c>
      <c r="D84" s="575"/>
      <c r="E84" s="575" t="s">
        <v>158</v>
      </c>
      <c r="F84" s="575"/>
      <c r="G84" s="575"/>
      <c r="H84" s="575" t="s">
        <v>163</v>
      </c>
      <c r="I84" s="579" t="s">
        <v>375</v>
      </c>
      <c r="J84" s="579"/>
      <c r="K84" s="579"/>
      <c r="L84" s="579" t="s">
        <v>163</v>
      </c>
      <c r="M84" s="579" t="s">
        <v>165</v>
      </c>
      <c r="N84" s="575"/>
      <c r="O84" s="575" t="s">
        <v>164</v>
      </c>
      <c r="P84" s="575" t="s">
        <v>160</v>
      </c>
      <c r="Q84" s="575"/>
      <c r="R84" s="575"/>
      <c r="S84" s="575"/>
      <c r="T84" s="575" t="s">
        <v>163</v>
      </c>
      <c r="U84" s="575" t="s">
        <v>160</v>
      </c>
      <c r="V84" s="575"/>
      <c r="W84" s="575"/>
      <c r="X84" s="575"/>
      <c r="Y84" s="575" t="s">
        <v>163</v>
      </c>
      <c r="Z84" s="575" t="s">
        <v>160</v>
      </c>
      <c r="AA84" s="575"/>
      <c r="AB84" s="575"/>
      <c r="AC84" s="575"/>
      <c r="AD84" s="575" t="s">
        <v>163</v>
      </c>
      <c r="AE84" s="575" t="s">
        <v>160</v>
      </c>
      <c r="AF84" s="575"/>
      <c r="AG84" s="575"/>
      <c r="AH84" s="575"/>
      <c r="AI84" s="575" t="s">
        <v>163</v>
      </c>
      <c r="AJ84" s="575" t="s">
        <v>160</v>
      </c>
      <c r="AK84" s="575"/>
      <c r="AL84" s="575"/>
      <c r="AM84" s="575"/>
      <c r="AN84" s="575" t="s">
        <v>163</v>
      </c>
      <c r="AO84" s="575" t="s">
        <v>160</v>
      </c>
      <c r="AP84" s="575"/>
      <c r="AQ84" s="575"/>
      <c r="AR84" s="575"/>
      <c r="AS84" s="575" t="s">
        <v>163</v>
      </c>
      <c r="AT84" s="575" t="s">
        <v>160</v>
      </c>
      <c r="AU84" s="575"/>
      <c r="AV84" s="575"/>
      <c r="AW84" s="575"/>
      <c r="AX84" s="575" t="s">
        <v>163</v>
      </c>
    </row>
    <row r="85" spans="2:50" ht="14.25" customHeight="1">
      <c r="B85" s="575"/>
      <c r="C85" s="575"/>
      <c r="D85" s="575"/>
      <c r="E85" s="575" t="s">
        <v>376</v>
      </c>
      <c r="F85" s="575"/>
      <c r="G85" s="575"/>
      <c r="H85" s="575"/>
      <c r="I85" s="579" t="s">
        <v>376</v>
      </c>
      <c r="J85" s="579"/>
      <c r="K85" s="579"/>
      <c r="L85" s="579"/>
      <c r="M85" s="579"/>
      <c r="N85" s="575"/>
      <c r="O85" s="575"/>
      <c r="P85" s="575" t="s">
        <v>377</v>
      </c>
      <c r="Q85" s="575"/>
      <c r="R85" s="575"/>
      <c r="S85" s="575"/>
      <c r="T85" s="575"/>
      <c r="U85" s="575" t="s">
        <v>377</v>
      </c>
      <c r="V85" s="575"/>
      <c r="W85" s="575"/>
      <c r="X85" s="575"/>
      <c r="Y85" s="575"/>
      <c r="Z85" s="575" t="s">
        <v>377</v>
      </c>
      <c r="AA85" s="575"/>
      <c r="AB85" s="575"/>
      <c r="AC85" s="575"/>
      <c r="AD85" s="575"/>
      <c r="AE85" s="575" t="s">
        <v>377</v>
      </c>
      <c r="AF85" s="575"/>
      <c r="AG85" s="575"/>
      <c r="AH85" s="575"/>
      <c r="AI85" s="575"/>
      <c r="AJ85" s="575" t="s">
        <v>377</v>
      </c>
      <c r="AK85" s="575"/>
      <c r="AL85" s="575"/>
      <c r="AM85" s="575"/>
      <c r="AN85" s="575"/>
      <c r="AO85" s="575" t="s">
        <v>377</v>
      </c>
      <c r="AP85" s="575"/>
      <c r="AQ85" s="575"/>
      <c r="AR85" s="575"/>
      <c r="AS85" s="575"/>
      <c r="AT85" s="575" t="s">
        <v>377</v>
      </c>
      <c r="AU85" s="575"/>
      <c r="AV85" s="575"/>
      <c r="AW85" s="575"/>
      <c r="AX85" s="575"/>
    </row>
    <row r="86" spans="2:50" ht="14.25" customHeight="1">
      <c r="B86" s="575"/>
      <c r="C86" s="575"/>
      <c r="D86" s="575"/>
      <c r="E86" s="180" t="s">
        <v>159</v>
      </c>
      <c r="F86" s="180" t="s">
        <v>378</v>
      </c>
      <c r="G86" s="180" t="s">
        <v>161</v>
      </c>
      <c r="H86" s="575"/>
      <c r="I86" s="181" t="s">
        <v>159</v>
      </c>
      <c r="J86" s="181" t="s">
        <v>378</v>
      </c>
      <c r="K86" s="181" t="s">
        <v>161</v>
      </c>
      <c r="L86" s="579"/>
      <c r="M86" s="579"/>
      <c r="N86" s="575"/>
      <c r="O86" s="575"/>
      <c r="P86" s="180" t="s">
        <v>159</v>
      </c>
      <c r="Q86" s="180" t="s">
        <v>378</v>
      </c>
      <c r="R86" s="180" t="s">
        <v>161</v>
      </c>
      <c r="S86" s="182" t="s">
        <v>165</v>
      </c>
      <c r="T86" s="575"/>
      <c r="U86" s="180" t="s">
        <v>159</v>
      </c>
      <c r="V86" s="180" t="s">
        <v>378</v>
      </c>
      <c r="W86" s="180" t="s">
        <v>161</v>
      </c>
      <c r="X86" s="182" t="s">
        <v>165</v>
      </c>
      <c r="Y86" s="575"/>
      <c r="Z86" s="180" t="s">
        <v>159</v>
      </c>
      <c r="AA86" s="180" t="s">
        <v>378</v>
      </c>
      <c r="AB86" s="180" t="s">
        <v>161</v>
      </c>
      <c r="AC86" s="182" t="s">
        <v>165</v>
      </c>
      <c r="AD86" s="575"/>
      <c r="AE86" s="180" t="s">
        <v>159</v>
      </c>
      <c r="AF86" s="180" t="s">
        <v>378</v>
      </c>
      <c r="AG86" s="180" t="s">
        <v>161</v>
      </c>
      <c r="AH86" s="182" t="s">
        <v>165</v>
      </c>
      <c r="AI86" s="575"/>
      <c r="AJ86" s="180" t="s">
        <v>159</v>
      </c>
      <c r="AK86" s="180" t="s">
        <v>378</v>
      </c>
      <c r="AL86" s="180" t="s">
        <v>161</v>
      </c>
      <c r="AM86" s="182" t="s">
        <v>165</v>
      </c>
      <c r="AN86" s="575"/>
      <c r="AO86" s="180" t="s">
        <v>159</v>
      </c>
      <c r="AP86" s="180" t="s">
        <v>378</v>
      </c>
      <c r="AQ86" s="180" t="s">
        <v>161</v>
      </c>
      <c r="AR86" s="182" t="s">
        <v>165</v>
      </c>
      <c r="AS86" s="575"/>
      <c r="AT86" s="180" t="s">
        <v>159</v>
      </c>
      <c r="AU86" s="180" t="s">
        <v>378</v>
      </c>
      <c r="AV86" s="180" t="s">
        <v>161</v>
      </c>
      <c r="AW86" s="182" t="s">
        <v>165</v>
      </c>
      <c r="AX86" s="575"/>
    </row>
    <row r="87" spans="2:50" ht="14.25" customHeight="1">
      <c r="B87" s="575" t="s">
        <v>355</v>
      </c>
      <c r="C87" s="180">
        <v>1</v>
      </c>
      <c r="D87" s="183" t="s">
        <v>344</v>
      </c>
      <c r="E87" s="180">
        <v>24</v>
      </c>
      <c r="F87" s="180">
        <v>2000</v>
      </c>
      <c r="G87" s="185">
        <f t="shared" ref="G87:G94" si="74">F87/E87</f>
        <v>83.333333333333329</v>
      </c>
      <c r="H87" s="576">
        <f>AVERAGE(G87:G101)</f>
        <v>95.022542769968396</v>
      </c>
      <c r="I87" s="186">
        <f>AVERAGE(P87,U87,Z87,AE87,AJ87,AO87,AT87)</f>
        <v>24</v>
      </c>
      <c r="J87" s="186">
        <f>AVERAGE(Q87,V87,AA87,AF87,AK87,AP87,AU87)</f>
        <v>1785.6013990749088</v>
      </c>
      <c r="K87" s="187">
        <f>AVERAGE(R87,W87,AB87,AG87,AL87,AQ87,AV87)</f>
        <v>74.400058294787883</v>
      </c>
      <c r="L87" s="577">
        <f>IFERROR(AVERAGE(K87:K101),"-")</f>
        <v>84.873928785145154</v>
      </c>
      <c r="M87" s="186">
        <f>RANK(K87, K$87:$K$101)</f>
        <v>8</v>
      </c>
      <c r="N87" s="575"/>
      <c r="O87" s="575"/>
      <c r="P87" s="188">
        <v>24</v>
      </c>
      <c r="Q87" s="188">
        <v>1780.1585139318909</v>
      </c>
      <c r="R87" s="185">
        <f>IFERROR(Q87/P87,"")</f>
        <v>74.173271413828786</v>
      </c>
      <c r="S87" s="182">
        <f>RANK(R87, R$87:R$101)</f>
        <v>8</v>
      </c>
      <c r="T87" s="576">
        <f>AVERAGE(R87:R101)</f>
        <v>84.271086813362857</v>
      </c>
      <c r="U87" s="188">
        <v>24</v>
      </c>
      <c r="V87" s="188">
        <v>1780.3585139318909</v>
      </c>
      <c r="W87" s="185">
        <f t="shared" ref="W87:W94" si="75">IFERROR(V87/U87,"")</f>
        <v>74.181604747162126</v>
      </c>
      <c r="X87" s="182">
        <f>RANK(W87, W$87:W$101)</f>
        <v>8</v>
      </c>
      <c r="Y87" s="576">
        <f>AVERAGE(W87:W101)</f>
        <v>84.27312809183077</v>
      </c>
      <c r="Z87" s="188">
        <v>24</v>
      </c>
      <c r="AA87" s="188">
        <v>1788.2185531321163</v>
      </c>
      <c r="AB87" s="185">
        <f t="shared" ref="AB87:AB94" si="76">IFERROR(AA87/Z87,"")</f>
        <v>74.509106380504846</v>
      </c>
      <c r="AC87" s="182">
        <f>RANK(AB87, AB$87:AB$101)</f>
        <v>8</v>
      </c>
      <c r="AD87" s="576">
        <f>AVERAGE(AB87:AB101)</f>
        <v>85.655759864118934</v>
      </c>
      <c r="AE87" s="188">
        <v>24</v>
      </c>
      <c r="AF87" s="188">
        <v>1788.0185531321163</v>
      </c>
      <c r="AG87" s="185">
        <f>IFERROR(AF87/AE87,"")</f>
        <v>74.500773047171506</v>
      </c>
      <c r="AH87" s="182">
        <f>RANK(AG87, AG$87:AG$101)</f>
        <v>8</v>
      </c>
      <c r="AI87" s="576">
        <f>AVERAGE(AG87:AG101)</f>
        <v>85.632018525529347</v>
      </c>
      <c r="AJ87" s="188">
        <v>24</v>
      </c>
      <c r="AK87" s="188">
        <v>1787.6185531321159</v>
      </c>
      <c r="AL87" s="185">
        <f t="shared" ref="AL87:AL94" si="77">IFERROR(AK87/AJ87,"")</f>
        <v>74.484106380504826</v>
      </c>
      <c r="AM87" s="182">
        <f>RANK(AL87, AL$87:AL$101)</f>
        <v>8</v>
      </c>
      <c r="AN87" s="576">
        <f>AVERAGE(AL87:AL101)</f>
        <v>85.663302565982278</v>
      </c>
      <c r="AO87" s="188">
        <v>24</v>
      </c>
      <c r="AP87" s="188">
        <v>1787.0185531321163</v>
      </c>
      <c r="AQ87" s="185">
        <f t="shared" ref="AQ87:AQ94" si="78">IFERROR(AP87/AO87,"")</f>
        <v>74.459106380504849</v>
      </c>
      <c r="AR87" s="182">
        <f>RANK(AQ87, AQ$87:AQ$101)</f>
        <v>8</v>
      </c>
      <c r="AS87" s="576">
        <f>AVERAGE(AQ87:AQ101)</f>
        <v>84.306631091405478</v>
      </c>
      <c r="AT87" s="188">
        <v>24</v>
      </c>
      <c r="AU87" s="188">
        <v>1787.8185531321162</v>
      </c>
      <c r="AV87" s="185">
        <f t="shared" ref="AV87:AV94" si="79">IFERROR(AU87/AT87,"")</f>
        <v>74.492439713838181</v>
      </c>
      <c r="AW87" s="182">
        <f>RANK(AV87, AV$87:AV$101)</f>
        <v>8</v>
      </c>
      <c r="AX87" s="576">
        <f>AVERAGE(AV87:AV101)</f>
        <v>84.31557454378644</v>
      </c>
    </row>
    <row r="88" spans="2:50" ht="14.25" customHeight="1">
      <c r="B88" s="575"/>
      <c r="C88" s="180">
        <v>2</v>
      </c>
      <c r="D88" s="183" t="s">
        <v>343</v>
      </c>
      <c r="E88" s="180">
        <v>23</v>
      </c>
      <c r="F88" s="180">
        <v>2000</v>
      </c>
      <c r="G88" s="185">
        <f t="shared" si="74"/>
        <v>86.956521739130437</v>
      </c>
      <c r="H88" s="576"/>
      <c r="I88" s="186">
        <f t="shared" ref="I88:K94" si="80">AVERAGE(P88,U88,Z88,AE88,AJ88,AO88,AT88)</f>
        <v>22.714285714285715</v>
      </c>
      <c r="J88" s="186">
        <f t="shared" si="80"/>
        <v>1800.0874232634017</v>
      </c>
      <c r="K88" s="187">
        <f t="shared" si="80"/>
        <v>79.274089999818287</v>
      </c>
      <c r="L88" s="577"/>
      <c r="M88" s="186">
        <f>RANK(K88, K$87:$K$101)</f>
        <v>4</v>
      </c>
      <c r="N88" s="575"/>
      <c r="O88" s="575"/>
      <c r="P88" s="188">
        <v>23</v>
      </c>
      <c r="Q88" s="188">
        <v>1791.6750301568106</v>
      </c>
      <c r="R88" s="185">
        <f t="shared" ref="R88:R94" si="81">IFERROR(Q88/P88,"")</f>
        <v>77.898914354643935</v>
      </c>
      <c r="S88" s="182">
        <f t="shared" ref="S88:S94" si="82">RANK(R88, R$87:R$101)</f>
        <v>4</v>
      </c>
      <c r="T88" s="576"/>
      <c r="U88" s="188">
        <v>23</v>
      </c>
      <c r="V88" s="188">
        <v>1792.0750301568105</v>
      </c>
      <c r="W88" s="185">
        <f t="shared" si="75"/>
        <v>77.91630565899176</v>
      </c>
      <c r="X88" s="182">
        <f t="shared" ref="X88:X94" si="83">RANK(W88, W$87:W$101)</f>
        <v>4</v>
      </c>
      <c r="Y88" s="576"/>
      <c r="Z88" s="188">
        <v>22</v>
      </c>
      <c r="AA88" s="188">
        <v>1789.3635967925372</v>
      </c>
      <c r="AB88" s="185">
        <f t="shared" si="76"/>
        <v>81.334708945115324</v>
      </c>
      <c r="AC88" s="182">
        <f t="shared" ref="AC88:AC94" si="84">RANK(AB88, AB$87:AB$101)</f>
        <v>4</v>
      </c>
      <c r="AD88" s="576"/>
      <c r="AE88" s="188">
        <v>22</v>
      </c>
      <c r="AF88" s="188">
        <v>1786</v>
      </c>
      <c r="AG88" s="185">
        <f t="shared" ref="AG88:AG94" si="85">IFERROR(AF88/AE88,"")</f>
        <v>81.181818181818187</v>
      </c>
      <c r="AH88" s="182">
        <f t="shared" ref="AH88:AH94" si="86">RANK(AG88, AG$87:AG$101)</f>
        <v>4</v>
      </c>
      <c r="AI88" s="576"/>
      <c r="AJ88" s="188">
        <v>23</v>
      </c>
      <c r="AK88" s="188">
        <v>1869.4983057376526</v>
      </c>
      <c r="AL88" s="185">
        <f t="shared" si="77"/>
        <v>81.282535032071848</v>
      </c>
      <c r="AM88" s="182">
        <f t="shared" ref="AM88:AM94" si="87">RANK(AL88, AL$87:AL$101)</f>
        <v>4</v>
      </c>
      <c r="AN88" s="576"/>
      <c r="AO88" s="188">
        <v>23</v>
      </c>
      <c r="AP88" s="188">
        <v>1786</v>
      </c>
      <c r="AQ88" s="185">
        <f t="shared" si="78"/>
        <v>77.652173913043484</v>
      </c>
      <c r="AR88" s="182">
        <f t="shared" ref="AR88:AR94" si="88">RANK(AQ88, AQ$87:AQ$101)</f>
        <v>4</v>
      </c>
      <c r="AS88" s="576"/>
      <c r="AT88" s="188">
        <v>23</v>
      </c>
      <c r="AU88" s="188">
        <v>1786.0000000000002</v>
      </c>
      <c r="AV88" s="185">
        <f t="shared" si="79"/>
        <v>77.652173913043484</v>
      </c>
      <c r="AW88" s="182">
        <f t="shared" ref="AW88:AW94" si="89">RANK(AV88, AV$87:AV$101)</f>
        <v>4</v>
      </c>
      <c r="AX88" s="576"/>
    </row>
    <row r="89" spans="2:50" ht="14.25" customHeight="1">
      <c r="B89" s="575"/>
      <c r="C89" s="180">
        <v>3</v>
      </c>
      <c r="D89" s="183" t="s">
        <v>356</v>
      </c>
      <c r="E89" s="180">
        <v>23</v>
      </c>
      <c r="F89" s="180">
        <v>2000</v>
      </c>
      <c r="G89" s="185">
        <f t="shared" si="74"/>
        <v>86.956521739130437</v>
      </c>
      <c r="H89" s="576"/>
      <c r="I89" s="186">
        <f t="shared" si="80"/>
        <v>22.714285714285715</v>
      </c>
      <c r="J89" s="186">
        <f t="shared" si="80"/>
        <v>1798.5902299960592</v>
      </c>
      <c r="K89" s="187">
        <f t="shared" si="80"/>
        <v>79.208446277876973</v>
      </c>
      <c r="L89" s="577"/>
      <c r="M89" s="186">
        <f>RANK(K89, K$87:$K$101)</f>
        <v>5</v>
      </c>
      <c r="N89" s="575"/>
      <c r="O89" s="575"/>
      <c r="P89" s="188">
        <v>23</v>
      </c>
      <c r="Q89" s="188">
        <v>1787.8212968471134</v>
      </c>
      <c r="R89" s="185">
        <f t="shared" si="81"/>
        <v>77.731360732483196</v>
      </c>
      <c r="S89" s="182">
        <f t="shared" si="82"/>
        <v>5</v>
      </c>
      <c r="T89" s="576"/>
      <c r="U89" s="188">
        <v>23</v>
      </c>
      <c r="V89" s="188">
        <v>1787.8212968471134</v>
      </c>
      <c r="W89" s="185">
        <f t="shared" si="75"/>
        <v>77.731360732483196</v>
      </c>
      <c r="X89" s="182">
        <f t="shared" si="83"/>
        <v>5</v>
      </c>
      <c r="Y89" s="576"/>
      <c r="Z89" s="188">
        <v>22</v>
      </c>
      <c r="AA89" s="188">
        <v>1787.4212968471136</v>
      </c>
      <c r="AB89" s="185">
        <f t="shared" si="76"/>
        <v>81.246422583959713</v>
      </c>
      <c r="AC89" s="182">
        <f t="shared" si="84"/>
        <v>5</v>
      </c>
      <c r="AD89" s="576"/>
      <c r="AE89" s="188">
        <v>22</v>
      </c>
      <c r="AF89" s="188">
        <v>1786.0000000000002</v>
      </c>
      <c r="AG89" s="185">
        <f t="shared" si="85"/>
        <v>81.181818181818187</v>
      </c>
      <c r="AH89" s="182">
        <f t="shared" si="86"/>
        <v>4</v>
      </c>
      <c r="AI89" s="576"/>
      <c r="AJ89" s="188">
        <v>23</v>
      </c>
      <c r="AK89" s="188">
        <v>1869.0677194310733</v>
      </c>
      <c r="AL89" s="185">
        <f t="shared" si="77"/>
        <v>81.263813888307538</v>
      </c>
      <c r="AM89" s="182">
        <f t="shared" si="87"/>
        <v>5</v>
      </c>
      <c r="AN89" s="576"/>
      <c r="AO89" s="188">
        <v>23</v>
      </c>
      <c r="AP89" s="188">
        <v>1786</v>
      </c>
      <c r="AQ89" s="185">
        <f t="shared" si="78"/>
        <v>77.652173913043484</v>
      </c>
      <c r="AR89" s="182">
        <f t="shared" si="88"/>
        <v>4</v>
      </c>
      <c r="AS89" s="576"/>
      <c r="AT89" s="188">
        <v>23</v>
      </c>
      <c r="AU89" s="188">
        <v>1786.0000000000002</v>
      </c>
      <c r="AV89" s="185">
        <f t="shared" si="79"/>
        <v>77.652173913043484</v>
      </c>
      <c r="AW89" s="182">
        <f t="shared" si="89"/>
        <v>4</v>
      </c>
      <c r="AX89" s="576"/>
    </row>
    <row r="90" spans="2:50" ht="14.25" customHeight="1">
      <c r="B90" s="575"/>
      <c r="C90" s="180">
        <v>4</v>
      </c>
      <c r="D90" s="183" t="s">
        <v>345</v>
      </c>
      <c r="E90" s="180">
        <v>23</v>
      </c>
      <c r="F90" s="180">
        <v>2000</v>
      </c>
      <c r="G90" s="185">
        <f t="shared" si="74"/>
        <v>86.956521739130437</v>
      </c>
      <c r="H90" s="576"/>
      <c r="I90" s="186">
        <f t="shared" si="80"/>
        <v>22.714285714285715</v>
      </c>
      <c r="J90" s="186">
        <f t="shared" si="80"/>
        <v>1797.4877735524144</v>
      </c>
      <c r="K90" s="187">
        <f t="shared" si="80"/>
        <v>79.160184182860135</v>
      </c>
      <c r="L90" s="577"/>
      <c r="M90" s="186">
        <f>RANK(K90, K$87:$K$101)</f>
        <v>6</v>
      </c>
      <c r="N90" s="575"/>
      <c r="O90" s="575"/>
      <c r="P90" s="188">
        <v>23</v>
      </c>
      <c r="Q90" s="188">
        <v>1785.0552486187842</v>
      </c>
      <c r="R90" s="185">
        <f t="shared" si="81"/>
        <v>77.611097766034092</v>
      </c>
      <c r="S90" s="182">
        <f t="shared" si="82"/>
        <v>6</v>
      </c>
      <c r="T90" s="576"/>
      <c r="U90" s="188">
        <v>23</v>
      </c>
      <c r="V90" s="188">
        <v>1785.4552486187843</v>
      </c>
      <c r="W90" s="185">
        <f t="shared" si="75"/>
        <v>77.628489070381917</v>
      </c>
      <c r="X90" s="182">
        <f t="shared" si="83"/>
        <v>6</v>
      </c>
      <c r="Y90" s="576"/>
      <c r="Z90" s="188">
        <v>22</v>
      </c>
      <c r="AA90" s="188">
        <v>1786.255248618784</v>
      </c>
      <c r="AB90" s="185">
        <f t="shared" si="76"/>
        <v>81.193420391762913</v>
      </c>
      <c r="AC90" s="182">
        <f t="shared" si="84"/>
        <v>6</v>
      </c>
      <c r="AD90" s="576"/>
      <c r="AE90" s="188">
        <v>22</v>
      </c>
      <c r="AF90" s="188">
        <v>1786.0000000000002</v>
      </c>
      <c r="AG90" s="185">
        <f t="shared" si="85"/>
        <v>81.181818181818187</v>
      </c>
      <c r="AH90" s="182">
        <f t="shared" si="86"/>
        <v>4</v>
      </c>
      <c r="AI90" s="576"/>
      <c r="AJ90" s="188">
        <v>23</v>
      </c>
      <c r="AK90" s="188">
        <v>1867.6486690105469</v>
      </c>
      <c r="AL90" s="185">
        <f t="shared" si="77"/>
        <v>81.202116043936826</v>
      </c>
      <c r="AM90" s="182">
        <f t="shared" si="87"/>
        <v>6</v>
      </c>
      <c r="AN90" s="576"/>
      <c r="AO90" s="188">
        <v>23</v>
      </c>
      <c r="AP90" s="188">
        <v>1785.9999999999998</v>
      </c>
      <c r="AQ90" s="185">
        <f t="shared" si="78"/>
        <v>77.65217391304347</v>
      </c>
      <c r="AR90" s="182">
        <f t="shared" si="88"/>
        <v>6</v>
      </c>
      <c r="AS90" s="576"/>
      <c r="AT90" s="188">
        <v>23</v>
      </c>
      <c r="AU90" s="188">
        <v>1785.9999999999998</v>
      </c>
      <c r="AV90" s="185">
        <f t="shared" si="79"/>
        <v>77.65217391304347</v>
      </c>
      <c r="AW90" s="182">
        <f t="shared" si="89"/>
        <v>6</v>
      </c>
      <c r="AX90" s="576"/>
    </row>
    <row r="91" spans="2:50" ht="14.25" customHeight="1">
      <c r="B91" s="575"/>
      <c r="C91" s="180">
        <v>5</v>
      </c>
      <c r="D91" s="183" t="s">
        <v>473</v>
      </c>
      <c r="E91" s="180">
        <v>19</v>
      </c>
      <c r="F91" s="180">
        <v>2000</v>
      </c>
      <c r="G91" s="185">
        <f t="shared" si="74"/>
        <v>105.26315789473684</v>
      </c>
      <c r="H91" s="576"/>
      <c r="I91" s="186">
        <f t="shared" si="80"/>
        <v>20</v>
      </c>
      <c r="J91" s="186">
        <f t="shared" si="80"/>
        <v>1786</v>
      </c>
      <c r="K91" s="187">
        <f t="shared" si="80"/>
        <v>89.299999999999983</v>
      </c>
      <c r="L91" s="577"/>
      <c r="M91" s="186">
        <f>RANK(K91, K$87:$K$101)</f>
        <v>3</v>
      </c>
      <c r="N91" s="575"/>
      <c r="O91" s="575"/>
      <c r="P91" s="188">
        <v>20</v>
      </c>
      <c r="Q91" s="188">
        <v>1786</v>
      </c>
      <c r="R91" s="185">
        <f t="shared" si="81"/>
        <v>89.3</v>
      </c>
      <c r="S91" s="182">
        <f t="shared" si="82"/>
        <v>3</v>
      </c>
      <c r="T91" s="576"/>
      <c r="U91" s="188">
        <v>20</v>
      </c>
      <c r="V91" s="188">
        <v>1786.0000000000002</v>
      </c>
      <c r="W91" s="185">
        <f t="shared" si="75"/>
        <v>89.300000000000011</v>
      </c>
      <c r="X91" s="182">
        <f t="shared" si="83"/>
        <v>2</v>
      </c>
      <c r="Y91" s="576"/>
      <c r="Z91" s="188">
        <v>20</v>
      </c>
      <c r="AA91" s="188">
        <v>1786</v>
      </c>
      <c r="AB91" s="185">
        <f t="shared" si="76"/>
        <v>89.3</v>
      </c>
      <c r="AC91" s="182">
        <f t="shared" si="84"/>
        <v>3</v>
      </c>
      <c r="AD91" s="576"/>
      <c r="AE91" s="188">
        <v>20</v>
      </c>
      <c r="AF91" s="188">
        <v>1786</v>
      </c>
      <c r="AG91" s="185">
        <f t="shared" si="85"/>
        <v>89.3</v>
      </c>
      <c r="AH91" s="182">
        <f t="shared" si="86"/>
        <v>3</v>
      </c>
      <c r="AI91" s="576"/>
      <c r="AJ91" s="188">
        <v>20</v>
      </c>
      <c r="AK91" s="188">
        <v>1785.9999999999998</v>
      </c>
      <c r="AL91" s="185">
        <f t="shared" si="77"/>
        <v>89.299999999999983</v>
      </c>
      <c r="AM91" s="182">
        <f t="shared" si="87"/>
        <v>3</v>
      </c>
      <c r="AN91" s="576"/>
      <c r="AO91" s="188">
        <v>20</v>
      </c>
      <c r="AP91" s="188">
        <v>1786</v>
      </c>
      <c r="AQ91" s="185">
        <f t="shared" si="78"/>
        <v>89.3</v>
      </c>
      <c r="AR91" s="182">
        <f t="shared" si="88"/>
        <v>3</v>
      </c>
      <c r="AS91" s="576"/>
      <c r="AT91" s="188">
        <v>20</v>
      </c>
      <c r="AU91" s="188">
        <v>1785.9999999999998</v>
      </c>
      <c r="AV91" s="185">
        <f t="shared" si="79"/>
        <v>89.299999999999983</v>
      </c>
      <c r="AW91" s="182">
        <f t="shared" si="89"/>
        <v>3</v>
      </c>
      <c r="AX91" s="576"/>
    </row>
    <row r="92" spans="2:50" ht="14.25" customHeight="1">
      <c r="B92" s="575"/>
      <c r="C92" s="180">
        <v>6</v>
      </c>
      <c r="D92" s="183" t="s">
        <v>533</v>
      </c>
      <c r="E92" s="180">
        <v>21</v>
      </c>
      <c r="F92" s="180">
        <v>1800</v>
      </c>
      <c r="G92" s="185">
        <f t="shared" si="74"/>
        <v>85.714285714285708</v>
      </c>
      <c r="H92" s="576"/>
      <c r="I92" s="186">
        <f t="shared" si="80"/>
        <v>21</v>
      </c>
      <c r="J92" s="186">
        <f t="shared" si="80"/>
        <v>1605.7342925930138</v>
      </c>
      <c r="K92" s="187">
        <f t="shared" si="80"/>
        <v>76.46353774252448</v>
      </c>
      <c r="L92" s="577"/>
      <c r="M92" s="186">
        <f>RANK(K92, K$87:$K$101)</f>
        <v>7</v>
      </c>
      <c r="N92" s="575"/>
      <c r="O92" s="575"/>
      <c r="P92" s="188">
        <v>21</v>
      </c>
      <c r="Q92" s="188">
        <v>1605.5723639047815</v>
      </c>
      <c r="R92" s="185">
        <f t="shared" si="81"/>
        <v>76.455826852608638</v>
      </c>
      <c r="S92" s="182">
        <f t="shared" si="82"/>
        <v>7</v>
      </c>
      <c r="T92" s="576"/>
      <c r="U92" s="188">
        <v>21</v>
      </c>
      <c r="V92" s="188">
        <v>1604.8523639047814</v>
      </c>
      <c r="W92" s="185">
        <f t="shared" si="75"/>
        <v>76.421541138322922</v>
      </c>
      <c r="X92" s="182">
        <f t="shared" si="83"/>
        <v>7</v>
      </c>
      <c r="Y92" s="576"/>
      <c r="Z92" s="188">
        <v>21</v>
      </c>
      <c r="AA92" s="188">
        <v>1606.3750640683068</v>
      </c>
      <c r="AB92" s="185">
        <f t="shared" si="76"/>
        <v>76.494050669919375</v>
      </c>
      <c r="AC92" s="182">
        <f t="shared" si="84"/>
        <v>7</v>
      </c>
      <c r="AD92" s="576"/>
      <c r="AE92" s="188">
        <v>21</v>
      </c>
      <c r="AF92" s="188">
        <v>1606.375064068307</v>
      </c>
      <c r="AG92" s="185">
        <f t="shared" si="85"/>
        <v>76.494050669919375</v>
      </c>
      <c r="AH92" s="182">
        <f t="shared" si="86"/>
        <v>7</v>
      </c>
      <c r="AI92" s="576"/>
      <c r="AJ92" s="188">
        <v>21</v>
      </c>
      <c r="AK92" s="188">
        <v>1606.1950640683071</v>
      </c>
      <c r="AL92" s="185">
        <f t="shared" si="77"/>
        <v>76.48547924134796</v>
      </c>
      <c r="AM92" s="182">
        <f t="shared" si="87"/>
        <v>7</v>
      </c>
      <c r="AN92" s="576"/>
      <c r="AO92" s="188">
        <v>21</v>
      </c>
      <c r="AP92" s="188">
        <v>1605.1150640683072</v>
      </c>
      <c r="AQ92" s="185">
        <f t="shared" si="78"/>
        <v>76.434050669919387</v>
      </c>
      <c r="AR92" s="182">
        <f t="shared" si="88"/>
        <v>7</v>
      </c>
      <c r="AS92" s="576"/>
      <c r="AT92" s="188">
        <v>21</v>
      </c>
      <c r="AU92" s="188">
        <v>1605.6550640683072</v>
      </c>
      <c r="AV92" s="185">
        <f t="shared" si="79"/>
        <v>76.459764955633673</v>
      </c>
      <c r="AW92" s="182">
        <f t="shared" si="89"/>
        <v>7</v>
      </c>
      <c r="AX92" s="576"/>
    </row>
    <row r="93" spans="2:50" ht="14.25" customHeight="1">
      <c r="B93" s="575"/>
      <c r="C93" s="180">
        <v>7</v>
      </c>
      <c r="D93" s="183" t="s">
        <v>534</v>
      </c>
      <c r="E93" s="180">
        <v>20</v>
      </c>
      <c r="F93" s="180">
        <v>2000</v>
      </c>
      <c r="G93" s="185">
        <f t="shared" si="74"/>
        <v>100</v>
      </c>
      <c r="H93" s="576"/>
      <c r="I93" s="186">
        <f t="shared" si="80"/>
        <v>20</v>
      </c>
      <c r="J93" s="186">
        <f t="shared" si="80"/>
        <v>1788.4208852000145</v>
      </c>
      <c r="K93" s="187">
        <f t="shared" si="80"/>
        <v>89.421044260000727</v>
      </c>
      <c r="L93" s="577"/>
      <c r="M93" s="186">
        <f>RANK(K93, K$87:$K$101)</f>
        <v>2</v>
      </c>
      <c r="N93" s="575"/>
      <c r="O93" s="575"/>
      <c r="P93" s="188">
        <v>20</v>
      </c>
      <c r="Q93" s="188">
        <v>1786.2610032863447</v>
      </c>
      <c r="R93" s="185">
        <f t="shared" si="81"/>
        <v>89.313050164317232</v>
      </c>
      <c r="S93" s="182">
        <f t="shared" si="82"/>
        <v>2</v>
      </c>
      <c r="T93" s="576"/>
      <c r="U93" s="188">
        <v>20</v>
      </c>
      <c r="V93" s="188">
        <v>1785.6610032863446</v>
      </c>
      <c r="W93" s="185">
        <f t="shared" si="75"/>
        <v>89.283050164317231</v>
      </c>
      <c r="X93" s="182">
        <f t="shared" si="83"/>
        <v>3</v>
      </c>
      <c r="Y93" s="576"/>
      <c r="Z93" s="188">
        <v>20</v>
      </c>
      <c r="AA93" s="188">
        <v>1788.8048379654826</v>
      </c>
      <c r="AB93" s="185">
        <f t="shared" si="76"/>
        <v>89.440241898274138</v>
      </c>
      <c r="AC93" s="182">
        <f t="shared" si="84"/>
        <v>2</v>
      </c>
      <c r="AD93" s="576"/>
      <c r="AE93" s="188">
        <v>20</v>
      </c>
      <c r="AF93" s="188">
        <v>1789.0048379654829</v>
      </c>
      <c r="AG93" s="185">
        <f t="shared" si="85"/>
        <v>89.450241898274143</v>
      </c>
      <c r="AH93" s="182">
        <f t="shared" si="86"/>
        <v>2</v>
      </c>
      <c r="AI93" s="576"/>
      <c r="AJ93" s="188">
        <v>20</v>
      </c>
      <c r="AK93" s="188">
        <v>1789.2048379654827</v>
      </c>
      <c r="AL93" s="185">
        <f t="shared" si="77"/>
        <v>89.460241898274134</v>
      </c>
      <c r="AM93" s="182">
        <f t="shared" si="87"/>
        <v>2</v>
      </c>
      <c r="AN93" s="576"/>
      <c r="AO93" s="188">
        <v>20</v>
      </c>
      <c r="AP93" s="188">
        <v>1790.0048379654825</v>
      </c>
      <c r="AQ93" s="185">
        <f t="shared" si="78"/>
        <v>89.500241898274126</v>
      </c>
      <c r="AR93" s="182">
        <f t="shared" si="88"/>
        <v>2</v>
      </c>
      <c r="AS93" s="576"/>
      <c r="AT93" s="188">
        <v>20</v>
      </c>
      <c r="AU93" s="188">
        <v>1790.0048379654825</v>
      </c>
      <c r="AV93" s="185">
        <f t="shared" si="79"/>
        <v>89.500241898274126</v>
      </c>
      <c r="AW93" s="182">
        <f t="shared" si="89"/>
        <v>2</v>
      </c>
      <c r="AX93" s="576"/>
    </row>
    <row r="94" spans="2:50" ht="14.25" customHeight="1">
      <c r="B94" s="575"/>
      <c r="C94" s="180">
        <v>8</v>
      </c>
      <c r="D94" s="183" t="s">
        <v>717</v>
      </c>
      <c r="E94" s="180">
        <v>16</v>
      </c>
      <c r="F94" s="180">
        <v>2000</v>
      </c>
      <c r="G94" s="185">
        <f t="shared" si="74"/>
        <v>125</v>
      </c>
      <c r="H94" s="576"/>
      <c r="I94" s="186">
        <f t="shared" si="80"/>
        <v>16</v>
      </c>
      <c r="J94" s="186">
        <f t="shared" si="80"/>
        <v>1788.2251123726844</v>
      </c>
      <c r="K94" s="187">
        <f t="shared" si="80"/>
        <v>111.76406952329278</v>
      </c>
      <c r="L94" s="577"/>
      <c r="M94" s="186">
        <f>RANK(K94, K$87:$K$101)</f>
        <v>1</v>
      </c>
      <c r="N94" s="575"/>
      <c r="O94" s="575"/>
      <c r="P94" s="188">
        <v>16</v>
      </c>
      <c r="Q94" s="188">
        <v>1786.9627715677909</v>
      </c>
      <c r="R94" s="185">
        <f t="shared" si="81"/>
        <v>111.68517322298693</v>
      </c>
      <c r="S94" s="182">
        <f t="shared" si="82"/>
        <v>1</v>
      </c>
      <c r="T94" s="576"/>
      <c r="U94" s="188">
        <v>16</v>
      </c>
      <c r="V94" s="188">
        <v>1787.5627715677911</v>
      </c>
      <c r="W94" s="185">
        <f t="shared" si="75"/>
        <v>111.72267322298694</v>
      </c>
      <c r="X94" s="182">
        <f t="shared" si="83"/>
        <v>1</v>
      </c>
      <c r="Y94" s="576"/>
      <c r="Z94" s="188">
        <v>16</v>
      </c>
      <c r="AA94" s="188">
        <v>1787.6500486946422</v>
      </c>
      <c r="AB94" s="185">
        <f t="shared" si="76"/>
        <v>111.72812804341514</v>
      </c>
      <c r="AC94" s="182">
        <f t="shared" si="84"/>
        <v>1</v>
      </c>
      <c r="AD94" s="576"/>
      <c r="AE94" s="188">
        <v>16</v>
      </c>
      <c r="AF94" s="188">
        <v>1788.2500486946421</v>
      </c>
      <c r="AG94" s="185">
        <f t="shared" si="85"/>
        <v>111.76562804341513</v>
      </c>
      <c r="AH94" s="182">
        <f t="shared" si="86"/>
        <v>1</v>
      </c>
      <c r="AI94" s="576"/>
      <c r="AJ94" s="188">
        <v>16</v>
      </c>
      <c r="AK94" s="188">
        <v>1789.2500486946424</v>
      </c>
      <c r="AL94" s="185">
        <f t="shared" si="77"/>
        <v>111.82812804341515</v>
      </c>
      <c r="AM94" s="182">
        <f t="shared" si="87"/>
        <v>1</v>
      </c>
      <c r="AN94" s="576"/>
      <c r="AO94" s="188">
        <v>16</v>
      </c>
      <c r="AP94" s="188">
        <v>1788.8500486946421</v>
      </c>
      <c r="AQ94" s="185">
        <f t="shared" si="78"/>
        <v>111.80312804341513</v>
      </c>
      <c r="AR94" s="182">
        <f t="shared" si="88"/>
        <v>1</v>
      </c>
      <c r="AS94" s="576"/>
      <c r="AT94" s="188">
        <v>16</v>
      </c>
      <c r="AU94" s="188">
        <v>1789.0500486946421</v>
      </c>
      <c r="AV94" s="185">
        <f t="shared" si="79"/>
        <v>111.81562804341513</v>
      </c>
      <c r="AW94" s="182">
        <f t="shared" si="89"/>
        <v>1</v>
      </c>
      <c r="AX94" s="576"/>
    </row>
    <row r="95" spans="2:50" ht="14.25" customHeight="1">
      <c r="B95" s="575"/>
      <c r="C95" s="180">
        <v>9</v>
      </c>
      <c r="D95" s="183"/>
      <c r="E95" s="180"/>
      <c r="F95" s="180"/>
      <c r="G95" s="185"/>
      <c r="H95" s="576"/>
      <c r="I95" s="186"/>
      <c r="J95" s="186"/>
      <c r="K95" s="187"/>
      <c r="L95" s="577"/>
      <c r="M95" s="186"/>
      <c r="N95" s="575"/>
      <c r="O95" s="575"/>
      <c r="P95" s="188"/>
      <c r="Q95" s="188"/>
      <c r="R95" s="185"/>
      <c r="S95" s="182"/>
      <c r="T95" s="576"/>
      <c r="U95" s="188"/>
      <c r="V95" s="188"/>
      <c r="W95" s="185"/>
      <c r="X95" s="182"/>
      <c r="Y95" s="576"/>
      <c r="Z95" s="188"/>
      <c r="AA95" s="188"/>
      <c r="AB95" s="185"/>
      <c r="AC95" s="182"/>
      <c r="AD95" s="576"/>
      <c r="AE95" s="188"/>
      <c r="AF95" s="188"/>
      <c r="AG95" s="185"/>
      <c r="AH95" s="182"/>
      <c r="AI95" s="576"/>
      <c r="AJ95" s="188"/>
      <c r="AK95" s="188"/>
      <c r="AL95" s="185"/>
      <c r="AM95" s="182"/>
      <c r="AN95" s="576"/>
      <c r="AO95" s="188"/>
      <c r="AP95" s="188"/>
      <c r="AQ95" s="185"/>
      <c r="AR95" s="182"/>
      <c r="AS95" s="576"/>
      <c r="AT95" s="188"/>
      <c r="AU95" s="188"/>
      <c r="AV95" s="185"/>
      <c r="AW95" s="182"/>
      <c r="AX95" s="576"/>
    </row>
    <row r="96" spans="2:50" ht="14.25" customHeight="1">
      <c r="B96" s="575"/>
      <c r="C96" s="180">
        <v>10</v>
      </c>
      <c r="D96" s="183"/>
      <c r="E96" s="180"/>
      <c r="F96" s="180"/>
      <c r="G96" s="185"/>
      <c r="H96" s="576"/>
      <c r="I96" s="186"/>
      <c r="J96" s="186"/>
      <c r="K96" s="187"/>
      <c r="L96" s="577"/>
      <c r="M96" s="186"/>
      <c r="N96" s="575"/>
      <c r="O96" s="575"/>
      <c r="P96" s="188"/>
      <c r="Q96" s="188"/>
      <c r="R96" s="185"/>
      <c r="S96" s="182"/>
      <c r="T96" s="576"/>
      <c r="U96" s="188"/>
      <c r="V96" s="188"/>
      <c r="W96" s="185"/>
      <c r="X96" s="182"/>
      <c r="Y96" s="576"/>
      <c r="Z96" s="188"/>
      <c r="AA96" s="188"/>
      <c r="AB96" s="185"/>
      <c r="AC96" s="182"/>
      <c r="AD96" s="576"/>
      <c r="AE96" s="188"/>
      <c r="AF96" s="188"/>
      <c r="AG96" s="185"/>
      <c r="AH96" s="182"/>
      <c r="AI96" s="576"/>
      <c r="AJ96" s="188"/>
      <c r="AK96" s="188"/>
      <c r="AL96" s="185"/>
      <c r="AM96" s="182"/>
      <c r="AN96" s="576"/>
      <c r="AO96" s="188"/>
      <c r="AP96" s="188"/>
      <c r="AQ96" s="185"/>
      <c r="AR96" s="182"/>
      <c r="AS96" s="576"/>
      <c r="AT96" s="188"/>
      <c r="AU96" s="188"/>
      <c r="AV96" s="185"/>
      <c r="AW96" s="182"/>
      <c r="AX96" s="576"/>
    </row>
    <row r="97" spans="2:50" ht="14.25" customHeight="1">
      <c r="B97" s="575"/>
      <c r="C97" s="180">
        <v>11</v>
      </c>
      <c r="D97" s="183"/>
      <c r="E97" s="180"/>
      <c r="F97" s="180"/>
      <c r="G97" s="185"/>
      <c r="H97" s="576"/>
      <c r="I97" s="186"/>
      <c r="J97" s="186"/>
      <c r="K97" s="187"/>
      <c r="L97" s="577"/>
      <c r="M97" s="186"/>
      <c r="N97" s="575"/>
      <c r="O97" s="575"/>
      <c r="P97" s="188"/>
      <c r="Q97" s="188"/>
      <c r="R97" s="185"/>
      <c r="S97" s="182"/>
      <c r="T97" s="576"/>
      <c r="U97" s="188"/>
      <c r="V97" s="188"/>
      <c r="W97" s="185"/>
      <c r="X97" s="182"/>
      <c r="Y97" s="576"/>
      <c r="Z97" s="188"/>
      <c r="AA97" s="188"/>
      <c r="AB97" s="185"/>
      <c r="AC97" s="182"/>
      <c r="AD97" s="576"/>
      <c r="AE97" s="188"/>
      <c r="AF97" s="188"/>
      <c r="AG97" s="185"/>
      <c r="AH97" s="182"/>
      <c r="AI97" s="576"/>
      <c r="AJ97" s="188"/>
      <c r="AK97" s="188"/>
      <c r="AL97" s="185"/>
      <c r="AM97" s="182"/>
      <c r="AN97" s="576"/>
      <c r="AO97" s="188"/>
      <c r="AP97" s="188"/>
      <c r="AQ97" s="185"/>
      <c r="AR97" s="182"/>
      <c r="AS97" s="576"/>
      <c r="AT97" s="188"/>
      <c r="AU97" s="188"/>
      <c r="AV97" s="185"/>
      <c r="AW97" s="182"/>
      <c r="AX97" s="576"/>
    </row>
    <row r="98" spans="2:50" ht="14.25" customHeight="1">
      <c r="B98" s="575"/>
      <c r="C98" s="180">
        <v>12</v>
      </c>
      <c r="D98" s="183"/>
      <c r="E98" s="180"/>
      <c r="F98" s="180"/>
      <c r="G98" s="185"/>
      <c r="H98" s="576"/>
      <c r="I98" s="186"/>
      <c r="J98" s="186"/>
      <c r="K98" s="187"/>
      <c r="L98" s="577"/>
      <c r="M98" s="186"/>
      <c r="N98" s="575"/>
      <c r="O98" s="575"/>
      <c r="P98" s="188"/>
      <c r="Q98" s="188"/>
      <c r="R98" s="185"/>
      <c r="S98" s="182"/>
      <c r="T98" s="576"/>
      <c r="U98" s="188"/>
      <c r="V98" s="188"/>
      <c r="W98" s="185"/>
      <c r="X98" s="182"/>
      <c r="Y98" s="576"/>
      <c r="Z98" s="188"/>
      <c r="AA98" s="188"/>
      <c r="AB98" s="185"/>
      <c r="AC98" s="182"/>
      <c r="AD98" s="576"/>
      <c r="AE98" s="188"/>
      <c r="AF98" s="188"/>
      <c r="AG98" s="185"/>
      <c r="AH98" s="182"/>
      <c r="AI98" s="576"/>
      <c r="AJ98" s="188"/>
      <c r="AK98" s="188"/>
      <c r="AL98" s="185"/>
      <c r="AM98" s="182"/>
      <c r="AN98" s="576"/>
      <c r="AO98" s="188"/>
      <c r="AP98" s="188"/>
      <c r="AQ98" s="185"/>
      <c r="AR98" s="182"/>
      <c r="AS98" s="576"/>
      <c r="AT98" s="188"/>
      <c r="AU98" s="188"/>
      <c r="AV98" s="185"/>
      <c r="AW98" s="182"/>
      <c r="AX98" s="576"/>
    </row>
    <row r="99" spans="2:50" ht="14.25" customHeight="1">
      <c r="B99" s="575"/>
      <c r="C99" s="180">
        <v>13</v>
      </c>
      <c r="D99" s="183"/>
      <c r="E99" s="180"/>
      <c r="F99" s="180"/>
      <c r="G99" s="185"/>
      <c r="H99" s="576"/>
      <c r="I99" s="186"/>
      <c r="J99" s="186"/>
      <c r="K99" s="187"/>
      <c r="L99" s="577"/>
      <c r="M99" s="186"/>
      <c r="N99" s="575"/>
      <c r="O99" s="575"/>
      <c r="P99" s="188"/>
      <c r="Q99" s="188"/>
      <c r="R99" s="185"/>
      <c r="S99" s="182"/>
      <c r="T99" s="576"/>
      <c r="U99" s="188"/>
      <c r="V99" s="188"/>
      <c r="W99" s="185"/>
      <c r="X99" s="182"/>
      <c r="Y99" s="576"/>
      <c r="Z99" s="188"/>
      <c r="AA99" s="188"/>
      <c r="AB99" s="185"/>
      <c r="AC99" s="182"/>
      <c r="AD99" s="576"/>
      <c r="AE99" s="188"/>
      <c r="AF99" s="188"/>
      <c r="AG99" s="185"/>
      <c r="AH99" s="182"/>
      <c r="AI99" s="576"/>
      <c r="AJ99" s="188"/>
      <c r="AK99" s="188"/>
      <c r="AL99" s="185"/>
      <c r="AM99" s="182"/>
      <c r="AN99" s="576"/>
      <c r="AO99" s="188"/>
      <c r="AP99" s="188"/>
      <c r="AQ99" s="185"/>
      <c r="AR99" s="182"/>
      <c r="AS99" s="576"/>
      <c r="AT99" s="188"/>
      <c r="AU99" s="188"/>
      <c r="AV99" s="185"/>
      <c r="AW99" s="182"/>
      <c r="AX99" s="576"/>
    </row>
    <row r="100" spans="2:50" ht="14.25" customHeight="1">
      <c r="B100" s="575"/>
      <c r="C100" s="180">
        <v>14</v>
      </c>
      <c r="D100" s="183"/>
      <c r="E100" s="180"/>
      <c r="F100" s="180"/>
      <c r="G100" s="185"/>
      <c r="H100" s="576"/>
      <c r="I100" s="186"/>
      <c r="J100" s="186"/>
      <c r="K100" s="187"/>
      <c r="L100" s="577"/>
      <c r="M100" s="186"/>
      <c r="N100" s="575"/>
      <c r="O100" s="575"/>
      <c r="P100" s="188"/>
      <c r="Q100" s="188"/>
      <c r="R100" s="185"/>
      <c r="S100" s="182"/>
      <c r="T100" s="576"/>
      <c r="U100" s="188"/>
      <c r="V100" s="188"/>
      <c r="W100" s="185"/>
      <c r="X100" s="182"/>
      <c r="Y100" s="576"/>
      <c r="Z100" s="188"/>
      <c r="AA100" s="188"/>
      <c r="AB100" s="185"/>
      <c r="AC100" s="182"/>
      <c r="AD100" s="576"/>
      <c r="AE100" s="188"/>
      <c r="AF100" s="188"/>
      <c r="AG100" s="185"/>
      <c r="AH100" s="182"/>
      <c r="AI100" s="576"/>
      <c r="AJ100" s="188"/>
      <c r="AK100" s="188"/>
      <c r="AL100" s="185"/>
      <c r="AM100" s="182"/>
      <c r="AN100" s="576"/>
      <c r="AO100" s="188"/>
      <c r="AP100" s="188"/>
      <c r="AQ100" s="185"/>
      <c r="AR100" s="182"/>
      <c r="AS100" s="576"/>
      <c r="AT100" s="188"/>
      <c r="AU100" s="188"/>
      <c r="AV100" s="185"/>
      <c r="AW100" s="182"/>
      <c r="AX100" s="576"/>
    </row>
    <row r="101" spans="2:50" ht="14.25" customHeight="1">
      <c r="B101" s="575"/>
      <c r="C101" s="180">
        <v>15</v>
      </c>
      <c r="D101" s="183"/>
      <c r="E101" s="180"/>
      <c r="F101" s="180"/>
      <c r="G101" s="185"/>
      <c r="H101" s="576"/>
      <c r="I101" s="186"/>
      <c r="J101" s="186"/>
      <c r="K101" s="187"/>
      <c r="L101" s="577"/>
      <c r="M101" s="186"/>
      <c r="N101" s="575"/>
      <c r="O101" s="575"/>
      <c r="P101" s="188"/>
      <c r="Q101" s="188"/>
      <c r="R101" s="185"/>
      <c r="S101" s="182"/>
      <c r="T101" s="576"/>
      <c r="U101" s="188"/>
      <c r="V101" s="188"/>
      <c r="W101" s="185"/>
      <c r="X101" s="182"/>
      <c r="Y101" s="576"/>
      <c r="Z101" s="188"/>
      <c r="AA101" s="188"/>
      <c r="AB101" s="185"/>
      <c r="AC101" s="182"/>
      <c r="AD101" s="576"/>
      <c r="AE101" s="188"/>
      <c r="AF101" s="188"/>
      <c r="AG101" s="185"/>
      <c r="AH101" s="182"/>
      <c r="AI101" s="576"/>
      <c r="AJ101" s="188"/>
      <c r="AK101" s="188"/>
      <c r="AL101" s="185"/>
      <c r="AM101" s="182"/>
      <c r="AN101" s="576"/>
      <c r="AO101" s="188"/>
      <c r="AP101" s="188"/>
      <c r="AQ101" s="185"/>
      <c r="AR101" s="182"/>
      <c r="AS101" s="576"/>
      <c r="AT101" s="188"/>
      <c r="AU101" s="188"/>
      <c r="AV101" s="185"/>
      <c r="AW101" s="182"/>
      <c r="AX101" s="576"/>
    </row>
  </sheetData>
  <mergeCells count="295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3">
    <tabColor rgb="FFFFFFCC"/>
  </sheetPr>
  <dimension ref="A1:AX101"/>
  <sheetViews>
    <sheetView zoomScaleNormal="100" workbookViewId="0">
      <pane xSplit="13" ySplit="1" topLeftCell="AI74" activePane="bottomRight" state="frozen"/>
      <selection activeCell="L95" sqref="L95"/>
      <selection pane="topRight" activeCell="L95" sqref="L95"/>
      <selection pane="bottomLeft" activeCell="L95" sqref="L95"/>
      <selection pane="bottomRight" activeCell="M87" sqref="M87:M92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5" t="s">
        <v>656</v>
      </c>
      <c r="C1" s="175">
        <f>AVERAGE(L7,L27,L47,L67)</f>
        <v>78.189351465199536</v>
      </c>
    </row>
    <row r="2" spans="1:50" ht="14.25" customHeight="1" collapsed="1">
      <c r="B2" s="589" t="s">
        <v>539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600"/>
      <c r="N2" s="609" t="s">
        <v>374</v>
      </c>
      <c r="O2" s="609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2"/>
      <c r="N3" s="611"/>
      <c r="O3" s="611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375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376</v>
      </c>
      <c r="F5" s="575"/>
      <c r="G5" s="575"/>
      <c r="H5" s="575"/>
      <c r="I5" s="579" t="s">
        <v>376</v>
      </c>
      <c r="J5" s="579"/>
      <c r="K5" s="579"/>
      <c r="L5" s="579"/>
      <c r="M5" s="579"/>
      <c r="N5" s="575"/>
      <c r="O5" s="575"/>
      <c r="P5" s="575" t="s">
        <v>377</v>
      </c>
      <c r="Q5" s="575"/>
      <c r="R5" s="575"/>
      <c r="S5" s="575"/>
      <c r="T5" s="575"/>
      <c r="U5" s="575" t="s">
        <v>377</v>
      </c>
      <c r="V5" s="575"/>
      <c r="W5" s="575"/>
      <c r="X5" s="575"/>
      <c r="Y5" s="575"/>
      <c r="Z5" s="575" t="s">
        <v>377</v>
      </c>
      <c r="AA5" s="575"/>
      <c r="AB5" s="575"/>
      <c r="AC5" s="575"/>
      <c r="AD5" s="575"/>
      <c r="AE5" s="575" t="s">
        <v>377</v>
      </c>
      <c r="AF5" s="575"/>
      <c r="AG5" s="575"/>
      <c r="AH5" s="575"/>
      <c r="AI5" s="575"/>
      <c r="AJ5" s="575" t="s">
        <v>377</v>
      </c>
      <c r="AK5" s="575"/>
      <c r="AL5" s="575"/>
      <c r="AM5" s="575"/>
      <c r="AN5" s="575"/>
      <c r="AO5" s="575" t="s">
        <v>377</v>
      </c>
      <c r="AP5" s="575"/>
      <c r="AQ5" s="575"/>
      <c r="AR5" s="575"/>
      <c r="AS5" s="575"/>
      <c r="AT5" s="575" t="s">
        <v>377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378</v>
      </c>
      <c r="G6" s="180" t="s">
        <v>161</v>
      </c>
      <c r="H6" s="575"/>
      <c r="I6" s="181" t="s">
        <v>159</v>
      </c>
      <c r="J6" s="181" t="s">
        <v>378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378</v>
      </c>
      <c r="R6" s="180" t="s">
        <v>161</v>
      </c>
      <c r="S6" s="182" t="s">
        <v>165</v>
      </c>
      <c r="T6" s="575"/>
      <c r="U6" s="180" t="s">
        <v>159</v>
      </c>
      <c r="V6" s="180" t="s">
        <v>378</v>
      </c>
      <c r="W6" s="180" t="s">
        <v>161</v>
      </c>
      <c r="X6" s="182" t="s">
        <v>165</v>
      </c>
      <c r="Y6" s="575"/>
      <c r="Z6" s="180" t="s">
        <v>159</v>
      </c>
      <c r="AA6" s="180" t="s">
        <v>378</v>
      </c>
      <c r="AB6" s="180" t="s">
        <v>161</v>
      </c>
      <c r="AC6" s="182" t="s">
        <v>165</v>
      </c>
      <c r="AD6" s="575"/>
      <c r="AE6" s="180" t="s">
        <v>159</v>
      </c>
      <c r="AF6" s="180" t="s">
        <v>378</v>
      </c>
      <c r="AG6" s="180" t="s">
        <v>161</v>
      </c>
      <c r="AH6" s="182" t="s">
        <v>165</v>
      </c>
      <c r="AI6" s="575"/>
      <c r="AJ6" s="180" t="s">
        <v>159</v>
      </c>
      <c r="AK6" s="180" t="s">
        <v>378</v>
      </c>
      <c r="AL6" s="180" t="s">
        <v>161</v>
      </c>
      <c r="AM6" s="182" t="s">
        <v>165</v>
      </c>
      <c r="AN6" s="575"/>
      <c r="AO6" s="180" t="s">
        <v>159</v>
      </c>
      <c r="AP6" s="180" t="s">
        <v>378</v>
      </c>
      <c r="AQ6" s="180" t="s">
        <v>161</v>
      </c>
      <c r="AR6" s="182" t="s">
        <v>165</v>
      </c>
      <c r="AS6" s="575"/>
      <c r="AT6" s="180" t="s">
        <v>159</v>
      </c>
      <c r="AU6" s="180" t="s">
        <v>378</v>
      </c>
      <c r="AV6" s="180" t="s">
        <v>161</v>
      </c>
      <c r="AW6" s="182" t="s">
        <v>165</v>
      </c>
      <c r="AX6" s="575"/>
    </row>
    <row r="7" spans="1:50" ht="14.25" customHeight="1">
      <c r="B7" s="575" t="s">
        <v>137</v>
      </c>
      <c r="C7" s="180">
        <v>1</v>
      </c>
      <c r="D7" s="183" t="s">
        <v>358</v>
      </c>
      <c r="E7" s="180">
        <v>21</v>
      </c>
      <c r="F7" s="180">
        <v>2000</v>
      </c>
      <c r="G7" s="185">
        <f t="shared" ref="G7:G15" si="10">F7/E7</f>
        <v>95.238095238095241</v>
      </c>
      <c r="H7" s="576">
        <f>AVERAGE(G7:G21)</f>
        <v>87.845166106035677</v>
      </c>
      <c r="I7" s="186">
        <f>AVERAGE(P7,U7,Z7,AE7,AJ7,AO7,AT7)</f>
        <v>22</v>
      </c>
      <c r="J7" s="186">
        <f>AVERAGE(Q7,V7,AA7,AF7,AK7,AP7,AU7)</f>
        <v>1785.620885200128</v>
      </c>
      <c r="K7" s="187">
        <f>AVERAGE(R7,W7,AB7,AG7,AL7,AQ7,AV7)</f>
        <v>81.164585690914919</v>
      </c>
      <c r="L7" s="577">
        <f>IFERROR(AVERAGE(K7:K21),"-")</f>
        <v>77.801136303755044</v>
      </c>
      <c r="M7" s="186">
        <f>RANK(K7, K$7:$K$21)</f>
        <v>3</v>
      </c>
      <c r="N7" s="575"/>
      <c r="O7" s="575"/>
      <c r="P7" s="188">
        <v>22</v>
      </c>
      <c r="Q7" s="188">
        <v>1785.4725331944794</v>
      </c>
      <c r="R7" s="185">
        <f>IFERROR(Q7/P7,"")</f>
        <v>81.15784241793088</v>
      </c>
      <c r="S7" s="182">
        <f>RANK(R7, R$7:R$21)</f>
        <v>3</v>
      </c>
      <c r="T7" s="576">
        <f>AVERAGE(R7:R21)</f>
        <v>77.396005741072798</v>
      </c>
      <c r="U7" s="188">
        <v>22</v>
      </c>
      <c r="V7" s="188">
        <v>1785.8446052217698</v>
      </c>
      <c r="W7" s="185">
        <f t="shared" ref="W7:W15" si="11">IFERROR(V7/U7,"")</f>
        <v>81.174754782807724</v>
      </c>
      <c r="X7" s="182">
        <f>RANK(W7, W$7:W$21)</f>
        <v>3</v>
      </c>
      <c r="Y7" s="576">
        <f>AVERAGE(W7:W21)</f>
        <v>77.540707774764229</v>
      </c>
      <c r="Z7" s="188">
        <v>22</v>
      </c>
      <c r="AA7" s="188">
        <v>1785.5474452554727</v>
      </c>
      <c r="AB7" s="185">
        <f t="shared" ref="AB7:AB15" si="12">IFERROR(AA7/Z7,"")</f>
        <v>81.161247511612387</v>
      </c>
      <c r="AC7" s="182">
        <f>RANK(AB7, AB$7:AB$21)</f>
        <v>3</v>
      </c>
      <c r="AD7" s="576">
        <f>AVERAGE(AB7:AB21)</f>
        <v>77.699914681508545</v>
      </c>
      <c r="AE7" s="188">
        <v>22</v>
      </c>
      <c r="AF7" s="188">
        <v>1785.665529010239</v>
      </c>
      <c r="AG7" s="185">
        <f>IFERROR(AF7/AE7,"")</f>
        <v>81.166614955010857</v>
      </c>
      <c r="AH7" s="182">
        <f>RANK(AG7, AG$7:AG$21)</f>
        <v>3</v>
      </c>
      <c r="AI7" s="576">
        <f>AVERAGE(AG7:AG21)</f>
        <v>77.851745079033634</v>
      </c>
      <c r="AJ7" s="188">
        <v>22</v>
      </c>
      <c r="AK7" s="188">
        <v>1785.8178380081938</v>
      </c>
      <c r="AL7" s="185">
        <f t="shared" ref="AL7:AL15" si="13">IFERROR(AK7/AJ7,"")</f>
        <v>81.173538091281543</v>
      </c>
      <c r="AM7" s="182">
        <f>RANK(AL7, AL$7:AL$21)</f>
        <v>3</v>
      </c>
      <c r="AN7" s="576">
        <f>AVERAGE(AL7:AL21)</f>
        <v>77.986152707519324</v>
      </c>
      <c r="AO7" s="188">
        <v>22</v>
      </c>
      <c r="AP7" s="188">
        <v>1785.5579868708992</v>
      </c>
      <c r="AQ7" s="185">
        <f t="shared" ref="AQ7:AQ15" si="14">IFERROR(AP7/AO7,"")</f>
        <v>81.161726675949964</v>
      </c>
      <c r="AR7" s="182">
        <f>RANK(AQ7, AQ$7:AQ$21)</f>
        <v>3</v>
      </c>
      <c r="AS7" s="576">
        <f>AVERAGE(AQ7:AQ21)</f>
        <v>78.06665331323984</v>
      </c>
      <c r="AT7" s="188">
        <v>22</v>
      </c>
      <c r="AU7" s="188">
        <v>1785.440258839842</v>
      </c>
      <c r="AV7" s="185">
        <f t="shared" ref="AV7:AV15" si="15">IFERROR(AU7/AT7,"")</f>
        <v>81.156375401811005</v>
      </c>
      <c r="AW7" s="182">
        <f>RANK(AV7, AV$7:AV$21)</f>
        <v>3</v>
      </c>
      <c r="AX7" s="576">
        <f>AVERAGE(AV7:AV21)</f>
        <v>78.066774829146937</v>
      </c>
    </row>
    <row r="8" spans="1:50" ht="14.25" customHeight="1">
      <c r="B8" s="575"/>
      <c r="C8" s="180">
        <v>2</v>
      </c>
      <c r="D8" s="183" t="s">
        <v>359</v>
      </c>
      <c r="E8" s="180">
        <v>24</v>
      </c>
      <c r="F8" s="180">
        <v>2000</v>
      </c>
      <c r="G8" s="185">
        <f t="shared" si="10"/>
        <v>83.333333333333329</v>
      </c>
      <c r="H8" s="576"/>
      <c r="I8" s="186">
        <f t="shared" ref="I8:K15" si="16">AVERAGE(P8,U8,Z8,AE8,AJ8,AO8,AT8)</f>
        <v>24</v>
      </c>
      <c r="J8" s="186">
        <f t="shared" si="16"/>
        <v>1786.1484704633092</v>
      </c>
      <c r="K8" s="187">
        <f t="shared" si="16"/>
        <v>74.422852935971221</v>
      </c>
      <c r="L8" s="577"/>
      <c r="M8" s="186">
        <f>RANK(K8, K$7:$K$21)</f>
        <v>8</v>
      </c>
      <c r="N8" s="575"/>
      <c r="O8" s="575"/>
      <c r="P8" s="188">
        <v>24</v>
      </c>
      <c r="Q8" s="188">
        <v>1786.0465116279072</v>
      </c>
      <c r="R8" s="185">
        <f t="shared" ref="R8:R15" si="17">IFERROR(Q8/P8,"")</f>
        <v>74.418604651162795</v>
      </c>
      <c r="S8" s="182">
        <f t="shared" ref="S8:S15" si="18">RANK(R8, R$7:R$21)</f>
        <v>8</v>
      </c>
      <c r="T8" s="576"/>
      <c r="U8" s="188">
        <v>24</v>
      </c>
      <c r="V8" s="188">
        <v>1785.9768278066322</v>
      </c>
      <c r="W8" s="185">
        <f t="shared" si="11"/>
        <v>74.415701158609679</v>
      </c>
      <c r="X8" s="182">
        <f t="shared" ref="X8:X15" si="19">RANK(W8, W$7:W$21)</f>
        <v>8</v>
      </c>
      <c r="Y8" s="576"/>
      <c r="Z8" s="188">
        <v>24</v>
      </c>
      <c r="AA8" s="188">
        <v>1786.1182519280212</v>
      </c>
      <c r="AB8" s="185">
        <f t="shared" si="12"/>
        <v>74.421593830334217</v>
      </c>
      <c r="AC8" s="182">
        <f t="shared" ref="AC8:AC15" si="20">RANK(AB8, AB$7:AB$21)</f>
        <v>8</v>
      </c>
      <c r="AD8" s="576"/>
      <c r="AE8" s="188">
        <v>24</v>
      </c>
      <c r="AF8" s="188">
        <v>1786.2268321713996</v>
      </c>
      <c r="AG8" s="185">
        <f t="shared" ref="AG8:AG15" si="21">IFERROR(AF8/AE8,"")</f>
        <v>74.426118007141653</v>
      </c>
      <c r="AH8" s="182">
        <f t="shared" ref="AH8:AH15" si="22">RANK(AG8, AG$7:AG$21)</f>
        <v>8</v>
      </c>
      <c r="AI8" s="576"/>
      <c r="AJ8" s="188">
        <v>24</v>
      </c>
      <c r="AK8" s="188">
        <v>1786.1487724441185</v>
      </c>
      <c r="AL8" s="185">
        <f t="shared" si="13"/>
        <v>74.422865518504935</v>
      </c>
      <c r="AM8" s="182">
        <f t="shared" ref="AM8:AM15" si="23">RANK(AL8, AL$7:AL$21)</f>
        <v>8</v>
      </c>
      <c r="AN8" s="576"/>
      <c r="AO8" s="188">
        <v>24</v>
      </c>
      <c r="AP8" s="188">
        <v>1786.2141462682089</v>
      </c>
      <c r="AQ8" s="185">
        <f t="shared" si="14"/>
        <v>74.425589427842041</v>
      </c>
      <c r="AR8" s="182">
        <f t="shared" ref="AR8:AR15" si="24">RANK(AQ8, AQ$7:AQ$21)</f>
        <v>8</v>
      </c>
      <c r="AS8" s="576"/>
      <c r="AT8" s="188">
        <v>24</v>
      </c>
      <c r="AU8" s="188">
        <v>1786.3079509968773</v>
      </c>
      <c r="AV8" s="185">
        <f t="shared" si="15"/>
        <v>74.429497958203214</v>
      </c>
      <c r="AW8" s="182">
        <f t="shared" ref="AW8:AW15" si="25">RANK(AV8, AV$7:AV$21)</f>
        <v>8</v>
      </c>
      <c r="AX8" s="576"/>
    </row>
    <row r="9" spans="1:50" ht="14.25" customHeight="1">
      <c r="B9" s="575"/>
      <c r="C9" s="180">
        <v>3</v>
      </c>
      <c r="D9" s="183" t="s">
        <v>360</v>
      </c>
      <c r="E9" s="180">
        <v>23</v>
      </c>
      <c r="F9" s="180">
        <v>2000</v>
      </c>
      <c r="G9" s="185">
        <f t="shared" si="10"/>
        <v>86.956521739130437</v>
      </c>
      <c r="H9" s="576"/>
      <c r="I9" s="186">
        <f t="shared" si="16"/>
        <v>23</v>
      </c>
      <c r="J9" s="186">
        <f t="shared" si="16"/>
        <v>1787.4499121608512</v>
      </c>
      <c r="K9" s="187">
        <f t="shared" si="16"/>
        <v>77.715213572210914</v>
      </c>
      <c r="L9" s="577"/>
      <c r="M9" s="186">
        <f>RANK(K9, K$7:$K$21)</f>
        <v>5</v>
      </c>
      <c r="N9" s="575"/>
      <c r="O9" s="575"/>
      <c r="P9" s="188">
        <v>23</v>
      </c>
      <c r="Q9" s="188">
        <v>1786.9592216932315</v>
      </c>
      <c r="R9" s="185">
        <f t="shared" si="17"/>
        <v>77.693879204053545</v>
      </c>
      <c r="S9" s="182">
        <f t="shared" si="18"/>
        <v>5</v>
      </c>
      <c r="T9" s="576"/>
      <c r="U9" s="188">
        <v>23</v>
      </c>
      <c r="V9" s="188">
        <v>1787.2504829362522</v>
      </c>
      <c r="W9" s="185">
        <f t="shared" si="11"/>
        <v>77.706542736358784</v>
      </c>
      <c r="X9" s="182">
        <f t="shared" si="19"/>
        <v>5</v>
      </c>
      <c r="Y9" s="576"/>
      <c r="Z9" s="188">
        <v>23</v>
      </c>
      <c r="AA9" s="188">
        <v>1787.4306177260523</v>
      </c>
      <c r="AB9" s="185">
        <f t="shared" si="12"/>
        <v>77.714374683741411</v>
      </c>
      <c r="AC9" s="182">
        <f t="shared" si="20"/>
        <v>5</v>
      </c>
      <c r="AD9" s="576"/>
      <c r="AE9" s="188">
        <v>23</v>
      </c>
      <c r="AF9" s="188">
        <v>1787.550854353133</v>
      </c>
      <c r="AG9" s="185">
        <f t="shared" si="21"/>
        <v>77.719602363179689</v>
      </c>
      <c r="AH9" s="182">
        <f t="shared" si="22"/>
        <v>5</v>
      </c>
      <c r="AI9" s="576"/>
      <c r="AJ9" s="188">
        <v>23</v>
      </c>
      <c r="AK9" s="188">
        <v>1787.5602094240853</v>
      </c>
      <c r="AL9" s="185">
        <f t="shared" si="13"/>
        <v>77.720009105395008</v>
      </c>
      <c r="AM9" s="182">
        <f t="shared" si="23"/>
        <v>5</v>
      </c>
      <c r="AN9" s="576"/>
      <c r="AO9" s="188">
        <v>23</v>
      </c>
      <c r="AP9" s="188">
        <v>1787.7155172413786</v>
      </c>
      <c r="AQ9" s="185">
        <f t="shared" si="14"/>
        <v>77.72676161919037</v>
      </c>
      <c r="AR9" s="182">
        <f t="shared" si="24"/>
        <v>5</v>
      </c>
      <c r="AS9" s="576"/>
      <c r="AT9" s="188">
        <v>23</v>
      </c>
      <c r="AU9" s="188">
        <v>1787.6824817518243</v>
      </c>
      <c r="AV9" s="185">
        <f t="shared" si="15"/>
        <v>77.725325293557574</v>
      </c>
      <c r="AW9" s="182">
        <f t="shared" si="25"/>
        <v>5</v>
      </c>
      <c r="AX9" s="576"/>
    </row>
    <row r="10" spans="1:50" ht="14.25" customHeight="1">
      <c r="B10" s="575"/>
      <c r="C10" s="180">
        <v>4</v>
      </c>
      <c r="D10" s="183" t="s">
        <v>357</v>
      </c>
      <c r="E10" s="180">
        <v>23</v>
      </c>
      <c r="F10" s="180">
        <v>2000</v>
      </c>
      <c r="G10" s="185">
        <f t="shared" si="10"/>
        <v>86.956521739130437</v>
      </c>
      <c r="H10" s="576"/>
      <c r="I10" s="186">
        <f t="shared" si="16"/>
        <v>23</v>
      </c>
      <c r="J10" s="186">
        <f t="shared" si="16"/>
        <v>1787.9928578261026</v>
      </c>
      <c r="K10" s="187">
        <f t="shared" si="16"/>
        <v>77.738819905482728</v>
      </c>
      <c r="L10" s="577"/>
      <c r="M10" s="186">
        <f>RANK(K10, K$7:$K$21)</f>
        <v>4</v>
      </c>
      <c r="N10" s="575"/>
      <c r="O10" s="575"/>
      <c r="P10" s="188">
        <v>23</v>
      </c>
      <c r="Q10" s="188">
        <v>1787.9333461022802</v>
      </c>
      <c r="R10" s="185">
        <f t="shared" si="17"/>
        <v>77.736232439229568</v>
      </c>
      <c r="S10" s="182">
        <f t="shared" si="18"/>
        <v>4</v>
      </c>
      <c r="T10" s="576"/>
      <c r="U10" s="188">
        <v>23</v>
      </c>
      <c r="V10" s="188">
        <v>1788.102815177479</v>
      </c>
      <c r="W10" s="185">
        <f t="shared" si="11"/>
        <v>77.74360065989039</v>
      </c>
      <c r="X10" s="182">
        <f t="shared" si="19"/>
        <v>4</v>
      </c>
      <c r="Y10" s="576"/>
      <c r="Z10" s="188">
        <v>23</v>
      </c>
      <c r="AA10" s="188">
        <v>1788.0960668291007</v>
      </c>
      <c r="AB10" s="185">
        <f t="shared" si="12"/>
        <v>77.743307253439156</v>
      </c>
      <c r="AC10" s="182">
        <f t="shared" si="20"/>
        <v>4</v>
      </c>
      <c r="AD10" s="576"/>
      <c r="AE10" s="188">
        <v>23</v>
      </c>
      <c r="AF10" s="188">
        <v>1787.8729547641949</v>
      </c>
      <c r="AG10" s="185">
        <f t="shared" si="21"/>
        <v>77.733606728878044</v>
      </c>
      <c r="AH10" s="182">
        <f t="shared" si="22"/>
        <v>4</v>
      </c>
      <c r="AI10" s="576"/>
      <c r="AJ10" s="188">
        <v>23</v>
      </c>
      <c r="AK10" s="188">
        <v>1787.9271798147565</v>
      </c>
      <c r="AL10" s="185">
        <f t="shared" si="13"/>
        <v>77.735964339772025</v>
      </c>
      <c r="AM10" s="182">
        <f t="shared" si="23"/>
        <v>4</v>
      </c>
      <c r="AN10" s="576"/>
      <c r="AO10" s="188">
        <v>23</v>
      </c>
      <c r="AP10" s="188">
        <v>1787.9789103690684</v>
      </c>
      <c r="AQ10" s="185">
        <f t="shared" si="14"/>
        <v>77.738213494307317</v>
      </c>
      <c r="AR10" s="182">
        <f t="shared" si="24"/>
        <v>4</v>
      </c>
      <c r="AS10" s="576"/>
      <c r="AT10" s="188">
        <v>23</v>
      </c>
      <c r="AU10" s="188">
        <v>1788.0387317258396</v>
      </c>
      <c r="AV10" s="185">
        <f t="shared" si="15"/>
        <v>77.740814422862599</v>
      </c>
      <c r="AW10" s="182">
        <f t="shared" si="25"/>
        <v>4</v>
      </c>
      <c r="AX10" s="576"/>
    </row>
    <row r="11" spans="1:50" ht="14.25" customHeight="1">
      <c r="B11" s="575"/>
      <c r="C11" s="180">
        <v>5</v>
      </c>
      <c r="D11" s="183" t="s">
        <v>462</v>
      </c>
      <c r="E11" s="180">
        <v>23</v>
      </c>
      <c r="F11" s="180">
        <v>2000</v>
      </c>
      <c r="G11" s="185">
        <f t="shared" si="10"/>
        <v>86.956521739130437</v>
      </c>
      <c r="H11" s="576"/>
      <c r="I11" s="186">
        <f t="shared" si="16"/>
        <v>23</v>
      </c>
      <c r="J11" s="186">
        <f t="shared" si="16"/>
        <v>1786.0387092886963</v>
      </c>
      <c r="K11" s="187">
        <f t="shared" si="16"/>
        <v>77.653856925595505</v>
      </c>
      <c r="L11" s="577"/>
      <c r="M11" s="186">
        <f>RANK(K11, K$7:$K$21)</f>
        <v>6</v>
      </c>
      <c r="N11" s="575"/>
      <c r="O11" s="575"/>
      <c r="P11" s="188">
        <v>23</v>
      </c>
      <c r="Q11" s="188">
        <v>1785.4488725003544</v>
      </c>
      <c r="R11" s="185">
        <f t="shared" si="17"/>
        <v>77.628211847841499</v>
      </c>
      <c r="S11" s="182">
        <f t="shared" si="18"/>
        <v>6</v>
      </c>
      <c r="T11" s="576"/>
      <c r="U11" s="188">
        <v>23</v>
      </c>
      <c r="V11" s="188">
        <v>1785.6</v>
      </c>
      <c r="W11" s="185">
        <f t="shared" si="11"/>
        <v>77.634782608695645</v>
      </c>
      <c r="X11" s="182">
        <f t="shared" si="19"/>
        <v>6</v>
      </c>
      <c r="Y11" s="576"/>
      <c r="Z11" s="188">
        <v>23</v>
      </c>
      <c r="AA11" s="188">
        <v>1785.6787667826957</v>
      </c>
      <c r="AB11" s="185">
        <f t="shared" si="12"/>
        <v>77.638207251421548</v>
      </c>
      <c r="AC11" s="182">
        <f t="shared" si="20"/>
        <v>6</v>
      </c>
      <c r="AD11" s="576"/>
      <c r="AE11" s="188">
        <v>23</v>
      </c>
      <c r="AF11" s="188">
        <v>1786.0320744956011</v>
      </c>
      <c r="AG11" s="185">
        <f t="shared" si="21"/>
        <v>77.65356845633049</v>
      </c>
      <c r="AH11" s="182">
        <f t="shared" si="22"/>
        <v>6</v>
      </c>
      <c r="AI11" s="576"/>
      <c r="AJ11" s="188">
        <v>23</v>
      </c>
      <c r="AK11" s="188">
        <v>1786.6078809589421</v>
      </c>
      <c r="AL11" s="185">
        <f t="shared" si="13"/>
        <v>77.678603519954009</v>
      </c>
      <c r="AM11" s="182">
        <f t="shared" si="23"/>
        <v>6</v>
      </c>
      <c r="AN11" s="576"/>
      <c r="AO11" s="188">
        <v>23</v>
      </c>
      <c r="AP11" s="188">
        <v>1786.4801864801866</v>
      </c>
      <c r="AQ11" s="185">
        <f t="shared" si="14"/>
        <v>77.67305158609507</v>
      </c>
      <c r="AR11" s="182">
        <f t="shared" si="24"/>
        <v>6</v>
      </c>
      <c r="AS11" s="576"/>
      <c r="AT11" s="188">
        <v>23</v>
      </c>
      <c r="AU11" s="188">
        <v>1786.4231838030951</v>
      </c>
      <c r="AV11" s="185">
        <f t="shared" si="15"/>
        <v>77.67057320883022</v>
      </c>
      <c r="AW11" s="182">
        <f t="shared" si="25"/>
        <v>6</v>
      </c>
      <c r="AX11" s="576"/>
    </row>
    <row r="12" spans="1:50" ht="14.25" customHeight="1">
      <c r="B12" s="575"/>
      <c r="C12" s="180">
        <v>6</v>
      </c>
      <c r="D12" s="183" t="s">
        <v>465</v>
      </c>
      <c r="E12" s="180">
        <v>22</v>
      </c>
      <c r="F12" s="180">
        <v>2000</v>
      </c>
      <c r="G12" s="185">
        <f t="shared" si="10"/>
        <v>90.909090909090907</v>
      </c>
      <c r="H12" s="576"/>
      <c r="I12" s="186">
        <f t="shared" si="16"/>
        <v>22</v>
      </c>
      <c r="J12" s="186">
        <f t="shared" si="16"/>
        <v>1786.9212392650302</v>
      </c>
      <c r="K12" s="187">
        <f t="shared" si="16"/>
        <v>81.223692693865019</v>
      </c>
      <c r="L12" s="577"/>
      <c r="M12" s="186">
        <f>RANK(K12, K$7:$K$21)</f>
        <v>2</v>
      </c>
      <c r="N12" s="575"/>
      <c r="O12" s="575"/>
      <c r="P12" s="188">
        <v>22</v>
      </c>
      <c r="Q12" s="188">
        <v>1786.4711274060494</v>
      </c>
      <c r="R12" s="185">
        <f t="shared" si="17"/>
        <v>81.203233063911341</v>
      </c>
      <c r="S12" s="182">
        <f t="shared" si="18"/>
        <v>2</v>
      </c>
      <c r="T12" s="576"/>
      <c r="U12" s="188">
        <v>22</v>
      </c>
      <c r="V12" s="188">
        <v>1786.5336658354111</v>
      </c>
      <c r="W12" s="185">
        <f t="shared" si="11"/>
        <v>81.206075719791414</v>
      </c>
      <c r="X12" s="182">
        <f t="shared" si="19"/>
        <v>2</v>
      </c>
      <c r="Y12" s="576"/>
      <c r="Z12" s="188">
        <v>22</v>
      </c>
      <c r="AA12" s="188">
        <v>1786.7403314917124</v>
      </c>
      <c r="AB12" s="185">
        <f t="shared" si="12"/>
        <v>81.215469613259657</v>
      </c>
      <c r="AC12" s="182">
        <f t="shared" si="20"/>
        <v>2</v>
      </c>
      <c r="AD12" s="576"/>
      <c r="AE12" s="188">
        <v>22</v>
      </c>
      <c r="AF12" s="188">
        <v>1787.0348139255698</v>
      </c>
      <c r="AG12" s="185">
        <f t="shared" si="21"/>
        <v>81.228855178434983</v>
      </c>
      <c r="AH12" s="182">
        <f t="shared" si="22"/>
        <v>2</v>
      </c>
      <c r="AI12" s="576"/>
      <c r="AJ12" s="188">
        <v>22</v>
      </c>
      <c r="AK12" s="188">
        <v>1787.2415829887773</v>
      </c>
      <c r="AL12" s="185">
        <f t="shared" si="13"/>
        <v>81.238253772217149</v>
      </c>
      <c r="AM12" s="182">
        <f t="shared" si="23"/>
        <v>2</v>
      </c>
      <c r="AN12" s="576"/>
      <c r="AO12" s="188">
        <v>22</v>
      </c>
      <c r="AP12" s="188">
        <v>1787.1468488047199</v>
      </c>
      <c r="AQ12" s="185">
        <f t="shared" si="14"/>
        <v>81.23394767294181</v>
      </c>
      <c r="AR12" s="182">
        <f t="shared" si="24"/>
        <v>2</v>
      </c>
      <c r="AS12" s="576"/>
      <c r="AT12" s="188">
        <v>22</v>
      </c>
      <c r="AU12" s="188">
        <v>1787.2803044029724</v>
      </c>
      <c r="AV12" s="185">
        <f t="shared" si="15"/>
        <v>81.240013836498747</v>
      </c>
      <c r="AW12" s="182">
        <f t="shared" si="25"/>
        <v>2</v>
      </c>
      <c r="AX12" s="576"/>
    </row>
    <row r="13" spans="1:50" ht="14.25" customHeight="1">
      <c r="B13" s="575"/>
      <c r="C13" s="180">
        <v>7</v>
      </c>
      <c r="D13" s="183" t="s">
        <v>469</v>
      </c>
      <c r="E13" s="180">
        <v>20</v>
      </c>
      <c r="F13" s="180">
        <v>2000</v>
      </c>
      <c r="G13" s="185">
        <f t="shared" si="10"/>
        <v>100</v>
      </c>
      <c r="H13" s="576"/>
      <c r="I13" s="186">
        <f t="shared" si="16"/>
        <v>20</v>
      </c>
      <c r="J13" s="186">
        <f t="shared" si="16"/>
        <v>1786.5812924932718</v>
      </c>
      <c r="K13" s="187">
        <f t="shared" si="16"/>
        <v>89.329064624663573</v>
      </c>
      <c r="L13" s="577"/>
      <c r="M13" s="186">
        <f>RANK(K13, K$7:$K$21)</f>
        <v>1</v>
      </c>
      <c r="N13" s="575"/>
      <c r="O13" s="575"/>
      <c r="P13" s="188">
        <v>20</v>
      </c>
      <c r="Q13" s="188">
        <v>1786.4986498649862</v>
      </c>
      <c r="R13" s="185">
        <f t="shared" si="17"/>
        <v>89.324932493249307</v>
      </c>
      <c r="S13" s="182">
        <f t="shared" si="18"/>
        <v>1</v>
      </c>
      <c r="T13" s="576"/>
      <c r="U13" s="188">
        <v>20</v>
      </c>
      <c r="V13" s="188">
        <v>1786.4272890484738</v>
      </c>
      <c r="W13" s="185">
        <f t="shared" si="11"/>
        <v>89.321364452423694</v>
      </c>
      <c r="X13" s="182">
        <f t="shared" si="19"/>
        <v>1</v>
      </c>
      <c r="Y13" s="576"/>
      <c r="Z13" s="188">
        <v>20</v>
      </c>
      <c r="AA13" s="188">
        <v>1786.5354330708665</v>
      </c>
      <c r="AB13" s="185">
        <f t="shared" si="12"/>
        <v>89.326771653543318</v>
      </c>
      <c r="AC13" s="182">
        <f t="shared" si="20"/>
        <v>1</v>
      </c>
      <c r="AD13" s="576"/>
      <c r="AE13" s="188">
        <v>20</v>
      </c>
      <c r="AF13" s="188">
        <v>1786.5551239916349</v>
      </c>
      <c r="AG13" s="185">
        <f t="shared" si="21"/>
        <v>89.327756199581742</v>
      </c>
      <c r="AH13" s="182">
        <f t="shared" si="22"/>
        <v>1</v>
      </c>
      <c r="AI13" s="576"/>
      <c r="AJ13" s="188">
        <v>20</v>
      </c>
      <c r="AK13" s="188">
        <v>1786.6004962779164</v>
      </c>
      <c r="AL13" s="185">
        <f t="shared" si="13"/>
        <v>89.330024813895818</v>
      </c>
      <c r="AM13" s="182">
        <f t="shared" si="23"/>
        <v>1</v>
      </c>
      <c r="AN13" s="576"/>
      <c r="AO13" s="188">
        <v>20</v>
      </c>
      <c r="AP13" s="188">
        <v>1786.7475097444783</v>
      </c>
      <c r="AQ13" s="185">
        <f t="shared" si="14"/>
        <v>89.337375487223909</v>
      </c>
      <c r="AR13" s="182">
        <f t="shared" si="24"/>
        <v>1</v>
      </c>
      <c r="AS13" s="576"/>
      <c r="AT13" s="188">
        <v>20</v>
      </c>
      <c r="AU13" s="188">
        <v>1786.7045454545455</v>
      </c>
      <c r="AV13" s="185">
        <f t="shared" si="15"/>
        <v>89.33522727272728</v>
      </c>
      <c r="AW13" s="182">
        <f t="shared" si="25"/>
        <v>1</v>
      </c>
      <c r="AX13" s="576"/>
    </row>
    <row r="14" spans="1:50" ht="14.25" customHeight="1">
      <c r="B14" s="575"/>
      <c r="C14" s="180">
        <v>8</v>
      </c>
      <c r="D14" s="183" t="s">
        <v>361</v>
      </c>
      <c r="E14" s="180">
        <v>24</v>
      </c>
      <c r="F14" s="180">
        <v>2000</v>
      </c>
      <c r="G14" s="185">
        <f t="shared" si="10"/>
        <v>83.333333333333329</v>
      </c>
      <c r="H14" s="576"/>
      <c r="I14" s="186">
        <f t="shared" si="16"/>
        <v>24</v>
      </c>
      <c r="J14" s="186">
        <f t="shared" si="16"/>
        <v>1787.5785261132012</v>
      </c>
      <c r="K14" s="187">
        <f t="shared" si="16"/>
        <v>74.482438588050044</v>
      </c>
      <c r="L14" s="577"/>
      <c r="M14" s="186">
        <f>RANK(K14, K$7:$K$21)</f>
        <v>7</v>
      </c>
      <c r="N14" s="575"/>
      <c r="O14" s="575"/>
      <c r="P14" s="188">
        <v>24</v>
      </c>
      <c r="Q14" s="188">
        <v>1787.0897630949798</v>
      </c>
      <c r="R14" s="185">
        <f t="shared" si="17"/>
        <v>74.462073462290832</v>
      </c>
      <c r="S14" s="182">
        <f t="shared" si="18"/>
        <v>7</v>
      </c>
      <c r="T14" s="576"/>
      <c r="U14" s="188">
        <v>24</v>
      </c>
      <c r="V14" s="188">
        <v>1787.2219592995755</v>
      </c>
      <c r="W14" s="185">
        <f t="shared" si="11"/>
        <v>74.467581637482311</v>
      </c>
      <c r="X14" s="182">
        <f t="shared" si="19"/>
        <v>7</v>
      </c>
      <c r="Y14" s="576"/>
      <c r="Z14" s="188">
        <v>24</v>
      </c>
      <c r="AA14" s="188">
        <v>1787.3861247372129</v>
      </c>
      <c r="AB14" s="185">
        <f t="shared" si="12"/>
        <v>74.474421864050541</v>
      </c>
      <c r="AC14" s="182">
        <f t="shared" si="20"/>
        <v>7</v>
      </c>
      <c r="AD14" s="576"/>
      <c r="AE14" s="188">
        <v>24</v>
      </c>
      <c r="AF14" s="188">
        <v>1787.7365632096903</v>
      </c>
      <c r="AG14" s="185">
        <f t="shared" si="21"/>
        <v>74.489023467070425</v>
      </c>
      <c r="AH14" s="182">
        <f t="shared" si="22"/>
        <v>7</v>
      </c>
      <c r="AI14" s="576"/>
      <c r="AJ14" s="188">
        <v>24</v>
      </c>
      <c r="AK14" s="188">
        <v>1787.477114610032</v>
      </c>
      <c r="AL14" s="185">
        <f t="shared" si="13"/>
        <v>74.478213108751333</v>
      </c>
      <c r="AM14" s="182">
        <f t="shared" si="23"/>
        <v>7</v>
      </c>
      <c r="AN14" s="576"/>
      <c r="AO14" s="188">
        <v>24</v>
      </c>
      <c r="AP14" s="188">
        <v>1788.0478087649417</v>
      </c>
      <c r="AQ14" s="185">
        <f t="shared" si="14"/>
        <v>74.501992031872575</v>
      </c>
      <c r="AR14" s="182">
        <f t="shared" si="24"/>
        <v>7</v>
      </c>
      <c r="AS14" s="576"/>
      <c r="AT14" s="188">
        <v>24</v>
      </c>
      <c r="AU14" s="188">
        <v>1788.0903490759758</v>
      </c>
      <c r="AV14" s="185">
        <f t="shared" si="15"/>
        <v>74.503764544832322</v>
      </c>
      <c r="AW14" s="182">
        <f t="shared" si="25"/>
        <v>7</v>
      </c>
      <c r="AX14" s="576"/>
    </row>
    <row r="15" spans="1:50" ht="14.25" customHeight="1">
      <c r="B15" s="575"/>
      <c r="C15" s="180">
        <v>9</v>
      </c>
      <c r="D15" s="183" t="s">
        <v>618</v>
      </c>
      <c r="E15" s="180">
        <v>26</v>
      </c>
      <c r="F15" s="180">
        <v>2000</v>
      </c>
      <c r="G15" s="185">
        <f t="shared" si="10"/>
        <v>76.92307692307692</v>
      </c>
      <c r="H15" s="576"/>
      <c r="I15" s="186">
        <f t="shared" si="16"/>
        <v>26</v>
      </c>
      <c r="J15" s="186">
        <f t="shared" si="16"/>
        <v>1728.4722467230793</v>
      </c>
      <c r="K15" s="187">
        <f t="shared" si="16"/>
        <v>66.4797017970415</v>
      </c>
      <c r="L15" s="577"/>
      <c r="M15" s="186">
        <f>RANK(K15, K$7:$K$21)</f>
        <v>9</v>
      </c>
      <c r="N15" s="575"/>
      <c r="O15" s="575"/>
      <c r="P15" s="188">
        <v>26</v>
      </c>
      <c r="Q15" s="188">
        <v>1636.415094339623</v>
      </c>
      <c r="R15" s="185">
        <f t="shared" si="17"/>
        <v>62.939042089985499</v>
      </c>
      <c r="S15" s="182">
        <f t="shared" si="18"/>
        <v>9</v>
      </c>
      <c r="T15" s="576"/>
      <c r="U15" s="188">
        <v>26</v>
      </c>
      <c r="V15" s="188">
        <v>1669.0951216372766</v>
      </c>
      <c r="W15" s="185">
        <f t="shared" si="11"/>
        <v>64.195966216818334</v>
      </c>
      <c r="X15" s="182">
        <f t="shared" si="19"/>
        <v>9</v>
      </c>
      <c r="Y15" s="576"/>
      <c r="Z15" s="188">
        <v>26</v>
      </c>
      <c r="AA15" s="188">
        <v>1705.699800276539</v>
      </c>
      <c r="AB15" s="185">
        <f t="shared" si="12"/>
        <v>65.603838472174573</v>
      </c>
      <c r="AC15" s="182">
        <f t="shared" si="20"/>
        <v>9</v>
      </c>
      <c r="AD15" s="576"/>
      <c r="AE15" s="188">
        <v>26</v>
      </c>
      <c r="AF15" s="188">
        <v>1739.934569247547</v>
      </c>
      <c r="AG15" s="185">
        <f t="shared" si="21"/>
        <v>66.92056035567488</v>
      </c>
      <c r="AH15" s="182">
        <f t="shared" si="22"/>
        <v>9</v>
      </c>
      <c r="AI15" s="576"/>
      <c r="AJ15" s="188">
        <v>26</v>
      </c>
      <c r="AK15" s="188">
        <v>1770.5454545454543</v>
      </c>
      <c r="AL15" s="185">
        <f t="shared" si="13"/>
        <v>68.097902097902093</v>
      </c>
      <c r="AM15" s="182">
        <f t="shared" si="23"/>
        <v>9</v>
      </c>
      <c r="AN15" s="576"/>
      <c r="AO15" s="188">
        <v>26</v>
      </c>
      <c r="AP15" s="188">
        <v>1788.8317674171244</v>
      </c>
      <c r="AQ15" s="185">
        <f t="shared" si="14"/>
        <v>68.80122182373556</v>
      </c>
      <c r="AR15" s="182">
        <f t="shared" si="24"/>
        <v>9</v>
      </c>
      <c r="AS15" s="576"/>
      <c r="AT15" s="188">
        <v>26</v>
      </c>
      <c r="AU15" s="188">
        <v>1788.7839195979907</v>
      </c>
      <c r="AV15" s="185">
        <f t="shared" si="15"/>
        <v>68.799381522999639</v>
      </c>
      <c r="AW15" s="182">
        <f t="shared" si="25"/>
        <v>9</v>
      </c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589" t="s">
        <v>657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09" t="s">
        <v>374</v>
      </c>
      <c r="O22" s="609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1"/>
      <c r="O23" s="611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375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376</v>
      </c>
      <c r="F25" s="575"/>
      <c r="G25" s="575"/>
      <c r="H25" s="575"/>
      <c r="I25" s="579" t="s">
        <v>376</v>
      </c>
      <c r="J25" s="579"/>
      <c r="K25" s="579"/>
      <c r="L25" s="579"/>
      <c r="M25" s="579"/>
      <c r="N25" s="575"/>
      <c r="O25" s="575"/>
      <c r="P25" s="575" t="s">
        <v>377</v>
      </c>
      <c r="Q25" s="575"/>
      <c r="R25" s="575"/>
      <c r="S25" s="575"/>
      <c r="T25" s="575"/>
      <c r="U25" s="575" t="s">
        <v>377</v>
      </c>
      <c r="V25" s="575"/>
      <c r="W25" s="575"/>
      <c r="X25" s="575"/>
      <c r="Y25" s="575"/>
      <c r="Z25" s="575" t="s">
        <v>377</v>
      </c>
      <c r="AA25" s="575"/>
      <c r="AB25" s="575"/>
      <c r="AC25" s="575"/>
      <c r="AD25" s="575"/>
      <c r="AE25" s="575" t="s">
        <v>377</v>
      </c>
      <c r="AF25" s="575"/>
      <c r="AG25" s="575"/>
      <c r="AH25" s="575"/>
      <c r="AI25" s="575"/>
      <c r="AJ25" s="575" t="s">
        <v>377</v>
      </c>
      <c r="AK25" s="575"/>
      <c r="AL25" s="575"/>
      <c r="AM25" s="575"/>
      <c r="AN25" s="575"/>
      <c r="AO25" s="575" t="s">
        <v>377</v>
      </c>
      <c r="AP25" s="575"/>
      <c r="AQ25" s="575"/>
      <c r="AR25" s="575"/>
      <c r="AS25" s="575"/>
      <c r="AT25" s="575" t="s">
        <v>377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378</v>
      </c>
      <c r="G26" s="180" t="s">
        <v>161</v>
      </c>
      <c r="H26" s="575"/>
      <c r="I26" s="181" t="s">
        <v>159</v>
      </c>
      <c r="J26" s="181" t="s">
        <v>378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378</v>
      </c>
      <c r="R26" s="180" t="s">
        <v>161</v>
      </c>
      <c r="S26" s="182" t="s">
        <v>165</v>
      </c>
      <c r="T26" s="575"/>
      <c r="U26" s="180" t="s">
        <v>159</v>
      </c>
      <c r="V26" s="180" t="s">
        <v>378</v>
      </c>
      <c r="W26" s="180" t="s">
        <v>161</v>
      </c>
      <c r="X26" s="182" t="s">
        <v>165</v>
      </c>
      <c r="Y26" s="575"/>
      <c r="Z26" s="180" t="s">
        <v>159</v>
      </c>
      <c r="AA26" s="180" t="s">
        <v>378</v>
      </c>
      <c r="AB26" s="180" t="s">
        <v>161</v>
      </c>
      <c r="AC26" s="182" t="s">
        <v>165</v>
      </c>
      <c r="AD26" s="575"/>
      <c r="AE26" s="180" t="s">
        <v>159</v>
      </c>
      <c r="AF26" s="180" t="s">
        <v>378</v>
      </c>
      <c r="AG26" s="180" t="s">
        <v>161</v>
      </c>
      <c r="AH26" s="182" t="s">
        <v>165</v>
      </c>
      <c r="AI26" s="575"/>
      <c r="AJ26" s="180" t="s">
        <v>159</v>
      </c>
      <c r="AK26" s="180" t="s">
        <v>378</v>
      </c>
      <c r="AL26" s="180" t="s">
        <v>161</v>
      </c>
      <c r="AM26" s="182" t="s">
        <v>165</v>
      </c>
      <c r="AN26" s="575"/>
      <c r="AO26" s="180" t="s">
        <v>159</v>
      </c>
      <c r="AP26" s="180" t="s">
        <v>378</v>
      </c>
      <c r="AQ26" s="180" t="s">
        <v>161</v>
      </c>
      <c r="AR26" s="182" t="s">
        <v>165</v>
      </c>
      <c r="AS26" s="575"/>
      <c r="AT26" s="180" t="s">
        <v>159</v>
      </c>
      <c r="AU26" s="180" t="s">
        <v>378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137</v>
      </c>
      <c r="C27" s="180">
        <v>1</v>
      </c>
      <c r="D27" s="183" t="s">
        <v>358</v>
      </c>
      <c r="E27" s="180">
        <v>21</v>
      </c>
      <c r="F27" s="180">
        <v>2000</v>
      </c>
      <c r="G27" s="185">
        <f t="shared" ref="G27:G35" si="26">F27/E27</f>
        <v>95.238095238095241</v>
      </c>
      <c r="H27" s="576">
        <f>AVERAGE(G27:G41)</f>
        <v>87.845166106035677</v>
      </c>
      <c r="I27" s="186">
        <f>AVERAGE(P27,U27,Z27,AE27,AJ27,AO27,AT27)</f>
        <v>22</v>
      </c>
      <c r="J27" s="186">
        <f>AVERAGE(Q27,V27,AA27,AF27,AK27,AP27,AU27)</f>
        <v>1785.9161297450648</v>
      </c>
      <c r="K27" s="187">
        <f>AVERAGE(R27,W27,AB27,AG27,AL27,AQ27,AV27)</f>
        <v>81.178005897502956</v>
      </c>
      <c r="L27" s="577">
        <f>IFERROR(AVERAGE(K27:K41),"-")</f>
        <v>78.075185654829028</v>
      </c>
      <c r="M27" s="186">
        <f>RANK(K27, K$27:$K$41)</f>
        <v>3</v>
      </c>
      <c r="N27" s="575"/>
      <c r="O27" s="575"/>
      <c r="P27" s="188">
        <v>22</v>
      </c>
      <c r="Q27" s="188">
        <v>1785.7496288965858</v>
      </c>
      <c r="R27" s="185">
        <f>IFERROR(Q27/P27,"")</f>
        <v>81.170437677117533</v>
      </c>
      <c r="S27" s="182">
        <f>RANK(R27, R$27:R$41)</f>
        <v>3</v>
      </c>
      <c r="T27" s="576">
        <f>AVERAGE(R27:R41)</f>
        <v>78.071694975222229</v>
      </c>
      <c r="U27" s="188">
        <v>22</v>
      </c>
      <c r="V27" s="188">
        <v>1785.6632793188676</v>
      </c>
      <c r="W27" s="185">
        <f t="shared" ref="W27:W35" si="27">IFERROR(V27/U27,"")</f>
        <v>81.166512696312168</v>
      </c>
      <c r="X27" s="182">
        <f>RANK(W27, W$27:W$41)</f>
        <v>3</v>
      </c>
      <c r="Y27" s="576">
        <f>AVERAGE(W27:W41)</f>
        <v>78.070489401499898</v>
      </c>
      <c r="Z27" s="188">
        <v>22</v>
      </c>
      <c r="AA27" s="188">
        <v>1786</v>
      </c>
      <c r="AB27" s="185">
        <f t="shared" ref="AB27:AB35" si="28">IFERROR(AA27/Z27,"")</f>
        <v>81.181818181818187</v>
      </c>
      <c r="AC27" s="182">
        <f>RANK(AB27, AB$27:AB$41)</f>
        <v>3</v>
      </c>
      <c r="AD27" s="576">
        <f>AVERAGE(AB27:AB41)</f>
        <v>78.068477467505417</v>
      </c>
      <c r="AE27" s="188">
        <v>22</v>
      </c>
      <c r="AF27" s="188">
        <v>1786</v>
      </c>
      <c r="AG27" s="185">
        <f>IFERROR(AF27/AE27,"")</f>
        <v>81.181818181818187</v>
      </c>
      <c r="AH27" s="182">
        <f>RANK(AG27, AG$27:AG$41)</f>
        <v>3</v>
      </c>
      <c r="AI27" s="576">
        <f>AVERAGE(AG27:AG41)</f>
        <v>78.07694519945143</v>
      </c>
      <c r="AJ27" s="188">
        <v>22</v>
      </c>
      <c r="AK27" s="188">
        <v>1786</v>
      </c>
      <c r="AL27" s="185">
        <f t="shared" ref="AL27:AL35" si="29">IFERROR(AK27/AJ27,"")</f>
        <v>81.181818181818187</v>
      </c>
      <c r="AM27" s="182">
        <f>RANK(AL27, AL$27:AL$41)</f>
        <v>3</v>
      </c>
      <c r="AN27" s="576">
        <f>AVERAGE(AL27:AL41)</f>
        <v>78.074600177323788</v>
      </c>
      <c r="AO27" s="188">
        <v>22</v>
      </c>
      <c r="AP27" s="188">
        <v>1786</v>
      </c>
      <c r="AQ27" s="185">
        <f t="shared" ref="AQ27:AQ35" si="30">IFERROR(AP27/AO27,"")</f>
        <v>81.181818181818187</v>
      </c>
      <c r="AR27" s="182">
        <f>RANK(AQ27, AQ$27:AQ$41)</f>
        <v>3</v>
      </c>
      <c r="AS27" s="576">
        <f>AVERAGE(AQ27:AQ41)</f>
        <v>78.082650243199922</v>
      </c>
      <c r="AT27" s="188">
        <v>22</v>
      </c>
      <c r="AU27" s="188">
        <v>1786</v>
      </c>
      <c r="AV27" s="185">
        <f t="shared" ref="AV27:AV35" si="31">IFERROR(AU27/AT27,"")</f>
        <v>81.181818181818187</v>
      </c>
      <c r="AW27" s="182">
        <f>RANK(AV27, AV$27:AV$41)</f>
        <v>3</v>
      </c>
      <c r="AX27" s="576">
        <f>AVERAGE(AV27:AV41)</f>
        <v>78.08144211960051</v>
      </c>
    </row>
    <row r="28" spans="2:50" ht="14.25" customHeight="1">
      <c r="B28" s="575"/>
      <c r="C28" s="180">
        <v>2</v>
      </c>
      <c r="D28" s="183" t="s">
        <v>359</v>
      </c>
      <c r="E28" s="180">
        <v>24</v>
      </c>
      <c r="F28" s="180">
        <v>2000</v>
      </c>
      <c r="G28" s="185">
        <f t="shared" si="26"/>
        <v>83.333333333333329</v>
      </c>
      <c r="H28" s="576"/>
      <c r="I28" s="186">
        <f t="shared" ref="I28:K35" si="32">AVERAGE(P28,U28,Z28,AE28,AJ28,AO28,AT28)</f>
        <v>24</v>
      </c>
      <c r="J28" s="186">
        <f t="shared" si="32"/>
        <v>1786.8477129593189</v>
      </c>
      <c r="K28" s="187">
        <f t="shared" si="32"/>
        <v>74.451988039971624</v>
      </c>
      <c r="L28" s="577"/>
      <c r="M28" s="186">
        <f>RANK(K28, K$27:$K$41)</f>
        <v>8</v>
      </c>
      <c r="N28" s="575"/>
      <c r="O28" s="575"/>
      <c r="P28" s="188">
        <v>24</v>
      </c>
      <c r="Q28" s="188">
        <v>1786.3354037267081</v>
      </c>
      <c r="R28" s="185">
        <f t="shared" ref="R28:R35" si="33">IFERROR(Q28/P28,"")</f>
        <v>74.430641821946168</v>
      </c>
      <c r="S28" s="182">
        <f t="shared" ref="S28:S35" si="34">RANK(R28, R$27:R$41)</f>
        <v>8</v>
      </c>
      <c r="T28" s="576"/>
      <c r="U28" s="188">
        <v>24</v>
      </c>
      <c r="V28" s="188">
        <v>1786.3997644980873</v>
      </c>
      <c r="W28" s="185">
        <f t="shared" si="27"/>
        <v>74.433323520753632</v>
      </c>
      <c r="X28" s="182">
        <f t="shared" ref="X28:X35" si="35">RANK(W28, W$27:W$41)</f>
        <v>8</v>
      </c>
      <c r="Y28" s="576"/>
      <c r="Z28" s="188">
        <v>24</v>
      </c>
      <c r="AA28" s="188">
        <v>1786.5997644980873</v>
      </c>
      <c r="AB28" s="185">
        <f t="shared" si="28"/>
        <v>74.441656854086972</v>
      </c>
      <c r="AC28" s="182">
        <f t="shared" ref="AC28:AC35" si="36">RANK(AB28, AB$27:AB$41)</f>
        <v>8</v>
      </c>
      <c r="AD28" s="576"/>
      <c r="AE28" s="188">
        <v>24</v>
      </c>
      <c r="AF28" s="188">
        <v>1786.999764498087</v>
      </c>
      <c r="AG28" s="185">
        <f t="shared" ref="AG28:AG35" si="37">IFERROR(AF28/AE28,"")</f>
        <v>74.458323520753623</v>
      </c>
      <c r="AH28" s="182">
        <f t="shared" ref="AH28:AH35" si="38">RANK(AG28, AG$27:AG$41)</f>
        <v>8</v>
      </c>
      <c r="AI28" s="576"/>
      <c r="AJ28" s="188">
        <v>24</v>
      </c>
      <c r="AK28" s="188">
        <v>1786.5997644980873</v>
      </c>
      <c r="AL28" s="185">
        <f t="shared" si="29"/>
        <v>74.441656854086972</v>
      </c>
      <c r="AM28" s="182">
        <f t="shared" ref="AM28:AM35" si="39">RANK(AL28, AL$27:AL$41)</f>
        <v>8</v>
      </c>
      <c r="AN28" s="576"/>
      <c r="AO28" s="188">
        <v>24</v>
      </c>
      <c r="AP28" s="188">
        <v>1787.1997644980872</v>
      </c>
      <c r="AQ28" s="185">
        <f t="shared" si="30"/>
        <v>74.466656854086963</v>
      </c>
      <c r="AR28" s="182">
        <f t="shared" ref="AR28:AR35" si="40">RANK(AQ28, AQ$27:AQ$41)</f>
        <v>7</v>
      </c>
      <c r="AS28" s="576"/>
      <c r="AT28" s="188">
        <v>24</v>
      </c>
      <c r="AU28" s="188">
        <v>1787.7997644980874</v>
      </c>
      <c r="AV28" s="185">
        <f t="shared" si="31"/>
        <v>74.491656854086969</v>
      </c>
      <c r="AW28" s="182">
        <f t="shared" ref="AW28:AW35" si="41">RANK(AV28, AV$27:AV$41)</f>
        <v>7</v>
      </c>
      <c r="AX28" s="576"/>
    </row>
    <row r="29" spans="2:50" ht="14.25" customHeight="1">
      <c r="B29" s="575"/>
      <c r="C29" s="180">
        <v>3</v>
      </c>
      <c r="D29" s="183" t="s">
        <v>360</v>
      </c>
      <c r="E29" s="180">
        <v>23</v>
      </c>
      <c r="F29" s="180">
        <v>2000</v>
      </c>
      <c r="G29" s="185">
        <f t="shared" si="26"/>
        <v>86.956521739130437</v>
      </c>
      <c r="H29" s="576"/>
      <c r="I29" s="186">
        <f t="shared" si="32"/>
        <v>23</v>
      </c>
      <c r="J29" s="186">
        <f t="shared" si="32"/>
        <v>1788.3917239082814</v>
      </c>
      <c r="K29" s="187">
        <f t="shared" si="32"/>
        <v>77.756161909055692</v>
      </c>
      <c r="L29" s="577"/>
      <c r="M29" s="186">
        <f>RANK(K29, K$27:$K$41)</f>
        <v>5</v>
      </c>
      <c r="N29" s="575"/>
      <c r="O29" s="575"/>
      <c r="P29" s="188">
        <v>23</v>
      </c>
      <c r="Q29" s="188">
        <v>1787.6796714579061</v>
      </c>
      <c r="R29" s="185">
        <f t="shared" si="33"/>
        <v>77.725203106865479</v>
      </c>
      <c r="S29" s="182">
        <f t="shared" si="34"/>
        <v>5</v>
      </c>
      <c r="T29" s="576"/>
      <c r="U29" s="188">
        <v>23</v>
      </c>
      <c r="V29" s="188">
        <v>1787.7770659833438</v>
      </c>
      <c r="W29" s="185">
        <f t="shared" si="27"/>
        <v>77.729437651449729</v>
      </c>
      <c r="X29" s="182">
        <f t="shared" si="35"/>
        <v>5</v>
      </c>
      <c r="Y29" s="576"/>
      <c r="Z29" s="188">
        <v>23</v>
      </c>
      <c r="AA29" s="188">
        <v>1787.9770659833437</v>
      </c>
      <c r="AB29" s="185">
        <f t="shared" si="28"/>
        <v>77.738133303623641</v>
      </c>
      <c r="AC29" s="182">
        <f t="shared" si="36"/>
        <v>5</v>
      </c>
      <c r="AD29" s="576"/>
      <c r="AE29" s="188">
        <v>23</v>
      </c>
      <c r="AF29" s="188">
        <v>1788.3770659833435</v>
      </c>
      <c r="AG29" s="185">
        <f t="shared" si="37"/>
        <v>77.755524607971452</v>
      </c>
      <c r="AH29" s="182">
        <f t="shared" si="38"/>
        <v>5</v>
      </c>
      <c r="AI29" s="576"/>
      <c r="AJ29" s="188">
        <v>23</v>
      </c>
      <c r="AK29" s="188">
        <v>1788.9770659833434</v>
      </c>
      <c r="AL29" s="185">
        <f t="shared" si="29"/>
        <v>77.78161156449319</v>
      </c>
      <c r="AM29" s="182">
        <f t="shared" si="39"/>
        <v>4</v>
      </c>
      <c r="AN29" s="576"/>
      <c r="AO29" s="188">
        <v>23</v>
      </c>
      <c r="AP29" s="188">
        <v>1789.1770659833433</v>
      </c>
      <c r="AQ29" s="185">
        <f t="shared" si="30"/>
        <v>77.790307216667102</v>
      </c>
      <c r="AR29" s="182">
        <f t="shared" si="40"/>
        <v>4</v>
      </c>
      <c r="AS29" s="576"/>
      <c r="AT29" s="188">
        <v>23</v>
      </c>
      <c r="AU29" s="188">
        <v>1788.7770659833434</v>
      </c>
      <c r="AV29" s="185">
        <f t="shared" si="31"/>
        <v>77.772915912319277</v>
      </c>
      <c r="AW29" s="182">
        <f t="shared" si="41"/>
        <v>5</v>
      </c>
      <c r="AX29" s="576"/>
    </row>
    <row r="30" spans="2:50" ht="14.25" customHeight="1">
      <c r="B30" s="575"/>
      <c r="C30" s="180">
        <v>4</v>
      </c>
      <c r="D30" s="183" t="s">
        <v>357</v>
      </c>
      <c r="E30" s="180">
        <v>23</v>
      </c>
      <c r="F30" s="180">
        <v>2000</v>
      </c>
      <c r="G30" s="185">
        <f t="shared" si="26"/>
        <v>86.956521739130437</v>
      </c>
      <c r="H30" s="576"/>
      <c r="I30" s="186">
        <f t="shared" si="32"/>
        <v>23</v>
      </c>
      <c r="J30" s="186">
        <f t="shared" si="32"/>
        <v>1788.4471917465064</v>
      </c>
      <c r="K30" s="187">
        <f t="shared" si="32"/>
        <v>77.75857355419592</v>
      </c>
      <c r="L30" s="577"/>
      <c r="M30" s="186">
        <f>RANK(K30, K$27:$K$41)</f>
        <v>4</v>
      </c>
      <c r="N30" s="575"/>
      <c r="O30" s="575"/>
      <c r="P30" s="188">
        <v>23</v>
      </c>
      <c r="Q30" s="188">
        <v>1788.1453154875726</v>
      </c>
      <c r="R30" s="185">
        <f t="shared" si="33"/>
        <v>77.745448499459684</v>
      </c>
      <c r="S30" s="182">
        <f t="shared" si="34"/>
        <v>4</v>
      </c>
      <c r="T30" s="576"/>
      <c r="U30" s="188">
        <v>23</v>
      </c>
      <c r="V30" s="188">
        <v>1788.0641711229953</v>
      </c>
      <c r="W30" s="185">
        <f t="shared" si="27"/>
        <v>77.741920483608496</v>
      </c>
      <c r="X30" s="182">
        <f t="shared" si="35"/>
        <v>4</v>
      </c>
      <c r="Y30" s="576"/>
      <c r="Z30" s="188">
        <v>23</v>
      </c>
      <c r="AA30" s="188">
        <v>1788.2641711229953</v>
      </c>
      <c r="AB30" s="185">
        <f t="shared" si="28"/>
        <v>77.750616135782408</v>
      </c>
      <c r="AC30" s="182">
        <f t="shared" si="36"/>
        <v>4</v>
      </c>
      <c r="AD30" s="576"/>
      <c r="AE30" s="188">
        <v>23</v>
      </c>
      <c r="AF30" s="188">
        <v>1788.8641711229952</v>
      </c>
      <c r="AG30" s="185">
        <f t="shared" si="37"/>
        <v>77.776703092304146</v>
      </c>
      <c r="AH30" s="182">
        <f t="shared" si="38"/>
        <v>4</v>
      </c>
      <c r="AI30" s="576"/>
      <c r="AJ30" s="188">
        <v>23</v>
      </c>
      <c r="AK30" s="188">
        <v>1788.6641711229952</v>
      </c>
      <c r="AL30" s="185">
        <f t="shared" si="29"/>
        <v>77.768007440130219</v>
      </c>
      <c r="AM30" s="182">
        <f t="shared" si="39"/>
        <v>5</v>
      </c>
      <c r="AN30" s="576"/>
      <c r="AO30" s="188">
        <v>23</v>
      </c>
      <c r="AP30" s="188">
        <v>1788.2641711229949</v>
      </c>
      <c r="AQ30" s="185">
        <f t="shared" si="30"/>
        <v>77.75061613578238</v>
      </c>
      <c r="AR30" s="182">
        <f t="shared" si="40"/>
        <v>5</v>
      </c>
      <c r="AS30" s="576"/>
      <c r="AT30" s="188">
        <v>23</v>
      </c>
      <c r="AU30" s="188">
        <v>1788.8641711229948</v>
      </c>
      <c r="AV30" s="185">
        <f t="shared" si="31"/>
        <v>77.776703092304118</v>
      </c>
      <c r="AW30" s="182">
        <f t="shared" si="41"/>
        <v>4</v>
      </c>
      <c r="AX30" s="576"/>
    </row>
    <row r="31" spans="2:50" ht="14.25" customHeight="1">
      <c r="B31" s="575"/>
      <c r="C31" s="180">
        <v>5</v>
      </c>
      <c r="D31" s="183" t="s">
        <v>462</v>
      </c>
      <c r="E31" s="180">
        <v>23</v>
      </c>
      <c r="F31" s="180">
        <v>2000</v>
      </c>
      <c r="G31" s="185">
        <f t="shared" si="26"/>
        <v>86.956521739130437</v>
      </c>
      <c r="H31" s="576"/>
      <c r="I31" s="186">
        <f t="shared" si="32"/>
        <v>23</v>
      </c>
      <c r="J31" s="186">
        <f t="shared" si="32"/>
        <v>1787.3422351812794</v>
      </c>
      <c r="K31" s="187">
        <f t="shared" si="32"/>
        <v>77.710531964403444</v>
      </c>
      <c r="L31" s="577"/>
      <c r="M31" s="186">
        <f>RANK(K31, K$27:$K$41)</f>
        <v>6</v>
      </c>
      <c r="N31" s="575"/>
      <c r="O31" s="575"/>
      <c r="P31" s="188">
        <v>23</v>
      </c>
      <c r="Q31" s="188">
        <v>1786.6988387875126</v>
      </c>
      <c r="R31" s="185">
        <f t="shared" si="33"/>
        <v>77.682558208152727</v>
      </c>
      <c r="S31" s="182">
        <f t="shared" si="34"/>
        <v>6</v>
      </c>
      <c r="T31" s="576"/>
      <c r="U31" s="188">
        <v>23</v>
      </c>
      <c r="V31" s="188">
        <v>1786.649467913574</v>
      </c>
      <c r="W31" s="185">
        <f t="shared" si="27"/>
        <v>77.680411648416253</v>
      </c>
      <c r="X31" s="182">
        <f t="shared" si="35"/>
        <v>6</v>
      </c>
      <c r="Y31" s="576"/>
      <c r="Z31" s="188">
        <v>23</v>
      </c>
      <c r="AA31" s="188">
        <v>1786.6494679135737</v>
      </c>
      <c r="AB31" s="185">
        <f t="shared" si="28"/>
        <v>77.680411648416253</v>
      </c>
      <c r="AC31" s="182">
        <f t="shared" si="36"/>
        <v>6</v>
      </c>
      <c r="AD31" s="576"/>
      <c r="AE31" s="188">
        <v>23</v>
      </c>
      <c r="AF31" s="188">
        <v>1787.4494679135737</v>
      </c>
      <c r="AG31" s="185">
        <f t="shared" si="37"/>
        <v>77.715194257111904</v>
      </c>
      <c r="AH31" s="182">
        <f t="shared" si="38"/>
        <v>6</v>
      </c>
      <c r="AI31" s="576"/>
      <c r="AJ31" s="188">
        <v>23</v>
      </c>
      <c r="AK31" s="188">
        <v>1787.4494679135735</v>
      </c>
      <c r="AL31" s="185">
        <f t="shared" si="29"/>
        <v>77.715194257111889</v>
      </c>
      <c r="AM31" s="182">
        <f t="shared" si="39"/>
        <v>6</v>
      </c>
      <c r="AN31" s="576"/>
      <c r="AO31" s="188">
        <v>23</v>
      </c>
      <c r="AP31" s="188">
        <v>1788.2494679135734</v>
      </c>
      <c r="AQ31" s="185">
        <f t="shared" si="30"/>
        <v>77.74997686580754</v>
      </c>
      <c r="AR31" s="182">
        <f t="shared" si="40"/>
        <v>6</v>
      </c>
      <c r="AS31" s="576"/>
      <c r="AT31" s="188">
        <v>23</v>
      </c>
      <c r="AU31" s="188">
        <v>1788.2494679135734</v>
      </c>
      <c r="AV31" s="185">
        <f t="shared" si="31"/>
        <v>77.74997686580754</v>
      </c>
      <c r="AW31" s="182">
        <f t="shared" si="41"/>
        <v>6</v>
      </c>
      <c r="AX31" s="576"/>
    </row>
    <row r="32" spans="2:50" ht="14.25" customHeight="1">
      <c r="B32" s="575"/>
      <c r="C32" s="180">
        <v>6</v>
      </c>
      <c r="D32" s="183" t="s">
        <v>465</v>
      </c>
      <c r="E32" s="180">
        <v>22</v>
      </c>
      <c r="F32" s="180">
        <v>2000</v>
      </c>
      <c r="G32" s="185">
        <f t="shared" si="26"/>
        <v>90.909090909090907</v>
      </c>
      <c r="H32" s="576"/>
      <c r="I32" s="186">
        <f t="shared" si="32"/>
        <v>22</v>
      </c>
      <c r="J32" s="186">
        <f t="shared" si="32"/>
        <v>1788.244769614457</v>
      </c>
      <c r="K32" s="187">
        <f t="shared" si="32"/>
        <v>81.283853164293504</v>
      </c>
      <c r="L32" s="577"/>
      <c r="M32" s="186">
        <f>RANK(K32, K$27:$K$41)</f>
        <v>2</v>
      </c>
      <c r="N32" s="575"/>
      <c r="O32" s="575"/>
      <c r="P32" s="188">
        <v>22</v>
      </c>
      <c r="Q32" s="188">
        <v>1787.5173370319005</v>
      </c>
      <c r="R32" s="185">
        <f t="shared" si="33"/>
        <v>81.250788046904574</v>
      </c>
      <c r="S32" s="182">
        <f t="shared" si="34"/>
        <v>2</v>
      </c>
      <c r="T32" s="576"/>
      <c r="U32" s="188">
        <v>22</v>
      </c>
      <c r="V32" s="188">
        <v>1787.4326750448827</v>
      </c>
      <c r="W32" s="185">
        <f t="shared" si="27"/>
        <v>81.246939774767398</v>
      </c>
      <c r="X32" s="182">
        <f t="shared" si="35"/>
        <v>2</v>
      </c>
      <c r="Y32" s="576"/>
      <c r="Z32" s="188">
        <v>22</v>
      </c>
      <c r="AA32" s="188">
        <v>1788.0326750448828</v>
      </c>
      <c r="AB32" s="185">
        <f t="shared" si="28"/>
        <v>81.274212502040129</v>
      </c>
      <c r="AC32" s="182">
        <f t="shared" si="36"/>
        <v>2</v>
      </c>
      <c r="AD32" s="576"/>
      <c r="AE32" s="188">
        <v>22</v>
      </c>
      <c r="AF32" s="188">
        <v>1788.032675044883</v>
      </c>
      <c r="AG32" s="185">
        <f t="shared" si="37"/>
        <v>81.274212502040143</v>
      </c>
      <c r="AH32" s="182">
        <f t="shared" si="38"/>
        <v>2</v>
      </c>
      <c r="AI32" s="576"/>
      <c r="AJ32" s="188">
        <v>22</v>
      </c>
      <c r="AK32" s="188">
        <v>1788.6326750448832</v>
      </c>
      <c r="AL32" s="185">
        <f t="shared" si="29"/>
        <v>81.301485229312874</v>
      </c>
      <c r="AM32" s="182">
        <f t="shared" si="39"/>
        <v>2</v>
      </c>
      <c r="AN32" s="576"/>
      <c r="AO32" s="188">
        <v>22</v>
      </c>
      <c r="AP32" s="188">
        <v>1789.4326750448831</v>
      </c>
      <c r="AQ32" s="185">
        <f t="shared" si="30"/>
        <v>81.337848865676506</v>
      </c>
      <c r="AR32" s="182">
        <f t="shared" si="40"/>
        <v>2</v>
      </c>
      <c r="AS32" s="576"/>
      <c r="AT32" s="188">
        <v>22</v>
      </c>
      <c r="AU32" s="188">
        <v>1788.6326750448834</v>
      </c>
      <c r="AV32" s="185">
        <f t="shared" si="31"/>
        <v>81.301485229312888</v>
      </c>
      <c r="AW32" s="182">
        <f t="shared" si="41"/>
        <v>2</v>
      </c>
      <c r="AX32" s="576"/>
    </row>
    <row r="33" spans="2:50" ht="14.25" customHeight="1">
      <c r="B33" s="575"/>
      <c r="C33" s="180">
        <v>7</v>
      </c>
      <c r="D33" s="183" t="s">
        <v>469</v>
      </c>
      <c r="E33" s="180">
        <v>20</v>
      </c>
      <c r="F33" s="180">
        <v>2000</v>
      </c>
      <c r="G33" s="185">
        <f t="shared" si="26"/>
        <v>100</v>
      </c>
      <c r="H33" s="576"/>
      <c r="I33" s="186">
        <f t="shared" si="32"/>
        <v>20</v>
      </c>
      <c r="J33" s="186">
        <f t="shared" si="32"/>
        <v>1786.1128226599915</v>
      </c>
      <c r="K33" s="187">
        <f t="shared" si="32"/>
        <v>89.305641132999568</v>
      </c>
      <c r="L33" s="577"/>
      <c r="M33" s="186">
        <f>RANK(K33, K$27:$K$41)</f>
        <v>1</v>
      </c>
      <c r="N33" s="575"/>
      <c r="O33" s="575"/>
      <c r="P33" s="188">
        <v>20</v>
      </c>
      <c r="Q33" s="188">
        <v>1786.8131868131875</v>
      </c>
      <c r="R33" s="185">
        <f t="shared" si="33"/>
        <v>89.340659340659371</v>
      </c>
      <c r="S33" s="182">
        <f t="shared" si="34"/>
        <v>1</v>
      </c>
      <c r="T33" s="576"/>
      <c r="U33" s="188">
        <v>20</v>
      </c>
      <c r="V33" s="188">
        <v>1786.8960953011256</v>
      </c>
      <c r="W33" s="185">
        <f t="shared" si="27"/>
        <v>89.344804765056281</v>
      </c>
      <c r="X33" s="182">
        <f t="shared" si="35"/>
        <v>1</v>
      </c>
      <c r="Y33" s="576"/>
      <c r="Z33" s="188">
        <v>20</v>
      </c>
      <c r="AA33" s="188">
        <v>1786.2960953011254</v>
      </c>
      <c r="AB33" s="185">
        <f t="shared" si="28"/>
        <v>89.314804765056266</v>
      </c>
      <c r="AC33" s="182">
        <f t="shared" si="36"/>
        <v>1</v>
      </c>
      <c r="AD33" s="576"/>
      <c r="AE33" s="188">
        <v>20</v>
      </c>
      <c r="AF33" s="188">
        <v>1785.8960953011253</v>
      </c>
      <c r="AG33" s="185">
        <f t="shared" si="37"/>
        <v>89.29480476505627</v>
      </c>
      <c r="AH33" s="182">
        <f t="shared" si="38"/>
        <v>1</v>
      </c>
      <c r="AI33" s="576"/>
      <c r="AJ33" s="188">
        <v>20</v>
      </c>
      <c r="AK33" s="188">
        <v>1785.6960953011251</v>
      </c>
      <c r="AL33" s="185">
        <f t="shared" si="29"/>
        <v>89.284804765056251</v>
      </c>
      <c r="AM33" s="182">
        <f t="shared" si="39"/>
        <v>1</v>
      </c>
      <c r="AN33" s="576"/>
      <c r="AO33" s="188">
        <v>20</v>
      </c>
      <c r="AP33" s="188">
        <v>1785.8960953011249</v>
      </c>
      <c r="AQ33" s="185">
        <f t="shared" si="30"/>
        <v>89.294804765056242</v>
      </c>
      <c r="AR33" s="182">
        <f t="shared" si="40"/>
        <v>1</v>
      </c>
      <c r="AS33" s="576"/>
      <c r="AT33" s="188">
        <v>20</v>
      </c>
      <c r="AU33" s="188">
        <v>1785.2960953011252</v>
      </c>
      <c r="AV33" s="185">
        <f t="shared" si="31"/>
        <v>89.264804765056255</v>
      </c>
      <c r="AW33" s="182">
        <f t="shared" si="41"/>
        <v>1</v>
      </c>
      <c r="AX33" s="576"/>
    </row>
    <row r="34" spans="2:50" ht="14.25" customHeight="1">
      <c r="B34" s="575"/>
      <c r="C34" s="180">
        <v>8</v>
      </c>
      <c r="D34" s="183" t="s">
        <v>361</v>
      </c>
      <c r="E34" s="180">
        <v>24</v>
      </c>
      <c r="F34" s="180">
        <v>2000</v>
      </c>
      <c r="G34" s="185">
        <f t="shared" si="26"/>
        <v>83.333333333333329</v>
      </c>
      <c r="H34" s="576"/>
      <c r="I34" s="186">
        <f t="shared" si="32"/>
        <v>24</v>
      </c>
      <c r="J34" s="186">
        <f t="shared" si="32"/>
        <v>1787.1977553145255</v>
      </c>
      <c r="K34" s="187">
        <f t="shared" si="32"/>
        <v>74.466573138105218</v>
      </c>
      <c r="L34" s="577"/>
      <c r="M34" s="186">
        <f>RANK(K34, K$27:$K$41)</f>
        <v>7</v>
      </c>
      <c r="N34" s="575"/>
      <c r="O34" s="575"/>
      <c r="P34" s="188">
        <v>24</v>
      </c>
      <c r="Q34" s="188">
        <v>1788.0853150281921</v>
      </c>
      <c r="R34" s="185">
        <f t="shared" si="33"/>
        <v>74.503554792841342</v>
      </c>
      <c r="S34" s="182">
        <f t="shared" si="34"/>
        <v>7</v>
      </c>
      <c r="T34" s="576"/>
      <c r="U34" s="188">
        <v>24</v>
      </c>
      <c r="V34" s="188">
        <v>1787.816495362247</v>
      </c>
      <c r="W34" s="185">
        <f t="shared" si="27"/>
        <v>74.492353973426958</v>
      </c>
      <c r="X34" s="182">
        <f t="shared" si="35"/>
        <v>7</v>
      </c>
      <c r="Y34" s="576"/>
      <c r="Z34" s="188">
        <v>24</v>
      </c>
      <c r="AA34" s="188">
        <v>1787.016495362247</v>
      </c>
      <c r="AB34" s="185">
        <f t="shared" si="28"/>
        <v>74.459020640093627</v>
      </c>
      <c r="AC34" s="182">
        <f t="shared" si="36"/>
        <v>7</v>
      </c>
      <c r="AD34" s="576"/>
      <c r="AE34" s="188">
        <v>24</v>
      </c>
      <c r="AF34" s="188">
        <v>1787.4164953622474</v>
      </c>
      <c r="AG34" s="185">
        <f t="shared" si="37"/>
        <v>74.475687306760307</v>
      </c>
      <c r="AH34" s="182">
        <f t="shared" si="38"/>
        <v>7</v>
      </c>
      <c r="AI34" s="576"/>
      <c r="AJ34" s="188">
        <v>24</v>
      </c>
      <c r="AK34" s="188">
        <v>1787.2164953622475</v>
      </c>
      <c r="AL34" s="185">
        <f t="shared" si="29"/>
        <v>74.467353973426981</v>
      </c>
      <c r="AM34" s="182">
        <f t="shared" si="39"/>
        <v>7</v>
      </c>
      <c r="AN34" s="576"/>
      <c r="AO34" s="188">
        <v>24</v>
      </c>
      <c r="AP34" s="188">
        <v>1786.6164953622476</v>
      </c>
      <c r="AQ34" s="185">
        <f t="shared" si="30"/>
        <v>74.442353973426989</v>
      </c>
      <c r="AR34" s="182">
        <f t="shared" si="40"/>
        <v>8</v>
      </c>
      <c r="AS34" s="576"/>
      <c r="AT34" s="188">
        <v>24</v>
      </c>
      <c r="AU34" s="188">
        <v>1786.2164953622482</v>
      </c>
      <c r="AV34" s="185">
        <f t="shared" si="31"/>
        <v>74.425687306760338</v>
      </c>
      <c r="AW34" s="182">
        <f t="shared" si="41"/>
        <v>8</v>
      </c>
      <c r="AX34" s="576"/>
    </row>
    <row r="35" spans="2:50" ht="14.25" customHeight="1">
      <c r="B35" s="575"/>
      <c r="C35" s="180">
        <v>9</v>
      </c>
      <c r="D35" s="183" t="s">
        <v>618</v>
      </c>
      <c r="E35" s="180">
        <v>26</v>
      </c>
      <c r="F35" s="180">
        <v>2000</v>
      </c>
      <c r="G35" s="185">
        <f t="shared" si="26"/>
        <v>76.92307692307692</v>
      </c>
      <c r="H35" s="576"/>
      <c r="I35" s="186">
        <f t="shared" si="32"/>
        <v>26</v>
      </c>
      <c r="J35" s="186">
        <f t="shared" si="32"/>
        <v>1787.8988944162677</v>
      </c>
      <c r="K35" s="187">
        <f t="shared" si="32"/>
        <v>68.765342092933366</v>
      </c>
      <c r="L35" s="577"/>
      <c r="M35" s="186">
        <f>RANK(K35, K$27:$K$41)</f>
        <v>9</v>
      </c>
      <c r="N35" s="575"/>
      <c r="O35" s="575"/>
      <c r="P35" s="188">
        <v>26</v>
      </c>
      <c r="Q35" s="188">
        <v>1788.6950453593856</v>
      </c>
      <c r="R35" s="185">
        <f t="shared" si="33"/>
        <v>68.795963283053297</v>
      </c>
      <c r="S35" s="182">
        <f t="shared" si="34"/>
        <v>9</v>
      </c>
      <c r="T35" s="576"/>
      <c r="U35" s="188">
        <v>26</v>
      </c>
      <c r="V35" s="188">
        <v>1788.7662025924139</v>
      </c>
      <c r="W35" s="185">
        <f t="shared" si="27"/>
        <v>68.798700099708228</v>
      </c>
      <c r="X35" s="182">
        <f t="shared" si="35"/>
        <v>9</v>
      </c>
      <c r="Y35" s="576"/>
      <c r="Z35" s="188">
        <v>26</v>
      </c>
      <c r="AA35" s="188">
        <v>1788.166202592414</v>
      </c>
      <c r="AB35" s="185">
        <f t="shared" si="28"/>
        <v>68.775623176631314</v>
      </c>
      <c r="AC35" s="182">
        <f t="shared" si="36"/>
        <v>9</v>
      </c>
      <c r="AD35" s="576"/>
      <c r="AE35" s="188">
        <v>26</v>
      </c>
      <c r="AF35" s="188">
        <v>1787.7662025924146</v>
      </c>
      <c r="AG35" s="185">
        <f t="shared" si="37"/>
        <v>68.760238561246723</v>
      </c>
      <c r="AH35" s="182">
        <f t="shared" si="38"/>
        <v>9</v>
      </c>
      <c r="AI35" s="576"/>
      <c r="AJ35" s="188">
        <v>26</v>
      </c>
      <c r="AK35" s="188">
        <v>1786.9662025924147</v>
      </c>
      <c r="AL35" s="185">
        <f t="shared" si="29"/>
        <v>68.729469330477485</v>
      </c>
      <c r="AM35" s="182">
        <f t="shared" si="39"/>
        <v>9</v>
      </c>
      <c r="AN35" s="576"/>
      <c r="AO35" s="188">
        <v>26</v>
      </c>
      <c r="AP35" s="188">
        <v>1786.9662025924147</v>
      </c>
      <c r="AQ35" s="185">
        <f t="shared" si="30"/>
        <v>68.729469330477485</v>
      </c>
      <c r="AR35" s="182">
        <f t="shared" si="40"/>
        <v>9</v>
      </c>
      <c r="AS35" s="576"/>
      <c r="AT35" s="188">
        <v>26</v>
      </c>
      <c r="AU35" s="188">
        <v>1787.9662025924144</v>
      </c>
      <c r="AV35" s="185">
        <f t="shared" si="31"/>
        <v>68.767930868939018</v>
      </c>
      <c r="AW35" s="182">
        <f t="shared" si="41"/>
        <v>9</v>
      </c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589" t="s">
        <v>715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09" t="s">
        <v>374</v>
      </c>
      <c r="O42" s="609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1"/>
      <c r="O43" s="611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375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376</v>
      </c>
      <c r="F45" s="575"/>
      <c r="G45" s="575"/>
      <c r="H45" s="575"/>
      <c r="I45" s="579" t="s">
        <v>376</v>
      </c>
      <c r="J45" s="579"/>
      <c r="K45" s="579"/>
      <c r="L45" s="579"/>
      <c r="M45" s="579"/>
      <c r="N45" s="575"/>
      <c r="O45" s="575"/>
      <c r="P45" s="575" t="s">
        <v>377</v>
      </c>
      <c r="Q45" s="575"/>
      <c r="R45" s="575"/>
      <c r="S45" s="575"/>
      <c r="T45" s="575"/>
      <c r="U45" s="575" t="s">
        <v>377</v>
      </c>
      <c r="V45" s="575"/>
      <c r="W45" s="575"/>
      <c r="X45" s="575"/>
      <c r="Y45" s="575"/>
      <c r="Z45" s="575" t="s">
        <v>377</v>
      </c>
      <c r="AA45" s="575"/>
      <c r="AB45" s="575"/>
      <c r="AC45" s="575"/>
      <c r="AD45" s="575"/>
      <c r="AE45" s="575" t="s">
        <v>377</v>
      </c>
      <c r="AF45" s="575"/>
      <c r="AG45" s="575"/>
      <c r="AH45" s="575"/>
      <c r="AI45" s="575"/>
      <c r="AJ45" s="575" t="s">
        <v>377</v>
      </c>
      <c r="AK45" s="575"/>
      <c r="AL45" s="575"/>
      <c r="AM45" s="575"/>
      <c r="AN45" s="575"/>
      <c r="AO45" s="575" t="s">
        <v>377</v>
      </c>
      <c r="AP45" s="575"/>
      <c r="AQ45" s="575"/>
      <c r="AR45" s="575"/>
      <c r="AS45" s="575"/>
      <c r="AT45" s="575" t="s">
        <v>377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378</v>
      </c>
      <c r="G46" s="180" t="s">
        <v>161</v>
      </c>
      <c r="H46" s="575"/>
      <c r="I46" s="181" t="s">
        <v>159</v>
      </c>
      <c r="J46" s="181" t="s">
        <v>378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378</v>
      </c>
      <c r="R46" s="180" t="s">
        <v>161</v>
      </c>
      <c r="S46" s="182" t="s">
        <v>165</v>
      </c>
      <c r="T46" s="575"/>
      <c r="U46" s="180" t="s">
        <v>159</v>
      </c>
      <c r="V46" s="180" t="s">
        <v>378</v>
      </c>
      <c r="W46" s="180" t="s">
        <v>161</v>
      </c>
      <c r="X46" s="182" t="s">
        <v>165</v>
      </c>
      <c r="Y46" s="575"/>
      <c r="Z46" s="180" t="s">
        <v>159</v>
      </c>
      <c r="AA46" s="180" t="s">
        <v>378</v>
      </c>
      <c r="AB46" s="180" t="s">
        <v>161</v>
      </c>
      <c r="AC46" s="182" t="s">
        <v>165</v>
      </c>
      <c r="AD46" s="575"/>
      <c r="AE46" s="180" t="s">
        <v>159</v>
      </c>
      <c r="AF46" s="180" t="s">
        <v>378</v>
      </c>
      <c r="AG46" s="180" t="s">
        <v>161</v>
      </c>
      <c r="AH46" s="182" t="s">
        <v>165</v>
      </c>
      <c r="AI46" s="575"/>
      <c r="AJ46" s="180" t="s">
        <v>159</v>
      </c>
      <c r="AK46" s="180" t="s">
        <v>378</v>
      </c>
      <c r="AL46" s="180" t="s">
        <v>161</v>
      </c>
      <c r="AM46" s="182" t="s">
        <v>165</v>
      </c>
      <c r="AN46" s="575"/>
      <c r="AO46" s="180" t="s">
        <v>159</v>
      </c>
      <c r="AP46" s="180" t="s">
        <v>378</v>
      </c>
      <c r="AQ46" s="180" t="s">
        <v>161</v>
      </c>
      <c r="AR46" s="182" t="s">
        <v>165</v>
      </c>
      <c r="AS46" s="575"/>
      <c r="AT46" s="180" t="s">
        <v>159</v>
      </c>
      <c r="AU46" s="180" t="s">
        <v>378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137</v>
      </c>
      <c r="C47" s="180">
        <v>1</v>
      </c>
      <c r="D47" s="183" t="s">
        <v>358</v>
      </c>
      <c r="E47" s="180">
        <v>21</v>
      </c>
      <c r="F47" s="180">
        <v>2000</v>
      </c>
      <c r="G47" s="185">
        <f t="shared" ref="G47:G55" si="42">F47/E47</f>
        <v>95.238095238095241</v>
      </c>
      <c r="H47" s="576">
        <f>AVERAGE(G47:G61)</f>
        <v>87.845166106035677</v>
      </c>
      <c r="I47" s="186">
        <f>AVERAGE(P47,U47,Z47,AE47,AJ47,AO47,AT47)</f>
        <v>21.428571428571427</v>
      </c>
      <c r="J47" s="186">
        <f>AVERAGE(Q47,V47,AA47,AF47,AK47,AP47,AU47)</f>
        <v>1785.8857142857144</v>
      </c>
      <c r="K47" s="187">
        <f>AVERAGE(R47,W47,AB47,AG47,AL47,AQ47,AV47)</f>
        <v>83.385405071119365</v>
      </c>
      <c r="L47" s="577">
        <f>IFERROR(AVERAGE(K47:K61),"-")</f>
        <v>78.328113303259272</v>
      </c>
      <c r="M47" s="186">
        <f>RANK(K47, K$47:$K$61)</f>
        <v>2</v>
      </c>
      <c r="N47" s="575"/>
      <c r="O47" s="575"/>
      <c r="P47" s="188">
        <v>22</v>
      </c>
      <c r="Q47" s="188">
        <v>1786</v>
      </c>
      <c r="R47" s="185">
        <f>IFERROR(Q47/P47,"")</f>
        <v>81.181818181818187</v>
      </c>
      <c r="S47" s="182">
        <f>RANK(R47, R$47:R$61)</f>
        <v>3</v>
      </c>
      <c r="T47" s="576">
        <f>AVERAGE(R47:R61)</f>
        <v>78.076754214912597</v>
      </c>
      <c r="U47" s="188">
        <v>22</v>
      </c>
      <c r="V47" s="188">
        <v>1786</v>
      </c>
      <c r="W47" s="185">
        <f t="shared" ref="W47:W55" si="43">IFERROR(V47/U47,"")</f>
        <v>81.181818181818187</v>
      </c>
      <c r="X47" s="182">
        <f>RANK(W47, W$47:W$61)</f>
        <v>3</v>
      </c>
      <c r="Y47" s="576">
        <f>AVERAGE(W47:W61)</f>
        <v>78.080668046652519</v>
      </c>
      <c r="Z47" s="188">
        <v>22</v>
      </c>
      <c r="AA47" s="188">
        <v>1786</v>
      </c>
      <c r="AB47" s="185">
        <f t="shared" ref="AB47:AB55" si="44">IFERROR(AA47/Z47,"")</f>
        <v>81.181818181818187</v>
      </c>
      <c r="AC47" s="182">
        <f>RANK(AB47, AB$47:AB$61)</f>
        <v>3</v>
      </c>
      <c r="AD47" s="576">
        <f>AVERAGE(AB47:AB61)</f>
        <v>78.068281866005478</v>
      </c>
      <c r="AE47" s="188">
        <v>21</v>
      </c>
      <c r="AF47" s="188">
        <v>1786.0000000000002</v>
      </c>
      <c r="AG47" s="185">
        <f>IFERROR(AF47/AE47,"")</f>
        <v>85.047619047619065</v>
      </c>
      <c r="AH47" s="182" t="e">
        <f>RANK(AG47, AG$7:AG$21)</f>
        <v>#N/A</v>
      </c>
      <c r="AI47" s="576">
        <f>AVERAGE(AG47:AG61)</f>
        <v>78.499388947329948</v>
      </c>
      <c r="AJ47" s="188">
        <v>21</v>
      </c>
      <c r="AK47" s="188">
        <v>1786</v>
      </c>
      <c r="AL47" s="185">
        <f t="shared" ref="AL47:AL55" si="45">IFERROR(AK47/AJ47,"")</f>
        <v>85.047619047619051</v>
      </c>
      <c r="AM47" s="182">
        <f>RANK(AL47, AL$47:AL$61)</f>
        <v>2</v>
      </c>
      <c r="AN47" s="576">
        <f>AVERAGE(AL47:AL61)</f>
        <v>78.525391559854299</v>
      </c>
      <c r="AO47" s="188">
        <v>21</v>
      </c>
      <c r="AP47" s="188">
        <v>1785.6</v>
      </c>
      <c r="AQ47" s="185">
        <f t="shared" ref="AQ47:AQ55" si="46">IFERROR(AP47/AO47,"")</f>
        <v>85.028571428571425</v>
      </c>
      <c r="AR47" s="182">
        <f>RANK(AQ47, AQ$47:AQ$61)</f>
        <v>2</v>
      </c>
      <c r="AS47" s="576">
        <f>AVERAGE(AQ47:AQ61)</f>
        <v>78.518758305829749</v>
      </c>
      <c r="AT47" s="188">
        <v>21</v>
      </c>
      <c r="AU47" s="188">
        <v>1785.5999999999997</v>
      </c>
      <c r="AV47" s="185">
        <f t="shared" ref="AV47:AV55" si="47">IFERROR(AU47/AT47,"")</f>
        <v>85.028571428571411</v>
      </c>
      <c r="AW47" s="182">
        <f>RANK(AV47, AV$47:AV$61)</f>
        <v>2</v>
      </c>
      <c r="AX47" s="576">
        <f>AVERAGE(AV47:AV61)</f>
        <v>78.5275501822303</v>
      </c>
    </row>
    <row r="48" spans="2:50" ht="14.25" customHeight="1">
      <c r="B48" s="575"/>
      <c r="C48" s="180">
        <v>2</v>
      </c>
      <c r="D48" s="183" t="s">
        <v>359</v>
      </c>
      <c r="E48" s="180">
        <v>24</v>
      </c>
      <c r="F48" s="180">
        <v>2000</v>
      </c>
      <c r="G48" s="185">
        <f t="shared" si="42"/>
        <v>83.333333333333329</v>
      </c>
      <c r="H48" s="576"/>
      <c r="I48" s="186">
        <f t="shared" ref="I48:K55" si="48">AVERAGE(P48,U48,Z48,AE48,AJ48,AO48,AT48)</f>
        <v>24</v>
      </c>
      <c r="J48" s="186">
        <f t="shared" si="48"/>
        <v>1788.9426216409445</v>
      </c>
      <c r="K48" s="187">
        <f t="shared" si="48"/>
        <v>74.53927590170602</v>
      </c>
      <c r="L48" s="577"/>
      <c r="M48" s="186">
        <f>RANK(K48, K$47:$K$61)</f>
        <v>7</v>
      </c>
      <c r="N48" s="575"/>
      <c r="O48" s="575"/>
      <c r="P48" s="188">
        <v>24</v>
      </c>
      <c r="Q48" s="188">
        <v>1788.1997644980875</v>
      </c>
      <c r="R48" s="185">
        <f t="shared" ref="R48:R55" si="49">IFERROR(Q48/P48,"")</f>
        <v>74.508323520753649</v>
      </c>
      <c r="S48" s="182">
        <f t="shared" ref="S48:S55" si="50">RANK(R48, R$47:R$61)</f>
        <v>7</v>
      </c>
      <c r="T48" s="576"/>
      <c r="U48" s="188">
        <v>24</v>
      </c>
      <c r="V48" s="188">
        <v>1788.1997644980875</v>
      </c>
      <c r="W48" s="185">
        <f t="shared" si="43"/>
        <v>74.508323520753649</v>
      </c>
      <c r="X48" s="182">
        <f t="shared" ref="X48:X55" si="51">RANK(W48, W$47:W$61)</f>
        <v>7</v>
      </c>
      <c r="Y48" s="576"/>
      <c r="Z48" s="188">
        <v>24</v>
      </c>
      <c r="AA48" s="188">
        <v>1788.1997644980877</v>
      </c>
      <c r="AB48" s="185">
        <f t="shared" si="44"/>
        <v>74.508323520753649</v>
      </c>
      <c r="AC48" s="182">
        <f t="shared" ref="AC48:AC55" si="52">RANK(AB48, AB$47:AB$61)</f>
        <v>7</v>
      </c>
      <c r="AD48" s="576"/>
      <c r="AE48" s="188">
        <v>24</v>
      </c>
      <c r="AF48" s="188">
        <v>1788.7997644980878</v>
      </c>
      <c r="AG48" s="185">
        <f t="shared" ref="AG48:AG55" si="53">IFERROR(AF48/AE48,"")</f>
        <v>74.533323520753655</v>
      </c>
      <c r="AH48" s="182" t="e">
        <f t="shared" ref="AH48:AH55" si="54">RANK(AG48, AG$7:AG$21)</f>
        <v>#N/A</v>
      </c>
      <c r="AI48" s="576"/>
      <c r="AJ48" s="188">
        <v>24</v>
      </c>
      <c r="AK48" s="188">
        <v>1789.5997644980873</v>
      </c>
      <c r="AL48" s="185">
        <f t="shared" si="45"/>
        <v>74.566656854086972</v>
      </c>
      <c r="AM48" s="182">
        <f t="shared" ref="AM48:AM55" si="55">RANK(AL48, AL$47:AL$61)</f>
        <v>7</v>
      </c>
      <c r="AN48" s="576"/>
      <c r="AO48" s="188">
        <v>24</v>
      </c>
      <c r="AP48" s="188">
        <v>1789.5997644980876</v>
      </c>
      <c r="AQ48" s="185">
        <f t="shared" si="46"/>
        <v>74.566656854086986</v>
      </c>
      <c r="AR48" s="182">
        <f t="shared" ref="AR48:AR55" si="56">RANK(AQ48, AQ$47:AQ$61)</f>
        <v>7</v>
      </c>
      <c r="AS48" s="576"/>
      <c r="AT48" s="188">
        <v>24</v>
      </c>
      <c r="AU48" s="188">
        <v>1789.9997644980874</v>
      </c>
      <c r="AV48" s="185">
        <f t="shared" si="47"/>
        <v>74.583323520753638</v>
      </c>
      <c r="AW48" s="182">
        <f t="shared" ref="AW48:AW55" si="57">RANK(AV48, AV$47:AV$61)</f>
        <v>7</v>
      </c>
      <c r="AX48" s="576"/>
    </row>
    <row r="49" spans="2:50" ht="14.25" customHeight="1">
      <c r="B49" s="575"/>
      <c r="C49" s="180">
        <v>3</v>
      </c>
      <c r="D49" s="183" t="s">
        <v>360</v>
      </c>
      <c r="E49" s="180">
        <v>23</v>
      </c>
      <c r="F49" s="180">
        <v>2000</v>
      </c>
      <c r="G49" s="185">
        <f t="shared" si="42"/>
        <v>86.956521739130437</v>
      </c>
      <c r="H49" s="576"/>
      <c r="I49" s="186">
        <f t="shared" si="48"/>
        <v>23</v>
      </c>
      <c r="J49" s="186">
        <f t="shared" si="48"/>
        <v>1787.4056374119148</v>
      </c>
      <c r="K49" s="187">
        <f t="shared" si="48"/>
        <v>77.713288583126726</v>
      </c>
      <c r="L49" s="577"/>
      <c r="M49" s="186">
        <f>RANK(K49, K$47:$K$61)</f>
        <v>6</v>
      </c>
      <c r="N49" s="575"/>
      <c r="O49" s="575"/>
      <c r="P49" s="188">
        <v>23</v>
      </c>
      <c r="Q49" s="188">
        <v>1787.7770659833432</v>
      </c>
      <c r="R49" s="185">
        <f t="shared" si="49"/>
        <v>77.7294376514497</v>
      </c>
      <c r="S49" s="182">
        <f t="shared" si="50"/>
        <v>6</v>
      </c>
      <c r="T49" s="576"/>
      <c r="U49" s="188">
        <v>23</v>
      </c>
      <c r="V49" s="188">
        <v>1787.3770659833431</v>
      </c>
      <c r="W49" s="185">
        <f t="shared" si="43"/>
        <v>77.712046347101875</v>
      </c>
      <c r="X49" s="182">
        <f t="shared" si="51"/>
        <v>6</v>
      </c>
      <c r="Y49" s="576"/>
      <c r="Z49" s="188">
        <v>23</v>
      </c>
      <c r="AA49" s="188">
        <v>1786.5770659833433</v>
      </c>
      <c r="AB49" s="185">
        <f t="shared" si="44"/>
        <v>77.677263738406239</v>
      </c>
      <c r="AC49" s="182">
        <f t="shared" si="52"/>
        <v>6</v>
      </c>
      <c r="AD49" s="576"/>
      <c r="AE49" s="188">
        <v>23</v>
      </c>
      <c r="AF49" s="188">
        <v>1786.9770659833434</v>
      </c>
      <c r="AG49" s="185">
        <f t="shared" si="53"/>
        <v>77.694655042754064</v>
      </c>
      <c r="AH49" s="182" t="e">
        <f t="shared" si="54"/>
        <v>#N/A</v>
      </c>
      <c r="AI49" s="576"/>
      <c r="AJ49" s="188">
        <v>23</v>
      </c>
      <c r="AK49" s="188">
        <v>1787.9770659833434</v>
      </c>
      <c r="AL49" s="185">
        <f t="shared" si="45"/>
        <v>77.738133303623627</v>
      </c>
      <c r="AM49" s="182">
        <f t="shared" si="55"/>
        <v>6</v>
      </c>
      <c r="AN49" s="576"/>
      <c r="AO49" s="188">
        <v>23</v>
      </c>
      <c r="AP49" s="188">
        <v>1787.7770659833432</v>
      </c>
      <c r="AQ49" s="185">
        <f t="shared" si="46"/>
        <v>77.7294376514497</v>
      </c>
      <c r="AR49" s="182">
        <f t="shared" si="56"/>
        <v>6</v>
      </c>
      <c r="AS49" s="576"/>
      <c r="AT49" s="188">
        <v>23</v>
      </c>
      <c r="AU49" s="188">
        <v>1787.3770659833433</v>
      </c>
      <c r="AV49" s="185">
        <f t="shared" si="47"/>
        <v>77.712046347101889</v>
      </c>
      <c r="AW49" s="182">
        <f t="shared" si="57"/>
        <v>6</v>
      </c>
      <c r="AX49" s="576"/>
    </row>
    <row r="50" spans="2:50" ht="14.25" customHeight="1">
      <c r="B50" s="575"/>
      <c r="C50" s="180">
        <v>4</v>
      </c>
      <c r="D50" s="183" t="s">
        <v>357</v>
      </c>
      <c r="E50" s="180">
        <v>23</v>
      </c>
      <c r="F50" s="180">
        <v>2000</v>
      </c>
      <c r="G50" s="185">
        <f t="shared" si="42"/>
        <v>86.956521739130437</v>
      </c>
      <c r="H50" s="576"/>
      <c r="I50" s="186">
        <f t="shared" si="48"/>
        <v>23</v>
      </c>
      <c r="J50" s="186">
        <f t="shared" si="48"/>
        <v>1789.7213139801374</v>
      </c>
      <c r="K50" s="187">
        <f t="shared" si="48"/>
        <v>77.813970173049455</v>
      </c>
      <c r="L50" s="577"/>
      <c r="M50" s="186">
        <f>RANK(K50, K$47:$K$61)</f>
        <v>5</v>
      </c>
      <c r="N50" s="575"/>
      <c r="O50" s="575"/>
      <c r="P50" s="188">
        <v>23</v>
      </c>
      <c r="Q50" s="188">
        <v>1789.0641711229946</v>
      </c>
      <c r="R50" s="185">
        <f t="shared" si="49"/>
        <v>77.78539874447803</v>
      </c>
      <c r="S50" s="182">
        <f t="shared" si="50"/>
        <v>4</v>
      </c>
      <c r="T50" s="576"/>
      <c r="U50" s="188">
        <v>23</v>
      </c>
      <c r="V50" s="188">
        <v>1789.4641711229945</v>
      </c>
      <c r="W50" s="185">
        <f t="shared" si="43"/>
        <v>77.802790048825841</v>
      </c>
      <c r="X50" s="182">
        <f t="shared" si="51"/>
        <v>5</v>
      </c>
      <c r="Y50" s="576"/>
      <c r="Z50" s="188">
        <v>23</v>
      </c>
      <c r="AA50" s="188">
        <v>1789.6641711229945</v>
      </c>
      <c r="AB50" s="185">
        <f t="shared" si="44"/>
        <v>77.811485700999768</v>
      </c>
      <c r="AC50" s="182">
        <f t="shared" si="52"/>
        <v>4</v>
      </c>
      <c r="AD50" s="576"/>
      <c r="AE50" s="188">
        <v>23</v>
      </c>
      <c r="AF50" s="188">
        <v>1788.8641711229948</v>
      </c>
      <c r="AG50" s="185">
        <f t="shared" si="53"/>
        <v>77.776703092304118</v>
      </c>
      <c r="AH50" s="182" t="e">
        <f t="shared" si="54"/>
        <v>#N/A</v>
      </c>
      <c r="AI50" s="576"/>
      <c r="AJ50" s="188">
        <v>23</v>
      </c>
      <c r="AK50" s="188">
        <v>1789.8641711229945</v>
      </c>
      <c r="AL50" s="185">
        <f t="shared" si="45"/>
        <v>77.82018135317368</v>
      </c>
      <c r="AM50" s="182">
        <f t="shared" si="55"/>
        <v>5</v>
      </c>
      <c r="AN50" s="576"/>
      <c r="AO50" s="188">
        <v>23</v>
      </c>
      <c r="AP50" s="188">
        <v>1790.6641711229945</v>
      </c>
      <c r="AQ50" s="185">
        <f t="shared" si="46"/>
        <v>77.854963961869331</v>
      </c>
      <c r="AR50" s="182">
        <f t="shared" si="56"/>
        <v>4</v>
      </c>
      <c r="AS50" s="576"/>
      <c r="AT50" s="188">
        <v>23</v>
      </c>
      <c r="AU50" s="188">
        <v>1790.4641711229947</v>
      </c>
      <c r="AV50" s="185">
        <f t="shared" si="47"/>
        <v>77.846268309695418</v>
      </c>
      <c r="AW50" s="182">
        <f t="shared" si="57"/>
        <v>5</v>
      </c>
      <c r="AX50" s="576"/>
    </row>
    <row r="51" spans="2:50" ht="14.25" customHeight="1">
      <c r="B51" s="575"/>
      <c r="C51" s="180">
        <v>5</v>
      </c>
      <c r="D51" s="183" t="s">
        <v>462</v>
      </c>
      <c r="E51" s="180">
        <v>23</v>
      </c>
      <c r="F51" s="180">
        <v>2000</v>
      </c>
      <c r="G51" s="185">
        <f t="shared" si="42"/>
        <v>86.956521739130437</v>
      </c>
      <c r="H51" s="576"/>
      <c r="I51" s="186">
        <f t="shared" si="48"/>
        <v>23</v>
      </c>
      <c r="J51" s="186">
        <f t="shared" si="48"/>
        <v>1789.7923250564304</v>
      </c>
      <c r="K51" s="187">
        <f t="shared" si="48"/>
        <v>77.817057611149153</v>
      </c>
      <c r="L51" s="577"/>
      <c r="M51" s="186">
        <f>RANK(K51, K$47:$K$61)</f>
        <v>4</v>
      </c>
      <c r="N51" s="575"/>
      <c r="O51" s="575"/>
      <c r="P51" s="188">
        <v>23</v>
      </c>
      <c r="Q51" s="188">
        <v>1789.0494679135734</v>
      </c>
      <c r="R51" s="185">
        <f t="shared" si="49"/>
        <v>77.78475947450319</v>
      </c>
      <c r="S51" s="182">
        <f t="shared" si="50"/>
        <v>5</v>
      </c>
      <c r="T51" s="576"/>
      <c r="U51" s="188">
        <v>23</v>
      </c>
      <c r="V51" s="188">
        <v>1789.6494679135735</v>
      </c>
      <c r="W51" s="185">
        <f t="shared" si="43"/>
        <v>77.810846431024942</v>
      </c>
      <c r="X51" s="182">
        <f t="shared" si="51"/>
        <v>4</v>
      </c>
      <c r="Y51" s="576"/>
      <c r="Z51" s="188">
        <v>23</v>
      </c>
      <c r="AA51" s="188">
        <v>1788.8494679135736</v>
      </c>
      <c r="AB51" s="185">
        <f t="shared" si="44"/>
        <v>77.776063822329291</v>
      </c>
      <c r="AC51" s="182">
        <f t="shared" si="52"/>
        <v>5</v>
      </c>
      <c r="AD51" s="576"/>
      <c r="AE51" s="188">
        <v>23</v>
      </c>
      <c r="AF51" s="188">
        <v>1789.6494679135733</v>
      </c>
      <c r="AG51" s="185">
        <f t="shared" si="53"/>
        <v>77.810846431024927</v>
      </c>
      <c r="AH51" s="182" t="e">
        <f t="shared" si="54"/>
        <v>#N/A</v>
      </c>
      <c r="AI51" s="576"/>
      <c r="AJ51" s="188">
        <v>23</v>
      </c>
      <c r="AK51" s="188">
        <v>1790.4494679135732</v>
      </c>
      <c r="AL51" s="185">
        <f t="shared" si="45"/>
        <v>77.845629039720578</v>
      </c>
      <c r="AM51" s="182">
        <f t="shared" si="55"/>
        <v>4</v>
      </c>
      <c r="AN51" s="576"/>
      <c r="AO51" s="188">
        <v>23</v>
      </c>
      <c r="AP51" s="188">
        <v>1790.0494679135729</v>
      </c>
      <c r="AQ51" s="185">
        <f t="shared" si="46"/>
        <v>77.828237735372738</v>
      </c>
      <c r="AR51" s="182">
        <f t="shared" si="56"/>
        <v>5</v>
      </c>
      <c r="AS51" s="576"/>
      <c r="AT51" s="188">
        <v>23</v>
      </c>
      <c r="AU51" s="188">
        <v>1790.8494679135731</v>
      </c>
      <c r="AV51" s="185">
        <f t="shared" si="47"/>
        <v>77.863020344068403</v>
      </c>
      <c r="AW51" s="182">
        <f t="shared" si="57"/>
        <v>4</v>
      </c>
      <c r="AX51" s="576"/>
    </row>
    <row r="52" spans="2:50" ht="14.25" customHeight="1">
      <c r="B52" s="575"/>
      <c r="C52" s="180">
        <v>6</v>
      </c>
      <c r="D52" s="183" t="s">
        <v>465</v>
      </c>
      <c r="E52" s="180">
        <v>22</v>
      </c>
      <c r="F52" s="180">
        <v>2000</v>
      </c>
      <c r="G52" s="185">
        <f t="shared" si="42"/>
        <v>90.909090909090907</v>
      </c>
      <c r="H52" s="576"/>
      <c r="I52" s="186">
        <f t="shared" si="48"/>
        <v>22</v>
      </c>
      <c r="J52" s="186">
        <f t="shared" si="48"/>
        <v>1788.1183893305977</v>
      </c>
      <c r="K52" s="187">
        <f t="shared" si="48"/>
        <v>81.278108605936282</v>
      </c>
      <c r="L52" s="577"/>
      <c r="M52" s="186">
        <f>RANK(K52, K$47:$K$61)</f>
        <v>3</v>
      </c>
      <c r="N52" s="575"/>
      <c r="O52" s="575"/>
      <c r="P52" s="188">
        <v>22</v>
      </c>
      <c r="Q52" s="188">
        <v>1788.8326750448832</v>
      </c>
      <c r="R52" s="185">
        <f t="shared" si="49"/>
        <v>81.310576138403789</v>
      </c>
      <c r="S52" s="182">
        <f t="shared" si="50"/>
        <v>2</v>
      </c>
      <c r="T52" s="576"/>
      <c r="U52" s="188">
        <v>22</v>
      </c>
      <c r="V52" s="188">
        <v>1788.2326750448833</v>
      </c>
      <c r="W52" s="185">
        <f t="shared" si="43"/>
        <v>81.283303411131058</v>
      </c>
      <c r="X52" s="182">
        <f t="shared" si="51"/>
        <v>2</v>
      </c>
      <c r="Y52" s="576"/>
      <c r="Z52" s="188">
        <v>22</v>
      </c>
      <c r="AA52" s="188">
        <v>1787.6326750448834</v>
      </c>
      <c r="AB52" s="185">
        <f t="shared" si="44"/>
        <v>81.256030683858341</v>
      </c>
      <c r="AC52" s="182">
        <f t="shared" si="52"/>
        <v>2</v>
      </c>
      <c r="AD52" s="576"/>
      <c r="AE52" s="188">
        <v>22</v>
      </c>
      <c r="AF52" s="188">
        <v>1788.0326750448837</v>
      </c>
      <c r="AG52" s="185">
        <f t="shared" si="53"/>
        <v>81.274212502040172</v>
      </c>
      <c r="AH52" s="182" t="e">
        <f t="shared" si="54"/>
        <v>#N/A</v>
      </c>
      <c r="AI52" s="576"/>
      <c r="AJ52" s="188">
        <v>22</v>
      </c>
      <c r="AK52" s="188">
        <v>1788.4326750448836</v>
      </c>
      <c r="AL52" s="185">
        <f t="shared" si="45"/>
        <v>81.292394320221987</v>
      </c>
      <c r="AM52" s="182">
        <f t="shared" si="55"/>
        <v>3</v>
      </c>
      <c r="AN52" s="576"/>
      <c r="AO52" s="188">
        <v>22</v>
      </c>
      <c r="AP52" s="188">
        <v>1788.2326750448838</v>
      </c>
      <c r="AQ52" s="185">
        <f t="shared" si="46"/>
        <v>81.283303411131087</v>
      </c>
      <c r="AR52" s="182">
        <f t="shared" si="56"/>
        <v>3</v>
      </c>
      <c r="AS52" s="576"/>
      <c r="AT52" s="188">
        <v>22</v>
      </c>
      <c r="AU52" s="188">
        <v>1787.432675044884</v>
      </c>
      <c r="AV52" s="185">
        <f t="shared" si="47"/>
        <v>81.246939774767455</v>
      </c>
      <c r="AW52" s="182">
        <f t="shared" si="57"/>
        <v>3</v>
      </c>
      <c r="AX52" s="576"/>
    </row>
    <row r="53" spans="2:50" ht="14.25" customHeight="1">
      <c r="B53" s="575"/>
      <c r="C53" s="180">
        <v>7</v>
      </c>
      <c r="D53" s="183" t="s">
        <v>469</v>
      </c>
      <c r="E53" s="180">
        <v>20</v>
      </c>
      <c r="F53" s="180">
        <v>2000</v>
      </c>
      <c r="G53" s="185">
        <f t="shared" si="42"/>
        <v>100</v>
      </c>
      <c r="H53" s="576"/>
      <c r="I53" s="186">
        <f t="shared" si="48"/>
        <v>20</v>
      </c>
      <c r="J53" s="186">
        <f t="shared" si="48"/>
        <v>1784.467523872554</v>
      </c>
      <c r="K53" s="187">
        <f t="shared" si="48"/>
        <v>89.223376193627715</v>
      </c>
      <c r="L53" s="577"/>
      <c r="M53" s="186">
        <f>RANK(K53, K$47:$K$61)</f>
        <v>1</v>
      </c>
      <c r="N53" s="575"/>
      <c r="O53" s="575"/>
      <c r="P53" s="188">
        <v>20</v>
      </c>
      <c r="Q53" s="188">
        <v>1784.2960953011252</v>
      </c>
      <c r="R53" s="185">
        <f t="shared" si="49"/>
        <v>89.214804765056257</v>
      </c>
      <c r="S53" s="182">
        <f t="shared" si="50"/>
        <v>1</v>
      </c>
      <c r="T53" s="576"/>
      <c r="U53" s="188">
        <v>20</v>
      </c>
      <c r="V53" s="188">
        <v>1784.8960953011251</v>
      </c>
      <c r="W53" s="185">
        <f t="shared" si="43"/>
        <v>89.244804765056259</v>
      </c>
      <c r="X53" s="182">
        <f t="shared" si="51"/>
        <v>1</v>
      </c>
      <c r="Y53" s="576"/>
      <c r="Z53" s="188">
        <v>20</v>
      </c>
      <c r="AA53" s="188">
        <v>1784.0960953011254</v>
      </c>
      <c r="AB53" s="185">
        <f t="shared" si="44"/>
        <v>89.204804765056267</v>
      </c>
      <c r="AC53" s="182">
        <f t="shared" si="52"/>
        <v>1</v>
      </c>
      <c r="AD53" s="576"/>
      <c r="AE53" s="188">
        <v>20</v>
      </c>
      <c r="AF53" s="188">
        <v>1784.2960953011254</v>
      </c>
      <c r="AG53" s="185">
        <f t="shared" si="53"/>
        <v>89.214804765056272</v>
      </c>
      <c r="AH53" s="182" t="e">
        <f t="shared" si="54"/>
        <v>#N/A</v>
      </c>
      <c r="AI53" s="576"/>
      <c r="AJ53" s="188">
        <v>20</v>
      </c>
      <c r="AK53" s="188">
        <v>1784.8960953011258</v>
      </c>
      <c r="AL53" s="185">
        <f t="shared" si="45"/>
        <v>89.244804765056287</v>
      </c>
      <c r="AM53" s="182">
        <f t="shared" si="55"/>
        <v>1</v>
      </c>
      <c r="AN53" s="576"/>
      <c r="AO53" s="188">
        <v>20</v>
      </c>
      <c r="AP53" s="188">
        <v>1784.2960953011257</v>
      </c>
      <c r="AQ53" s="185">
        <f t="shared" si="46"/>
        <v>89.214804765056286</v>
      </c>
      <c r="AR53" s="182">
        <f t="shared" si="56"/>
        <v>1</v>
      </c>
      <c r="AS53" s="576"/>
      <c r="AT53" s="188">
        <v>20</v>
      </c>
      <c r="AU53" s="188">
        <v>1784.4960953011257</v>
      </c>
      <c r="AV53" s="185">
        <f t="shared" si="47"/>
        <v>89.224804765056291</v>
      </c>
      <c r="AW53" s="182">
        <f t="shared" si="57"/>
        <v>1</v>
      </c>
      <c r="AX53" s="576"/>
    </row>
    <row r="54" spans="2:50" ht="14.25" customHeight="1">
      <c r="B54" s="575"/>
      <c r="C54" s="180">
        <v>8</v>
      </c>
      <c r="D54" s="183" t="s">
        <v>361</v>
      </c>
      <c r="E54" s="180">
        <v>24</v>
      </c>
      <c r="F54" s="180">
        <v>2000</v>
      </c>
      <c r="G54" s="185">
        <f t="shared" si="42"/>
        <v>83.333333333333329</v>
      </c>
      <c r="H54" s="576"/>
      <c r="I54" s="186">
        <f t="shared" si="48"/>
        <v>24</v>
      </c>
      <c r="J54" s="186">
        <f t="shared" si="48"/>
        <v>1784.8164953622493</v>
      </c>
      <c r="K54" s="187">
        <f t="shared" si="48"/>
        <v>74.367353973427058</v>
      </c>
      <c r="L54" s="577"/>
      <c r="M54" s="186">
        <f>RANK(K54, K$47:$K$61)</f>
        <v>8</v>
      </c>
      <c r="N54" s="575"/>
      <c r="O54" s="575"/>
      <c r="P54" s="188">
        <v>24</v>
      </c>
      <c r="Q54" s="188">
        <v>1785.4164953622485</v>
      </c>
      <c r="R54" s="185">
        <f t="shared" si="49"/>
        <v>74.392353973427021</v>
      </c>
      <c r="S54" s="182">
        <f t="shared" si="50"/>
        <v>8</v>
      </c>
      <c r="T54" s="576"/>
      <c r="U54" s="188">
        <v>24</v>
      </c>
      <c r="V54" s="188">
        <v>1785.0164953622489</v>
      </c>
      <c r="W54" s="185">
        <f t="shared" si="43"/>
        <v>74.375687306760369</v>
      </c>
      <c r="X54" s="182">
        <f t="shared" si="51"/>
        <v>8</v>
      </c>
      <c r="Y54" s="576"/>
      <c r="Z54" s="188">
        <v>24</v>
      </c>
      <c r="AA54" s="188">
        <v>1785.4164953622492</v>
      </c>
      <c r="AB54" s="185">
        <f t="shared" si="44"/>
        <v>74.392353973427049</v>
      </c>
      <c r="AC54" s="182">
        <f t="shared" si="52"/>
        <v>8</v>
      </c>
      <c r="AD54" s="576"/>
      <c r="AE54" s="188">
        <v>24</v>
      </c>
      <c r="AF54" s="188">
        <v>1784.6164953622497</v>
      </c>
      <c r="AG54" s="185">
        <f t="shared" si="53"/>
        <v>74.359020640093732</v>
      </c>
      <c r="AH54" s="182" t="e">
        <f>RANK(AG54, AG$7:AG$21)</f>
        <v>#N/A</v>
      </c>
      <c r="AI54" s="576"/>
      <c r="AJ54" s="188">
        <v>24</v>
      </c>
      <c r="AK54" s="188">
        <v>1784.6164953622497</v>
      </c>
      <c r="AL54" s="185">
        <f t="shared" si="45"/>
        <v>74.359020640093732</v>
      </c>
      <c r="AM54" s="182">
        <f t="shared" si="55"/>
        <v>8</v>
      </c>
      <c r="AN54" s="576"/>
      <c r="AO54" s="188">
        <v>24</v>
      </c>
      <c r="AP54" s="188">
        <v>1783.8164953622497</v>
      </c>
      <c r="AQ54" s="185">
        <f t="shared" si="46"/>
        <v>74.3256873067604</v>
      </c>
      <c r="AR54" s="182">
        <f t="shared" si="56"/>
        <v>8</v>
      </c>
      <c r="AS54" s="576"/>
      <c r="AT54" s="188">
        <v>24</v>
      </c>
      <c r="AU54" s="188">
        <v>1784.8164953622497</v>
      </c>
      <c r="AV54" s="185">
        <f t="shared" si="47"/>
        <v>74.367353973427072</v>
      </c>
      <c r="AW54" s="182">
        <f t="shared" si="57"/>
        <v>8</v>
      </c>
      <c r="AX54" s="576"/>
    </row>
    <row r="55" spans="2:50" ht="14.25" customHeight="1">
      <c r="B55" s="575"/>
      <c r="C55" s="180">
        <v>9</v>
      </c>
      <c r="D55" s="183" t="s">
        <v>618</v>
      </c>
      <c r="E55" s="180">
        <v>26</v>
      </c>
      <c r="F55" s="180">
        <v>2000</v>
      </c>
      <c r="G55" s="185">
        <f t="shared" si="42"/>
        <v>76.92307692307692</v>
      </c>
      <c r="H55" s="576"/>
      <c r="I55" s="186">
        <f t="shared" si="48"/>
        <v>26</v>
      </c>
      <c r="J55" s="186">
        <f t="shared" si="48"/>
        <v>1789.1947740209851</v>
      </c>
      <c r="K55" s="187">
        <f t="shared" si="48"/>
        <v>68.815183616191732</v>
      </c>
      <c r="L55" s="577"/>
      <c r="M55" s="186">
        <f>RANK(K55, K$47:$K$61)</f>
        <v>9</v>
      </c>
      <c r="N55" s="575"/>
      <c r="O55" s="575"/>
      <c r="P55" s="188">
        <v>26</v>
      </c>
      <c r="Q55" s="188">
        <v>1788.3662025924143</v>
      </c>
      <c r="R55" s="185">
        <f t="shared" si="49"/>
        <v>68.783315484323623</v>
      </c>
      <c r="S55" s="182">
        <f t="shared" si="50"/>
        <v>9</v>
      </c>
      <c r="T55" s="576"/>
      <c r="U55" s="188">
        <v>26</v>
      </c>
      <c r="V55" s="188">
        <v>1788.966202592414</v>
      </c>
      <c r="W55" s="185">
        <f t="shared" si="43"/>
        <v>68.806392407400537</v>
      </c>
      <c r="X55" s="182">
        <f t="shared" si="51"/>
        <v>9</v>
      </c>
      <c r="Y55" s="576"/>
      <c r="Z55" s="188">
        <v>26</v>
      </c>
      <c r="AA55" s="188">
        <v>1788.9662025924138</v>
      </c>
      <c r="AB55" s="185">
        <f t="shared" si="44"/>
        <v>68.806392407400523</v>
      </c>
      <c r="AC55" s="182">
        <f t="shared" si="52"/>
        <v>9</v>
      </c>
      <c r="AD55" s="576"/>
      <c r="AE55" s="188">
        <v>26</v>
      </c>
      <c r="AF55" s="188">
        <v>1788.3662025924136</v>
      </c>
      <c r="AG55" s="185">
        <f t="shared" si="53"/>
        <v>68.783315484323595</v>
      </c>
      <c r="AH55" s="182" t="e">
        <f t="shared" si="54"/>
        <v>#N/A</v>
      </c>
      <c r="AI55" s="576"/>
      <c r="AJ55" s="188">
        <v>26</v>
      </c>
      <c r="AK55" s="188">
        <v>1789.1662025924134</v>
      </c>
      <c r="AL55" s="185">
        <f t="shared" si="45"/>
        <v>68.814084715092818</v>
      </c>
      <c r="AM55" s="182">
        <f t="shared" si="55"/>
        <v>9</v>
      </c>
      <c r="AN55" s="576"/>
      <c r="AO55" s="188">
        <v>26</v>
      </c>
      <c r="AP55" s="188">
        <v>1789.7662025924135</v>
      </c>
      <c r="AQ55" s="185">
        <f t="shared" si="46"/>
        <v>68.837161638169746</v>
      </c>
      <c r="AR55" s="182">
        <f t="shared" si="56"/>
        <v>9</v>
      </c>
      <c r="AS55" s="576"/>
      <c r="AT55" s="188">
        <v>26</v>
      </c>
      <c r="AU55" s="188">
        <v>1790.7662025924135</v>
      </c>
      <c r="AV55" s="185">
        <f t="shared" si="47"/>
        <v>68.875623176631294</v>
      </c>
      <c r="AW55" s="182">
        <f t="shared" si="57"/>
        <v>9</v>
      </c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  <row r="62" spans="2:50" ht="14.25" customHeight="1">
      <c r="B62" s="643" t="s">
        <v>754</v>
      </c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4"/>
      <c r="N62" s="609" t="s">
        <v>374</v>
      </c>
      <c r="O62" s="609" t="s">
        <v>105</v>
      </c>
      <c r="P62" s="655">
        <v>46133</v>
      </c>
      <c r="Q62" s="656"/>
      <c r="R62" s="656"/>
      <c r="S62" s="656"/>
      <c r="T62" s="656"/>
      <c r="U62" s="657">
        <v>46134</v>
      </c>
      <c r="V62" s="658"/>
      <c r="W62" s="658"/>
      <c r="X62" s="658"/>
      <c r="Y62" s="658"/>
      <c r="Z62" s="655">
        <v>46135</v>
      </c>
      <c r="AA62" s="656"/>
      <c r="AB62" s="656"/>
      <c r="AC62" s="656"/>
      <c r="AD62" s="656"/>
      <c r="AE62" s="657">
        <v>46136</v>
      </c>
      <c r="AF62" s="658"/>
      <c r="AG62" s="658"/>
      <c r="AH62" s="658"/>
      <c r="AI62" s="658"/>
      <c r="AJ62" s="647">
        <v>46137</v>
      </c>
      <c r="AK62" s="648"/>
      <c r="AL62" s="648"/>
      <c r="AM62" s="648"/>
      <c r="AN62" s="649"/>
      <c r="AO62" s="657">
        <v>46138</v>
      </c>
      <c r="AP62" s="658"/>
      <c r="AQ62" s="658"/>
      <c r="AR62" s="658"/>
      <c r="AS62" s="658"/>
      <c r="AT62" s="647">
        <v>46139</v>
      </c>
      <c r="AU62" s="648"/>
      <c r="AV62" s="648"/>
      <c r="AW62" s="648"/>
      <c r="AX62" s="649"/>
    </row>
    <row r="63" spans="2:50" ht="14.25" customHeight="1"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6"/>
      <c r="N63" s="611"/>
      <c r="O63" s="611"/>
      <c r="P63" s="650">
        <v>46133</v>
      </c>
      <c r="Q63" s="650"/>
      <c r="R63" s="650"/>
      <c r="S63" s="650"/>
      <c r="T63" s="650"/>
      <c r="U63" s="651">
        <v>46134</v>
      </c>
      <c r="V63" s="651"/>
      <c r="W63" s="651"/>
      <c r="X63" s="651"/>
      <c r="Y63" s="651"/>
      <c r="Z63" s="650">
        <v>46135</v>
      </c>
      <c r="AA63" s="650"/>
      <c r="AB63" s="650"/>
      <c r="AC63" s="650"/>
      <c r="AD63" s="650"/>
      <c r="AE63" s="651">
        <v>46136</v>
      </c>
      <c r="AF63" s="651"/>
      <c r="AG63" s="651"/>
      <c r="AH63" s="651"/>
      <c r="AI63" s="651"/>
      <c r="AJ63" s="652">
        <v>46137</v>
      </c>
      <c r="AK63" s="653"/>
      <c r="AL63" s="653"/>
      <c r="AM63" s="653"/>
      <c r="AN63" s="654"/>
      <c r="AO63" s="651">
        <v>46138</v>
      </c>
      <c r="AP63" s="651"/>
      <c r="AQ63" s="651"/>
      <c r="AR63" s="651"/>
      <c r="AS63" s="651"/>
      <c r="AT63" s="652">
        <v>46139</v>
      </c>
      <c r="AU63" s="653"/>
      <c r="AV63" s="653"/>
      <c r="AW63" s="653"/>
      <c r="AX63" s="654"/>
    </row>
    <row r="64" spans="2:50" ht="14.25" customHeight="1">
      <c r="B64" s="575" t="s">
        <v>162</v>
      </c>
      <c r="C64" s="575" t="s">
        <v>157</v>
      </c>
      <c r="D64" s="575"/>
      <c r="E64" s="575" t="s">
        <v>158</v>
      </c>
      <c r="F64" s="575"/>
      <c r="G64" s="575"/>
      <c r="H64" s="575" t="s">
        <v>163</v>
      </c>
      <c r="I64" s="579" t="s">
        <v>375</v>
      </c>
      <c r="J64" s="579"/>
      <c r="K64" s="579"/>
      <c r="L64" s="579" t="s">
        <v>163</v>
      </c>
      <c r="M64" s="579" t="s">
        <v>165</v>
      </c>
      <c r="N64" s="575"/>
      <c r="O64" s="575" t="s">
        <v>164</v>
      </c>
      <c r="P64" s="575" t="s">
        <v>160</v>
      </c>
      <c r="Q64" s="575"/>
      <c r="R64" s="575"/>
      <c r="S64" s="575"/>
      <c r="T64" s="575" t="s">
        <v>163</v>
      </c>
      <c r="U64" s="575" t="s">
        <v>160</v>
      </c>
      <c r="V64" s="575"/>
      <c r="W64" s="575"/>
      <c r="X64" s="575"/>
      <c r="Y64" s="575" t="s">
        <v>163</v>
      </c>
      <c r="Z64" s="575" t="s">
        <v>160</v>
      </c>
      <c r="AA64" s="575"/>
      <c r="AB64" s="575"/>
      <c r="AC64" s="575"/>
      <c r="AD64" s="575" t="s">
        <v>163</v>
      </c>
      <c r="AE64" s="575" t="s">
        <v>160</v>
      </c>
      <c r="AF64" s="575"/>
      <c r="AG64" s="575"/>
      <c r="AH64" s="575"/>
      <c r="AI64" s="575" t="s">
        <v>163</v>
      </c>
      <c r="AJ64" s="575" t="s">
        <v>160</v>
      </c>
      <c r="AK64" s="575"/>
      <c r="AL64" s="575"/>
      <c r="AM64" s="575"/>
      <c r="AN64" s="575" t="s">
        <v>163</v>
      </c>
      <c r="AO64" s="575" t="s">
        <v>160</v>
      </c>
      <c r="AP64" s="575"/>
      <c r="AQ64" s="575"/>
      <c r="AR64" s="575"/>
      <c r="AS64" s="575" t="s">
        <v>163</v>
      </c>
      <c r="AT64" s="575" t="s">
        <v>160</v>
      </c>
      <c r="AU64" s="575"/>
      <c r="AV64" s="575"/>
      <c r="AW64" s="575"/>
      <c r="AX64" s="575" t="s">
        <v>163</v>
      </c>
    </row>
    <row r="65" spans="2:50" ht="14.25" customHeight="1">
      <c r="B65" s="575"/>
      <c r="C65" s="575"/>
      <c r="D65" s="575"/>
      <c r="E65" s="575" t="s">
        <v>376</v>
      </c>
      <c r="F65" s="575"/>
      <c r="G65" s="575"/>
      <c r="H65" s="575"/>
      <c r="I65" s="579" t="s">
        <v>376</v>
      </c>
      <c r="J65" s="579"/>
      <c r="K65" s="579"/>
      <c r="L65" s="579"/>
      <c r="M65" s="579"/>
      <c r="N65" s="575"/>
      <c r="O65" s="575"/>
      <c r="P65" s="575" t="s">
        <v>377</v>
      </c>
      <c r="Q65" s="575"/>
      <c r="R65" s="575"/>
      <c r="S65" s="575"/>
      <c r="T65" s="575"/>
      <c r="U65" s="575" t="s">
        <v>377</v>
      </c>
      <c r="V65" s="575"/>
      <c r="W65" s="575"/>
      <c r="X65" s="575"/>
      <c r="Y65" s="575"/>
      <c r="Z65" s="575" t="s">
        <v>377</v>
      </c>
      <c r="AA65" s="575"/>
      <c r="AB65" s="575"/>
      <c r="AC65" s="575"/>
      <c r="AD65" s="575"/>
      <c r="AE65" s="575" t="s">
        <v>377</v>
      </c>
      <c r="AF65" s="575"/>
      <c r="AG65" s="575"/>
      <c r="AH65" s="575"/>
      <c r="AI65" s="575"/>
      <c r="AJ65" s="575" t="s">
        <v>377</v>
      </c>
      <c r="AK65" s="575"/>
      <c r="AL65" s="575"/>
      <c r="AM65" s="575"/>
      <c r="AN65" s="575"/>
      <c r="AO65" s="575" t="s">
        <v>377</v>
      </c>
      <c r="AP65" s="575"/>
      <c r="AQ65" s="575"/>
      <c r="AR65" s="575"/>
      <c r="AS65" s="575"/>
      <c r="AT65" s="575" t="s">
        <v>377</v>
      </c>
      <c r="AU65" s="575"/>
      <c r="AV65" s="575"/>
      <c r="AW65" s="575"/>
      <c r="AX65" s="575"/>
    </row>
    <row r="66" spans="2:50" ht="14.25" customHeight="1">
      <c r="B66" s="575"/>
      <c r="C66" s="575"/>
      <c r="D66" s="575"/>
      <c r="E66" s="180" t="s">
        <v>159</v>
      </c>
      <c r="F66" s="180" t="s">
        <v>378</v>
      </c>
      <c r="G66" s="180" t="s">
        <v>161</v>
      </c>
      <c r="H66" s="575"/>
      <c r="I66" s="181" t="s">
        <v>159</v>
      </c>
      <c r="J66" s="181" t="s">
        <v>378</v>
      </c>
      <c r="K66" s="181" t="s">
        <v>161</v>
      </c>
      <c r="L66" s="579"/>
      <c r="M66" s="579"/>
      <c r="N66" s="575"/>
      <c r="O66" s="575"/>
      <c r="P66" s="180" t="s">
        <v>159</v>
      </c>
      <c r="Q66" s="180" t="s">
        <v>378</v>
      </c>
      <c r="R66" s="180" t="s">
        <v>161</v>
      </c>
      <c r="S66" s="182" t="s">
        <v>165</v>
      </c>
      <c r="T66" s="575"/>
      <c r="U66" s="180" t="s">
        <v>159</v>
      </c>
      <c r="V66" s="180" t="s">
        <v>378</v>
      </c>
      <c r="W66" s="180" t="s">
        <v>161</v>
      </c>
      <c r="X66" s="182" t="s">
        <v>165</v>
      </c>
      <c r="Y66" s="575"/>
      <c r="Z66" s="180" t="s">
        <v>159</v>
      </c>
      <c r="AA66" s="180" t="s">
        <v>378</v>
      </c>
      <c r="AB66" s="180" t="s">
        <v>161</v>
      </c>
      <c r="AC66" s="182" t="s">
        <v>165</v>
      </c>
      <c r="AD66" s="575"/>
      <c r="AE66" s="180" t="s">
        <v>159</v>
      </c>
      <c r="AF66" s="180" t="s">
        <v>378</v>
      </c>
      <c r="AG66" s="180" t="s">
        <v>161</v>
      </c>
      <c r="AH66" s="182" t="s">
        <v>165</v>
      </c>
      <c r="AI66" s="575"/>
      <c r="AJ66" s="180" t="s">
        <v>159</v>
      </c>
      <c r="AK66" s="180" t="s">
        <v>378</v>
      </c>
      <c r="AL66" s="180" t="s">
        <v>161</v>
      </c>
      <c r="AM66" s="182" t="s">
        <v>165</v>
      </c>
      <c r="AN66" s="575"/>
      <c r="AO66" s="180" t="s">
        <v>159</v>
      </c>
      <c r="AP66" s="180" t="s">
        <v>378</v>
      </c>
      <c r="AQ66" s="180" t="s">
        <v>161</v>
      </c>
      <c r="AR66" s="182" t="s">
        <v>165</v>
      </c>
      <c r="AS66" s="575"/>
      <c r="AT66" s="180" t="s">
        <v>159</v>
      </c>
      <c r="AU66" s="180" t="s">
        <v>378</v>
      </c>
      <c r="AV66" s="180" t="s">
        <v>161</v>
      </c>
      <c r="AW66" s="182" t="s">
        <v>165</v>
      </c>
      <c r="AX66" s="575"/>
    </row>
    <row r="67" spans="2:50" ht="14.25" customHeight="1">
      <c r="B67" s="575" t="s">
        <v>137</v>
      </c>
      <c r="C67" s="180">
        <v>1</v>
      </c>
      <c r="D67" s="183" t="s">
        <v>358</v>
      </c>
      <c r="E67" s="180">
        <v>21</v>
      </c>
      <c r="F67" s="180">
        <v>2000</v>
      </c>
      <c r="G67" s="185">
        <f t="shared" ref="G67:G75" si="58">F67/E67</f>
        <v>95.238095238095241</v>
      </c>
      <c r="H67" s="576">
        <f>AVERAGE(G67:G81)</f>
        <v>87.845166106035677</v>
      </c>
      <c r="I67" s="186">
        <f>AVERAGE(P67,U67,Z67,AE67,AJ67,AO67,AT67)</f>
        <v>21</v>
      </c>
      <c r="J67" s="186">
        <f>AVERAGE(Q67,V67,AA67,AF67,AK67,AP67,AU67)</f>
        <v>1786.4571428571421</v>
      </c>
      <c r="K67" s="187">
        <f>AVERAGE(R67,W67,AB67,AG67,AL67,AQ67,AV67)</f>
        <v>85.069387755101985</v>
      </c>
      <c r="L67" s="577">
        <f>IFERROR(AVERAGE(K67:K81),"-")</f>
        <v>78.552970598954801</v>
      </c>
      <c r="M67" s="186">
        <f>RANK(K67, K$67:$K$81)</f>
        <v>2</v>
      </c>
      <c r="N67" s="575"/>
      <c r="O67" s="575"/>
      <c r="P67" s="188">
        <v>21</v>
      </c>
      <c r="Q67" s="188">
        <v>1786.5999999999995</v>
      </c>
      <c r="R67" s="185">
        <f>IFERROR(Q67/P67,"")</f>
        <v>85.076190476190447</v>
      </c>
      <c r="S67" s="182">
        <f>RANK(R67, R$67:R$81)</f>
        <v>2</v>
      </c>
      <c r="T67" s="576">
        <f>AVERAGE(R67:R81)</f>
        <v>78.534614325816193</v>
      </c>
      <c r="U67" s="188">
        <v>21</v>
      </c>
      <c r="V67" s="188">
        <v>1786.5999999999992</v>
      </c>
      <c r="W67" s="185">
        <f t="shared" ref="W67:W75" si="59">IFERROR(V67/U67,"")</f>
        <v>85.076190476190433</v>
      </c>
      <c r="X67" s="182">
        <f>RANK(W67, W$67:W$81)</f>
        <v>2</v>
      </c>
      <c r="Y67" s="576">
        <f>AVERAGE(W67:W81)</f>
        <v>78.545821267023143</v>
      </c>
      <c r="Z67" s="188">
        <v>21</v>
      </c>
      <c r="AA67" s="188">
        <v>1785.799999999999</v>
      </c>
      <c r="AB67" s="185">
        <f t="shared" ref="AB67:AB75" si="60">IFERROR(AA67/Z67,"")</f>
        <v>85.038095238095195</v>
      </c>
      <c r="AC67" s="182">
        <f>RANK(AB67, AB$67:AB$81)</f>
        <v>2</v>
      </c>
      <c r="AD67" s="576">
        <f>AVERAGE(AB67:AB81)</f>
        <v>78.546390890636246</v>
      </c>
      <c r="AE67" s="188">
        <v>21</v>
      </c>
      <c r="AF67" s="188">
        <v>1785.799999999999</v>
      </c>
      <c r="AG67" s="185">
        <f>IFERROR(AF67/AE67,"")</f>
        <v>85.038095238095195</v>
      </c>
      <c r="AH67" s="182">
        <f>RANK(AG67, AG$67:AG$81)</f>
        <v>2</v>
      </c>
      <c r="AI67" s="576">
        <f>AVERAGE(AG67:AG81)</f>
        <v>78.550894285791813</v>
      </c>
      <c r="AJ67" s="188">
        <v>21</v>
      </c>
      <c r="AK67" s="188">
        <v>1786.7999999999988</v>
      </c>
      <c r="AL67" s="185">
        <f t="shared" ref="AL67:AL75" si="61">IFERROR(AK67/AJ67,"")</f>
        <v>85.085714285714232</v>
      </c>
      <c r="AM67" s="182">
        <f>RANK(AL67, AL$67:AL$81)</f>
        <v>2</v>
      </c>
      <c r="AN67" s="576">
        <f>AVERAGE(AL67:AL81)</f>
        <v>78.557899534970971</v>
      </c>
      <c r="AO67" s="188">
        <v>21</v>
      </c>
      <c r="AP67" s="188">
        <v>1786.399999999999</v>
      </c>
      <c r="AQ67" s="185">
        <f t="shared" ref="AQ67:AQ75" si="62">IFERROR(AP67/AO67,"")</f>
        <v>85.06666666666662</v>
      </c>
      <c r="AR67" s="182">
        <f>RANK(AQ67, AQ$67:AQ$81)</f>
        <v>2</v>
      </c>
      <c r="AS67" s="576">
        <f>AVERAGE(AQ67:AQ81)</f>
        <v>78.563661847580107</v>
      </c>
      <c r="AT67" s="188">
        <v>21</v>
      </c>
      <c r="AU67" s="188">
        <v>1787.1999999999987</v>
      </c>
      <c r="AV67" s="185">
        <f t="shared" ref="AV67:AV75" si="63">IFERROR(AU67/AT67,"")</f>
        <v>85.104761904761844</v>
      </c>
      <c r="AW67" s="182">
        <f>RANK(AV67, AV$67:AV$81)</f>
        <v>2</v>
      </c>
      <c r="AX67" s="576">
        <f>AVERAGE(AV67:AV81)</f>
        <v>78.571512040865102</v>
      </c>
    </row>
    <row r="68" spans="2:50" ht="14.25" customHeight="1">
      <c r="B68" s="575"/>
      <c r="C68" s="180">
        <v>2</v>
      </c>
      <c r="D68" s="183" t="s">
        <v>359</v>
      </c>
      <c r="E68" s="180">
        <v>24</v>
      </c>
      <c r="F68" s="180">
        <v>2000</v>
      </c>
      <c r="G68" s="185">
        <f t="shared" si="58"/>
        <v>83.333333333333329</v>
      </c>
      <c r="H68" s="576"/>
      <c r="I68" s="186">
        <f t="shared" ref="I68:K75" si="64">AVERAGE(P68,U68,Z68,AE68,AJ68,AO68,AT68)</f>
        <v>24</v>
      </c>
      <c r="J68" s="186">
        <f t="shared" si="64"/>
        <v>1791.0569073552308</v>
      </c>
      <c r="K68" s="187">
        <f t="shared" si="64"/>
        <v>74.627371139801284</v>
      </c>
      <c r="L68" s="577"/>
      <c r="M68" s="186">
        <f>RANK(K68, K$67:$K$81)</f>
        <v>7</v>
      </c>
      <c r="N68" s="575"/>
      <c r="O68" s="575"/>
      <c r="P68" s="188">
        <v>24</v>
      </c>
      <c r="Q68" s="188">
        <v>1789.9997644980876</v>
      </c>
      <c r="R68" s="185">
        <f t="shared" ref="R68:R75" si="65">IFERROR(Q68/P68,"")</f>
        <v>74.583323520753652</v>
      </c>
      <c r="S68" s="182">
        <f t="shared" ref="S68:S75" si="66">RANK(R68, R$67:R$81)</f>
        <v>7</v>
      </c>
      <c r="T68" s="576"/>
      <c r="U68" s="188">
        <v>24</v>
      </c>
      <c r="V68" s="188">
        <v>1790.7997644980881</v>
      </c>
      <c r="W68" s="185">
        <f t="shared" si="59"/>
        <v>74.616656854086997</v>
      </c>
      <c r="X68" s="182">
        <f t="shared" ref="X68:X75" si="67">RANK(W68, W$67:W$81)</f>
        <v>7</v>
      </c>
      <c r="Y68" s="576"/>
      <c r="Z68" s="188">
        <v>24</v>
      </c>
      <c r="AA68" s="188">
        <v>1790.7997644980878</v>
      </c>
      <c r="AB68" s="185">
        <f t="shared" si="60"/>
        <v>74.616656854086997</v>
      </c>
      <c r="AC68" s="182">
        <f t="shared" ref="AC68:AC75" si="68">RANK(AB68, AB$67:AB$81)</f>
        <v>7</v>
      </c>
      <c r="AD68" s="576"/>
      <c r="AE68" s="188">
        <v>24</v>
      </c>
      <c r="AF68" s="188">
        <v>1791.7997644980876</v>
      </c>
      <c r="AG68" s="185">
        <f t="shared" ref="AG68:AG75" si="69">IFERROR(AF68/AE68,"")</f>
        <v>74.658323520753655</v>
      </c>
      <c r="AH68" s="182">
        <f t="shared" ref="AH68:AH75" si="70">RANK(AG68, AG$67:AG$81)</f>
        <v>7</v>
      </c>
      <c r="AI68" s="576"/>
      <c r="AJ68" s="188">
        <v>24</v>
      </c>
      <c r="AK68" s="188">
        <v>1791.9997644980879</v>
      </c>
      <c r="AL68" s="185">
        <f t="shared" si="61"/>
        <v>74.666656854086995</v>
      </c>
      <c r="AM68" s="182">
        <f t="shared" ref="AM68:AM75" si="71">RANK(AL68, AL$67:AL$81)</f>
        <v>7</v>
      </c>
      <c r="AN68" s="576"/>
      <c r="AO68" s="188">
        <v>24</v>
      </c>
      <c r="AP68" s="188">
        <v>1791.399764498088</v>
      </c>
      <c r="AQ68" s="185">
        <f t="shared" si="62"/>
        <v>74.641656854087003</v>
      </c>
      <c r="AR68" s="182">
        <f t="shared" ref="AR68:AR75" si="72">RANK(AQ68, AQ$67:AQ$81)</f>
        <v>7</v>
      </c>
      <c r="AS68" s="576"/>
      <c r="AT68" s="188">
        <v>24</v>
      </c>
      <c r="AU68" s="188">
        <v>1790.5997644980882</v>
      </c>
      <c r="AV68" s="185">
        <f t="shared" si="63"/>
        <v>74.608323520753672</v>
      </c>
      <c r="AW68" s="182">
        <f t="shared" ref="AW68:AW75" si="73">RANK(AV68, AV$67:AV$81)</f>
        <v>7</v>
      </c>
      <c r="AX68" s="576"/>
    </row>
    <row r="69" spans="2:50" ht="14.25" customHeight="1">
      <c r="B69" s="575"/>
      <c r="C69" s="180">
        <v>3</v>
      </c>
      <c r="D69" s="183" t="s">
        <v>360</v>
      </c>
      <c r="E69" s="180">
        <v>23</v>
      </c>
      <c r="F69" s="180">
        <v>2000</v>
      </c>
      <c r="G69" s="185">
        <f t="shared" si="58"/>
        <v>86.956521739130437</v>
      </c>
      <c r="H69" s="576"/>
      <c r="I69" s="186">
        <f t="shared" si="64"/>
        <v>23</v>
      </c>
      <c r="J69" s="186">
        <f t="shared" si="64"/>
        <v>1786.605637411915</v>
      </c>
      <c r="K69" s="187">
        <f t="shared" si="64"/>
        <v>77.67850597443109</v>
      </c>
      <c r="L69" s="577"/>
      <c r="M69" s="186">
        <f>RANK(K69, K$67:$K$81)</f>
        <v>6</v>
      </c>
      <c r="N69" s="575"/>
      <c r="O69" s="575"/>
      <c r="P69" s="188">
        <v>23</v>
      </c>
      <c r="Q69" s="188">
        <v>1786.3770659833435</v>
      </c>
      <c r="R69" s="185">
        <f t="shared" si="65"/>
        <v>77.668568086232327</v>
      </c>
      <c r="S69" s="182">
        <f t="shared" si="66"/>
        <v>6</v>
      </c>
      <c r="T69" s="576"/>
      <c r="U69" s="188">
        <v>23</v>
      </c>
      <c r="V69" s="188">
        <v>1786.3770659833435</v>
      </c>
      <c r="W69" s="185">
        <f t="shared" si="59"/>
        <v>77.668568086232327</v>
      </c>
      <c r="X69" s="182">
        <f t="shared" si="67"/>
        <v>6</v>
      </c>
      <c r="Y69" s="576"/>
      <c r="Z69" s="188">
        <v>23</v>
      </c>
      <c r="AA69" s="188">
        <v>1786.7770659833438</v>
      </c>
      <c r="AB69" s="185">
        <f t="shared" si="60"/>
        <v>77.685959390580166</v>
      </c>
      <c r="AC69" s="182">
        <f t="shared" si="68"/>
        <v>6</v>
      </c>
      <c r="AD69" s="576"/>
      <c r="AE69" s="188">
        <v>23</v>
      </c>
      <c r="AF69" s="188">
        <v>1786.5770659833438</v>
      </c>
      <c r="AG69" s="185">
        <f t="shared" si="69"/>
        <v>77.677263738406253</v>
      </c>
      <c r="AH69" s="182">
        <f t="shared" si="70"/>
        <v>6</v>
      </c>
      <c r="AI69" s="576"/>
      <c r="AJ69" s="188">
        <v>23</v>
      </c>
      <c r="AK69" s="188">
        <v>1786.3770659833438</v>
      </c>
      <c r="AL69" s="185">
        <f t="shared" si="61"/>
        <v>77.668568086232341</v>
      </c>
      <c r="AM69" s="182">
        <f t="shared" si="71"/>
        <v>6</v>
      </c>
      <c r="AN69" s="576"/>
      <c r="AO69" s="188">
        <v>23</v>
      </c>
      <c r="AP69" s="188">
        <v>1786.5770659833438</v>
      </c>
      <c r="AQ69" s="185">
        <f t="shared" si="62"/>
        <v>77.677263738406253</v>
      </c>
      <c r="AR69" s="182">
        <f t="shared" si="72"/>
        <v>6</v>
      </c>
      <c r="AS69" s="576"/>
      <c r="AT69" s="188">
        <v>23</v>
      </c>
      <c r="AU69" s="188">
        <v>1787.1770659833437</v>
      </c>
      <c r="AV69" s="185">
        <f t="shared" si="63"/>
        <v>77.703350694927991</v>
      </c>
      <c r="AW69" s="182">
        <f t="shared" si="73"/>
        <v>6</v>
      </c>
      <c r="AX69" s="576"/>
    </row>
    <row r="70" spans="2:50" ht="14.25" customHeight="1">
      <c r="B70" s="575"/>
      <c r="C70" s="180">
        <v>4</v>
      </c>
      <c r="D70" s="183" t="s">
        <v>357</v>
      </c>
      <c r="E70" s="180">
        <v>23</v>
      </c>
      <c r="F70" s="180">
        <v>2000</v>
      </c>
      <c r="G70" s="185">
        <f t="shared" si="58"/>
        <v>86.956521739130437</v>
      </c>
      <c r="H70" s="576"/>
      <c r="I70" s="186">
        <f t="shared" si="64"/>
        <v>23</v>
      </c>
      <c r="J70" s="186">
        <f t="shared" si="64"/>
        <v>1790.1213139801378</v>
      </c>
      <c r="K70" s="187">
        <f t="shared" si="64"/>
        <v>77.831361477397309</v>
      </c>
      <c r="L70" s="577"/>
      <c r="M70" s="186">
        <f>RANK(K70, K$67:$K$81)</f>
        <v>5</v>
      </c>
      <c r="N70" s="575"/>
      <c r="O70" s="575"/>
      <c r="P70" s="188">
        <v>23</v>
      </c>
      <c r="Q70" s="188">
        <v>1790.0641711229948</v>
      </c>
      <c r="R70" s="185">
        <f t="shared" si="65"/>
        <v>77.828877005347607</v>
      </c>
      <c r="S70" s="182">
        <f t="shared" si="66"/>
        <v>5</v>
      </c>
      <c r="T70" s="576"/>
      <c r="U70" s="188">
        <v>23</v>
      </c>
      <c r="V70" s="188">
        <v>1789.6641711229952</v>
      </c>
      <c r="W70" s="185">
        <f t="shared" si="59"/>
        <v>77.811485700999796</v>
      </c>
      <c r="X70" s="182">
        <f t="shared" si="67"/>
        <v>5</v>
      </c>
      <c r="Y70" s="576"/>
      <c r="Z70" s="188">
        <v>23</v>
      </c>
      <c r="AA70" s="188">
        <v>1789.6641711229954</v>
      </c>
      <c r="AB70" s="185">
        <f t="shared" si="60"/>
        <v>77.811485700999796</v>
      </c>
      <c r="AC70" s="182">
        <f t="shared" si="68"/>
        <v>5</v>
      </c>
      <c r="AD70" s="576"/>
      <c r="AE70" s="188">
        <v>23</v>
      </c>
      <c r="AF70" s="188">
        <v>1790.4641711229949</v>
      </c>
      <c r="AG70" s="185">
        <f t="shared" si="69"/>
        <v>77.846268309695432</v>
      </c>
      <c r="AH70" s="182">
        <f t="shared" si="70"/>
        <v>5</v>
      </c>
      <c r="AI70" s="576"/>
      <c r="AJ70" s="188">
        <v>23</v>
      </c>
      <c r="AK70" s="188">
        <v>1790.064171122995</v>
      </c>
      <c r="AL70" s="185">
        <f t="shared" si="61"/>
        <v>77.828877005347607</v>
      </c>
      <c r="AM70" s="182">
        <f t="shared" si="71"/>
        <v>5</v>
      </c>
      <c r="AN70" s="576"/>
      <c r="AO70" s="188">
        <v>23</v>
      </c>
      <c r="AP70" s="188">
        <v>1790.064171122995</v>
      </c>
      <c r="AQ70" s="185">
        <f t="shared" si="62"/>
        <v>77.828877005347607</v>
      </c>
      <c r="AR70" s="182">
        <f t="shared" si="72"/>
        <v>5</v>
      </c>
      <c r="AS70" s="576"/>
      <c r="AT70" s="188">
        <v>23</v>
      </c>
      <c r="AU70" s="188">
        <v>1790.8641711229948</v>
      </c>
      <c r="AV70" s="185">
        <f t="shared" si="63"/>
        <v>77.863659614043257</v>
      </c>
      <c r="AW70" s="182">
        <f t="shared" si="73"/>
        <v>5</v>
      </c>
      <c r="AX70" s="576"/>
    </row>
    <row r="71" spans="2:50" ht="14.25" customHeight="1">
      <c r="B71" s="575"/>
      <c r="C71" s="180">
        <v>5</v>
      </c>
      <c r="D71" s="183" t="s">
        <v>462</v>
      </c>
      <c r="E71" s="180">
        <v>23</v>
      </c>
      <c r="F71" s="180">
        <v>2000</v>
      </c>
      <c r="G71" s="185">
        <f t="shared" si="58"/>
        <v>86.956521739130437</v>
      </c>
      <c r="H71" s="576"/>
      <c r="I71" s="186">
        <f t="shared" si="64"/>
        <v>23</v>
      </c>
      <c r="J71" s="186">
        <f t="shared" si="64"/>
        <v>1791.478039342144</v>
      </c>
      <c r="K71" s="187">
        <f t="shared" si="64"/>
        <v>77.890349536614977</v>
      </c>
      <c r="L71" s="577"/>
      <c r="M71" s="186">
        <f>RANK(K71, K$67:$K$81)</f>
        <v>4</v>
      </c>
      <c r="N71" s="575"/>
      <c r="O71" s="575"/>
      <c r="P71" s="188">
        <v>23</v>
      </c>
      <c r="Q71" s="188">
        <v>1790.4494679135732</v>
      </c>
      <c r="R71" s="185">
        <f t="shared" si="65"/>
        <v>77.845629039720578</v>
      </c>
      <c r="S71" s="182">
        <f t="shared" si="66"/>
        <v>4</v>
      </c>
      <c r="T71" s="576"/>
      <c r="U71" s="188">
        <v>23</v>
      </c>
      <c r="V71" s="188">
        <v>1790.8494679135731</v>
      </c>
      <c r="W71" s="185">
        <f t="shared" si="59"/>
        <v>77.863020344068403</v>
      </c>
      <c r="X71" s="182">
        <f t="shared" si="67"/>
        <v>4</v>
      </c>
      <c r="Y71" s="576"/>
      <c r="Z71" s="188">
        <v>23</v>
      </c>
      <c r="AA71" s="188">
        <v>1791.4494679135732</v>
      </c>
      <c r="AB71" s="185">
        <f t="shared" si="60"/>
        <v>77.88910730059014</v>
      </c>
      <c r="AC71" s="182">
        <f t="shared" si="68"/>
        <v>4</v>
      </c>
      <c r="AD71" s="576"/>
      <c r="AE71" s="188">
        <v>23</v>
      </c>
      <c r="AF71" s="188">
        <v>1792.0494679135729</v>
      </c>
      <c r="AG71" s="185">
        <f t="shared" si="69"/>
        <v>77.915194257111864</v>
      </c>
      <c r="AH71" s="182">
        <f t="shared" si="70"/>
        <v>4</v>
      </c>
      <c r="AI71" s="576"/>
      <c r="AJ71" s="188">
        <v>23</v>
      </c>
      <c r="AK71" s="188">
        <v>1792.0494679135727</v>
      </c>
      <c r="AL71" s="185">
        <f t="shared" si="61"/>
        <v>77.91519425711185</v>
      </c>
      <c r="AM71" s="182">
        <f t="shared" si="71"/>
        <v>4</v>
      </c>
      <c r="AN71" s="576"/>
      <c r="AO71" s="188">
        <v>23</v>
      </c>
      <c r="AP71" s="188">
        <v>1792.0494679135722</v>
      </c>
      <c r="AQ71" s="185">
        <f t="shared" si="62"/>
        <v>77.915194257111835</v>
      </c>
      <c r="AR71" s="182">
        <f t="shared" si="72"/>
        <v>4</v>
      </c>
      <c r="AS71" s="576"/>
      <c r="AT71" s="188">
        <v>23</v>
      </c>
      <c r="AU71" s="188">
        <v>1791.4494679135721</v>
      </c>
      <c r="AV71" s="185">
        <f t="shared" si="63"/>
        <v>77.889107300590098</v>
      </c>
      <c r="AW71" s="182">
        <f t="shared" si="73"/>
        <v>4</v>
      </c>
      <c r="AX71" s="576"/>
    </row>
    <row r="72" spans="2:50" ht="14.25" customHeight="1">
      <c r="B72" s="575"/>
      <c r="C72" s="180">
        <v>6</v>
      </c>
      <c r="D72" s="183" t="s">
        <v>465</v>
      </c>
      <c r="E72" s="180">
        <v>22</v>
      </c>
      <c r="F72" s="180">
        <v>2000</v>
      </c>
      <c r="G72" s="185">
        <f t="shared" si="58"/>
        <v>90.909090909090907</v>
      </c>
      <c r="H72" s="576"/>
      <c r="I72" s="186">
        <f t="shared" si="64"/>
        <v>22</v>
      </c>
      <c r="J72" s="186">
        <f t="shared" si="64"/>
        <v>1788.0898179020267</v>
      </c>
      <c r="K72" s="187">
        <f t="shared" si="64"/>
        <v>81.276809904637588</v>
      </c>
      <c r="L72" s="577"/>
      <c r="M72" s="186">
        <f>RANK(K72, K$67:$K$81)</f>
        <v>3</v>
      </c>
      <c r="N72" s="575"/>
      <c r="O72" s="575"/>
      <c r="P72" s="188">
        <v>22</v>
      </c>
      <c r="Q72" s="188">
        <v>1787.6326750448841</v>
      </c>
      <c r="R72" s="185">
        <f t="shared" si="65"/>
        <v>81.25603068385837</v>
      </c>
      <c r="S72" s="182">
        <f t="shared" si="66"/>
        <v>3</v>
      </c>
      <c r="T72" s="576"/>
      <c r="U72" s="188">
        <v>22</v>
      </c>
      <c r="V72" s="188">
        <v>1788.232675044884</v>
      </c>
      <c r="W72" s="185">
        <f t="shared" si="59"/>
        <v>81.283303411131087</v>
      </c>
      <c r="X72" s="182">
        <f t="shared" si="67"/>
        <v>3</v>
      </c>
      <c r="Y72" s="576"/>
      <c r="Z72" s="188">
        <v>22</v>
      </c>
      <c r="AA72" s="188">
        <v>1788.232675044884</v>
      </c>
      <c r="AB72" s="185">
        <f t="shared" si="60"/>
        <v>81.283303411131087</v>
      </c>
      <c r="AC72" s="182">
        <f t="shared" si="68"/>
        <v>3</v>
      </c>
      <c r="AD72" s="576"/>
      <c r="AE72" s="188">
        <v>22</v>
      </c>
      <c r="AF72" s="188">
        <v>1787.8326750448839</v>
      </c>
      <c r="AG72" s="185">
        <f t="shared" si="69"/>
        <v>81.265121592949271</v>
      </c>
      <c r="AH72" s="182">
        <f t="shared" si="70"/>
        <v>3</v>
      </c>
      <c r="AI72" s="576"/>
      <c r="AJ72" s="188">
        <v>22</v>
      </c>
      <c r="AK72" s="188">
        <v>1788.2326750448838</v>
      </c>
      <c r="AL72" s="185">
        <f t="shared" si="61"/>
        <v>81.283303411131087</v>
      </c>
      <c r="AM72" s="182">
        <f t="shared" si="71"/>
        <v>3</v>
      </c>
      <c r="AN72" s="576"/>
      <c r="AO72" s="188">
        <v>22</v>
      </c>
      <c r="AP72" s="188">
        <v>1787.8326750448841</v>
      </c>
      <c r="AQ72" s="185">
        <f t="shared" si="62"/>
        <v>81.265121592949285</v>
      </c>
      <c r="AR72" s="182">
        <f t="shared" si="72"/>
        <v>3</v>
      </c>
      <c r="AS72" s="576"/>
      <c r="AT72" s="188">
        <v>22</v>
      </c>
      <c r="AU72" s="188">
        <v>1788.6326750448843</v>
      </c>
      <c r="AV72" s="185">
        <f t="shared" si="63"/>
        <v>81.301485229312917</v>
      </c>
      <c r="AW72" s="182">
        <f t="shared" si="73"/>
        <v>3</v>
      </c>
      <c r="AX72" s="576"/>
    </row>
    <row r="73" spans="2:50" ht="14.25" customHeight="1">
      <c r="B73" s="575"/>
      <c r="C73" s="180">
        <v>7</v>
      </c>
      <c r="D73" s="183" t="s">
        <v>469</v>
      </c>
      <c r="E73" s="180">
        <v>20</v>
      </c>
      <c r="F73" s="180">
        <v>2000</v>
      </c>
      <c r="G73" s="185">
        <f t="shared" si="58"/>
        <v>100</v>
      </c>
      <c r="H73" s="576"/>
      <c r="I73" s="186">
        <f t="shared" si="64"/>
        <v>20</v>
      </c>
      <c r="J73" s="186">
        <f t="shared" si="64"/>
        <v>1785.8990827506448</v>
      </c>
      <c r="K73" s="187">
        <f t="shared" si="64"/>
        <v>89.294954137532258</v>
      </c>
      <c r="L73" s="577"/>
      <c r="M73" s="186">
        <f>RANK(K73, K$67:$K$81)</f>
        <v>1</v>
      </c>
      <c r="N73" s="575"/>
      <c r="O73" s="575"/>
      <c r="P73" s="188">
        <v>20</v>
      </c>
      <c r="Q73" s="188">
        <v>1785.0960953011256</v>
      </c>
      <c r="R73" s="185">
        <f t="shared" si="65"/>
        <v>89.254804765056278</v>
      </c>
      <c r="S73" s="182">
        <f t="shared" si="66"/>
        <v>1</v>
      </c>
      <c r="T73" s="576"/>
      <c r="U73" s="188">
        <v>20</v>
      </c>
      <c r="V73" s="188">
        <v>1785.6960953011251</v>
      </c>
      <c r="W73" s="185">
        <f t="shared" si="59"/>
        <v>89.284804765056251</v>
      </c>
      <c r="X73" s="182">
        <f t="shared" si="67"/>
        <v>1</v>
      </c>
      <c r="Y73" s="576"/>
      <c r="Z73" s="188">
        <v>20</v>
      </c>
      <c r="AA73" s="188">
        <v>1784.8960953011253</v>
      </c>
      <c r="AB73" s="185">
        <f t="shared" si="60"/>
        <v>89.244804765056273</v>
      </c>
      <c r="AC73" s="182">
        <f t="shared" si="68"/>
        <v>1</v>
      </c>
      <c r="AD73" s="576"/>
      <c r="AE73" s="188">
        <v>20</v>
      </c>
      <c r="AF73" s="188">
        <v>1785.2960953011252</v>
      </c>
      <c r="AG73" s="185">
        <f t="shared" si="69"/>
        <v>89.264804765056255</v>
      </c>
      <c r="AH73" s="182">
        <f t="shared" si="70"/>
        <v>1</v>
      </c>
      <c r="AI73" s="576"/>
      <c r="AJ73" s="188">
        <v>20</v>
      </c>
      <c r="AK73" s="188">
        <v>1785.0960953011249</v>
      </c>
      <c r="AL73" s="185">
        <f t="shared" si="61"/>
        <v>89.254804765056249</v>
      </c>
      <c r="AM73" s="182">
        <f t="shared" si="71"/>
        <v>1</v>
      </c>
      <c r="AN73" s="576"/>
      <c r="AO73" s="188">
        <v>20</v>
      </c>
      <c r="AP73" s="188">
        <v>1787.8065513744448</v>
      </c>
      <c r="AQ73" s="185">
        <f t="shared" si="62"/>
        <v>89.390327568722242</v>
      </c>
      <c r="AR73" s="182">
        <f t="shared" si="72"/>
        <v>1</v>
      </c>
      <c r="AS73" s="576"/>
      <c r="AT73" s="188">
        <v>20</v>
      </c>
      <c r="AU73" s="188">
        <v>1787.4065513744449</v>
      </c>
      <c r="AV73" s="185">
        <f t="shared" si="63"/>
        <v>89.370327568722246</v>
      </c>
      <c r="AW73" s="182">
        <f t="shared" si="73"/>
        <v>1</v>
      </c>
      <c r="AX73" s="576"/>
    </row>
    <row r="74" spans="2:50" ht="14.25" customHeight="1">
      <c r="B74" s="575"/>
      <c r="C74" s="180">
        <v>8</v>
      </c>
      <c r="D74" s="183" t="s">
        <v>361</v>
      </c>
      <c r="E74" s="180">
        <v>24</v>
      </c>
      <c r="F74" s="180">
        <v>2000</v>
      </c>
      <c r="G74" s="185">
        <f t="shared" si="58"/>
        <v>83.333333333333329</v>
      </c>
      <c r="H74" s="576"/>
      <c r="I74" s="186">
        <f t="shared" si="64"/>
        <v>24</v>
      </c>
      <c r="J74" s="186">
        <f t="shared" si="64"/>
        <v>1786.2450667908213</v>
      </c>
      <c r="K74" s="187">
        <f t="shared" si="64"/>
        <v>74.426877782950896</v>
      </c>
      <c r="L74" s="577"/>
      <c r="M74" s="186">
        <f>RANK(K74, K$67:$K$81)</f>
        <v>8</v>
      </c>
      <c r="N74" s="575"/>
      <c r="O74" s="575"/>
      <c r="P74" s="188">
        <v>24</v>
      </c>
      <c r="Q74" s="188">
        <v>1785.2164953622498</v>
      </c>
      <c r="R74" s="185">
        <f t="shared" si="65"/>
        <v>74.384020640093738</v>
      </c>
      <c r="S74" s="182">
        <f t="shared" si="66"/>
        <v>8</v>
      </c>
      <c r="T74" s="576"/>
      <c r="U74" s="188">
        <v>24</v>
      </c>
      <c r="V74" s="188">
        <v>1786.0164953622498</v>
      </c>
      <c r="W74" s="185">
        <f t="shared" si="59"/>
        <v>74.417353973427069</v>
      </c>
      <c r="X74" s="182">
        <f t="shared" si="67"/>
        <v>8</v>
      </c>
      <c r="Y74" s="576"/>
      <c r="Z74" s="188">
        <v>24</v>
      </c>
      <c r="AA74" s="188">
        <v>1786.4164953622496</v>
      </c>
      <c r="AB74" s="185">
        <f t="shared" si="60"/>
        <v>74.434020640093735</v>
      </c>
      <c r="AC74" s="182">
        <f t="shared" si="68"/>
        <v>8</v>
      </c>
      <c r="AD74" s="576"/>
      <c r="AE74" s="188">
        <v>24</v>
      </c>
      <c r="AF74" s="188">
        <v>1786.0164953622498</v>
      </c>
      <c r="AG74" s="185">
        <f t="shared" si="69"/>
        <v>74.417353973427069</v>
      </c>
      <c r="AH74" s="182">
        <f t="shared" si="70"/>
        <v>8</v>
      </c>
      <c r="AI74" s="576"/>
      <c r="AJ74" s="188">
        <v>24</v>
      </c>
      <c r="AK74" s="188">
        <v>1786.6164953622497</v>
      </c>
      <c r="AL74" s="185">
        <f t="shared" si="61"/>
        <v>74.442353973427075</v>
      </c>
      <c r="AM74" s="182">
        <f t="shared" si="71"/>
        <v>8</v>
      </c>
      <c r="AN74" s="576"/>
      <c r="AO74" s="188">
        <v>24</v>
      </c>
      <c r="AP74" s="188">
        <v>1786.8164953622502</v>
      </c>
      <c r="AQ74" s="185">
        <f t="shared" si="62"/>
        <v>74.450687306760429</v>
      </c>
      <c r="AR74" s="182">
        <f t="shared" si="72"/>
        <v>8</v>
      </c>
      <c r="AS74" s="576"/>
      <c r="AT74" s="188">
        <v>24</v>
      </c>
      <c r="AU74" s="188">
        <v>1786.6164953622506</v>
      </c>
      <c r="AV74" s="185">
        <f t="shared" si="63"/>
        <v>74.442353973427103</v>
      </c>
      <c r="AW74" s="182">
        <f t="shared" si="73"/>
        <v>8</v>
      </c>
      <c r="AX74" s="576"/>
    </row>
    <row r="75" spans="2:50" ht="14.25" customHeight="1">
      <c r="B75" s="575"/>
      <c r="C75" s="180">
        <v>9</v>
      </c>
      <c r="D75" s="183" t="s">
        <v>618</v>
      </c>
      <c r="E75" s="180">
        <v>26</v>
      </c>
      <c r="F75" s="180">
        <v>2000</v>
      </c>
      <c r="G75" s="185">
        <f t="shared" si="58"/>
        <v>76.92307692307692</v>
      </c>
      <c r="H75" s="576"/>
      <c r="I75" s="186">
        <f t="shared" si="64"/>
        <v>26</v>
      </c>
      <c r="J75" s="186">
        <f t="shared" si="64"/>
        <v>1790.9090597352713</v>
      </c>
      <c r="K75" s="187">
        <f t="shared" si="64"/>
        <v>68.881117682125819</v>
      </c>
      <c r="L75" s="577"/>
      <c r="M75" s="186">
        <f>RANK(K75, K$67:$K$81)</f>
        <v>9</v>
      </c>
      <c r="N75" s="575"/>
      <c r="O75" s="575"/>
      <c r="P75" s="188">
        <v>26</v>
      </c>
      <c r="Q75" s="188">
        <v>1791.7662025924137</v>
      </c>
      <c r="R75" s="185">
        <f t="shared" si="65"/>
        <v>68.914084715092841</v>
      </c>
      <c r="S75" s="182">
        <f t="shared" si="66"/>
        <v>9</v>
      </c>
      <c r="T75" s="576"/>
      <c r="U75" s="188">
        <v>26</v>
      </c>
      <c r="V75" s="188">
        <v>1791.1662025924143</v>
      </c>
      <c r="W75" s="185">
        <f t="shared" si="59"/>
        <v>68.891007792015927</v>
      </c>
      <c r="X75" s="182">
        <f t="shared" si="67"/>
        <v>9</v>
      </c>
      <c r="Y75" s="576"/>
      <c r="Z75" s="188">
        <v>26</v>
      </c>
      <c r="AA75" s="188">
        <v>1791.7662025924139</v>
      </c>
      <c r="AB75" s="185">
        <f t="shared" si="60"/>
        <v>68.914084715092841</v>
      </c>
      <c r="AC75" s="182">
        <f t="shared" si="68"/>
        <v>9</v>
      </c>
      <c r="AD75" s="576"/>
      <c r="AE75" s="188">
        <v>26</v>
      </c>
      <c r="AF75" s="188">
        <v>1790.7662025924139</v>
      </c>
      <c r="AG75" s="185">
        <f t="shared" si="69"/>
        <v>68.875623176631308</v>
      </c>
      <c r="AH75" s="182">
        <f t="shared" si="70"/>
        <v>9</v>
      </c>
      <c r="AI75" s="576"/>
      <c r="AJ75" s="188">
        <v>26</v>
      </c>
      <c r="AK75" s="188">
        <v>1790.7662025924142</v>
      </c>
      <c r="AL75" s="185">
        <f t="shared" si="61"/>
        <v>68.875623176631308</v>
      </c>
      <c r="AM75" s="182">
        <f t="shared" si="71"/>
        <v>9</v>
      </c>
      <c r="AN75" s="576"/>
      <c r="AO75" s="188">
        <v>26</v>
      </c>
      <c r="AP75" s="188">
        <v>1789.7662025924144</v>
      </c>
      <c r="AQ75" s="185">
        <f t="shared" si="62"/>
        <v>68.837161638169789</v>
      </c>
      <c r="AR75" s="182">
        <f t="shared" si="72"/>
        <v>9</v>
      </c>
      <c r="AS75" s="576"/>
      <c r="AT75" s="188">
        <v>26</v>
      </c>
      <c r="AU75" s="188">
        <v>1790.3662025924145</v>
      </c>
      <c r="AV75" s="185">
        <f t="shared" si="63"/>
        <v>68.860238561246717</v>
      </c>
      <c r="AW75" s="182">
        <f t="shared" si="73"/>
        <v>9</v>
      </c>
      <c r="AX75" s="576"/>
    </row>
    <row r="76" spans="2:50" ht="14.25" customHeight="1">
      <c r="B76" s="575"/>
      <c r="C76" s="180">
        <v>10</v>
      </c>
      <c r="D76" s="183"/>
      <c r="E76" s="180"/>
      <c r="F76" s="180"/>
      <c r="G76" s="185"/>
      <c r="H76" s="576"/>
      <c r="I76" s="186"/>
      <c r="J76" s="186"/>
      <c r="K76" s="187"/>
      <c r="L76" s="577"/>
      <c r="M76" s="186"/>
      <c r="N76" s="575"/>
      <c r="O76" s="575"/>
      <c r="P76" s="188"/>
      <c r="Q76" s="188"/>
      <c r="R76" s="185"/>
      <c r="S76" s="182"/>
      <c r="T76" s="576"/>
      <c r="U76" s="188"/>
      <c r="V76" s="188"/>
      <c r="W76" s="185"/>
      <c r="X76" s="182"/>
      <c r="Y76" s="576"/>
      <c r="Z76" s="188"/>
      <c r="AA76" s="188"/>
      <c r="AB76" s="185"/>
      <c r="AC76" s="182"/>
      <c r="AD76" s="576"/>
      <c r="AE76" s="188"/>
      <c r="AF76" s="188"/>
      <c r="AG76" s="185"/>
      <c r="AH76" s="182"/>
      <c r="AI76" s="576"/>
      <c r="AJ76" s="188"/>
      <c r="AK76" s="188"/>
      <c r="AL76" s="185"/>
      <c r="AM76" s="182"/>
      <c r="AN76" s="576"/>
      <c r="AO76" s="188"/>
      <c r="AP76" s="188"/>
      <c r="AQ76" s="185"/>
      <c r="AR76" s="182"/>
      <c r="AS76" s="576"/>
      <c r="AT76" s="188"/>
      <c r="AU76" s="188"/>
      <c r="AV76" s="185"/>
      <c r="AW76" s="182"/>
      <c r="AX76" s="576"/>
    </row>
    <row r="77" spans="2:50" ht="14.25" customHeight="1">
      <c r="B77" s="575"/>
      <c r="C77" s="180">
        <v>11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75"/>
      <c r="O77" s="575"/>
      <c r="P77" s="188"/>
      <c r="Q77" s="188"/>
      <c r="R77" s="185"/>
      <c r="S77" s="182"/>
      <c r="T77" s="576"/>
      <c r="U77" s="188"/>
      <c r="V77" s="188"/>
      <c r="W77" s="185"/>
      <c r="X77" s="182"/>
      <c r="Y77" s="576"/>
      <c r="Z77" s="188"/>
      <c r="AA77" s="188"/>
      <c r="AB77" s="185"/>
      <c r="AC77" s="182"/>
      <c r="AD77" s="576"/>
      <c r="AE77" s="188"/>
      <c r="AF77" s="188"/>
      <c r="AG77" s="185"/>
      <c r="AH77" s="182"/>
      <c r="AI77" s="576"/>
      <c r="AJ77" s="188"/>
      <c r="AK77" s="188"/>
      <c r="AL77" s="185"/>
      <c r="AM77" s="182"/>
      <c r="AN77" s="576"/>
      <c r="AO77" s="188"/>
      <c r="AP77" s="188"/>
      <c r="AQ77" s="185"/>
      <c r="AR77" s="182"/>
      <c r="AS77" s="576"/>
      <c r="AT77" s="188"/>
      <c r="AU77" s="188"/>
      <c r="AV77" s="185"/>
      <c r="AW77" s="182"/>
      <c r="AX77" s="576"/>
    </row>
    <row r="78" spans="2:50" ht="14.25" customHeight="1">
      <c r="B78" s="575"/>
      <c r="C78" s="180">
        <v>12</v>
      </c>
      <c r="D78" s="183"/>
      <c r="E78" s="180"/>
      <c r="F78" s="180"/>
      <c r="G78" s="185"/>
      <c r="H78" s="576"/>
      <c r="I78" s="186"/>
      <c r="J78" s="186"/>
      <c r="K78" s="187"/>
      <c r="L78" s="577"/>
      <c r="M78" s="186"/>
      <c r="N78" s="575"/>
      <c r="O78" s="575"/>
      <c r="P78" s="188"/>
      <c r="Q78" s="188"/>
      <c r="R78" s="185"/>
      <c r="S78" s="182"/>
      <c r="T78" s="576"/>
      <c r="U78" s="188"/>
      <c r="V78" s="188"/>
      <c r="W78" s="185"/>
      <c r="X78" s="182"/>
      <c r="Y78" s="576"/>
      <c r="Z78" s="188"/>
      <c r="AA78" s="188"/>
      <c r="AB78" s="185"/>
      <c r="AC78" s="182"/>
      <c r="AD78" s="576"/>
      <c r="AE78" s="188"/>
      <c r="AF78" s="188"/>
      <c r="AG78" s="185"/>
      <c r="AH78" s="182"/>
      <c r="AI78" s="576"/>
      <c r="AJ78" s="188"/>
      <c r="AK78" s="188"/>
      <c r="AL78" s="185"/>
      <c r="AM78" s="182"/>
      <c r="AN78" s="576"/>
      <c r="AO78" s="188"/>
      <c r="AP78" s="188"/>
      <c r="AQ78" s="185"/>
      <c r="AR78" s="182"/>
      <c r="AS78" s="576"/>
      <c r="AT78" s="188"/>
      <c r="AU78" s="188"/>
      <c r="AV78" s="185"/>
      <c r="AW78" s="182"/>
      <c r="AX78" s="576"/>
    </row>
    <row r="79" spans="2:50" ht="14.25" customHeight="1">
      <c r="B79" s="575"/>
      <c r="C79" s="180">
        <v>13</v>
      </c>
      <c r="D79" s="183"/>
      <c r="E79" s="180"/>
      <c r="F79" s="180"/>
      <c r="G79" s="185"/>
      <c r="H79" s="576"/>
      <c r="I79" s="186"/>
      <c r="J79" s="186"/>
      <c r="K79" s="187"/>
      <c r="L79" s="577"/>
      <c r="M79" s="186"/>
      <c r="N79" s="575"/>
      <c r="O79" s="575"/>
      <c r="P79" s="188"/>
      <c r="Q79" s="188"/>
      <c r="R79" s="185"/>
      <c r="S79" s="182"/>
      <c r="T79" s="576"/>
      <c r="U79" s="188"/>
      <c r="V79" s="188"/>
      <c r="W79" s="185"/>
      <c r="X79" s="182"/>
      <c r="Y79" s="576"/>
      <c r="Z79" s="188"/>
      <c r="AA79" s="188"/>
      <c r="AB79" s="185"/>
      <c r="AC79" s="182"/>
      <c r="AD79" s="576"/>
      <c r="AE79" s="188"/>
      <c r="AF79" s="188"/>
      <c r="AG79" s="185"/>
      <c r="AH79" s="182"/>
      <c r="AI79" s="576"/>
      <c r="AJ79" s="188"/>
      <c r="AK79" s="188"/>
      <c r="AL79" s="185"/>
      <c r="AM79" s="182"/>
      <c r="AN79" s="576"/>
      <c r="AO79" s="188"/>
      <c r="AP79" s="188"/>
      <c r="AQ79" s="185"/>
      <c r="AR79" s="182"/>
      <c r="AS79" s="576"/>
      <c r="AT79" s="188"/>
      <c r="AU79" s="188"/>
      <c r="AV79" s="185"/>
      <c r="AW79" s="182"/>
      <c r="AX79" s="576"/>
    </row>
    <row r="80" spans="2:50" ht="14.25" customHeight="1">
      <c r="B80" s="575"/>
      <c r="C80" s="180">
        <v>14</v>
      </c>
      <c r="D80" s="183"/>
      <c r="E80" s="180"/>
      <c r="F80" s="180"/>
      <c r="G80" s="185"/>
      <c r="H80" s="576"/>
      <c r="I80" s="186"/>
      <c r="J80" s="186"/>
      <c r="K80" s="187"/>
      <c r="L80" s="577"/>
      <c r="M80" s="186"/>
      <c r="N80" s="575"/>
      <c r="O80" s="575"/>
      <c r="P80" s="188"/>
      <c r="Q80" s="188"/>
      <c r="R80" s="185"/>
      <c r="S80" s="182"/>
      <c r="T80" s="576"/>
      <c r="U80" s="188"/>
      <c r="V80" s="188"/>
      <c r="W80" s="185"/>
      <c r="X80" s="182"/>
      <c r="Y80" s="576"/>
      <c r="Z80" s="188"/>
      <c r="AA80" s="188"/>
      <c r="AB80" s="185"/>
      <c r="AC80" s="182"/>
      <c r="AD80" s="576"/>
      <c r="AE80" s="188"/>
      <c r="AF80" s="188"/>
      <c r="AG80" s="185"/>
      <c r="AH80" s="182"/>
      <c r="AI80" s="576"/>
      <c r="AJ80" s="188"/>
      <c r="AK80" s="188"/>
      <c r="AL80" s="185"/>
      <c r="AM80" s="182"/>
      <c r="AN80" s="576"/>
      <c r="AO80" s="188"/>
      <c r="AP80" s="188"/>
      <c r="AQ80" s="185"/>
      <c r="AR80" s="182"/>
      <c r="AS80" s="576"/>
      <c r="AT80" s="188"/>
      <c r="AU80" s="188"/>
      <c r="AV80" s="185"/>
      <c r="AW80" s="182"/>
      <c r="AX80" s="576"/>
    </row>
    <row r="81" spans="2:50" ht="14.25" customHeight="1">
      <c r="B81" s="575"/>
      <c r="C81" s="180">
        <v>15</v>
      </c>
      <c r="D81" s="183"/>
      <c r="E81" s="180"/>
      <c r="F81" s="180"/>
      <c r="G81" s="185"/>
      <c r="H81" s="576"/>
      <c r="I81" s="186"/>
      <c r="J81" s="186"/>
      <c r="K81" s="187"/>
      <c r="L81" s="577"/>
      <c r="M81" s="186"/>
      <c r="N81" s="575"/>
      <c r="O81" s="575"/>
      <c r="P81" s="188"/>
      <c r="Q81" s="188"/>
      <c r="R81" s="185"/>
      <c r="S81" s="182"/>
      <c r="T81" s="576"/>
      <c r="U81" s="188"/>
      <c r="V81" s="188"/>
      <c r="W81" s="185"/>
      <c r="X81" s="182"/>
      <c r="Y81" s="576"/>
      <c r="Z81" s="188"/>
      <c r="AA81" s="188"/>
      <c r="AB81" s="185"/>
      <c r="AC81" s="182"/>
      <c r="AD81" s="576"/>
      <c r="AE81" s="188"/>
      <c r="AF81" s="188"/>
      <c r="AG81" s="185"/>
      <c r="AH81" s="182"/>
      <c r="AI81" s="576"/>
      <c r="AJ81" s="188"/>
      <c r="AK81" s="188"/>
      <c r="AL81" s="185"/>
      <c r="AM81" s="182"/>
      <c r="AN81" s="576"/>
      <c r="AO81" s="188"/>
      <c r="AP81" s="188"/>
      <c r="AQ81" s="185"/>
      <c r="AR81" s="182"/>
      <c r="AS81" s="576"/>
      <c r="AT81" s="188"/>
      <c r="AU81" s="188"/>
      <c r="AV81" s="185"/>
      <c r="AW81" s="182"/>
      <c r="AX81" s="576"/>
    </row>
    <row r="82" spans="2:50" ht="14.25" customHeight="1">
      <c r="B82" s="643" t="s">
        <v>784</v>
      </c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4"/>
      <c r="N82" s="609" t="s">
        <v>374</v>
      </c>
      <c r="O82" s="609" t="s">
        <v>105</v>
      </c>
      <c r="P82" s="655">
        <v>46140</v>
      </c>
      <c r="Q82" s="656"/>
      <c r="R82" s="656"/>
      <c r="S82" s="656"/>
      <c r="T82" s="656"/>
      <c r="U82" s="657">
        <v>46141</v>
      </c>
      <c r="V82" s="658"/>
      <c r="W82" s="658"/>
      <c r="X82" s="658"/>
      <c r="Y82" s="658"/>
      <c r="Z82" s="655">
        <v>46142</v>
      </c>
      <c r="AA82" s="656"/>
      <c r="AB82" s="656"/>
      <c r="AC82" s="656"/>
      <c r="AD82" s="656"/>
      <c r="AE82" s="657">
        <v>46143</v>
      </c>
      <c r="AF82" s="658"/>
      <c r="AG82" s="658"/>
      <c r="AH82" s="658"/>
      <c r="AI82" s="658"/>
      <c r="AJ82" s="647">
        <v>46144</v>
      </c>
      <c r="AK82" s="648"/>
      <c r="AL82" s="648"/>
      <c r="AM82" s="648"/>
      <c r="AN82" s="649"/>
      <c r="AO82" s="657">
        <v>46145</v>
      </c>
      <c r="AP82" s="658"/>
      <c r="AQ82" s="658"/>
      <c r="AR82" s="658"/>
      <c r="AS82" s="658"/>
      <c r="AT82" s="647">
        <v>46146</v>
      </c>
      <c r="AU82" s="648"/>
      <c r="AV82" s="648"/>
      <c r="AW82" s="648"/>
      <c r="AX82" s="649"/>
    </row>
    <row r="83" spans="2:50" ht="14.25" customHeight="1">
      <c r="B83" s="645"/>
      <c r="C83" s="645"/>
      <c r="D83" s="645"/>
      <c r="E83" s="645"/>
      <c r="F83" s="645"/>
      <c r="G83" s="645"/>
      <c r="H83" s="645"/>
      <c r="I83" s="645"/>
      <c r="J83" s="645"/>
      <c r="K83" s="645"/>
      <c r="L83" s="645"/>
      <c r="M83" s="646"/>
      <c r="N83" s="611"/>
      <c r="O83" s="611"/>
      <c r="P83" s="650">
        <v>46140</v>
      </c>
      <c r="Q83" s="650"/>
      <c r="R83" s="650"/>
      <c r="S83" s="650"/>
      <c r="T83" s="650"/>
      <c r="U83" s="651">
        <v>46141</v>
      </c>
      <c r="V83" s="651"/>
      <c r="W83" s="651"/>
      <c r="X83" s="651"/>
      <c r="Y83" s="651"/>
      <c r="Z83" s="650">
        <v>46142</v>
      </c>
      <c r="AA83" s="650"/>
      <c r="AB83" s="650"/>
      <c r="AC83" s="650"/>
      <c r="AD83" s="650"/>
      <c r="AE83" s="651">
        <v>46143</v>
      </c>
      <c r="AF83" s="651"/>
      <c r="AG83" s="651"/>
      <c r="AH83" s="651"/>
      <c r="AI83" s="651"/>
      <c r="AJ83" s="652">
        <v>46144</v>
      </c>
      <c r="AK83" s="653"/>
      <c r="AL83" s="653"/>
      <c r="AM83" s="653"/>
      <c r="AN83" s="654"/>
      <c r="AO83" s="651">
        <v>46145</v>
      </c>
      <c r="AP83" s="651"/>
      <c r="AQ83" s="651"/>
      <c r="AR83" s="651"/>
      <c r="AS83" s="651"/>
      <c r="AT83" s="652">
        <v>46146</v>
      </c>
      <c r="AU83" s="653"/>
      <c r="AV83" s="653"/>
      <c r="AW83" s="653"/>
      <c r="AX83" s="654"/>
    </row>
    <row r="84" spans="2:50" ht="14.25" customHeight="1">
      <c r="B84" s="575" t="s">
        <v>162</v>
      </c>
      <c r="C84" s="575" t="s">
        <v>157</v>
      </c>
      <c r="D84" s="575"/>
      <c r="E84" s="575" t="s">
        <v>158</v>
      </c>
      <c r="F84" s="575"/>
      <c r="G84" s="575"/>
      <c r="H84" s="575" t="s">
        <v>163</v>
      </c>
      <c r="I84" s="579" t="s">
        <v>375</v>
      </c>
      <c r="J84" s="579"/>
      <c r="K84" s="579"/>
      <c r="L84" s="579" t="s">
        <v>163</v>
      </c>
      <c r="M84" s="579" t="s">
        <v>165</v>
      </c>
      <c r="N84" s="575"/>
      <c r="O84" s="575" t="s">
        <v>164</v>
      </c>
      <c r="P84" s="575" t="s">
        <v>160</v>
      </c>
      <c r="Q84" s="575"/>
      <c r="R84" s="575"/>
      <c r="S84" s="575"/>
      <c r="T84" s="575" t="s">
        <v>163</v>
      </c>
      <c r="U84" s="575" t="s">
        <v>160</v>
      </c>
      <c r="V84" s="575"/>
      <c r="W84" s="575"/>
      <c r="X84" s="575"/>
      <c r="Y84" s="575" t="s">
        <v>163</v>
      </c>
      <c r="Z84" s="575" t="s">
        <v>160</v>
      </c>
      <c r="AA84" s="575"/>
      <c r="AB84" s="575"/>
      <c r="AC84" s="575"/>
      <c r="AD84" s="575" t="s">
        <v>163</v>
      </c>
      <c r="AE84" s="575" t="s">
        <v>160</v>
      </c>
      <c r="AF84" s="575"/>
      <c r="AG84" s="575"/>
      <c r="AH84" s="575"/>
      <c r="AI84" s="575" t="s">
        <v>163</v>
      </c>
      <c r="AJ84" s="575" t="s">
        <v>160</v>
      </c>
      <c r="AK84" s="575"/>
      <c r="AL84" s="575"/>
      <c r="AM84" s="575"/>
      <c r="AN84" s="575" t="s">
        <v>163</v>
      </c>
      <c r="AO84" s="575" t="s">
        <v>160</v>
      </c>
      <c r="AP84" s="575"/>
      <c r="AQ84" s="575"/>
      <c r="AR84" s="575"/>
      <c r="AS84" s="575" t="s">
        <v>163</v>
      </c>
      <c r="AT84" s="575" t="s">
        <v>160</v>
      </c>
      <c r="AU84" s="575"/>
      <c r="AV84" s="575"/>
      <c r="AW84" s="575"/>
      <c r="AX84" s="575" t="s">
        <v>163</v>
      </c>
    </row>
    <row r="85" spans="2:50" ht="14.25" customHeight="1">
      <c r="B85" s="575"/>
      <c r="C85" s="575"/>
      <c r="D85" s="575"/>
      <c r="E85" s="575" t="s">
        <v>376</v>
      </c>
      <c r="F85" s="575"/>
      <c r="G85" s="575"/>
      <c r="H85" s="575"/>
      <c r="I85" s="579" t="s">
        <v>376</v>
      </c>
      <c r="J85" s="579"/>
      <c r="K85" s="579"/>
      <c r="L85" s="579"/>
      <c r="M85" s="579"/>
      <c r="N85" s="575"/>
      <c r="O85" s="575"/>
      <c r="P85" s="575" t="s">
        <v>377</v>
      </c>
      <c r="Q85" s="575"/>
      <c r="R85" s="575"/>
      <c r="S85" s="575"/>
      <c r="T85" s="575"/>
      <c r="U85" s="575" t="s">
        <v>377</v>
      </c>
      <c r="V85" s="575"/>
      <c r="W85" s="575"/>
      <c r="X85" s="575"/>
      <c r="Y85" s="575"/>
      <c r="Z85" s="575" t="s">
        <v>377</v>
      </c>
      <c r="AA85" s="575"/>
      <c r="AB85" s="575"/>
      <c r="AC85" s="575"/>
      <c r="AD85" s="575"/>
      <c r="AE85" s="575" t="s">
        <v>377</v>
      </c>
      <c r="AF85" s="575"/>
      <c r="AG85" s="575"/>
      <c r="AH85" s="575"/>
      <c r="AI85" s="575"/>
      <c r="AJ85" s="575" t="s">
        <v>377</v>
      </c>
      <c r="AK85" s="575"/>
      <c r="AL85" s="575"/>
      <c r="AM85" s="575"/>
      <c r="AN85" s="575"/>
      <c r="AO85" s="575" t="s">
        <v>377</v>
      </c>
      <c r="AP85" s="575"/>
      <c r="AQ85" s="575"/>
      <c r="AR85" s="575"/>
      <c r="AS85" s="575"/>
      <c r="AT85" s="575" t="s">
        <v>377</v>
      </c>
      <c r="AU85" s="575"/>
      <c r="AV85" s="575"/>
      <c r="AW85" s="575"/>
      <c r="AX85" s="575"/>
    </row>
    <row r="86" spans="2:50" ht="14.25" customHeight="1">
      <c r="B86" s="575"/>
      <c r="C86" s="575"/>
      <c r="D86" s="575"/>
      <c r="E86" s="180" t="s">
        <v>159</v>
      </c>
      <c r="F86" s="180" t="s">
        <v>378</v>
      </c>
      <c r="G86" s="180" t="s">
        <v>161</v>
      </c>
      <c r="H86" s="575"/>
      <c r="I86" s="181" t="s">
        <v>159</v>
      </c>
      <c r="J86" s="181" t="s">
        <v>378</v>
      </c>
      <c r="K86" s="181" t="s">
        <v>161</v>
      </c>
      <c r="L86" s="579"/>
      <c r="M86" s="579"/>
      <c r="N86" s="575"/>
      <c r="O86" s="575"/>
      <c r="P86" s="180" t="s">
        <v>159</v>
      </c>
      <c r="Q86" s="180" t="s">
        <v>378</v>
      </c>
      <c r="R86" s="180" t="s">
        <v>161</v>
      </c>
      <c r="S86" s="182" t="s">
        <v>165</v>
      </c>
      <c r="T86" s="575"/>
      <c r="U86" s="180" t="s">
        <v>159</v>
      </c>
      <c r="V86" s="180" t="s">
        <v>378</v>
      </c>
      <c r="W86" s="180" t="s">
        <v>161</v>
      </c>
      <c r="X86" s="182" t="s">
        <v>165</v>
      </c>
      <c r="Y86" s="575"/>
      <c r="Z86" s="180" t="s">
        <v>159</v>
      </c>
      <c r="AA86" s="180" t="s">
        <v>378</v>
      </c>
      <c r="AB86" s="180" t="s">
        <v>161</v>
      </c>
      <c r="AC86" s="182" t="s">
        <v>165</v>
      </c>
      <c r="AD86" s="575"/>
      <c r="AE86" s="180" t="s">
        <v>159</v>
      </c>
      <c r="AF86" s="180" t="s">
        <v>378</v>
      </c>
      <c r="AG86" s="180" t="s">
        <v>161</v>
      </c>
      <c r="AH86" s="182" t="s">
        <v>165</v>
      </c>
      <c r="AI86" s="575"/>
      <c r="AJ86" s="180" t="s">
        <v>159</v>
      </c>
      <c r="AK86" s="180" t="s">
        <v>378</v>
      </c>
      <c r="AL86" s="180" t="s">
        <v>161</v>
      </c>
      <c r="AM86" s="182" t="s">
        <v>165</v>
      </c>
      <c r="AN86" s="575"/>
      <c r="AO86" s="180" t="s">
        <v>159</v>
      </c>
      <c r="AP86" s="180" t="s">
        <v>378</v>
      </c>
      <c r="AQ86" s="180" t="s">
        <v>161</v>
      </c>
      <c r="AR86" s="182" t="s">
        <v>165</v>
      </c>
      <c r="AS86" s="575"/>
      <c r="AT86" s="180" t="s">
        <v>159</v>
      </c>
      <c r="AU86" s="180" t="s">
        <v>378</v>
      </c>
      <c r="AV86" s="180" t="s">
        <v>161</v>
      </c>
      <c r="AW86" s="182" t="s">
        <v>165</v>
      </c>
      <c r="AX86" s="575"/>
    </row>
    <row r="87" spans="2:50" ht="14.25" customHeight="1">
      <c r="B87" s="575" t="s">
        <v>137</v>
      </c>
      <c r="C87" s="180">
        <v>1</v>
      </c>
      <c r="D87" s="183" t="s">
        <v>358</v>
      </c>
      <c r="E87" s="180">
        <v>21</v>
      </c>
      <c r="F87" s="180">
        <v>2000</v>
      </c>
      <c r="G87" s="185">
        <f t="shared" ref="G87:G95" si="74">F87/E87</f>
        <v>95.238095238095241</v>
      </c>
      <c r="H87" s="576">
        <f>AVERAGE(G87:G101)</f>
        <v>87.845166106035677</v>
      </c>
      <c r="I87" s="186">
        <f>AVERAGE(P87,U87,Z87,AE87,AJ87,AO87,AT87)</f>
        <v>21</v>
      </c>
      <c r="J87" s="186">
        <f>AVERAGE(Q87,V87,AA87,AF87,AK87,AP87,AU87)</f>
        <v>1787.0571428571423</v>
      </c>
      <c r="K87" s="187">
        <f>AVERAGE(R87,W87,AB87,AG87,AL87,AQ87,AV87)</f>
        <v>85.097959183673439</v>
      </c>
      <c r="L87" s="577">
        <f>IFERROR(AVERAGE(K87:K101),"-")</f>
        <v>78.556988347293995</v>
      </c>
      <c r="M87" s="186">
        <f>RANK(K87, K$87:$K$101)</f>
        <v>2</v>
      </c>
      <c r="N87" s="575"/>
      <c r="O87" s="575"/>
      <c r="P87" s="188">
        <v>21</v>
      </c>
      <c r="Q87" s="188">
        <v>1786.399999999999</v>
      </c>
      <c r="R87" s="185">
        <f>IFERROR(Q87/P87,"")</f>
        <v>85.06666666666662</v>
      </c>
      <c r="S87" s="182">
        <f>RANK(R87, R$87:R$101)</f>
        <v>2</v>
      </c>
      <c r="T87" s="576">
        <f>AVERAGE(R87:R101)</f>
        <v>78.547127777785192</v>
      </c>
      <c r="U87" s="188">
        <v>21</v>
      </c>
      <c r="V87" s="188">
        <v>1786.799999999999</v>
      </c>
      <c r="W87" s="185">
        <f t="shared" ref="W87:W95" si="75">IFERROR(V87/U87,"")</f>
        <v>85.085714285714246</v>
      </c>
      <c r="X87" s="182">
        <f>RANK(W87, W$87:W$101)</f>
        <v>2</v>
      </c>
      <c r="Y87" s="576">
        <f>AVERAGE(W87:W101)</f>
        <v>78.539549124554341</v>
      </c>
      <c r="Z87" s="188">
        <v>21</v>
      </c>
      <c r="AA87" s="188">
        <v>1787.7999999999993</v>
      </c>
      <c r="AB87" s="185">
        <f t="shared" ref="AB87:AB95" si="76">IFERROR(AA87/Z87,"")</f>
        <v>85.133333333333297</v>
      </c>
      <c r="AC87" s="182">
        <f>RANK(AB87, AB$87:AB$101)</f>
        <v>2</v>
      </c>
      <c r="AD87" s="576">
        <f>AVERAGE(AB87:AB101)</f>
        <v>78.555327453970648</v>
      </c>
      <c r="AE87" s="188">
        <v>21</v>
      </c>
      <c r="AF87" s="188">
        <v>1787.5999999999995</v>
      </c>
      <c r="AG87" s="185">
        <f>IFERROR(AF87/AE87,"")</f>
        <v>85.123809523809499</v>
      </c>
      <c r="AH87" s="182">
        <f>RANK(AG87, AG$87:AG$101)</f>
        <v>2</v>
      </c>
      <c r="AI87" s="576">
        <f>AVERAGE(AG87:AG101)</f>
        <v>78.554652235469376</v>
      </c>
      <c r="AJ87" s="188">
        <v>21</v>
      </c>
      <c r="AK87" s="188">
        <v>1786.9999999999995</v>
      </c>
      <c r="AL87" s="185">
        <f t="shared" ref="AL87:AL95" si="77">IFERROR(AK87/AJ87,"")</f>
        <v>85.095238095238074</v>
      </c>
      <c r="AM87" s="182">
        <f>RANK(AL87, AL$87:AL$101)</f>
        <v>2</v>
      </c>
      <c r="AN87" s="576">
        <f>AVERAGE(AL87:AL101)</f>
        <v>78.567960859212775</v>
      </c>
      <c r="AO87" s="188">
        <v>21</v>
      </c>
      <c r="AP87" s="188">
        <v>1786.7999999999995</v>
      </c>
      <c r="AQ87" s="185">
        <f t="shared" ref="AQ87:AQ95" si="78">IFERROR(AP87/AO87,"")</f>
        <v>85.085714285714261</v>
      </c>
      <c r="AR87" s="182">
        <f>RANK(AQ87, AQ$87:AQ$101)</f>
        <v>2</v>
      </c>
      <c r="AS87" s="576">
        <f>AVERAGE(AQ87:AQ101)</f>
        <v>78.562299041159648</v>
      </c>
      <c r="AT87" s="188">
        <v>21</v>
      </c>
      <c r="AU87" s="188">
        <v>1786.9999999999995</v>
      </c>
      <c r="AV87" s="185">
        <f t="shared" ref="AV87:AV95" si="79">IFERROR(AU87/AT87,"")</f>
        <v>85.095238095238074</v>
      </c>
      <c r="AW87" s="182">
        <f>RANK(AV87, AV$87:AV$101)</f>
        <v>2</v>
      </c>
      <c r="AX87" s="576">
        <f>AVERAGE(AV87:AV101)</f>
        <v>78.572001938906027</v>
      </c>
    </row>
    <row r="88" spans="2:50" ht="14.25" customHeight="1">
      <c r="B88" s="575"/>
      <c r="C88" s="180">
        <v>2</v>
      </c>
      <c r="D88" s="183" t="s">
        <v>359</v>
      </c>
      <c r="E88" s="180">
        <v>24</v>
      </c>
      <c r="F88" s="180">
        <v>2000</v>
      </c>
      <c r="G88" s="185">
        <f t="shared" si="74"/>
        <v>83.333333333333329</v>
      </c>
      <c r="H88" s="576"/>
      <c r="I88" s="186">
        <f t="shared" ref="I88:K95" si="80">AVERAGE(P88,U88,Z88,AE88,AJ88,AO88,AT88)</f>
        <v>24</v>
      </c>
      <c r="J88" s="186">
        <f t="shared" si="80"/>
        <v>1790.9140502123737</v>
      </c>
      <c r="K88" s="187">
        <f t="shared" si="80"/>
        <v>74.621418758848904</v>
      </c>
      <c r="L88" s="577"/>
      <c r="M88" s="186">
        <f>RANK(K88, K$87:$K$101)</f>
        <v>7</v>
      </c>
      <c r="N88" s="575"/>
      <c r="O88" s="575"/>
      <c r="P88" s="188">
        <v>24</v>
      </c>
      <c r="Q88" s="188">
        <v>1790.1997644980881</v>
      </c>
      <c r="R88" s="185">
        <f t="shared" ref="R88:R95" si="81">IFERROR(Q88/P88,"")</f>
        <v>74.591656854087006</v>
      </c>
      <c r="S88" s="182">
        <f t="shared" ref="S88:S95" si="82">RANK(R88, R$87:R$101)</f>
        <v>7</v>
      </c>
      <c r="T88" s="576"/>
      <c r="U88" s="188">
        <v>24</v>
      </c>
      <c r="V88" s="188">
        <v>1789.9997644980881</v>
      </c>
      <c r="W88" s="185">
        <f t="shared" si="75"/>
        <v>74.583323520753666</v>
      </c>
      <c r="X88" s="182">
        <f t="shared" ref="X88:X95" si="83">RANK(W88, W$87:W$101)</f>
        <v>7</v>
      </c>
      <c r="Y88" s="576"/>
      <c r="Z88" s="188">
        <v>24</v>
      </c>
      <c r="AA88" s="188">
        <v>1790.1997644980879</v>
      </c>
      <c r="AB88" s="185">
        <f t="shared" si="76"/>
        <v>74.591656854086992</v>
      </c>
      <c r="AC88" s="182">
        <f t="shared" ref="AC88:AC95" si="84">RANK(AB88, AB$87:AB$101)</f>
        <v>7</v>
      </c>
      <c r="AD88" s="576"/>
      <c r="AE88" s="188">
        <v>24</v>
      </c>
      <c r="AF88" s="188">
        <v>1790.7997644980876</v>
      </c>
      <c r="AG88" s="185">
        <f t="shared" ref="AG88:AG95" si="85">IFERROR(AF88/AE88,"")</f>
        <v>74.616656854086983</v>
      </c>
      <c r="AH88" s="182">
        <f t="shared" ref="AH88:AH95" si="86">RANK(AG88, AG$87:AG$101)</f>
        <v>7</v>
      </c>
      <c r="AI88" s="576"/>
      <c r="AJ88" s="188">
        <v>24</v>
      </c>
      <c r="AK88" s="188">
        <v>1791.7997644980876</v>
      </c>
      <c r="AL88" s="185">
        <f t="shared" si="77"/>
        <v>74.658323520753655</v>
      </c>
      <c r="AM88" s="182">
        <f t="shared" ref="AM88:AM95" si="87">RANK(AL88, AL$87:AL$101)</f>
        <v>7</v>
      </c>
      <c r="AN88" s="576"/>
      <c r="AO88" s="188">
        <v>24</v>
      </c>
      <c r="AP88" s="188">
        <v>1791.399764498088</v>
      </c>
      <c r="AQ88" s="185">
        <f t="shared" si="78"/>
        <v>74.641656854087003</v>
      </c>
      <c r="AR88" s="182">
        <f t="shared" ref="AR88:AR95" si="88">RANK(AQ88, AQ$87:AQ$101)</f>
        <v>7</v>
      </c>
      <c r="AS88" s="576"/>
      <c r="AT88" s="188">
        <v>24</v>
      </c>
      <c r="AU88" s="188">
        <v>1791.9997644980881</v>
      </c>
      <c r="AV88" s="185">
        <f t="shared" si="79"/>
        <v>74.666656854087009</v>
      </c>
      <c r="AW88" s="182">
        <f t="shared" ref="AW88:AW95" si="89">RANK(AV88, AV$87:AV$101)</f>
        <v>7</v>
      </c>
      <c r="AX88" s="576"/>
    </row>
    <row r="89" spans="2:50" ht="14.25" customHeight="1">
      <c r="B89" s="575"/>
      <c r="C89" s="180">
        <v>3</v>
      </c>
      <c r="D89" s="183" t="s">
        <v>360</v>
      </c>
      <c r="E89" s="180">
        <v>23</v>
      </c>
      <c r="F89" s="180">
        <v>2000</v>
      </c>
      <c r="G89" s="185">
        <f t="shared" si="74"/>
        <v>86.956521739130437</v>
      </c>
      <c r="H89" s="576"/>
      <c r="I89" s="186">
        <f t="shared" si="80"/>
        <v>23</v>
      </c>
      <c r="J89" s="186">
        <f t="shared" si="80"/>
        <v>1787.1670773791141</v>
      </c>
      <c r="K89" s="187">
        <f t="shared" si="80"/>
        <v>77.702916407787569</v>
      </c>
      <c r="L89" s="577"/>
      <c r="M89" s="186">
        <f>RANK(K89, K$87:$K$101)</f>
        <v>6</v>
      </c>
      <c r="N89" s="575"/>
      <c r="O89" s="575"/>
      <c r="P89" s="188">
        <v>23</v>
      </c>
      <c r="Q89" s="188">
        <v>1786.1770659833439</v>
      </c>
      <c r="R89" s="185">
        <f t="shared" si="81"/>
        <v>77.659872434058428</v>
      </c>
      <c r="S89" s="182">
        <f t="shared" si="82"/>
        <v>6</v>
      </c>
      <c r="T89" s="576"/>
      <c r="U89" s="188">
        <v>23</v>
      </c>
      <c r="V89" s="188">
        <v>1785.7770659833438</v>
      </c>
      <c r="W89" s="185">
        <f t="shared" si="75"/>
        <v>77.642481129710603</v>
      </c>
      <c r="X89" s="182">
        <f t="shared" si="83"/>
        <v>6</v>
      </c>
      <c r="Y89" s="576"/>
      <c r="Z89" s="188">
        <v>23</v>
      </c>
      <c r="AA89" s="188">
        <v>1787.0030819374222</v>
      </c>
      <c r="AB89" s="185">
        <f t="shared" si="76"/>
        <v>77.695786171192267</v>
      </c>
      <c r="AC89" s="182">
        <f t="shared" si="84"/>
        <v>6</v>
      </c>
      <c r="AD89" s="576"/>
      <c r="AE89" s="188">
        <v>23</v>
      </c>
      <c r="AF89" s="188">
        <v>1787.203081937422</v>
      </c>
      <c r="AG89" s="185">
        <f t="shared" si="85"/>
        <v>77.70448182336618</v>
      </c>
      <c r="AH89" s="182">
        <f t="shared" si="86"/>
        <v>6</v>
      </c>
      <c r="AI89" s="576"/>
      <c r="AJ89" s="188">
        <v>23</v>
      </c>
      <c r="AK89" s="188">
        <v>1787.203081937422</v>
      </c>
      <c r="AL89" s="185">
        <f t="shared" si="77"/>
        <v>77.70448182336618</v>
      </c>
      <c r="AM89" s="182">
        <f t="shared" si="87"/>
        <v>6</v>
      </c>
      <c r="AN89" s="576"/>
      <c r="AO89" s="188">
        <v>23</v>
      </c>
      <c r="AP89" s="188">
        <v>1788.0030819374219</v>
      </c>
      <c r="AQ89" s="185">
        <f t="shared" si="78"/>
        <v>77.73926443206183</v>
      </c>
      <c r="AR89" s="182">
        <f t="shared" si="88"/>
        <v>6</v>
      </c>
      <c r="AS89" s="576"/>
      <c r="AT89" s="188">
        <v>23</v>
      </c>
      <c r="AU89" s="188">
        <v>1788.8030819374221</v>
      </c>
      <c r="AV89" s="185">
        <f t="shared" si="79"/>
        <v>77.77404704075748</v>
      </c>
      <c r="AW89" s="182">
        <f t="shared" si="89"/>
        <v>5</v>
      </c>
      <c r="AX89" s="576"/>
    </row>
    <row r="90" spans="2:50" ht="14.25" customHeight="1">
      <c r="B90" s="575"/>
      <c r="C90" s="180">
        <v>4</v>
      </c>
      <c r="D90" s="183" t="s">
        <v>357</v>
      </c>
      <c r="E90" s="180">
        <v>23</v>
      </c>
      <c r="F90" s="180">
        <v>2000</v>
      </c>
      <c r="G90" s="185">
        <f t="shared" si="74"/>
        <v>86.956521739130437</v>
      </c>
      <c r="H90" s="576"/>
      <c r="I90" s="186">
        <f t="shared" si="80"/>
        <v>23</v>
      </c>
      <c r="J90" s="186">
        <f t="shared" si="80"/>
        <v>1789.2355996944241</v>
      </c>
      <c r="K90" s="187">
        <f t="shared" si="80"/>
        <v>77.792852160627135</v>
      </c>
      <c r="L90" s="577"/>
      <c r="M90" s="186">
        <f>RANK(K90, K$87:$K$101)</f>
        <v>5</v>
      </c>
      <c r="N90" s="575"/>
      <c r="O90" s="575"/>
      <c r="P90" s="188">
        <v>23</v>
      </c>
      <c r="Q90" s="188">
        <v>1789.8641711229952</v>
      </c>
      <c r="R90" s="185">
        <f t="shared" si="81"/>
        <v>77.820181353173709</v>
      </c>
      <c r="S90" s="182">
        <f t="shared" si="82"/>
        <v>5</v>
      </c>
      <c r="T90" s="576"/>
      <c r="U90" s="188">
        <v>23</v>
      </c>
      <c r="V90" s="188">
        <v>1789.8641711229952</v>
      </c>
      <c r="W90" s="185">
        <f t="shared" si="75"/>
        <v>77.820181353173709</v>
      </c>
      <c r="X90" s="182">
        <f t="shared" si="83"/>
        <v>5</v>
      </c>
      <c r="Y90" s="576"/>
      <c r="Z90" s="188">
        <v>23</v>
      </c>
      <c r="AA90" s="188">
        <v>1789.2641711229953</v>
      </c>
      <c r="AB90" s="185">
        <f t="shared" si="76"/>
        <v>77.794094396651971</v>
      </c>
      <c r="AC90" s="182">
        <f t="shared" si="84"/>
        <v>5</v>
      </c>
      <c r="AD90" s="576"/>
      <c r="AE90" s="188">
        <v>23</v>
      </c>
      <c r="AF90" s="188">
        <v>1789.0641711229953</v>
      </c>
      <c r="AG90" s="185">
        <f t="shared" si="85"/>
        <v>77.785398744478059</v>
      </c>
      <c r="AH90" s="182">
        <f t="shared" si="86"/>
        <v>5</v>
      </c>
      <c r="AI90" s="576"/>
      <c r="AJ90" s="188">
        <v>23</v>
      </c>
      <c r="AK90" s="188">
        <v>1789.2641711229955</v>
      </c>
      <c r="AL90" s="185">
        <f t="shared" si="77"/>
        <v>77.794094396651985</v>
      </c>
      <c r="AM90" s="182">
        <f t="shared" si="87"/>
        <v>5</v>
      </c>
      <c r="AN90" s="576"/>
      <c r="AO90" s="188">
        <v>23</v>
      </c>
      <c r="AP90" s="188">
        <v>1788.8641711229955</v>
      </c>
      <c r="AQ90" s="185">
        <f t="shared" si="78"/>
        <v>77.776703092304146</v>
      </c>
      <c r="AR90" s="182">
        <f t="shared" si="88"/>
        <v>5</v>
      </c>
      <c r="AS90" s="576"/>
      <c r="AT90" s="188">
        <v>23</v>
      </c>
      <c r="AU90" s="188">
        <v>1788.4641711229954</v>
      </c>
      <c r="AV90" s="185">
        <f t="shared" si="79"/>
        <v>77.759311787956321</v>
      </c>
      <c r="AW90" s="182">
        <f t="shared" si="89"/>
        <v>6</v>
      </c>
      <c r="AX90" s="576"/>
    </row>
    <row r="91" spans="2:50" ht="14.25" customHeight="1">
      <c r="B91" s="575"/>
      <c r="C91" s="180">
        <v>5</v>
      </c>
      <c r="D91" s="183" t="s">
        <v>462</v>
      </c>
      <c r="E91" s="180">
        <v>23</v>
      </c>
      <c r="F91" s="180">
        <v>2000</v>
      </c>
      <c r="G91" s="185">
        <f t="shared" si="74"/>
        <v>86.956521739130437</v>
      </c>
      <c r="H91" s="576"/>
      <c r="I91" s="186">
        <f t="shared" si="80"/>
        <v>23</v>
      </c>
      <c r="J91" s="186">
        <f t="shared" si="80"/>
        <v>1790.5066107707155</v>
      </c>
      <c r="K91" s="187">
        <f t="shared" si="80"/>
        <v>77.848113511770222</v>
      </c>
      <c r="L91" s="577"/>
      <c r="M91" s="186">
        <f>RANK(K91, K$87:$K$101)</f>
        <v>4</v>
      </c>
      <c r="N91" s="575"/>
      <c r="O91" s="575"/>
      <c r="P91" s="188">
        <v>23</v>
      </c>
      <c r="Q91" s="188">
        <v>1791.2494679135723</v>
      </c>
      <c r="R91" s="185">
        <f t="shared" si="81"/>
        <v>77.880411648416185</v>
      </c>
      <c r="S91" s="182">
        <f t="shared" si="82"/>
        <v>4</v>
      </c>
      <c r="T91" s="576"/>
      <c r="U91" s="188">
        <v>23</v>
      </c>
      <c r="V91" s="188">
        <v>1790.4494679135723</v>
      </c>
      <c r="W91" s="185">
        <f t="shared" si="75"/>
        <v>77.845629039720535</v>
      </c>
      <c r="X91" s="182">
        <f t="shared" si="83"/>
        <v>4</v>
      </c>
      <c r="Y91" s="576"/>
      <c r="Z91" s="188">
        <v>23</v>
      </c>
      <c r="AA91" s="188">
        <v>1790.4494679135723</v>
      </c>
      <c r="AB91" s="185">
        <f t="shared" si="76"/>
        <v>77.845629039720535</v>
      </c>
      <c r="AC91" s="182">
        <f t="shared" si="84"/>
        <v>4</v>
      </c>
      <c r="AD91" s="576"/>
      <c r="AE91" s="188">
        <v>23</v>
      </c>
      <c r="AF91" s="188">
        <v>1789.8494679135727</v>
      </c>
      <c r="AG91" s="185">
        <f t="shared" si="85"/>
        <v>77.819542083198812</v>
      </c>
      <c r="AH91" s="182">
        <f t="shared" si="86"/>
        <v>4</v>
      </c>
      <c r="AI91" s="576"/>
      <c r="AJ91" s="188">
        <v>23</v>
      </c>
      <c r="AK91" s="188">
        <v>1790.4494679135726</v>
      </c>
      <c r="AL91" s="185">
        <f t="shared" si="77"/>
        <v>77.845629039720549</v>
      </c>
      <c r="AM91" s="182">
        <f t="shared" si="87"/>
        <v>4</v>
      </c>
      <c r="AN91" s="576"/>
      <c r="AO91" s="188">
        <v>23</v>
      </c>
      <c r="AP91" s="188">
        <v>1790.2494679135725</v>
      </c>
      <c r="AQ91" s="185">
        <f t="shared" si="78"/>
        <v>77.836933387546637</v>
      </c>
      <c r="AR91" s="182">
        <f t="shared" si="88"/>
        <v>4</v>
      </c>
      <c r="AS91" s="576"/>
      <c r="AT91" s="188">
        <v>23</v>
      </c>
      <c r="AU91" s="188">
        <v>1790.8494679135724</v>
      </c>
      <c r="AV91" s="185">
        <f t="shared" si="79"/>
        <v>77.86302034406836</v>
      </c>
      <c r="AW91" s="182">
        <f t="shared" si="89"/>
        <v>4</v>
      </c>
      <c r="AX91" s="576"/>
    </row>
    <row r="92" spans="2:50" ht="14.25" customHeight="1">
      <c r="B92" s="575"/>
      <c r="C92" s="180">
        <v>6</v>
      </c>
      <c r="D92" s="183" t="s">
        <v>465</v>
      </c>
      <c r="E92" s="180">
        <v>22</v>
      </c>
      <c r="F92" s="180">
        <v>2000</v>
      </c>
      <c r="G92" s="185">
        <f t="shared" si="74"/>
        <v>90.909090909090907</v>
      </c>
      <c r="H92" s="576"/>
      <c r="I92" s="186">
        <f t="shared" si="80"/>
        <v>22</v>
      </c>
      <c r="J92" s="186">
        <f t="shared" si="80"/>
        <v>1786.8898179020273</v>
      </c>
      <c r="K92" s="187">
        <f t="shared" si="80"/>
        <v>81.22226445009214</v>
      </c>
      <c r="L92" s="577"/>
      <c r="M92" s="186">
        <f>RANK(K92, K$87:$K$101)</f>
        <v>3</v>
      </c>
      <c r="N92" s="575"/>
      <c r="O92" s="575"/>
      <c r="P92" s="188">
        <v>22</v>
      </c>
      <c r="Q92" s="188">
        <v>1787.6326750448841</v>
      </c>
      <c r="R92" s="185">
        <f t="shared" si="81"/>
        <v>81.25603068385837</v>
      </c>
      <c r="S92" s="182">
        <f t="shared" si="82"/>
        <v>3</v>
      </c>
      <c r="T92" s="576"/>
      <c r="U92" s="188">
        <v>22</v>
      </c>
      <c r="V92" s="188">
        <v>1786.8326750448844</v>
      </c>
      <c r="W92" s="185">
        <f t="shared" si="75"/>
        <v>81.219667047494738</v>
      </c>
      <c r="X92" s="182">
        <f t="shared" si="83"/>
        <v>3</v>
      </c>
      <c r="Y92" s="576"/>
      <c r="Z92" s="188">
        <v>22</v>
      </c>
      <c r="AA92" s="188">
        <v>1787.0326750448844</v>
      </c>
      <c r="AB92" s="185">
        <f t="shared" si="76"/>
        <v>81.228757956585653</v>
      </c>
      <c r="AC92" s="182">
        <f t="shared" si="84"/>
        <v>3</v>
      </c>
      <c r="AD92" s="576"/>
      <c r="AE92" s="188">
        <v>22</v>
      </c>
      <c r="AF92" s="188">
        <v>1786.2326750448844</v>
      </c>
      <c r="AG92" s="185">
        <f t="shared" si="85"/>
        <v>81.192394320222022</v>
      </c>
      <c r="AH92" s="182">
        <f t="shared" si="86"/>
        <v>3</v>
      </c>
      <c r="AI92" s="576"/>
      <c r="AJ92" s="188">
        <v>22</v>
      </c>
      <c r="AK92" s="188">
        <v>1786.6326750448845</v>
      </c>
      <c r="AL92" s="185">
        <f t="shared" si="77"/>
        <v>81.210576138403837</v>
      </c>
      <c r="AM92" s="182">
        <f t="shared" si="87"/>
        <v>3</v>
      </c>
      <c r="AN92" s="576"/>
      <c r="AO92" s="188">
        <v>22</v>
      </c>
      <c r="AP92" s="188">
        <v>1786.6326750448845</v>
      </c>
      <c r="AQ92" s="185">
        <f t="shared" si="78"/>
        <v>81.210576138403837</v>
      </c>
      <c r="AR92" s="182">
        <f t="shared" si="88"/>
        <v>3</v>
      </c>
      <c r="AS92" s="576"/>
      <c r="AT92" s="188">
        <v>22</v>
      </c>
      <c r="AU92" s="188">
        <v>1787.2326750448842</v>
      </c>
      <c r="AV92" s="185">
        <f t="shared" si="79"/>
        <v>81.237848865676554</v>
      </c>
      <c r="AW92" s="182">
        <f t="shared" si="89"/>
        <v>3</v>
      </c>
      <c r="AX92" s="576"/>
    </row>
    <row r="93" spans="2:50" ht="14.25" customHeight="1">
      <c r="B93" s="575"/>
      <c r="C93" s="180">
        <v>7</v>
      </c>
      <c r="D93" s="183" t="s">
        <v>469</v>
      </c>
      <c r="E93" s="180">
        <v>20</v>
      </c>
      <c r="F93" s="180">
        <v>2000</v>
      </c>
      <c r="G93" s="185">
        <f t="shared" si="74"/>
        <v>100</v>
      </c>
      <c r="H93" s="576"/>
      <c r="I93" s="186">
        <f t="shared" si="80"/>
        <v>20</v>
      </c>
      <c r="J93" s="186">
        <f t="shared" si="80"/>
        <v>1787.4351228030155</v>
      </c>
      <c r="K93" s="187">
        <f t="shared" si="80"/>
        <v>89.371756140150765</v>
      </c>
      <c r="L93" s="577"/>
      <c r="M93" s="186">
        <f>RANK(K93, K$87:$K$101)</f>
        <v>1</v>
      </c>
      <c r="N93" s="575"/>
      <c r="O93" s="575"/>
      <c r="P93" s="188">
        <v>20</v>
      </c>
      <c r="Q93" s="188">
        <v>1786.8065513744446</v>
      </c>
      <c r="R93" s="185">
        <f t="shared" si="81"/>
        <v>89.34032756872223</v>
      </c>
      <c r="S93" s="182">
        <f t="shared" si="82"/>
        <v>1</v>
      </c>
      <c r="T93" s="576"/>
      <c r="U93" s="188">
        <v>20</v>
      </c>
      <c r="V93" s="188">
        <v>1786.8065513744443</v>
      </c>
      <c r="W93" s="185">
        <f t="shared" si="75"/>
        <v>89.340327568722216</v>
      </c>
      <c r="X93" s="182">
        <f t="shared" si="83"/>
        <v>1</v>
      </c>
      <c r="Y93" s="576"/>
      <c r="Z93" s="188">
        <v>20</v>
      </c>
      <c r="AA93" s="188">
        <v>1787.0065513744439</v>
      </c>
      <c r="AB93" s="185">
        <f t="shared" si="76"/>
        <v>89.350327568722193</v>
      </c>
      <c r="AC93" s="182">
        <f t="shared" si="84"/>
        <v>1</v>
      </c>
      <c r="AD93" s="576"/>
      <c r="AE93" s="188">
        <v>20</v>
      </c>
      <c r="AF93" s="188">
        <v>1787.6065513744436</v>
      </c>
      <c r="AG93" s="185">
        <f t="shared" si="85"/>
        <v>89.38032756872218</v>
      </c>
      <c r="AH93" s="182">
        <f t="shared" si="86"/>
        <v>1</v>
      </c>
      <c r="AI93" s="576"/>
      <c r="AJ93" s="188">
        <v>20</v>
      </c>
      <c r="AK93" s="188">
        <v>1788.2065513744437</v>
      </c>
      <c r="AL93" s="185">
        <f t="shared" si="77"/>
        <v>89.410327568722181</v>
      </c>
      <c r="AM93" s="182">
        <f t="shared" si="87"/>
        <v>1</v>
      </c>
      <c r="AN93" s="576"/>
      <c r="AO93" s="188">
        <v>20</v>
      </c>
      <c r="AP93" s="188">
        <v>1787.8065513744434</v>
      </c>
      <c r="AQ93" s="185">
        <f t="shared" si="78"/>
        <v>89.390327568722171</v>
      </c>
      <c r="AR93" s="182">
        <f t="shared" si="88"/>
        <v>1</v>
      </c>
      <c r="AS93" s="576"/>
      <c r="AT93" s="188">
        <v>20</v>
      </c>
      <c r="AU93" s="188">
        <v>1787.8065513744434</v>
      </c>
      <c r="AV93" s="185">
        <f t="shared" si="79"/>
        <v>89.390327568722171</v>
      </c>
      <c r="AW93" s="182">
        <f t="shared" si="89"/>
        <v>1</v>
      </c>
      <c r="AX93" s="576"/>
    </row>
    <row r="94" spans="2:50" ht="14.25" customHeight="1">
      <c r="B94" s="575"/>
      <c r="C94" s="180">
        <v>8</v>
      </c>
      <c r="D94" s="183" t="s">
        <v>361</v>
      </c>
      <c r="E94" s="180">
        <v>24</v>
      </c>
      <c r="F94" s="180">
        <v>2000</v>
      </c>
      <c r="G94" s="185">
        <f t="shared" si="74"/>
        <v>83.333333333333329</v>
      </c>
      <c r="H94" s="576"/>
      <c r="I94" s="186">
        <f t="shared" si="80"/>
        <v>24</v>
      </c>
      <c r="J94" s="186">
        <f t="shared" si="80"/>
        <v>1787.730781076536</v>
      </c>
      <c r="K94" s="187">
        <f t="shared" si="80"/>
        <v>74.488782544855681</v>
      </c>
      <c r="L94" s="577"/>
      <c r="M94" s="186">
        <f>RANK(K94, K$87:$K$101)</f>
        <v>8</v>
      </c>
      <c r="N94" s="575"/>
      <c r="O94" s="575"/>
      <c r="P94" s="188">
        <v>24</v>
      </c>
      <c r="Q94" s="188">
        <v>1786.2164953622505</v>
      </c>
      <c r="R94" s="185">
        <f t="shared" si="81"/>
        <v>74.425687306760437</v>
      </c>
      <c r="S94" s="182">
        <f t="shared" si="82"/>
        <v>8</v>
      </c>
      <c r="T94" s="576"/>
      <c r="U94" s="188">
        <v>24</v>
      </c>
      <c r="V94" s="188">
        <v>1786.8164953622504</v>
      </c>
      <c r="W94" s="185">
        <f t="shared" si="75"/>
        <v>74.450687306760429</v>
      </c>
      <c r="X94" s="182">
        <f t="shared" si="83"/>
        <v>8</v>
      </c>
      <c r="Y94" s="576"/>
      <c r="Z94" s="188">
        <v>24</v>
      </c>
      <c r="AA94" s="188">
        <v>1787.2164953622503</v>
      </c>
      <c r="AB94" s="185">
        <f t="shared" si="76"/>
        <v>74.467353973427095</v>
      </c>
      <c r="AC94" s="182">
        <f t="shared" si="84"/>
        <v>8</v>
      </c>
      <c r="AD94" s="576"/>
      <c r="AE94" s="188">
        <v>24</v>
      </c>
      <c r="AF94" s="188">
        <v>1788.2164953622503</v>
      </c>
      <c r="AG94" s="185">
        <f t="shared" si="85"/>
        <v>74.509020640093766</v>
      </c>
      <c r="AH94" s="182">
        <f t="shared" si="86"/>
        <v>8</v>
      </c>
      <c r="AI94" s="576"/>
      <c r="AJ94" s="188">
        <v>24</v>
      </c>
      <c r="AK94" s="188">
        <v>1788.4164953622505</v>
      </c>
      <c r="AL94" s="185">
        <f t="shared" si="77"/>
        <v>74.517353973427106</v>
      </c>
      <c r="AM94" s="182">
        <f t="shared" si="87"/>
        <v>8</v>
      </c>
      <c r="AN94" s="576"/>
      <c r="AO94" s="188">
        <v>24</v>
      </c>
      <c r="AP94" s="188">
        <v>1789.0164953622505</v>
      </c>
      <c r="AQ94" s="185">
        <f t="shared" si="78"/>
        <v>74.542353973427097</v>
      </c>
      <c r="AR94" s="182">
        <f t="shared" si="88"/>
        <v>8</v>
      </c>
      <c r="AS94" s="576"/>
      <c r="AT94" s="188">
        <v>24</v>
      </c>
      <c r="AU94" s="188">
        <v>1788.2164953622505</v>
      </c>
      <c r="AV94" s="185">
        <f t="shared" si="79"/>
        <v>74.509020640093766</v>
      </c>
      <c r="AW94" s="182">
        <f t="shared" si="89"/>
        <v>8</v>
      </c>
      <c r="AX94" s="576"/>
    </row>
    <row r="95" spans="2:50" ht="14.25" customHeight="1">
      <c r="B95" s="575"/>
      <c r="C95" s="180">
        <v>9</v>
      </c>
      <c r="D95" s="183" t="s">
        <v>618</v>
      </c>
      <c r="E95" s="180">
        <v>26</v>
      </c>
      <c r="F95" s="180">
        <v>2000</v>
      </c>
      <c r="G95" s="185">
        <f t="shared" si="74"/>
        <v>76.92307692307692</v>
      </c>
      <c r="H95" s="576"/>
      <c r="I95" s="186">
        <f t="shared" si="80"/>
        <v>26</v>
      </c>
      <c r="J95" s="186">
        <f t="shared" si="80"/>
        <v>1790.5376311638433</v>
      </c>
      <c r="K95" s="187">
        <f t="shared" si="80"/>
        <v>68.866831967840128</v>
      </c>
      <c r="L95" s="577"/>
      <c r="M95" s="186">
        <f>RANK(K95, K$87:$K$101)</f>
        <v>9</v>
      </c>
      <c r="N95" s="575"/>
      <c r="O95" s="575"/>
      <c r="P95" s="188">
        <v>26</v>
      </c>
      <c r="Q95" s="188">
        <v>1790.9662025924147</v>
      </c>
      <c r="R95" s="185">
        <f t="shared" si="81"/>
        <v>68.883315484323646</v>
      </c>
      <c r="S95" s="182">
        <f t="shared" si="82"/>
        <v>9</v>
      </c>
      <c r="T95" s="576"/>
      <c r="U95" s="188">
        <v>26</v>
      </c>
      <c r="V95" s="188">
        <v>1790.5662025924148</v>
      </c>
      <c r="W95" s="185">
        <f t="shared" si="75"/>
        <v>68.867930868939027</v>
      </c>
      <c r="X95" s="182">
        <f t="shared" si="83"/>
        <v>9</v>
      </c>
      <c r="Y95" s="576"/>
      <c r="Z95" s="188">
        <v>26</v>
      </c>
      <c r="AA95" s="188">
        <v>1791.1662025924147</v>
      </c>
      <c r="AB95" s="185">
        <f t="shared" si="76"/>
        <v>68.891007792015955</v>
      </c>
      <c r="AC95" s="182">
        <f t="shared" si="84"/>
        <v>9</v>
      </c>
      <c r="AD95" s="576"/>
      <c r="AE95" s="188">
        <v>26</v>
      </c>
      <c r="AF95" s="188">
        <v>1790.366202592415</v>
      </c>
      <c r="AG95" s="185">
        <f t="shared" si="85"/>
        <v>68.860238561246732</v>
      </c>
      <c r="AH95" s="182">
        <f t="shared" si="86"/>
        <v>9</v>
      </c>
      <c r="AI95" s="576"/>
      <c r="AJ95" s="188">
        <v>26</v>
      </c>
      <c r="AK95" s="188">
        <v>1790.7662025924151</v>
      </c>
      <c r="AL95" s="185">
        <f t="shared" si="77"/>
        <v>68.87562317663135</v>
      </c>
      <c r="AM95" s="182">
        <f t="shared" si="87"/>
        <v>9</v>
      </c>
      <c r="AN95" s="576"/>
      <c r="AO95" s="188">
        <v>26</v>
      </c>
      <c r="AP95" s="188">
        <v>1789.7662025924153</v>
      </c>
      <c r="AQ95" s="185">
        <f t="shared" si="78"/>
        <v>68.837161638169817</v>
      </c>
      <c r="AR95" s="182">
        <f t="shared" si="88"/>
        <v>9</v>
      </c>
      <c r="AS95" s="576"/>
      <c r="AT95" s="188">
        <v>26</v>
      </c>
      <c r="AU95" s="188">
        <v>1790.1662025924152</v>
      </c>
      <c r="AV95" s="185">
        <f t="shared" si="79"/>
        <v>68.852546253554436</v>
      </c>
      <c r="AW95" s="182">
        <f t="shared" si="89"/>
        <v>9</v>
      </c>
      <c r="AX95" s="576"/>
    </row>
    <row r="96" spans="2:50" ht="14.25" customHeight="1">
      <c r="B96" s="575"/>
      <c r="C96" s="180">
        <v>10</v>
      </c>
      <c r="D96" s="183"/>
      <c r="E96" s="180"/>
      <c r="F96" s="180"/>
      <c r="G96" s="185"/>
      <c r="H96" s="576"/>
      <c r="I96" s="186"/>
      <c r="J96" s="186"/>
      <c r="K96" s="187"/>
      <c r="L96" s="577"/>
      <c r="M96" s="186"/>
      <c r="N96" s="575"/>
      <c r="O96" s="575"/>
      <c r="P96" s="188"/>
      <c r="Q96" s="188"/>
      <c r="R96" s="185"/>
      <c r="S96" s="182"/>
      <c r="T96" s="576"/>
      <c r="U96" s="188"/>
      <c r="V96" s="188"/>
      <c r="W96" s="185"/>
      <c r="X96" s="182"/>
      <c r="Y96" s="576"/>
      <c r="Z96" s="188"/>
      <c r="AA96" s="188"/>
      <c r="AB96" s="185"/>
      <c r="AC96" s="182"/>
      <c r="AD96" s="576"/>
      <c r="AE96" s="188"/>
      <c r="AF96" s="188"/>
      <c r="AG96" s="185"/>
      <c r="AH96" s="182"/>
      <c r="AI96" s="576"/>
      <c r="AJ96" s="188"/>
      <c r="AK96" s="188"/>
      <c r="AL96" s="185"/>
      <c r="AM96" s="182"/>
      <c r="AN96" s="576"/>
      <c r="AO96" s="188"/>
      <c r="AP96" s="188"/>
      <c r="AQ96" s="185"/>
      <c r="AR96" s="182"/>
      <c r="AS96" s="576"/>
      <c r="AT96" s="188"/>
      <c r="AU96" s="188"/>
      <c r="AV96" s="185"/>
      <c r="AW96" s="182"/>
      <c r="AX96" s="576"/>
    </row>
    <row r="97" spans="2:50" ht="14.25" customHeight="1">
      <c r="B97" s="575"/>
      <c r="C97" s="180">
        <v>11</v>
      </c>
      <c r="D97" s="183"/>
      <c r="E97" s="180"/>
      <c r="F97" s="180"/>
      <c r="G97" s="185"/>
      <c r="H97" s="576"/>
      <c r="I97" s="186"/>
      <c r="J97" s="186"/>
      <c r="K97" s="187"/>
      <c r="L97" s="577"/>
      <c r="M97" s="186"/>
      <c r="N97" s="575"/>
      <c r="O97" s="575"/>
      <c r="P97" s="188"/>
      <c r="Q97" s="188"/>
      <c r="R97" s="185"/>
      <c r="S97" s="182"/>
      <c r="T97" s="576"/>
      <c r="U97" s="188"/>
      <c r="V97" s="188"/>
      <c r="W97" s="185"/>
      <c r="X97" s="182"/>
      <c r="Y97" s="576"/>
      <c r="Z97" s="188"/>
      <c r="AA97" s="188"/>
      <c r="AB97" s="185"/>
      <c r="AC97" s="182"/>
      <c r="AD97" s="576"/>
      <c r="AE97" s="188"/>
      <c r="AF97" s="188"/>
      <c r="AG97" s="185"/>
      <c r="AH97" s="182"/>
      <c r="AI97" s="576"/>
      <c r="AJ97" s="188"/>
      <c r="AK97" s="188"/>
      <c r="AL97" s="185"/>
      <c r="AM97" s="182"/>
      <c r="AN97" s="576"/>
      <c r="AO97" s="188"/>
      <c r="AP97" s="188"/>
      <c r="AQ97" s="185"/>
      <c r="AR97" s="182"/>
      <c r="AS97" s="576"/>
      <c r="AT97" s="188"/>
      <c r="AU97" s="188"/>
      <c r="AV97" s="185"/>
      <c r="AW97" s="182"/>
      <c r="AX97" s="576"/>
    </row>
    <row r="98" spans="2:50" ht="14.25" customHeight="1">
      <c r="B98" s="575"/>
      <c r="C98" s="180">
        <v>12</v>
      </c>
      <c r="D98" s="183"/>
      <c r="E98" s="180"/>
      <c r="F98" s="180"/>
      <c r="G98" s="185"/>
      <c r="H98" s="576"/>
      <c r="I98" s="186"/>
      <c r="J98" s="186"/>
      <c r="K98" s="187"/>
      <c r="L98" s="577"/>
      <c r="M98" s="186"/>
      <c r="N98" s="575"/>
      <c r="O98" s="575"/>
      <c r="P98" s="188"/>
      <c r="Q98" s="188"/>
      <c r="R98" s="185"/>
      <c r="S98" s="182"/>
      <c r="T98" s="576"/>
      <c r="U98" s="188"/>
      <c r="V98" s="188"/>
      <c r="W98" s="185"/>
      <c r="X98" s="182"/>
      <c r="Y98" s="576"/>
      <c r="Z98" s="188"/>
      <c r="AA98" s="188"/>
      <c r="AB98" s="185"/>
      <c r="AC98" s="182"/>
      <c r="AD98" s="576"/>
      <c r="AE98" s="188"/>
      <c r="AF98" s="188"/>
      <c r="AG98" s="185"/>
      <c r="AH98" s="182"/>
      <c r="AI98" s="576"/>
      <c r="AJ98" s="188"/>
      <c r="AK98" s="188"/>
      <c r="AL98" s="185"/>
      <c r="AM98" s="182"/>
      <c r="AN98" s="576"/>
      <c r="AO98" s="188"/>
      <c r="AP98" s="188"/>
      <c r="AQ98" s="185"/>
      <c r="AR98" s="182"/>
      <c r="AS98" s="576"/>
      <c r="AT98" s="188"/>
      <c r="AU98" s="188"/>
      <c r="AV98" s="185"/>
      <c r="AW98" s="182"/>
      <c r="AX98" s="576"/>
    </row>
    <row r="99" spans="2:50" ht="14.25" customHeight="1">
      <c r="B99" s="575"/>
      <c r="C99" s="180">
        <v>13</v>
      </c>
      <c r="D99" s="183"/>
      <c r="E99" s="180"/>
      <c r="F99" s="180"/>
      <c r="G99" s="185"/>
      <c r="H99" s="576"/>
      <c r="I99" s="186"/>
      <c r="J99" s="186"/>
      <c r="K99" s="187"/>
      <c r="L99" s="577"/>
      <c r="M99" s="186"/>
      <c r="N99" s="575"/>
      <c r="O99" s="575"/>
      <c r="P99" s="188"/>
      <c r="Q99" s="188"/>
      <c r="R99" s="185"/>
      <c r="S99" s="182"/>
      <c r="T99" s="576"/>
      <c r="U99" s="188"/>
      <c r="V99" s="188"/>
      <c r="W99" s="185"/>
      <c r="X99" s="182"/>
      <c r="Y99" s="576"/>
      <c r="Z99" s="188"/>
      <c r="AA99" s="188"/>
      <c r="AB99" s="185"/>
      <c r="AC99" s="182"/>
      <c r="AD99" s="576"/>
      <c r="AE99" s="188"/>
      <c r="AF99" s="188"/>
      <c r="AG99" s="185"/>
      <c r="AH99" s="182"/>
      <c r="AI99" s="576"/>
      <c r="AJ99" s="188"/>
      <c r="AK99" s="188"/>
      <c r="AL99" s="185"/>
      <c r="AM99" s="182"/>
      <c r="AN99" s="576"/>
      <c r="AO99" s="188"/>
      <c r="AP99" s="188"/>
      <c r="AQ99" s="185"/>
      <c r="AR99" s="182"/>
      <c r="AS99" s="576"/>
      <c r="AT99" s="188"/>
      <c r="AU99" s="188"/>
      <c r="AV99" s="185"/>
      <c r="AW99" s="182"/>
      <c r="AX99" s="576"/>
    </row>
    <row r="100" spans="2:50" ht="14.25" customHeight="1">
      <c r="B100" s="575"/>
      <c r="C100" s="180">
        <v>14</v>
      </c>
      <c r="D100" s="183"/>
      <c r="E100" s="180"/>
      <c r="F100" s="180"/>
      <c r="G100" s="185"/>
      <c r="H100" s="576"/>
      <c r="I100" s="186"/>
      <c r="J100" s="186"/>
      <c r="K100" s="187"/>
      <c r="L100" s="577"/>
      <c r="M100" s="186"/>
      <c r="N100" s="575"/>
      <c r="O100" s="575"/>
      <c r="P100" s="188"/>
      <c r="Q100" s="188"/>
      <c r="R100" s="185"/>
      <c r="S100" s="182"/>
      <c r="T100" s="576"/>
      <c r="U100" s="188"/>
      <c r="V100" s="188"/>
      <c r="W100" s="185"/>
      <c r="X100" s="182"/>
      <c r="Y100" s="576"/>
      <c r="Z100" s="188"/>
      <c r="AA100" s="188"/>
      <c r="AB100" s="185"/>
      <c r="AC100" s="182"/>
      <c r="AD100" s="576"/>
      <c r="AE100" s="188"/>
      <c r="AF100" s="188"/>
      <c r="AG100" s="185"/>
      <c r="AH100" s="182"/>
      <c r="AI100" s="576"/>
      <c r="AJ100" s="188"/>
      <c r="AK100" s="188"/>
      <c r="AL100" s="185"/>
      <c r="AM100" s="182"/>
      <c r="AN100" s="576"/>
      <c r="AO100" s="188"/>
      <c r="AP100" s="188"/>
      <c r="AQ100" s="185"/>
      <c r="AR100" s="182"/>
      <c r="AS100" s="576"/>
      <c r="AT100" s="188"/>
      <c r="AU100" s="188"/>
      <c r="AV100" s="185"/>
      <c r="AW100" s="182"/>
      <c r="AX100" s="576"/>
    </row>
    <row r="101" spans="2:50" ht="14.25" customHeight="1">
      <c r="B101" s="575"/>
      <c r="C101" s="180">
        <v>15</v>
      </c>
      <c r="D101" s="183"/>
      <c r="E101" s="180"/>
      <c r="F101" s="180"/>
      <c r="G101" s="185"/>
      <c r="H101" s="576"/>
      <c r="I101" s="186"/>
      <c r="J101" s="186"/>
      <c r="K101" s="187"/>
      <c r="L101" s="577"/>
      <c r="M101" s="186"/>
      <c r="N101" s="575"/>
      <c r="O101" s="575"/>
      <c r="P101" s="188"/>
      <c r="Q101" s="188"/>
      <c r="R101" s="185"/>
      <c r="S101" s="182"/>
      <c r="T101" s="576"/>
      <c r="U101" s="188"/>
      <c r="V101" s="188"/>
      <c r="W101" s="185"/>
      <c r="X101" s="182"/>
      <c r="Y101" s="576"/>
      <c r="Z101" s="188"/>
      <c r="AA101" s="188"/>
      <c r="AB101" s="185"/>
      <c r="AC101" s="182"/>
      <c r="AD101" s="576"/>
      <c r="AE101" s="188"/>
      <c r="AF101" s="188"/>
      <c r="AG101" s="185"/>
      <c r="AH101" s="182"/>
      <c r="AI101" s="576"/>
      <c r="AJ101" s="188"/>
      <c r="AK101" s="188"/>
      <c r="AL101" s="185"/>
      <c r="AM101" s="182"/>
      <c r="AN101" s="576"/>
      <c r="AO101" s="188"/>
      <c r="AP101" s="188"/>
      <c r="AQ101" s="185"/>
      <c r="AR101" s="182"/>
      <c r="AS101" s="576"/>
      <c r="AT101" s="188"/>
      <c r="AU101" s="188"/>
      <c r="AV101" s="185"/>
      <c r="AW101" s="182"/>
      <c r="AX101" s="576"/>
    </row>
  </sheetData>
  <mergeCells count="295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O5:AR5"/>
    <mergeCell ref="AT5:AW5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P5:S5"/>
    <mergeCell ref="U5:X5"/>
    <mergeCell ref="Z5:AC5"/>
    <mergeCell ref="AE5:AH5"/>
    <mergeCell ref="AJ5:AM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AT23:AX23"/>
    <mergeCell ref="AT22:AX22"/>
    <mergeCell ref="AS24:AS26"/>
    <mergeCell ref="AT24:AW24"/>
    <mergeCell ref="AX24:AX26"/>
    <mergeCell ref="AX27:AX41"/>
    <mergeCell ref="AT25:AW2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P24:S24"/>
    <mergeCell ref="E24:G24"/>
    <mergeCell ref="H24:H26"/>
    <mergeCell ref="I24:K24"/>
    <mergeCell ref="T27:T41"/>
    <mergeCell ref="Y27:Y41"/>
    <mergeCell ref="AD27:AD41"/>
    <mergeCell ref="AI27:AI41"/>
    <mergeCell ref="L24:L26"/>
    <mergeCell ref="M24:M26"/>
    <mergeCell ref="N24:N41"/>
    <mergeCell ref="O24:O41"/>
    <mergeCell ref="B27:B41"/>
    <mergeCell ref="H27:H41"/>
    <mergeCell ref="L27:L41"/>
    <mergeCell ref="B24:B26"/>
    <mergeCell ref="C24:D2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4">
    <tabColor rgb="FFFFFFCC"/>
  </sheetPr>
  <dimension ref="A1:AX101"/>
  <sheetViews>
    <sheetView zoomScaleNormal="100" workbookViewId="0">
      <pane xSplit="13" ySplit="1" topLeftCell="N71" activePane="bottomRight" state="frozen"/>
      <selection activeCell="L95" sqref="L95"/>
      <selection pane="topRight" activeCell="L95" sqref="L95"/>
      <selection pane="bottomLeft" activeCell="L95" sqref="L95"/>
      <selection pane="bottomRight" activeCell="B82" sqref="B82:M8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5" t="s">
        <v>656</v>
      </c>
      <c r="C1" s="175">
        <f>AVERAGE(L7,L27,L47,L67)</f>
        <v>0</v>
      </c>
    </row>
    <row r="2" spans="1:50" ht="14.25" customHeight="1" collapsed="1">
      <c r="B2" s="589" t="s">
        <v>539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600"/>
      <c r="N2" s="609" t="s">
        <v>374</v>
      </c>
      <c r="O2" s="609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2"/>
      <c r="N3" s="611"/>
      <c r="O3" s="611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375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376</v>
      </c>
      <c r="F5" s="575"/>
      <c r="G5" s="575"/>
      <c r="H5" s="575"/>
      <c r="I5" s="579" t="s">
        <v>376</v>
      </c>
      <c r="J5" s="579"/>
      <c r="K5" s="579"/>
      <c r="L5" s="579"/>
      <c r="M5" s="579"/>
      <c r="N5" s="575"/>
      <c r="O5" s="575"/>
      <c r="P5" s="575" t="s">
        <v>377</v>
      </c>
      <c r="Q5" s="575"/>
      <c r="R5" s="575"/>
      <c r="S5" s="575"/>
      <c r="T5" s="575"/>
      <c r="U5" s="575" t="s">
        <v>377</v>
      </c>
      <c r="V5" s="575"/>
      <c r="W5" s="575"/>
      <c r="X5" s="575"/>
      <c r="Y5" s="575"/>
      <c r="Z5" s="575" t="s">
        <v>377</v>
      </c>
      <c r="AA5" s="575"/>
      <c r="AB5" s="575"/>
      <c r="AC5" s="575"/>
      <c r="AD5" s="575"/>
      <c r="AE5" s="575" t="s">
        <v>377</v>
      </c>
      <c r="AF5" s="575"/>
      <c r="AG5" s="575"/>
      <c r="AH5" s="575"/>
      <c r="AI5" s="575"/>
      <c r="AJ5" s="575" t="s">
        <v>377</v>
      </c>
      <c r="AK5" s="575"/>
      <c r="AL5" s="575"/>
      <c r="AM5" s="575"/>
      <c r="AN5" s="575"/>
      <c r="AO5" s="575" t="s">
        <v>377</v>
      </c>
      <c r="AP5" s="575"/>
      <c r="AQ5" s="575"/>
      <c r="AR5" s="575"/>
      <c r="AS5" s="575"/>
      <c r="AT5" s="575" t="s">
        <v>377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378</v>
      </c>
      <c r="G6" s="180" t="s">
        <v>161</v>
      </c>
      <c r="H6" s="575"/>
      <c r="I6" s="181" t="s">
        <v>159</v>
      </c>
      <c r="J6" s="181" t="s">
        <v>378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378</v>
      </c>
      <c r="R6" s="180" t="s">
        <v>161</v>
      </c>
      <c r="S6" s="182" t="s">
        <v>165</v>
      </c>
      <c r="T6" s="575"/>
      <c r="U6" s="180" t="s">
        <v>159</v>
      </c>
      <c r="V6" s="180" t="s">
        <v>378</v>
      </c>
      <c r="W6" s="180" t="s">
        <v>161</v>
      </c>
      <c r="X6" s="182" t="s">
        <v>165</v>
      </c>
      <c r="Y6" s="575"/>
      <c r="Z6" s="180" t="s">
        <v>159</v>
      </c>
      <c r="AA6" s="180" t="s">
        <v>378</v>
      </c>
      <c r="AB6" s="180" t="s">
        <v>161</v>
      </c>
      <c r="AC6" s="182" t="s">
        <v>165</v>
      </c>
      <c r="AD6" s="575"/>
      <c r="AE6" s="180" t="s">
        <v>159</v>
      </c>
      <c r="AF6" s="180" t="s">
        <v>378</v>
      </c>
      <c r="AG6" s="180" t="s">
        <v>161</v>
      </c>
      <c r="AH6" s="182" t="s">
        <v>165</v>
      </c>
      <c r="AI6" s="575"/>
      <c r="AJ6" s="180" t="s">
        <v>159</v>
      </c>
      <c r="AK6" s="180" t="s">
        <v>378</v>
      </c>
      <c r="AL6" s="180" t="s">
        <v>161</v>
      </c>
      <c r="AM6" s="182" t="s">
        <v>165</v>
      </c>
      <c r="AN6" s="575"/>
      <c r="AO6" s="180" t="s">
        <v>159</v>
      </c>
      <c r="AP6" s="180" t="s">
        <v>378</v>
      </c>
      <c r="AQ6" s="180" t="s">
        <v>161</v>
      </c>
      <c r="AR6" s="182" t="s">
        <v>165</v>
      </c>
      <c r="AS6" s="575"/>
      <c r="AT6" s="180" t="s">
        <v>159</v>
      </c>
      <c r="AU6" s="180" t="s">
        <v>378</v>
      </c>
      <c r="AV6" s="180" t="s">
        <v>161</v>
      </c>
      <c r="AW6" s="182" t="s">
        <v>165</v>
      </c>
      <c r="AX6" s="575"/>
    </row>
    <row r="7" spans="1:50" ht="14.25" customHeight="1">
      <c r="B7" s="575" t="s">
        <v>451</v>
      </c>
      <c r="C7" s="180">
        <v>1</v>
      </c>
      <c r="D7" s="183"/>
      <c r="E7" s="180"/>
      <c r="F7" s="180"/>
      <c r="G7" s="185"/>
      <c r="H7" s="576"/>
      <c r="I7" s="186"/>
      <c r="J7" s="186"/>
      <c r="K7" s="187"/>
      <c r="L7" s="577">
        <v>0</v>
      </c>
      <c r="M7" s="186"/>
      <c r="N7" s="575"/>
      <c r="O7" s="575"/>
      <c r="P7" s="188"/>
      <c r="Q7" s="188"/>
      <c r="R7" s="185"/>
      <c r="S7" s="182"/>
      <c r="T7" s="576"/>
      <c r="U7" s="188"/>
      <c r="V7" s="188"/>
      <c r="W7" s="185"/>
      <c r="X7" s="182"/>
      <c r="Y7" s="576"/>
      <c r="Z7" s="188"/>
      <c r="AA7" s="188"/>
      <c r="AB7" s="185"/>
      <c r="AC7" s="182"/>
      <c r="AD7" s="576"/>
      <c r="AE7" s="188"/>
      <c r="AF7" s="188"/>
      <c r="AG7" s="185"/>
      <c r="AH7" s="182"/>
      <c r="AI7" s="576"/>
      <c r="AJ7" s="188"/>
      <c r="AK7" s="188"/>
      <c r="AL7" s="185"/>
      <c r="AM7" s="182"/>
      <c r="AN7" s="576"/>
      <c r="AO7" s="188"/>
      <c r="AP7" s="188"/>
      <c r="AQ7" s="185"/>
      <c r="AR7" s="182"/>
      <c r="AS7" s="576"/>
      <c r="AT7" s="188"/>
      <c r="AU7" s="188"/>
      <c r="AV7" s="185"/>
      <c r="AW7" s="182"/>
      <c r="AX7" s="576"/>
    </row>
    <row r="8" spans="1:50" ht="14.25" customHeight="1">
      <c r="B8" s="575"/>
      <c r="C8" s="180">
        <v>2</v>
      </c>
      <c r="D8" s="183"/>
      <c r="E8" s="180"/>
      <c r="F8" s="180"/>
      <c r="G8" s="185"/>
      <c r="H8" s="576"/>
      <c r="I8" s="186"/>
      <c r="J8" s="186"/>
      <c r="K8" s="187"/>
      <c r="L8" s="577"/>
      <c r="M8" s="186"/>
      <c r="N8" s="575"/>
      <c r="O8" s="575"/>
      <c r="P8" s="188"/>
      <c r="Q8" s="188"/>
      <c r="R8" s="185"/>
      <c r="S8" s="182"/>
      <c r="T8" s="576"/>
      <c r="U8" s="188"/>
      <c r="V8" s="188"/>
      <c r="W8" s="185"/>
      <c r="X8" s="182"/>
      <c r="Y8" s="576"/>
      <c r="Z8" s="188"/>
      <c r="AA8" s="188"/>
      <c r="AB8" s="185"/>
      <c r="AC8" s="182"/>
      <c r="AD8" s="576"/>
      <c r="AE8" s="188"/>
      <c r="AF8" s="188"/>
      <c r="AG8" s="185"/>
      <c r="AH8" s="182"/>
      <c r="AI8" s="576"/>
      <c r="AJ8" s="188"/>
      <c r="AK8" s="188"/>
      <c r="AL8" s="185"/>
      <c r="AM8" s="182"/>
      <c r="AN8" s="576"/>
      <c r="AO8" s="188"/>
      <c r="AP8" s="188"/>
      <c r="AQ8" s="185"/>
      <c r="AR8" s="182"/>
      <c r="AS8" s="576"/>
      <c r="AT8" s="188"/>
      <c r="AU8" s="188"/>
      <c r="AV8" s="185"/>
      <c r="AW8" s="182"/>
      <c r="AX8" s="576"/>
    </row>
    <row r="9" spans="1:50" ht="14.25" customHeight="1">
      <c r="B9" s="575"/>
      <c r="C9" s="180">
        <v>3</v>
      </c>
      <c r="D9" s="183"/>
      <c r="E9" s="180"/>
      <c r="F9" s="180"/>
      <c r="G9" s="185"/>
      <c r="H9" s="576"/>
      <c r="I9" s="186"/>
      <c r="J9" s="186"/>
      <c r="K9" s="187"/>
      <c r="L9" s="577"/>
      <c r="M9" s="186"/>
      <c r="N9" s="575"/>
      <c r="O9" s="575"/>
      <c r="P9" s="188"/>
      <c r="Q9" s="188"/>
      <c r="R9" s="185"/>
      <c r="S9" s="182"/>
      <c r="T9" s="576"/>
      <c r="U9" s="188"/>
      <c r="V9" s="188"/>
      <c r="W9" s="185"/>
      <c r="X9" s="182"/>
      <c r="Y9" s="576"/>
      <c r="Z9" s="188"/>
      <c r="AA9" s="188"/>
      <c r="AB9" s="185"/>
      <c r="AC9" s="182"/>
      <c r="AD9" s="576"/>
      <c r="AE9" s="188"/>
      <c r="AF9" s="188"/>
      <c r="AG9" s="185"/>
      <c r="AH9" s="182"/>
      <c r="AI9" s="576"/>
      <c r="AJ9" s="188"/>
      <c r="AK9" s="188"/>
      <c r="AL9" s="185"/>
      <c r="AM9" s="182"/>
      <c r="AN9" s="576"/>
      <c r="AO9" s="188"/>
      <c r="AP9" s="188"/>
      <c r="AQ9" s="185"/>
      <c r="AR9" s="182"/>
      <c r="AS9" s="576"/>
      <c r="AT9" s="188"/>
      <c r="AU9" s="188"/>
      <c r="AV9" s="185"/>
      <c r="AW9" s="182"/>
      <c r="AX9" s="576"/>
    </row>
    <row r="10" spans="1:50" ht="14.25" customHeight="1">
      <c r="B10" s="575"/>
      <c r="C10" s="180">
        <v>4</v>
      </c>
      <c r="D10" s="183"/>
      <c r="E10" s="180"/>
      <c r="F10" s="180"/>
      <c r="G10" s="185"/>
      <c r="H10" s="576"/>
      <c r="I10" s="186"/>
      <c r="J10" s="186"/>
      <c r="K10" s="187"/>
      <c r="L10" s="577"/>
      <c r="M10" s="186"/>
      <c r="N10" s="575"/>
      <c r="O10" s="575"/>
      <c r="P10" s="188"/>
      <c r="Q10" s="188"/>
      <c r="R10" s="185"/>
      <c r="S10" s="182"/>
      <c r="T10" s="576"/>
      <c r="U10" s="188"/>
      <c r="V10" s="188"/>
      <c r="W10" s="185"/>
      <c r="X10" s="182"/>
      <c r="Y10" s="576"/>
      <c r="Z10" s="188"/>
      <c r="AA10" s="188"/>
      <c r="AB10" s="185"/>
      <c r="AC10" s="182"/>
      <c r="AD10" s="576"/>
      <c r="AE10" s="188"/>
      <c r="AF10" s="188"/>
      <c r="AG10" s="185"/>
      <c r="AH10" s="182"/>
      <c r="AI10" s="576"/>
      <c r="AJ10" s="188"/>
      <c r="AK10" s="188"/>
      <c r="AL10" s="185"/>
      <c r="AM10" s="182"/>
      <c r="AN10" s="576"/>
      <c r="AO10" s="188"/>
      <c r="AP10" s="188"/>
      <c r="AQ10" s="185"/>
      <c r="AR10" s="182"/>
      <c r="AS10" s="576"/>
      <c r="AT10" s="188"/>
      <c r="AU10" s="188"/>
      <c r="AV10" s="185"/>
      <c r="AW10" s="182"/>
      <c r="AX10" s="576"/>
    </row>
    <row r="11" spans="1:50" ht="14.25" customHeight="1">
      <c r="B11" s="575"/>
      <c r="C11" s="180">
        <v>5</v>
      </c>
      <c r="D11" s="183"/>
      <c r="E11" s="180"/>
      <c r="F11" s="180"/>
      <c r="G11" s="185"/>
      <c r="H11" s="576"/>
      <c r="I11" s="186"/>
      <c r="J11" s="186"/>
      <c r="K11" s="187"/>
      <c r="L11" s="577"/>
      <c r="M11" s="186"/>
      <c r="N11" s="575"/>
      <c r="O11" s="575"/>
      <c r="P11" s="188"/>
      <c r="Q11" s="188"/>
      <c r="R11" s="185"/>
      <c r="S11" s="182"/>
      <c r="T11" s="576"/>
      <c r="U11" s="188"/>
      <c r="V11" s="188"/>
      <c r="W11" s="185"/>
      <c r="X11" s="182"/>
      <c r="Y11" s="576"/>
      <c r="Z11" s="188"/>
      <c r="AA11" s="188"/>
      <c r="AB11" s="185"/>
      <c r="AC11" s="182"/>
      <c r="AD11" s="576"/>
      <c r="AE11" s="188"/>
      <c r="AF11" s="188"/>
      <c r="AG11" s="185"/>
      <c r="AH11" s="182"/>
      <c r="AI11" s="576"/>
      <c r="AJ11" s="188"/>
      <c r="AK11" s="188"/>
      <c r="AL11" s="185"/>
      <c r="AM11" s="182"/>
      <c r="AN11" s="576"/>
      <c r="AO11" s="188"/>
      <c r="AP11" s="188"/>
      <c r="AQ11" s="185"/>
      <c r="AR11" s="182"/>
      <c r="AS11" s="576"/>
      <c r="AT11" s="188"/>
      <c r="AU11" s="188"/>
      <c r="AV11" s="185"/>
      <c r="AW11" s="182"/>
      <c r="AX11" s="576"/>
    </row>
    <row r="12" spans="1:50" ht="14.25" customHeight="1">
      <c r="B12" s="575"/>
      <c r="C12" s="180">
        <v>6</v>
      </c>
      <c r="D12" s="183"/>
      <c r="E12" s="180"/>
      <c r="F12" s="180"/>
      <c r="G12" s="185"/>
      <c r="H12" s="576"/>
      <c r="I12" s="186"/>
      <c r="J12" s="186"/>
      <c r="K12" s="187"/>
      <c r="L12" s="577"/>
      <c r="M12" s="186"/>
      <c r="N12" s="575"/>
      <c r="O12" s="575"/>
      <c r="P12" s="188"/>
      <c r="Q12" s="188"/>
      <c r="R12" s="185"/>
      <c r="S12" s="182"/>
      <c r="T12" s="576"/>
      <c r="U12" s="188"/>
      <c r="V12" s="188"/>
      <c r="W12" s="185"/>
      <c r="X12" s="182"/>
      <c r="Y12" s="576"/>
      <c r="Z12" s="188"/>
      <c r="AA12" s="188"/>
      <c r="AB12" s="185"/>
      <c r="AC12" s="182"/>
      <c r="AD12" s="576"/>
      <c r="AE12" s="188"/>
      <c r="AF12" s="188"/>
      <c r="AG12" s="185"/>
      <c r="AH12" s="182"/>
      <c r="AI12" s="576"/>
      <c r="AJ12" s="188"/>
      <c r="AK12" s="188"/>
      <c r="AL12" s="185"/>
      <c r="AM12" s="182"/>
      <c r="AN12" s="576"/>
      <c r="AO12" s="188"/>
      <c r="AP12" s="188"/>
      <c r="AQ12" s="185"/>
      <c r="AR12" s="182"/>
      <c r="AS12" s="576"/>
      <c r="AT12" s="188"/>
      <c r="AU12" s="188"/>
      <c r="AV12" s="185"/>
      <c r="AW12" s="182"/>
      <c r="AX12" s="576"/>
    </row>
    <row r="13" spans="1:50" ht="14.25" customHeight="1">
      <c r="B13" s="575"/>
      <c r="C13" s="180">
        <v>7</v>
      </c>
      <c r="D13" s="183"/>
      <c r="E13" s="180"/>
      <c r="F13" s="180"/>
      <c r="G13" s="185"/>
      <c r="H13" s="576"/>
      <c r="I13" s="186"/>
      <c r="J13" s="186"/>
      <c r="K13" s="187"/>
      <c r="L13" s="577"/>
      <c r="M13" s="186"/>
      <c r="N13" s="575"/>
      <c r="O13" s="575"/>
      <c r="P13" s="188"/>
      <c r="Q13" s="188"/>
      <c r="R13" s="185"/>
      <c r="S13" s="182"/>
      <c r="T13" s="576"/>
      <c r="U13" s="188"/>
      <c r="V13" s="188"/>
      <c r="W13" s="185"/>
      <c r="X13" s="182"/>
      <c r="Y13" s="576"/>
      <c r="Z13" s="188"/>
      <c r="AA13" s="188"/>
      <c r="AB13" s="185"/>
      <c r="AC13" s="182"/>
      <c r="AD13" s="576"/>
      <c r="AE13" s="188"/>
      <c r="AF13" s="188"/>
      <c r="AG13" s="185"/>
      <c r="AH13" s="182"/>
      <c r="AI13" s="576"/>
      <c r="AJ13" s="188"/>
      <c r="AK13" s="188"/>
      <c r="AL13" s="185"/>
      <c r="AM13" s="182"/>
      <c r="AN13" s="576"/>
      <c r="AO13" s="188"/>
      <c r="AP13" s="188"/>
      <c r="AQ13" s="185"/>
      <c r="AR13" s="182"/>
      <c r="AS13" s="576"/>
      <c r="AT13" s="188"/>
      <c r="AU13" s="188"/>
      <c r="AV13" s="185"/>
      <c r="AW13" s="182"/>
      <c r="AX13" s="576"/>
    </row>
    <row r="14" spans="1:50" ht="14.25" customHeight="1">
      <c r="B14" s="575"/>
      <c r="C14" s="180">
        <v>8</v>
      </c>
      <c r="D14" s="183"/>
      <c r="E14" s="180"/>
      <c r="F14" s="180"/>
      <c r="G14" s="185"/>
      <c r="H14" s="576"/>
      <c r="I14" s="186"/>
      <c r="J14" s="186"/>
      <c r="K14" s="187"/>
      <c r="L14" s="577"/>
      <c r="M14" s="186"/>
      <c r="N14" s="575"/>
      <c r="O14" s="575"/>
      <c r="P14" s="188"/>
      <c r="Q14" s="188"/>
      <c r="R14" s="185"/>
      <c r="S14" s="182"/>
      <c r="T14" s="576"/>
      <c r="U14" s="188"/>
      <c r="V14" s="188"/>
      <c r="W14" s="185"/>
      <c r="X14" s="182"/>
      <c r="Y14" s="576"/>
      <c r="Z14" s="188"/>
      <c r="AA14" s="188"/>
      <c r="AB14" s="185"/>
      <c r="AC14" s="182"/>
      <c r="AD14" s="576"/>
      <c r="AE14" s="188"/>
      <c r="AF14" s="188"/>
      <c r="AG14" s="185"/>
      <c r="AH14" s="182"/>
      <c r="AI14" s="576"/>
      <c r="AJ14" s="188"/>
      <c r="AK14" s="188"/>
      <c r="AL14" s="185"/>
      <c r="AM14" s="182"/>
      <c r="AN14" s="576"/>
      <c r="AO14" s="188"/>
      <c r="AP14" s="188"/>
      <c r="AQ14" s="185"/>
      <c r="AR14" s="182"/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575"/>
      <c r="O15" s="575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589" t="s">
        <v>657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09" t="s">
        <v>374</v>
      </c>
      <c r="O22" s="609" t="s">
        <v>105</v>
      </c>
      <c r="P22" s="655">
        <v>46119</v>
      </c>
      <c r="Q22" s="656"/>
      <c r="R22" s="656"/>
      <c r="S22" s="656"/>
      <c r="T22" s="656"/>
      <c r="U22" s="657">
        <f>P22+1</f>
        <v>46120</v>
      </c>
      <c r="V22" s="658"/>
      <c r="W22" s="658"/>
      <c r="X22" s="658"/>
      <c r="Y22" s="658"/>
      <c r="Z22" s="655">
        <f t="shared" ref="Z22" si="10">U22+1</f>
        <v>46121</v>
      </c>
      <c r="AA22" s="656"/>
      <c r="AB22" s="656"/>
      <c r="AC22" s="656"/>
      <c r="AD22" s="656"/>
      <c r="AE22" s="657">
        <f t="shared" ref="AE22" si="11">Z22+1</f>
        <v>46122</v>
      </c>
      <c r="AF22" s="658"/>
      <c r="AG22" s="658"/>
      <c r="AH22" s="658"/>
      <c r="AI22" s="658"/>
      <c r="AJ22" s="647">
        <f t="shared" ref="AJ22" si="12">AE22+1</f>
        <v>46123</v>
      </c>
      <c r="AK22" s="648"/>
      <c r="AL22" s="648"/>
      <c r="AM22" s="648"/>
      <c r="AN22" s="649"/>
      <c r="AO22" s="657">
        <f t="shared" ref="AO22" si="13">AJ22+1</f>
        <v>46124</v>
      </c>
      <c r="AP22" s="658"/>
      <c r="AQ22" s="658"/>
      <c r="AR22" s="658"/>
      <c r="AS22" s="658"/>
      <c r="AT22" s="647">
        <f t="shared" ref="AT22" si="14">AO22+1</f>
        <v>46125</v>
      </c>
      <c r="AU22" s="648"/>
      <c r="AV22" s="648"/>
      <c r="AW22" s="648"/>
      <c r="AX22" s="649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1"/>
      <c r="O23" s="611"/>
      <c r="P23" s="650">
        <f>P22</f>
        <v>46119</v>
      </c>
      <c r="Q23" s="650"/>
      <c r="R23" s="650"/>
      <c r="S23" s="650"/>
      <c r="T23" s="650"/>
      <c r="U23" s="651">
        <f>U22</f>
        <v>46120</v>
      </c>
      <c r="V23" s="651"/>
      <c r="W23" s="651"/>
      <c r="X23" s="651"/>
      <c r="Y23" s="651"/>
      <c r="Z23" s="650">
        <f t="shared" ref="Z23" si="15">Z22</f>
        <v>46121</v>
      </c>
      <c r="AA23" s="650"/>
      <c r="AB23" s="650"/>
      <c r="AC23" s="650"/>
      <c r="AD23" s="650"/>
      <c r="AE23" s="651">
        <f t="shared" ref="AE23" si="16">AE22</f>
        <v>46122</v>
      </c>
      <c r="AF23" s="651"/>
      <c r="AG23" s="651"/>
      <c r="AH23" s="651"/>
      <c r="AI23" s="651"/>
      <c r="AJ23" s="652">
        <f t="shared" ref="AJ23" si="17">AJ22</f>
        <v>46123</v>
      </c>
      <c r="AK23" s="653"/>
      <c r="AL23" s="653"/>
      <c r="AM23" s="653"/>
      <c r="AN23" s="654"/>
      <c r="AO23" s="651">
        <f t="shared" ref="AO23" si="18">AO22</f>
        <v>46124</v>
      </c>
      <c r="AP23" s="651"/>
      <c r="AQ23" s="651"/>
      <c r="AR23" s="651"/>
      <c r="AS23" s="651"/>
      <c r="AT23" s="652">
        <f t="shared" ref="AT23" si="19">AT22</f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375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376</v>
      </c>
      <c r="F25" s="575"/>
      <c r="G25" s="575"/>
      <c r="H25" s="575"/>
      <c r="I25" s="579" t="s">
        <v>376</v>
      </c>
      <c r="J25" s="579"/>
      <c r="K25" s="579"/>
      <c r="L25" s="579"/>
      <c r="M25" s="579"/>
      <c r="N25" s="575"/>
      <c r="O25" s="575"/>
      <c r="P25" s="575" t="s">
        <v>377</v>
      </c>
      <c r="Q25" s="575"/>
      <c r="R25" s="575"/>
      <c r="S25" s="575"/>
      <c r="T25" s="575"/>
      <c r="U25" s="575" t="s">
        <v>377</v>
      </c>
      <c r="V25" s="575"/>
      <c r="W25" s="575"/>
      <c r="X25" s="575"/>
      <c r="Y25" s="575"/>
      <c r="Z25" s="575" t="s">
        <v>377</v>
      </c>
      <c r="AA25" s="575"/>
      <c r="AB25" s="575"/>
      <c r="AC25" s="575"/>
      <c r="AD25" s="575"/>
      <c r="AE25" s="575" t="s">
        <v>377</v>
      </c>
      <c r="AF25" s="575"/>
      <c r="AG25" s="575"/>
      <c r="AH25" s="575"/>
      <c r="AI25" s="575"/>
      <c r="AJ25" s="575" t="s">
        <v>377</v>
      </c>
      <c r="AK25" s="575"/>
      <c r="AL25" s="575"/>
      <c r="AM25" s="575"/>
      <c r="AN25" s="575"/>
      <c r="AO25" s="575" t="s">
        <v>377</v>
      </c>
      <c r="AP25" s="575"/>
      <c r="AQ25" s="575"/>
      <c r="AR25" s="575"/>
      <c r="AS25" s="575"/>
      <c r="AT25" s="575" t="s">
        <v>377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378</v>
      </c>
      <c r="G26" s="180" t="s">
        <v>161</v>
      </c>
      <c r="H26" s="575"/>
      <c r="I26" s="181" t="s">
        <v>159</v>
      </c>
      <c r="J26" s="181" t="s">
        <v>378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378</v>
      </c>
      <c r="R26" s="180" t="s">
        <v>161</v>
      </c>
      <c r="S26" s="182" t="s">
        <v>165</v>
      </c>
      <c r="T26" s="575"/>
      <c r="U26" s="180" t="s">
        <v>159</v>
      </c>
      <c r="V26" s="180" t="s">
        <v>378</v>
      </c>
      <c r="W26" s="180" t="s">
        <v>161</v>
      </c>
      <c r="X26" s="182" t="s">
        <v>165</v>
      </c>
      <c r="Y26" s="575"/>
      <c r="Z26" s="180" t="s">
        <v>159</v>
      </c>
      <c r="AA26" s="180" t="s">
        <v>378</v>
      </c>
      <c r="AB26" s="180" t="s">
        <v>161</v>
      </c>
      <c r="AC26" s="182" t="s">
        <v>165</v>
      </c>
      <c r="AD26" s="575"/>
      <c r="AE26" s="180" t="s">
        <v>159</v>
      </c>
      <c r="AF26" s="180" t="s">
        <v>378</v>
      </c>
      <c r="AG26" s="180" t="s">
        <v>161</v>
      </c>
      <c r="AH26" s="182" t="s">
        <v>165</v>
      </c>
      <c r="AI26" s="575"/>
      <c r="AJ26" s="180" t="s">
        <v>159</v>
      </c>
      <c r="AK26" s="180" t="s">
        <v>378</v>
      </c>
      <c r="AL26" s="180" t="s">
        <v>161</v>
      </c>
      <c r="AM26" s="182" t="s">
        <v>165</v>
      </c>
      <c r="AN26" s="575"/>
      <c r="AO26" s="180" t="s">
        <v>159</v>
      </c>
      <c r="AP26" s="180" t="s">
        <v>378</v>
      </c>
      <c r="AQ26" s="180" t="s">
        <v>161</v>
      </c>
      <c r="AR26" s="182" t="s">
        <v>165</v>
      </c>
      <c r="AS26" s="575"/>
      <c r="AT26" s="180" t="s">
        <v>159</v>
      </c>
      <c r="AU26" s="180" t="s">
        <v>378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451</v>
      </c>
      <c r="C27" s="180">
        <v>1</v>
      </c>
      <c r="D27" s="183"/>
      <c r="E27" s="180"/>
      <c r="F27" s="180"/>
      <c r="G27" s="185"/>
      <c r="H27" s="576"/>
      <c r="I27" s="186"/>
      <c r="J27" s="186"/>
      <c r="K27" s="187"/>
      <c r="L27" s="577">
        <v>0</v>
      </c>
      <c r="M27" s="186"/>
      <c r="N27" s="575"/>
      <c r="O27" s="575"/>
      <c r="P27" s="188"/>
      <c r="Q27" s="188"/>
      <c r="R27" s="185"/>
      <c r="S27" s="182"/>
      <c r="T27" s="576"/>
      <c r="U27" s="188"/>
      <c r="V27" s="188"/>
      <c r="W27" s="185"/>
      <c r="X27" s="182"/>
      <c r="Y27" s="576"/>
      <c r="Z27" s="188"/>
      <c r="AA27" s="188"/>
      <c r="AB27" s="185"/>
      <c r="AC27" s="182"/>
      <c r="AD27" s="576"/>
      <c r="AE27" s="188"/>
      <c r="AF27" s="188"/>
      <c r="AG27" s="185"/>
      <c r="AH27" s="182"/>
      <c r="AI27" s="576"/>
      <c r="AJ27" s="188"/>
      <c r="AK27" s="188"/>
      <c r="AL27" s="185"/>
      <c r="AM27" s="182"/>
      <c r="AN27" s="576"/>
      <c r="AO27" s="188"/>
      <c r="AP27" s="188"/>
      <c r="AQ27" s="185"/>
      <c r="AR27" s="182"/>
      <c r="AS27" s="576"/>
      <c r="AT27" s="188"/>
      <c r="AU27" s="188"/>
      <c r="AV27" s="185"/>
      <c r="AW27" s="182"/>
      <c r="AX27" s="576"/>
    </row>
    <row r="28" spans="2:50" ht="14.25" customHeight="1">
      <c r="B28" s="575"/>
      <c r="C28" s="180">
        <v>2</v>
      </c>
      <c r="D28" s="183"/>
      <c r="E28" s="180"/>
      <c r="F28" s="180"/>
      <c r="G28" s="185"/>
      <c r="H28" s="576"/>
      <c r="I28" s="186"/>
      <c r="J28" s="186"/>
      <c r="K28" s="187"/>
      <c r="L28" s="577"/>
      <c r="M28" s="186"/>
      <c r="N28" s="575"/>
      <c r="O28" s="575"/>
      <c r="P28" s="188"/>
      <c r="Q28" s="188"/>
      <c r="R28" s="185"/>
      <c r="S28" s="182"/>
      <c r="T28" s="576"/>
      <c r="U28" s="188"/>
      <c r="V28" s="188"/>
      <c r="W28" s="185"/>
      <c r="X28" s="182"/>
      <c r="Y28" s="576"/>
      <c r="Z28" s="188"/>
      <c r="AA28" s="188"/>
      <c r="AB28" s="185"/>
      <c r="AC28" s="182"/>
      <c r="AD28" s="576"/>
      <c r="AE28" s="188"/>
      <c r="AF28" s="188"/>
      <c r="AG28" s="185"/>
      <c r="AH28" s="182"/>
      <c r="AI28" s="576"/>
      <c r="AJ28" s="188"/>
      <c r="AK28" s="188"/>
      <c r="AL28" s="185"/>
      <c r="AM28" s="182"/>
      <c r="AN28" s="576"/>
      <c r="AO28" s="188"/>
      <c r="AP28" s="188"/>
      <c r="AQ28" s="185"/>
      <c r="AR28" s="182"/>
      <c r="AS28" s="576"/>
      <c r="AT28" s="188"/>
      <c r="AU28" s="188"/>
      <c r="AV28" s="185"/>
      <c r="AW28" s="182"/>
      <c r="AX28" s="576"/>
    </row>
    <row r="29" spans="2:50" ht="14.25" customHeight="1">
      <c r="B29" s="575"/>
      <c r="C29" s="180">
        <v>3</v>
      </c>
      <c r="D29" s="183"/>
      <c r="E29" s="180"/>
      <c r="F29" s="180"/>
      <c r="G29" s="185"/>
      <c r="H29" s="576"/>
      <c r="I29" s="186"/>
      <c r="J29" s="186"/>
      <c r="K29" s="187"/>
      <c r="L29" s="577"/>
      <c r="M29" s="186"/>
      <c r="N29" s="575"/>
      <c r="O29" s="575"/>
      <c r="P29" s="188"/>
      <c r="Q29" s="188"/>
      <c r="R29" s="185"/>
      <c r="S29" s="182"/>
      <c r="T29" s="576"/>
      <c r="U29" s="188"/>
      <c r="V29" s="188"/>
      <c r="W29" s="185"/>
      <c r="X29" s="182"/>
      <c r="Y29" s="576"/>
      <c r="Z29" s="188"/>
      <c r="AA29" s="188"/>
      <c r="AB29" s="185"/>
      <c r="AC29" s="182"/>
      <c r="AD29" s="576"/>
      <c r="AE29" s="188"/>
      <c r="AF29" s="188"/>
      <c r="AG29" s="185"/>
      <c r="AH29" s="182"/>
      <c r="AI29" s="576"/>
      <c r="AJ29" s="188"/>
      <c r="AK29" s="188"/>
      <c r="AL29" s="185"/>
      <c r="AM29" s="182"/>
      <c r="AN29" s="576"/>
      <c r="AO29" s="188"/>
      <c r="AP29" s="188"/>
      <c r="AQ29" s="185"/>
      <c r="AR29" s="182"/>
      <c r="AS29" s="576"/>
      <c r="AT29" s="188"/>
      <c r="AU29" s="188"/>
      <c r="AV29" s="185"/>
      <c r="AW29" s="182"/>
      <c r="AX29" s="576"/>
    </row>
    <row r="30" spans="2:50" ht="14.25" customHeight="1">
      <c r="B30" s="575"/>
      <c r="C30" s="180">
        <v>4</v>
      </c>
      <c r="D30" s="183"/>
      <c r="E30" s="180"/>
      <c r="F30" s="180"/>
      <c r="G30" s="185"/>
      <c r="H30" s="576"/>
      <c r="I30" s="186"/>
      <c r="J30" s="186"/>
      <c r="K30" s="187"/>
      <c r="L30" s="577"/>
      <c r="M30" s="186"/>
      <c r="N30" s="575"/>
      <c r="O30" s="575"/>
      <c r="P30" s="188"/>
      <c r="Q30" s="188"/>
      <c r="R30" s="185"/>
      <c r="S30" s="182"/>
      <c r="T30" s="576"/>
      <c r="U30" s="188"/>
      <c r="V30" s="188"/>
      <c r="W30" s="185"/>
      <c r="X30" s="182"/>
      <c r="Y30" s="576"/>
      <c r="Z30" s="188"/>
      <c r="AA30" s="188"/>
      <c r="AB30" s="185"/>
      <c r="AC30" s="182"/>
      <c r="AD30" s="576"/>
      <c r="AE30" s="188"/>
      <c r="AF30" s="188"/>
      <c r="AG30" s="185"/>
      <c r="AH30" s="182"/>
      <c r="AI30" s="576"/>
      <c r="AJ30" s="188"/>
      <c r="AK30" s="188"/>
      <c r="AL30" s="185"/>
      <c r="AM30" s="182"/>
      <c r="AN30" s="576"/>
      <c r="AO30" s="188"/>
      <c r="AP30" s="188"/>
      <c r="AQ30" s="185"/>
      <c r="AR30" s="182"/>
      <c r="AS30" s="576"/>
      <c r="AT30" s="188"/>
      <c r="AU30" s="188"/>
      <c r="AV30" s="185"/>
      <c r="AW30" s="182"/>
      <c r="AX30" s="576"/>
    </row>
    <row r="31" spans="2:50" ht="14.25" customHeight="1">
      <c r="B31" s="575"/>
      <c r="C31" s="180">
        <v>5</v>
      </c>
      <c r="D31" s="183"/>
      <c r="E31" s="180"/>
      <c r="F31" s="180"/>
      <c r="G31" s="185"/>
      <c r="H31" s="576"/>
      <c r="I31" s="186"/>
      <c r="J31" s="186"/>
      <c r="K31" s="187"/>
      <c r="L31" s="577"/>
      <c r="M31" s="186"/>
      <c r="N31" s="575"/>
      <c r="O31" s="575"/>
      <c r="P31" s="188"/>
      <c r="Q31" s="188"/>
      <c r="R31" s="185"/>
      <c r="S31" s="182"/>
      <c r="T31" s="576"/>
      <c r="U31" s="188"/>
      <c r="V31" s="188"/>
      <c r="W31" s="185"/>
      <c r="X31" s="182"/>
      <c r="Y31" s="576"/>
      <c r="Z31" s="188"/>
      <c r="AA31" s="188"/>
      <c r="AB31" s="185"/>
      <c r="AC31" s="182"/>
      <c r="AD31" s="576"/>
      <c r="AE31" s="188"/>
      <c r="AF31" s="188"/>
      <c r="AG31" s="185"/>
      <c r="AH31" s="182"/>
      <c r="AI31" s="576"/>
      <c r="AJ31" s="188"/>
      <c r="AK31" s="188"/>
      <c r="AL31" s="185"/>
      <c r="AM31" s="182"/>
      <c r="AN31" s="576"/>
      <c r="AO31" s="188"/>
      <c r="AP31" s="188"/>
      <c r="AQ31" s="185"/>
      <c r="AR31" s="182"/>
      <c r="AS31" s="576"/>
      <c r="AT31" s="188"/>
      <c r="AU31" s="188"/>
      <c r="AV31" s="185"/>
      <c r="AW31" s="182"/>
      <c r="AX31" s="576"/>
    </row>
    <row r="32" spans="2:50" ht="14.25" customHeight="1">
      <c r="B32" s="575"/>
      <c r="C32" s="180">
        <v>6</v>
      </c>
      <c r="D32" s="183"/>
      <c r="E32" s="180"/>
      <c r="F32" s="180"/>
      <c r="G32" s="185"/>
      <c r="H32" s="576"/>
      <c r="I32" s="186"/>
      <c r="J32" s="186"/>
      <c r="K32" s="187"/>
      <c r="L32" s="577"/>
      <c r="M32" s="186"/>
      <c r="N32" s="575"/>
      <c r="O32" s="575"/>
      <c r="P32" s="188"/>
      <c r="Q32" s="188"/>
      <c r="R32" s="185"/>
      <c r="S32" s="182"/>
      <c r="T32" s="576"/>
      <c r="U32" s="188"/>
      <c r="V32" s="188"/>
      <c r="W32" s="185"/>
      <c r="X32" s="182"/>
      <c r="Y32" s="576"/>
      <c r="Z32" s="188"/>
      <c r="AA32" s="188"/>
      <c r="AB32" s="185"/>
      <c r="AC32" s="182"/>
      <c r="AD32" s="576"/>
      <c r="AE32" s="188"/>
      <c r="AF32" s="188"/>
      <c r="AG32" s="185"/>
      <c r="AH32" s="182"/>
      <c r="AI32" s="576"/>
      <c r="AJ32" s="188"/>
      <c r="AK32" s="188"/>
      <c r="AL32" s="185"/>
      <c r="AM32" s="182"/>
      <c r="AN32" s="576"/>
      <c r="AO32" s="188"/>
      <c r="AP32" s="188"/>
      <c r="AQ32" s="185"/>
      <c r="AR32" s="182"/>
      <c r="AS32" s="576"/>
      <c r="AT32" s="188"/>
      <c r="AU32" s="188"/>
      <c r="AV32" s="185"/>
      <c r="AW32" s="182"/>
      <c r="AX32" s="576"/>
    </row>
    <row r="33" spans="2:50" ht="14.25" customHeight="1">
      <c r="B33" s="575"/>
      <c r="C33" s="180">
        <v>7</v>
      </c>
      <c r="D33" s="183"/>
      <c r="E33" s="180"/>
      <c r="F33" s="180"/>
      <c r="G33" s="185"/>
      <c r="H33" s="576"/>
      <c r="I33" s="186"/>
      <c r="J33" s="186"/>
      <c r="K33" s="187"/>
      <c r="L33" s="577"/>
      <c r="M33" s="186"/>
      <c r="N33" s="575"/>
      <c r="O33" s="575"/>
      <c r="P33" s="188"/>
      <c r="Q33" s="188"/>
      <c r="R33" s="185"/>
      <c r="S33" s="182"/>
      <c r="T33" s="576"/>
      <c r="U33" s="188"/>
      <c r="V33" s="188"/>
      <c r="W33" s="185"/>
      <c r="X33" s="182"/>
      <c r="Y33" s="576"/>
      <c r="Z33" s="188"/>
      <c r="AA33" s="188"/>
      <c r="AB33" s="185"/>
      <c r="AC33" s="182"/>
      <c r="AD33" s="576"/>
      <c r="AE33" s="188"/>
      <c r="AF33" s="188"/>
      <c r="AG33" s="185"/>
      <c r="AH33" s="182"/>
      <c r="AI33" s="576"/>
      <c r="AJ33" s="188"/>
      <c r="AK33" s="188"/>
      <c r="AL33" s="185"/>
      <c r="AM33" s="182"/>
      <c r="AN33" s="576"/>
      <c r="AO33" s="188"/>
      <c r="AP33" s="188"/>
      <c r="AQ33" s="185"/>
      <c r="AR33" s="182"/>
      <c r="AS33" s="576"/>
      <c r="AT33" s="188"/>
      <c r="AU33" s="188"/>
      <c r="AV33" s="185"/>
      <c r="AW33" s="182"/>
      <c r="AX33" s="576"/>
    </row>
    <row r="34" spans="2:50" ht="14.25" customHeight="1">
      <c r="B34" s="575"/>
      <c r="C34" s="180">
        <v>8</v>
      </c>
      <c r="D34" s="183"/>
      <c r="E34" s="180"/>
      <c r="F34" s="180"/>
      <c r="G34" s="185"/>
      <c r="H34" s="576"/>
      <c r="I34" s="186"/>
      <c r="J34" s="186"/>
      <c r="K34" s="187"/>
      <c r="L34" s="577"/>
      <c r="M34" s="186"/>
      <c r="N34" s="575"/>
      <c r="O34" s="575"/>
      <c r="P34" s="188"/>
      <c r="Q34" s="188"/>
      <c r="R34" s="185"/>
      <c r="S34" s="182"/>
      <c r="T34" s="576"/>
      <c r="U34" s="188"/>
      <c r="V34" s="188"/>
      <c r="W34" s="185"/>
      <c r="X34" s="182"/>
      <c r="Y34" s="576"/>
      <c r="Z34" s="188"/>
      <c r="AA34" s="188"/>
      <c r="AB34" s="185"/>
      <c r="AC34" s="182"/>
      <c r="AD34" s="576"/>
      <c r="AE34" s="188"/>
      <c r="AF34" s="188"/>
      <c r="AG34" s="185"/>
      <c r="AH34" s="182"/>
      <c r="AI34" s="576"/>
      <c r="AJ34" s="188"/>
      <c r="AK34" s="188"/>
      <c r="AL34" s="185"/>
      <c r="AM34" s="182"/>
      <c r="AN34" s="576"/>
      <c r="AO34" s="188"/>
      <c r="AP34" s="188"/>
      <c r="AQ34" s="185"/>
      <c r="AR34" s="182"/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589" t="s">
        <v>715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09" t="s">
        <v>374</v>
      </c>
      <c r="O42" s="609" t="s">
        <v>105</v>
      </c>
      <c r="P42" s="655">
        <v>46126</v>
      </c>
      <c r="Q42" s="656"/>
      <c r="R42" s="656"/>
      <c r="S42" s="656"/>
      <c r="T42" s="656"/>
      <c r="U42" s="657">
        <f>P42+1</f>
        <v>46127</v>
      </c>
      <c r="V42" s="658"/>
      <c r="W42" s="658"/>
      <c r="X42" s="658"/>
      <c r="Y42" s="658"/>
      <c r="Z42" s="655">
        <f t="shared" ref="Z42" si="20">U42+1</f>
        <v>46128</v>
      </c>
      <c r="AA42" s="656"/>
      <c r="AB42" s="656"/>
      <c r="AC42" s="656"/>
      <c r="AD42" s="656"/>
      <c r="AE42" s="657">
        <f t="shared" ref="AE42" si="21">Z42+1</f>
        <v>46129</v>
      </c>
      <c r="AF42" s="658"/>
      <c r="AG42" s="658"/>
      <c r="AH42" s="658"/>
      <c r="AI42" s="658"/>
      <c r="AJ42" s="647">
        <f t="shared" ref="AJ42" si="22">AE42+1</f>
        <v>46130</v>
      </c>
      <c r="AK42" s="648"/>
      <c r="AL42" s="648"/>
      <c r="AM42" s="648"/>
      <c r="AN42" s="649"/>
      <c r="AO42" s="657">
        <f t="shared" ref="AO42" si="23">AJ42+1</f>
        <v>46131</v>
      </c>
      <c r="AP42" s="658"/>
      <c r="AQ42" s="658"/>
      <c r="AR42" s="658"/>
      <c r="AS42" s="658"/>
      <c r="AT42" s="647">
        <f t="shared" ref="AT42" si="24">AO42+1</f>
        <v>46132</v>
      </c>
      <c r="AU42" s="648"/>
      <c r="AV42" s="648"/>
      <c r="AW42" s="648"/>
      <c r="AX42" s="649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1"/>
      <c r="O43" s="611"/>
      <c r="P43" s="650">
        <f>P42</f>
        <v>46126</v>
      </c>
      <c r="Q43" s="650"/>
      <c r="R43" s="650"/>
      <c r="S43" s="650"/>
      <c r="T43" s="650"/>
      <c r="U43" s="651">
        <f>U42</f>
        <v>46127</v>
      </c>
      <c r="V43" s="651"/>
      <c r="W43" s="651"/>
      <c r="X43" s="651"/>
      <c r="Y43" s="651"/>
      <c r="Z43" s="650">
        <f t="shared" ref="Z43" si="25">Z42</f>
        <v>46128</v>
      </c>
      <c r="AA43" s="650"/>
      <c r="AB43" s="650"/>
      <c r="AC43" s="650"/>
      <c r="AD43" s="650"/>
      <c r="AE43" s="651">
        <f t="shared" ref="AE43" si="26">AE42</f>
        <v>46129</v>
      </c>
      <c r="AF43" s="651"/>
      <c r="AG43" s="651"/>
      <c r="AH43" s="651"/>
      <c r="AI43" s="651"/>
      <c r="AJ43" s="652">
        <f t="shared" ref="AJ43" si="27">AJ42</f>
        <v>46130</v>
      </c>
      <c r="AK43" s="653"/>
      <c r="AL43" s="653"/>
      <c r="AM43" s="653"/>
      <c r="AN43" s="654"/>
      <c r="AO43" s="651">
        <f t="shared" ref="AO43" si="28">AO42</f>
        <v>46131</v>
      </c>
      <c r="AP43" s="651"/>
      <c r="AQ43" s="651"/>
      <c r="AR43" s="651"/>
      <c r="AS43" s="651"/>
      <c r="AT43" s="652">
        <f t="shared" ref="AT43" si="29">AT42</f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375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376</v>
      </c>
      <c r="F45" s="575"/>
      <c r="G45" s="575"/>
      <c r="H45" s="575"/>
      <c r="I45" s="579" t="s">
        <v>376</v>
      </c>
      <c r="J45" s="579"/>
      <c r="K45" s="579"/>
      <c r="L45" s="579"/>
      <c r="M45" s="579"/>
      <c r="N45" s="575"/>
      <c r="O45" s="575"/>
      <c r="P45" s="575" t="s">
        <v>377</v>
      </c>
      <c r="Q45" s="575"/>
      <c r="R45" s="575"/>
      <c r="S45" s="575"/>
      <c r="T45" s="575"/>
      <c r="U45" s="575" t="s">
        <v>377</v>
      </c>
      <c r="V45" s="575"/>
      <c r="W45" s="575"/>
      <c r="X45" s="575"/>
      <c r="Y45" s="575"/>
      <c r="Z45" s="575" t="s">
        <v>377</v>
      </c>
      <c r="AA45" s="575"/>
      <c r="AB45" s="575"/>
      <c r="AC45" s="575"/>
      <c r="AD45" s="575"/>
      <c r="AE45" s="575" t="s">
        <v>377</v>
      </c>
      <c r="AF45" s="575"/>
      <c r="AG45" s="575"/>
      <c r="AH45" s="575"/>
      <c r="AI45" s="575"/>
      <c r="AJ45" s="575" t="s">
        <v>377</v>
      </c>
      <c r="AK45" s="575"/>
      <c r="AL45" s="575"/>
      <c r="AM45" s="575"/>
      <c r="AN45" s="575"/>
      <c r="AO45" s="575" t="s">
        <v>377</v>
      </c>
      <c r="AP45" s="575"/>
      <c r="AQ45" s="575"/>
      <c r="AR45" s="575"/>
      <c r="AS45" s="575"/>
      <c r="AT45" s="575" t="s">
        <v>377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378</v>
      </c>
      <c r="G46" s="180" t="s">
        <v>161</v>
      </c>
      <c r="H46" s="575"/>
      <c r="I46" s="181" t="s">
        <v>159</v>
      </c>
      <c r="J46" s="181" t="s">
        <v>378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378</v>
      </c>
      <c r="R46" s="180" t="s">
        <v>161</v>
      </c>
      <c r="S46" s="182" t="s">
        <v>165</v>
      </c>
      <c r="T46" s="575"/>
      <c r="U46" s="180" t="s">
        <v>159</v>
      </c>
      <c r="V46" s="180" t="s">
        <v>378</v>
      </c>
      <c r="W46" s="180" t="s">
        <v>161</v>
      </c>
      <c r="X46" s="182" t="s">
        <v>165</v>
      </c>
      <c r="Y46" s="575"/>
      <c r="Z46" s="180" t="s">
        <v>159</v>
      </c>
      <c r="AA46" s="180" t="s">
        <v>378</v>
      </c>
      <c r="AB46" s="180" t="s">
        <v>161</v>
      </c>
      <c r="AC46" s="182" t="s">
        <v>165</v>
      </c>
      <c r="AD46" s="575"/>
      <c r="AE46" s="180" t="s">
        <v>159</v>
      </c>
      <c r="AF46" s="180" t="s">
        <v>378</v>
      </c>
      <c r="AG46" s="180" t="s">
        <v>161</v>
      </c>
      <c r="AH46" s="182" t="s">
        <v>165</v>
      </c>
      <c r="AI46" s="575"/>
      <c r="AJ46" s="180" t="s">
        <v>159</v>
      </c>
      <c r="AK46" s="180" t="s">
        <v>378</v>
      </c>
      <c r="AL46" s="180" t="s">
        <v>161</v>
      </c>
      <c r="AM46" s="182" t="s">
        <v>165</v>
      </c>
      <c r="AN46" s="575"/>
      <c r="AO46" s="180" t="s">
        <v>159</v>
      </c>
      <c r="AP46" s="180" t="s">
        <v>378</v>
      </c>
      <c r="AQ46" s="180" t="s">
        <v>161</v>
      </c>
      <c r="AR46" s="182" t="s">
        <v>165</v>
      </c>
      <c r="AS46" s="575"/>
      <c r="AT46" s="180" t="s">
        <v>159</v>
      </c>
      <c r="AU46" s="180" t="s">
        <v>378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451</v>
      </c>
      <c r="C47" s="180">
        <v>1</v>
      </c>
      <c r="D47" s="183"/>
      <c r="E47" s="180"/>
      <c r="F47" s="180"/>
      <c r="G47" s="185"/>
      <c r="H47" s="576"/>
      <c r="I47" s="186"/>
      <c r="J47" s="186"/>
      <c r="K47" s="187"/>
      <c r="L47" s="577"/>
      <c r="M47" s="186"/>
      <c r="N47" s="575"/>
      <c r="O47" s="575"/>
      <c r="P47" s="188"/>
      <c r="Q47" s="188"/>
      <c r="R47" s="185"/>
      <c r="S47" s="182"/>
      <c r="T47" s="576"/>
      <c r="U47" s="188"/>
      <c r="V47" s="188"/>
      <c r="W47" s="185"/>
      <c r="X47" s="182"/>
      <c r="Y47" s="576"/>
      <c r="Z47" s="188"/>
      <c r="AA47" s="188"/>
      <c r="AB47" s="185"/>
      <c r="AC47" s="182"/>
      <c r="AD47" s="576"/>
      <c r="AE47" s="188"/>
      <c r="AF47" s="188"/>
      <c r="AG47" s="185"/>
      <c r="AH47" s="182"/>
      <c r="AI47" s="576"/>
      <c r="AJ47" s="188"/>
      <c r="AK47" s="188"/>
      <c r="AL47" s="185"/>
      <c r="AM47" s="182"/>
      <c r="AN47" s="576"/>
      <c r="AO47" s="188"/>
      <c r="AP47" s="188"/>
      <c r="AQ47" s="185"/>
      <c r="AR47" s="182"/>
      <c r="AS47" s="576"/>
      <c r="AT47" s="188"/>
      <c r="AU47" s="188"/>
      <c r="AV47" s="185"/>
      <c r="AW47" s="182"/>
      <c r="AX47" s="576"/>
    </row>
    <row r="48" spans="2:50" ht="14.25" customHeight="1">
      <c r="B48" s="575"/>
      <c r="C48" s="180">
        <v>2</v>
      </c>
      <c r="D48" s="183"/>
      <c r="E48" s="180"/>
      <c r="F48" s="180"/>
      <c r="G48" s="185"/>
      <c r="H48" s="576"/>
      <c r="I48" s="186"/>
      <c r="J48" s="186"/>
      <c r="K48" s="187"/>
      <c r="L48" s="577"/>
      <c r="M48" s="186"/>
      <c r="N48" s="575"/>
      <c r="O48" s="575"/>
      <c r="P48" s="188"/>
      <c r="Q48" s="188"/>
      <c r="R48" s="185"/>
      <c r="S48" s="182"/>
      <c r="T48" s="576"/>
      <c r="U48" s="188"/>
      <c r="V48" s="188"/>
      <c r="W48" s="185"/>
      <c r="X48" s="182"/>
      <c r="Y48" s="576"/>
      <c r="Z48" s="188"/>
      <c r="AA48" s="188"/>
      <c r="AB48" s="185"/>
      <c r="AC48" s="182"/>
      <c r="AD48" s="576"/>
      <c r="AE48" s="188"/>
      <c r="AF48" s="188"/>
      <c r="AG48" s="185"/>
      <c r="AH48" s="182"/>
      <c r="AI48" s="576"/>
      <c r="AJ48" s="188"/>
      <c r="AK48" s="188"/>
      <c r="AL48" s="185"/>
      <c r="AM48" s="182"/>
      <c r="AN48" s="576"/>
      <c r="AO48" s="188"/>
      <c r="AP48" s="188"/>
      <c r="AQ48" s="185"/>
      <c r="AR48" s="182"/>
      <c r="AS48" s="576"/>
      <c r="AT48" s="188"/>
      <c r="AU48" s="188"/>
      <c r="AV48" s="185"/>
      <c r="AW48" s="182"/>
      <c r="AX48" s="576"/>
    </row>
    <row r="49" spans="2:50" ht="14.25" customHeight="1">
      <c r="B49" s="575"/>
      <c r="C49" s="180">
        <v>3</v>
      </c>
      <c r="D49" s="183"/>
      <c r="E49" s="180"/>
      <c r="F49" s="180"/>
      <c r="G49" s="185"/>
      <c r="H49" s="576"/>
      <c r="I49" s="186"/>
      <c r="J49" s="186"/>
      <c r="K49" s="187"/>
      <c r="L49" s="577"/>
      <c r="M49" s="186"/>
      <c r="N49" s="575"/>
      <c r="O49" s="575"/>
      <c r="P49" s="188"/>
      <c r="Q49" s="188"/>
      <c r="R49" s="185"/>
      <c r="S49" s="182"/>
      <c r="T49" s="576"/>
      <c r="U49" s="188"/>
      <c r="V49" s="188"/>
      <c r="W49" s="185"/>
      <c r="X49" s="182"/>
      <c r="Y49" s="576"/>
      <c r="Z49" s="188"/>
      <c r="AA49" s="188"/>
      <c r="AB49" s="185"/>
      <c r="AC49" s="182"/>
      <c r="AD49" s="576"/>
      <c r="AE49" s="188"/>
      <c r="AF49" s="188"/>
      <c r="AG49" s="185"/>
      <c r="AH49" s="182"/>
      <c r="AI49" s="576"/>
      <c r="AJ49" s="188"/>
      <c r="AK49" s="188"/>
      <c r="AL49" s="185"/>
      <c r="AM49" s="182"/>
      <c r="AN49" s="576"/>
      <c r="AO49" s="188"/>
      <c r="AP49" s="188"/>
      <c r="AQ49" s="185"/>
      <c r="AR49" s="182"/>
      <c r="AS49" s="576"/>
      <c r="AT49" s="188"/>
      <c r="AU49" s="188"/>
      <c r="AV49" s="185"/>
      <c r="AW49" s="182"/>
      <c r="AX49" s="576"/>
    </row>
    <row r="50" spans="2:50" ht="14.25" customHeight="1">
      <c r="B50" s="575"/>
      <c r="C50" s="180">
        <v>4</v>
      </c>
      <c r="D50" s="183"/>
      <c r="E50" s="180"/>
      <c r="F50" s="180"/>
      <c r="G50" s="185"/>
      <c r="H50" s="576"/>
      <c r="I50" s="186"/>
      <c r="J50" s="186"/>
      <c r="K50" s="187"/>
      <c r="L50" s="577"/>
      <c r="M50" s="186"/>
      <c r="N50" s="575"/>
      <c r="O50" s="575"/>
      <c r="P50" s="188"/>
      <c r="Q50" s="188"/>
      <c r="R50" s="185"/>
      <c r="S50" s="182"/>
      <c r="T50" s="576"/>
      <c r="U50" s="188"/>
      <c r="V50" s="188"/>
      <c r="W50" s="185"/>
      <c r="X50" s="182"/>
      <c r="Y50" s="576"/>
      <c r="Z50" s="188"/>
      <c r="AA50" s="188"/>
      <c r="AB50" s="185"/>
      <c r="AC50" s="182"/>
      <c r="AD50" s="576"/>
      <c r="AE50" s="188"/>
      <c r="AF50" s="188"/>
      <c r="AG50" s="185"/>
      <c r="AH50" s="182"/>
      <c r="AI50" s="576"/>
      <c r="AJ50" s="188"/>
      <c r="AK50" s="188"/>
      <c r="AL50" s="185"/>
      <c r="AM50" s="182"/>
      <c r="AN50" s="576"/>
      <c r="AO50" s="188"/>
      <c r="AP50" s="188"/>
      <c r="AQ50" s="185"/>
      <c r="AR50" s="182"/>
      <c r="AS50" s="576"/>
      <c r="AT50" s="188"/>
      <c r="AU50" s="188"/>
      <c r="AV50" s="185"/>
      <c r="AW50" s="182"/>
      <c r="AX50" s="576"/>
    </row>
    <row r="51" spans="2:50" ht="14.25" customHeight="1">
      <c r="B51" s="575"/>
      <c r="C51" s="180">
        <v>5</v>
      </c>
      <c r="D51" s="183"/>
      <c r="E51" s="180"/>
      <c r="F51" s="180"/>
      <c r="G51" s="185"/>
      <c r="H51" s="576"/>
      <c r="I51" s="186"/>
      <c r="J51" s="186"/>
      <c r="K51" s="187"/>
      <c r="L51" s="577"/>
      <c r="M51" s="186"/>
      <c r="N51" s="575"/>
      <c r="O51" s="575"/>
      <c r="P51" s="188"/>
      <c r="Q51" s="188"/>
      <c r="R51" s="185"/>
      <c r="S51" s="182"/>
      <c r="T51" s="576"/>
      <c r="U51" s="188"/>
      <c r="V51" s="188"/>
      <c r="W51" s="185"/>
      <c r="X51" s="182"/>
      <c r="Y51" s="576"/>
      <c r="Z51" s="188"/>
      <c r="AA51" s="188"/>
      <c r="AB51" s="185"/>
      <c r="AC51" s="182"/>
      <c r="AD51" s="576"/>
      <c r="AE51" s="188"/>
      <c r="AF51" s="188"/>
      <c r="AG51" s="185"/>
      <c r="AH51" s="182"/>
      <c r="AI51" s="576"/>
      <c r="AJ51" s="188"/>
      <c r="AK51" s="188"/>
      <c r="AL51" s="185"/>
      <c r="AM51" s="182"/>
      <c r="AN51" s="576"/>
      <c r="AO51" s="188"/>
      <c r="AP51" s="188"/>
      <c r="AQ51" s="185"/>
      <c r="AR51" s="182"/>
      <c r="AS51" s="576"/>
      <c r="AT51" s="188"/>
      <c r="AU51" s="188"/>
      <c r="AV51" s="185"/>
      <c r="AW51" s="182"/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576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576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576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  <row r="62" spans="2:50" ht="14.25" customHeight="1">
      <c r="B62" s="643" t="s">
        <v>754</v>
      </c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4"/>
      <c r="N62" s="609" t="s">
        <v>374</v>
      </c>
      <c r="O62" s="609" t="s">
        <v>105</v>
      </c>
      <c r="P62" s="655">
        <v>46133</v>
      </c>
      <c r="Q62" s="656"/>
      <c r="R62" s="656"/>
      <c r="S62" s="656"/>
      <c r="T62" s="656"/>
      <c r="U62" s="657">
        <v>46134</v>
      </c>
      <c r="V62" s="658"/>
      <c r="W62" s="658"/>
      <c r="X62" s="658"/>
      <c r="Y62" s="658"/>
      <c r="Z62" s="655">
        <v>46135</v>
      </c>
      <c r="AA62" s="656"/>
      <c r="AB62" s="656"/>
      <c r="AC62" s="656"/>
      <c r="AD62" s="656"/>
      <c r="AE62" s="657">
        <v>46136</v>
      </c>
      <c r="AF62" s="658"/>
      <c r="AG62" s="658"/>
      <c r="AH62" s="658"/>
      <c r="AI62" s="658"/>
      <c r="AJ62" s="647">
        <v>46137</v>
      </c>
      <c r="AK62" s="648"/>
      <c r="AL62" s="648"/>
      <c r="AM62" s="648"/>
      <c r="AN62" s="649"/>
      <c r="AO62" s="657">
        <v>46138</v>
      </c>
      <c r="AP62" s="658"/>
      <c r="AQ62" s="658"/>
      <c r="AR62" s="658"/>
      <c r="AS62" s="658"/>
      <c r="AT62" s="647">
        <v>46139</v>
      </c>
      <c r="AU62" s="648"/>
      <c r="AV62" s="648"/>
      <c r="AW62" s="648"/>
      <c r="AX62" s="649"/>
    </row>
    <row r="63" spans="2:50" ht="14.25" customHeight="1"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6"/>
      <c r="N63" s="611"/>
      <c r="O63" s="611"/>
      <c r="P63" s="650">
        <v>46133</v>
      </c>
      <c r="Q63" s="650"/>
      <c r="R63" s="650"/>
      <c r="S63" s="650"/>
      <c r="T63" s="650"/>
      <c r="U63" s="651">
        <v>46134</v>
      </c>
      <c r="V63" s="651"/>
      <c r="W63" s="651"/>
      <c r="X63" s="651"/>
      <c r="Y63" s="651"/>
      <c r="Z63" s="650">
        <v>46135</v>
      </c>
      <c r="AA63" s="650"/>
      <c r="AB63" s="650"/>
      <c r="AC63" s="650"/>
      <c r="AD63" s="650"/>
      <c r="AE63" s="651">
        <v>46136</v>
      </c>
      <c r="AF63" s="651"/>
      <c r="AG63" s="651"/>
      <c r="AH63" s="651"/>
      <c r="AI63" s="651"/>
      <c r="AJ63" s="652">
        <v>46137</v>
      </c>
      <c r="AK63" s="653"/>
      <c r="AL63" s="653"/>
      <c r="AM63" s="653"/>
      <c r="AN63" s="654"/>
      <c r="AO63" s="651">
        <v>46138</v>
      </c>
      <c r="AP63" s="651"/>
      <c r="AQ63" s="651"/>
      <c r="AR63" s="651"/>
      <c r="AS63" s="651"/>
      <c r="AT63" s="652">
        <v>46139</v>
      </c>
      <c r="AU63" s="653"/>
      <c r="AV63" s="653"/>
      <c r="AW63" s="653"/>
      <c r="AX63" s="654"/>
    </row>
    <row r="64" spans="2:50" ht="14.25" customHeight="1">
      <c r="B64" s="575" t="s">
        <v>162</v>
      </c>
      <c r="C64" s="575" t="s">
        <v>157</v>
      </c>
      <c r="D64" s="575"/>
      <c r="E64" s="575" t="s">
        <v>158</v>
      </c>
      <c r="F64" s="575"/>
      <c r="G64" s="575"/>
      <c r="H64" s="575" t="s">
        <v>163</v>
      </c>
      <c r="I64" s="579" t="s">
        <v>375</v>
      </c>
      <c r="J64" s="579"/>
      <c r="K64" s="579"/>
      <c r="L64" s="579" t="s">
        <v>163</v>
      </c>
      <c r="M64" s="579" t="s">
        <v>165</v>
      </c>
      <c r="N64" s="575"/>
      <c r="O64" s="575" t="s">
        <v>164</v>
      </c>
      <c r="P64" s="575" t="s">
        <v>160</v>
      </c>
      <c r="Q64" s="575"/>
      <c r="R64" s="575"/>
      <c r="S64" s="575"/>
      <c r="T64" s="575" t="s">
        <v>163</v>
      </c>
      <c r="U64" s="575" t="s">
        <v>160</v>
      </c>
      <c r="V64" s="575"/>
      <c r="W64" s="575"/>
      <c r="X64" s="575"/>
      <c r="Y64" s="575" t="s">
        <v>163</v>
      </c>
      <c r="Z64" s="575" t="s">
        <v>160</v>
      </c>
      <c r="AA64" s="575"/>
      <c r="AB64" s="575"/>
      <c r="AC64" s="575"/>
      <c r="AD64" s="575" t="s">
        <v>163</v>
      </c>
      <c r="AE64" s="575" t="s">
        <v>160</v>
      </c>
      <c r="AF64" s="575"/>
      <c r="AG64" s="575"/>
      <c r="AH64" s="575"/>
      <c r="AI64" s="575" t="s">
        <v>163</v>
      </c>
      <c r="AJ64" s="575" t="s">
        <v>160</v>
      </c>
      <c r="AK64" s="575"/>
      <c r="AL64" s="575"/>
      <c r="AM64" s="575"/>
      <c r="AN64" s="575" t="s">
        <v>163</v>
      </c>
      <c r="AO64" s="575" t="s">
        <v>160</v>
      </c>
      <c r="AP64" s="575"/>
      <c r="AQ64" s="575"/>
      <c r="AR64" s="575"/>
      <c r="AS64" s="575" t="s">
        <v>163</v>
      </c>
      <c r="AT64" s="575" t="s">
        <v>160</v>
      </c>
      <c r="AU64" s="575"/>
      <c r="AV64" s="575"/>
      <c r="AW64" s="575"/>
      <c r="AX64" s="575" t="s">
        <v>163</v>
      </c>
    </row>
    <row r="65" spans="2:50" ht="14.25" customHeight="1">
      <c r="B65" s="575"/>
      <c r="C65" s="575"/>
      <c r="D65" s="575"/>
      <c r="E65" s="575" t="s">
        <v>376</v>
      </c>
      <c r="F65" s="575"/>
      <c r="G65" s="575"/>
      <c r="H65" s="575"/>
      <c r="I65" s="579" t="s">
        <v>376</v>
      </c>
      <c r="J65" s="579"/>
      <c r="K65" s="579"/>
      <c r="L65" s="579"/>
      <c r="M65" s="579"/>
      <c r="N65" s="575"/>
      <c r="O65" s="575"/>
      <c r="P65" s="575" t="s">
        <v>377</v>
      </c>
      <c r="Q65" s="575"/>
      <c r="R65" s="575"/>
      <c r="S65" s="575"/>
      <c r="T65" s="575"/>
      <c r="U65" s="575" t="s">
        <v>377</v>
      </c>
      <c r="V65" s="575"/>
      <c r="W65" s="575"/>
      <c r="X65" s="575"/>
      <c r="Y65" s="575"/>
      <c r="Z65" s="575" t="s">
        <v>377</v>
      </c>
      <c r="AA65" s="575"/>
      <c r="AB65" s="575"/>
      <c r="AC65" s="575"/>
      <c r="AD65" s="575"/>
      <c r="AE65" s="575" t="s">
        <v>377</v>
      </c>
      <c r="AF65" s="575"/>
      <c r="AG65" s="575"/>
      <c r="AH65" s="575"/>
      <c r="AI65" s="575"/>
      <c r="AJ65" s="575" t="s">
        <v>377</v>
      </c>
      <c r="AK65" s="575"/>
      <c r="AL65" s="575"/>
      <c r="AM65" s="575"/>
      <c r="AN65" s="575"/>
      <c r="AO65" s="575" t="s">
        <v>377</v>
      </c>
      <c r="AP65" s="575"/>
      <c r="AQ65" s="575"/>
      <c r="AR65" s="575"/>
      <c r="AS65" s="575"/>
      <c r="AT65" s="575" t="s">
        <v>377</v>
      </c>
      <c r="AU65" s="575"/>
      <c r="AV65" s="575"/>
      <c r="AW65" s="575"/>
      <c r="AX65" s="575"/>
    </row>
    <row r="66" spans="2:50" ht="14.25" customHeight="1">
      <c r="B66" s="575"/>
      <c r="C66" s="575"/>
      <c r="D66" s="575"/>
      <c r="E66" s="180" t="s">
        <v>159</v>
      </c>
      <c r="F66" s="180" t="s">
        <v>378</v>
      </c>
      <c r="G66" s="180" t="s">
        <v>161</v>
      </c>
      <c r="H66" s="575"/>
      <c r="I66" s="181" t="s">
        <v>159</v>
      </c>
      <c r="J66" s="181" t="s">
        <v>378</v>
      </c>
      <c r="K66" s="181" t="s">
        <v>161</v>
      </c>
      <c r="L66" s="579"/>
      <c r="M66" s="579"/>
      <c r="N66" s="575"/>
      <c r="O66" s="575"/>
      <c r="P66" s="180" t="s">
        <v>159</v>
      </c>
      <c r="Q66" s="180" t="s">
        <v>378</v>
      </c>
      <c r="R66" s="180" t="s">
        <v>161</v>
      </c>
      <c r="S66" s="182" t="s">
        <v>165</v>
      </c>
      <c r="T66" s="575"/>
      <c r="U66" s="180" t="s">
        <v>159</v>
      </c>
      <c r="V66" s="180" t="s">
        <v>378</v>
      </c>
      <c r="W66" s="180" t="s">
        <v>161</v>
      </c>
      <c r="X66" s="182" t="s">
        <v>165</v>
      </c>
      <c r="Y66" s="575"/>
      <c r="Z66" s="180" t="s">
        <v>159</v>
      </c>
      <c r="AA66" s="180" t="s">
        <v>378</v>
      </c>
      <c r="AB66" s="180" t="s">
        <v>161</v>
      </c>
      <c r="AC66" s="182" t="s">
        <v>165</v>
      </c>
      <c r="AD66" s="575"/>
      <c r="AE66" s="180" t="s">
        <v>159</v>
      </c>
      <c r="AF66" s="180" t="s">
        <v>378</v>
      </c>
      <c r="AG66" s="180" t="s">
        <v>161</v>
      </c>
      <c r="AH66" s="182" t="s">
        <v>165</v>
      </c>
      <c r="AI66" s="575"/>
      <c r="AJ66" s="180" t="s">
        <v>159</v>
      </c>
      <c r="AK66" s="180" t="s">
        <v>378</v>
      </c>
      <c r="AL66" s="180" t="s">
        <v>161</v>
      </c>
      <c r="AM66" s="182" t="s">
        <v>165</v>
      </c>
      <c r="AN66" s="575"/>
      <c r="AO66" s="180" t="s">
        <v>159</v>
      </c>
      <c r="AP66" s="180" t="s">
        <v>378</v>
      </c>
      <c r="AQ66" s="180" t="s">
        <v>161</v>
      </c>
      <c r="AR66" s="182" t="s">
        <v>165</v>
      </c>
      <c r="AS66" s="575"/>
      <c r="AT66" s="180" t="s">
        <v>159</v>
      </c>
      <c r="AU66" s="180" t="s">
        <v>378</v>
      </c>
      <c r="AV66" s="180" t="s">
        <v>161</v>
      </c>
      <c r="AW66" s="182" t="s">
        <v>165</v>
      </c>
      <c r="AX66" s="575"/>
    </row>
    <row r="67" spans="2:50" ht="14.25" customHeight="1">
      <c r="B67" s="575" t="s">
        <v>451</v>
      </c>
      <c r="C67" s="180">
        <v>1</v>
      </c>
      <c r="D67" s="183"/>
      <c r="E67" s="180"/>
      <c r="F67" s="180"/>
      <c r="G67" s="185"/>
      <c r="H67" s="576"/>
      <c r="I67" s="186"/>
      <c r="J67" s="186"/>
      <c r="K67" s="187"/>
      <c r="L67" s="577"/>
      <c r="M67" s="186"/>
      <c r="N67" s="575"/>
      <c r="O67" s="575"/>
      <c r="P67" s="188"/>
      <c r="Q67" s="188"/>
      <c r="R67" s="185"/>
      <c r="S67" s="182"/>
      <c r="T67" s="576"/>
      <c r="U67" s="188"/>
      <c r="V67" s="188"/>
      <c r="W67" s="185"/>
      <c r="X67" s="182"/>
      <c r="Y67" s="576"/>
      <c r="Z67" s="188"/>
      <c r="AA67" s="188"/>
      <c r="AB67" s="185"/>
      <c r="AC67" s="182"/>
      <c r="AD67" s="576"/>
      <c r="AE67" s="188"/>
      <c r="AF67" s="188"/>
      <c r="AG67" s="185"/>
      <c r="AH67" s="182"/>
      <c r="AI67" s="576"/>
      <c r="AJ67" s="188"/>
      <c r="AK67" s="188"/>
      <c r="AL67" s="185"/>
      <c r="AM67" s="182"/>
      <c r="AN67" s="576"/>
      <c r="AO67" s="188"/>
      <c r="AP67" s="188"/>
      <c r="AQ67" s="185"/>
      <c r="AR67" s="182"/>
      <c r="AS67" s="576"/>
      <c r="AT67" s="188"/>
      <c r="AU67" s="188"/>
      <c r="AV67" s="185"/>
      <c r="AW67" s="182"/>
      <c r="AX67" s="576"/>
    </row>
    <row r="68" spans="2:50" ht="14.25" customHeight="1">
      <c r="B68" s="575"/>
      <c r="C68" s="180">
        <v>2</v>
      </c>
      <c r="D68" s="183"/>
      <c r="E68" s="180"/>
      <c r="F68" s="180"/>
      <c r="G68" s="185"/>
      <c r="H68" s="576"/>
      <c r="I68" s="186"/>
      <c r="J68" s="186"/>
      <c r="K68" s="187"/>
      <c r="L68" s="577"/>
      <c r="M68" s="186"/>
      <c r="N68" s="575"/>
      <c r="O68" s="575"/>
      <c r="P68" s="188"/>
      <c r="Q68" s="188"/>
      <c r="R68" s="185"/>
      <c r="S68" s="182"/>
      <c r="T68" s="576"/>
      <c r="U68" s="188"/>
      <c r="V68" s="188"/>
      <c r="W68" s="185"/>
      <c r="X68" s="182"/>
      <c r="Y68" s="576"/>
      <c r="Z68" s="188"/>
      <c r="AA68" s="188"/>
      <c r="AB68" s="185"/>
      <c r="AC68" s="182"/>
      <c r="AD68" s="576"/>
      <c r="AE68" s="188"/>
      <c r="AF68" s="188"/>
      <c r="AG68" s="185"/>
      <c r="AH68" s="182"/>
      <c r="AI68" s="576"/>
      <c r="AJ68" s="188"/>
      <c r="AK68" s="188"/>
      <c r="AL68" s="185"/>
      <c r="AM68" s="182"/>
      <c r="AN68" s="576"/>
      <c r="AO68" s="188"/>
      <c r="AP68" s="188"/>
      <c r="AQ68" s="185"/>
      <c r="AR68" s="182"/>
      <c r="AS68" s="576"/>
      <c r="AT68" s="188"/>
      <c r="AU68" s="188"/>
      <c r="AV68" s="185"/>
      <c r="AW68" s="182"/>
      <c r="AX68" s="576"/>
    </row>
    <row r="69" spans="2:50" ht="14.25" customHeight="1">
      <c r="B69" s="575"/>
      <c r="C69" s="180">
        <v>3</v>
      </c>
      <c r="D69" s="183"/>
      <c r="E69" s="180"/>
      <c r="F69" s="180"/>
      <c r="G69" s="185"/>
      <c r="H69" s="576"/>
      <c r="I69" s="186"/>
      <c r="J69" s="186"/>
      <c r="K69" s="187"/>
      <c r="L69" s="577"/>
      <c r="M69" s="186"/>
      <c r="N69" s="575"/>
      <c r="O69" s="575"/>
      <c r="P69" s="188"/>
      <c r="Q69" s="188"/>
      <c r="R69" s="185"/>
      <c r="S69" s="182"/>
      <c r="T69" s="576"/>
      <c r="U69" s="188"/>
      <c r="V69" s="188"/>
      <c r="W69" s="185"/>
      <c r="X69" s="182"/>
      <c r="Y69" s="576"/>
      <c r="Z69" s="188"/>
      <c r="AA69" s="188"/>
      <c r="AB69" s="185"/>
      <c r="AC69" s="182"/>
      <c r="AD69" s="576"/>
      <c r="AE69" s="188"/>
      <c r="AF69" s="188"/>
      <c r="AG69" s="185"/>
      <c r="AH69" s="182"/>
      <c r="AI69" s="576"/>
      <c r="AJ69" s="188"/>
      <c r="AK69" s="188"/>
      <c r="AL69" s="185"/>
      <c r="AM69" s="182"/>
      <c r="AN69" s="576"/>
      <c r="AO69" s="188"/>
      <c r="AP69" s="188"/>
      <c r="AQ69" s="185"/>
      <c r="AR69" s="182"/>
      <c r="AS69" s="576"/>
      <c r="AT69" s="188"/>
      <c r="AU69" s="188"/>
      <c r="AV69" s="185"/>
      <c r="AW69" s="182"/>
      <c r="AX69" s="576"/>
    </row>
    <row r="70" spans="2:50" ht="14.25" customHeight="1">
      <c r="B70" s="575"/>
      <c r="C70" s="180">
        <v>4</v>
      </c>
      <c r="D70" s="183"/>
      <c r="E70" s="180"/>
      <c r="F70" s="180"/>
      <c r="G70" s="185"/>
      <c r="H70" s="576"/>
      <c r="I70" s="186"/>
      <c r="J70" s="186"/>
      <c r="K70" s="187"/>
      <c r="L70" s="577"/>
      <c r="M70" s="186"/>
      <c r="N70" s="575"/>
      <c r="O70" s="575"/>
      <c r="P70" s="188"/>
      <c r="Q70" s="188"/>
      <c r="R70" s="185"/>
      <c r="S70" s="182"/>
      <c r="T70" s="576"/>
      <c r="U70" s="188"/>
      <c r="V70" s="188"/>
      <c r="W70" s="185"/>
      <c r="X70" s="182"/>
      <c r="Y70" s="576"/>
      <c r="Z70" s="188"/>
      <c r="AA70" s="188"/>
      <c r="AB70" s="185"/>
      <c r="AC70" s="182"/>
      <c r="AD70" s="576"/>
      <c r="AE70" s="188"/>
      <c r="AF70" s="188"/>
      <c r="AG70" s="185"/>
      <c r="AH70" s="182"/>
      <c r="AI70" s="576"/>
      <c r="AJ70" s="188"/>
      <c r="AK70" s="188"/>
      <c r="AL70" s="185"/>
      <c r="AM70" s="182"/>
      <c r="AN70" s="576"/>
      <c r="AO70" s="188"/>
      <c r="AP70" s="188"/>
      <c r="AQ70" s="185"/>
      <c r="AR70" s="182"/>
      <c r="AS70" s="576"/>
      <c r="AT70" s="188"/>
      <c r="AU70" s="188"/>
      <c r="AV70" s="185"/>
      <c r="AW70" s="182"/>
      <c r="AX70" s="576"/>
    </row>
    <row r="71" spans="2:50" ht="14.25" customHeight="1">
      <c r="B71" s="575"/>
      <c r="C71" s="180">
        <v>5</v>
      </c>
      <c r="D71" s="183"/>
      <c r="E71" s="180"/>
      <c r="F71" s="180"/>
      <c r="G71" s="185"/>
      <c r="H71" s="576"/>
      <c r="I71" s="186"/>
      <c r="J71" s="186"/>
      <c r="K71" s="187"/>
      <c r="L71" s="577"/>
      <c r="M71" s="186"/>
      <c r="N71" s="575"/>
      <c r="O71" s="575"/>
      <c r="P71" s="188"/>
      <c r="Q71" s="188"/>
      <c r="R71" s="185"/>
      <c r="S71" s="182"/>
      <c r="T71" s="576"/>
      <c r="U71" s="188"/>
      <c r="V71" s="188"/>
      <c r="W71" s="185"/>
      <c r="X71" s="182"/>
      <c r="Y71" s="576"/>
      <c r="Z71" s="188"/>
      <c r="AA71" s="188"/>
      <c r="AB71" s="185"/>
      <c r="AC71" s="182"/>
      <c r="AD71" s="576"/>
      <c r="AE71" s="188"/>
      <c r="AF71" s="188"/>
      <c r="AG71" s="185"/>
      <c r="AH71" s="182"/>
      <c r="AI71" s="576"/>
      <c r="AJ71" s="188"/>
      <c r="AK71" s="188"/>
      <c r="AL71" s="185"/>
      <c r="AM71" s="182"/>
      <c r="AN71" s="576"/>
      <c r="AO71" s="188"/>
      <c r="AP71" s="188"/>
      <c r="AQ71" s="185"/>
      <c r="AR71" s="182"/>
      <c r="AS71" s="576"/>
      <c r="AT71" s="188"/>
      <c r="AU71" s="188"/>
      <c r="AV71" s="185"/>
      <c r="AW71" s="182"/>
      <c r="AX71" s="576"/>
    </row>
    <row r="72" spans="2:50" ht="14.25" customHeight="1">
      <c r="B72" s="575"/>
      <c r="C72" s="180">
        <v>6</v>
      </c>
      <c r="D72" s="183"/>
      <c r="E72" s="180"/>
      <c r="F72" s="180"/>
      <c r="G72" s="185"/>
      <c r="H72" s="576"/>
      <c r="I72" s="186"/>
      <c r="J72" s="186"/>
      <c r="K72" s="187"/>
      <c r="L72" s="577"/>
      <c r="M72" s="186"/>
      <c r="N72" s="575"/>
      <c r="O72" s="575"/>
      <c r="P72" s="188"/>
      <c r="Q72" s="188"/>
      <c r="R72" s="185"/>
      <c r="S72" s="182"/>
      <c r="T72" s="576"/>
      <c r="U72" s="188"/>
      <c r="V72" s="188"/>
      <c r="W72" s="185"/>
      <c r="X72" s="182"/>
      <c r="Y72" s="576"/>
      <c r="Z72" s="188"/>
      <c r="AA72" s="188"/>
      <c r="AB72" s="185"/>
      <c r="AC72" s="182"/>
      <c r="AD72" s="576"/>
      <c r="AE72" s="188"/>
      <c r="AF72" s="188"/>
      <c r="AG72" s="185"/>
      <c r="AH72" s="182"/>
      <c r="AI72" s="576"/>
      <c r="AJ72" s="188"/>
      <c r="AK72" s="188"/>
      <c r="AL72" s="185"/>
      <c r="AM72" s="182"/>
      <c r="AN72" s="576"/>
      <c r="AO72" s="188"/>
      <c r="AP72" s="188"/>
      <c r="AQ72" s="185"/>
      <c r="AR72" s="182"/>
      <c r="AS72" s="576"/>
      <c r="AT72" s="188"/>
      <c r="AU72" s="188"/>
      <c r="AV72" s="185"/>
      <c r="AW72" s="182"/>
      <c r="AX72" s="576"/>
    </row>
    <row r="73" spans="2:50" ht="14.25" customHeight="1">
      <c r="B73" s="575"/>
      <c r="C73" s="180">
        <v>7</v>
      </c>
      <c r="D73" s="183"/>
      <c r="E73" s="180"/>
      <c r="F73" s="180"/>
      <c r="G73" s="185"/>
      <c r="H73" s="576"/>
      <c r="I73" s="186"/>
      <c r="J73" s="186"/>
      <c r="K73" s="187"/>
      <c r="L73" s="577"/>
      <c r="M73" s="186"/>
      <c r="N73" s="575"/>
      <c r="O73" s="575"/>
      <c r="P73" s="188"/>
      <c r="Q73" s="188"/>
      <c r="R73" s="185"/>
      <c r="S73" s="182"/>
      <c r="T73" s="576"/>
      <c r="U73" s="188"/>
      <c r="V73" s="188"/>
      <c r="W73" s="185"/>
      <c r="X73" s="182"/>
      <c r="Y73" s="576"/>
      <c r="Z73" s="188"/>
      <c r="AA73" s="188"/>
      <c r="AB73" s="185"/>
      <c r="AC73" s="182"/>
      <c r="AD73" s="576"/>
      <c r="AE73" s="188"/>
      <c r="AF73" s="188"/>
      <c r="AG73" s="185"/>
      <c r="AH73" s="182"/>
      <c r="AI73" s="576"/>
      <c r="AJ73" s="188"/>
      <c r="AK73" s="188"/>
      <c r="AL73" s="185"/>
      <c r="AM73" s="182"/>
      <c r="AN73" s="576"/>
      <c r="AO73" s="188"/>
      <c r="AP73" s="188"/>
      <c r="AQ73" s="185"/>
      <c r="AR73" s="182"/>
      <c r="AS73" s="576"/>
      <c r="AT73" s="188"/>
      <c r="AU73" s="188"/>
      <c r="AV73" s="185"/>
      <c r="AW73" s="182"/>
      <c r="AX73" s="576"/>
    </row>
    <row r="74" spans="2:50" ht="14.25" customHeight="1">
      <c r="B74" s="575"/>
      <c r="C74" s="180">
        <v>8</v>
      </c>
      <c r="D74" s="183"/>
      <c r="E74" s="180"/>
      <c r="F74" s="180"/>
      <c r="G74" s="185"/>
      <c r="H74" s="576"/>
      <c r="I74" s="186"/>
      <c r="J74" s="186"/>
      <c r="K74" s="187"/>
      <c r="L74" s="577"/>
      <c r="M74" s="186"/>
      <c r="N74" s="575"/>
      <c r="O74" s="575"/>
      <c r="P74" s="188"/>
      <c r="Q74" s="188"/>
      <c r="R74" s="185"/>
      <c r="S74" s="182"/>
      <c r="T74" s="576"/>
      <c r="U74" s="188"/>
      <c r="V74" s="188"/>
      <c r="W74" s="185"/>
      <c r="X74" s="182"/>
      <c r="Y74" s="576"/>
      <c r="Z74" s="188"/>
      <c r="AA74" s="188"/>
      <c r="AB74" s="185"/>
      <c r="AC74" s="182"/>
      <c r="AD74" s="576"/>
      <c r="AE74" s="188"/>
      <c r="AF74" s="188"/>
      <c r="AG74" s="185"/>
      <c r="AH74" s="182"/>
      <c r="AI74" s="576"/>
      <c r="AJ74" s="188"/>
      <c r="AK74" s="188"/>
      <c r="AL74" s="185"/>
      <c r="AM74" s="182"/>
      <c r="AN74" s="576"/>
      <c r="AO74" s="188"/>
      <c r="AP74" s="188"/>
      <c r="AQ74" s="185"/>
      <c r="AR74" s="182"/>
      <c r="AS74" s="576"/>
      <c r="AT74" s="188"/>
      <c r="AU74" s="188"/>
      <c r="AV74" s="185"/>
      <c r="AW74" s="182"/>
      <c r="AX74" s="576"/>
    </row>
    <row r="75" spans="2:50" ht="14.25" customHeight="1">
      <c r="B75" s="575"/>
      <c r="C75" s="180">
        <v>9</v>
      </c>
      <c r="D75" s="183"/>
      <c r="E75" s="180"/>
      <c r="F75" s="180"/>
      <c r="G75" s="185"/>
      <c r="H75" s="576"/>
      <c r="I75" s="186"/>
      <c r="J75" s="186"/>
      <c r="K75" s="187"/>
      <c r="L75" s="577"/>
      <c r="M75" s="186"/>
      <c r="N75" s="575"/>
      <c r="O75" s="575"/>
      <c r="P75" s="188"/>
      <c r="Q75" s="188"/>
      <c r="R75" s="185"/>
      <c r="S75" s="182"/>
      <c r="T75" s="576"/>
      <c r="U75" s="188"/>
      <c r="V75" s="188"/>
      <c r="W75" s="185"/>
      <c r="X75" s="182"/>
      <c r="Y75" s="576"/>
      <c r="Z75" s="188"/>
      <c r="AA75" s="188"/>
      <c r="AB75" s="185"/>
      <c r="AC75" s="182"/>
      <c r="AD75" s="576"/>
      <c r="AE75" s="188"/>
      <c r="AF75" s="188"/>
      <c r="AG75" s="185"/>
      <c r="AH75" s="182"/>
      <c r="AI75" s="576"/>
      <c r="AJ75" s="188"/>
      <c r="AK75" s="188"/>
      <c r="AL75" s="185"/>
      <c r="AM75" s="182"/>
      <c r="AN75" s="576"/>
      <c r="AO75" s="188"/>
      <c r="AP75" s="188"/>
      <c r="AQ75" s="185"/>
      <c r="AR75" s="182"/>
      <c r="AS75" s="576"/>
      <c r="AT75" s="188"/>
      <c r="AU75" s="188"/>
      <c r="AV75" s="185"/>
      <c r="AW75" s="182"/>
      <c r="AX75" s="576"/>
    </row>
    <row r="76" spans="2:50" ht="14.25" customHeight="1">
      <c r="B76" s="575"/>
      <c r="C76" s="180">
        <v>10</v>
      </c>
      <c r="D76" s="183"/>
      <c r="E76" s="180"/>
      <c r="F76" s="180"/>
      <c r="G76" s="185"/>
      <c r="H76" s="576"/>
      <c r="I76" s="186"/>
      <c r="J76" s="186"/>
      <c r="K76" s="187"/>
      <c r="L76" s="577"/>
      <c r="M76" s="186"/>
      <c r="N76" s="575"/>
      <c r="O76" s="575"/>
      <c r="P76" s="188"/>
      <c r="Q76" s="188"/>
      <c r="R76" s="185"/>
      <c r="S76" s="182"/>
      <c r="T76" s="576"/>
      <c r="U76" s="188"/>
      <c r="V76" s="188"/>
      <c r="W76" s="185"/>
      <c r="X76" s="182"/>
      <c r="Y76" s="576"/>
      <c r="Z76" s="188"/>
      <c r="AA76" s="188"/>
      <c r="AB76" s="185"/>
      <c r="AC76" s="182"/>
      <c r="AD76" s="576"/>
      <c r="AE76" s="188"/>
      <c r="AF76" s="188"/>
      <c r="AG76" s="185"/>
      <c r="AH76" s="182"/>
      <c r="AI76" s="576"/>
      <c r="AJ76" s="188"/>
      <c r="AK76" s="188"/>
      <c r="AL76" s="185"/>
      <c r="AM76" s="182"/>
      <c r="AN76" s="576"/>
      <c r="AO76" s="188"/>
      <c r="AP76" s="188"/>
      <c r="AQ76" s="185"/>
      <c r="AR76" s="182"/>
      <c r="AS76" s="576"/>
      <c r="AT76" s="188"/>
      <c r="AU76" s="188"/>
      <c r="AV76" s="185"/>
      <c r="AW76" s="182"/>
      <c r="AX76" s="576"/>
    </row>
    <row r="77" spans="2:50" ht="14.25" customHeight="1">
      <c r="B77" s="575"/>
      <c r="C77" s="180">
        <v>11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75"/>
      <c r="O77" s="575"/>
      <c r="P77" s="188"/>
      <c r="Q77" s="188"/>
      <c r="R77" s="185"/>
      <c r="S77" s="182"/>
      <c r="T77" s="576"/>
      <c r="U77" s="188"/>
      <c r="V77" s="188"/>
      <c r="W77" s="185"/>
      <c r="X77" s="182"/>
      <c r="Y77" s="576"/>
      <c r="Z77" s="188"/>
      <c r="AA77" s="188"/>
      <c r="AB77" s="185"/>
      <c r="AC77" s="182"/>
      <c r="AD77" s="576"/>
      <c r="AE77" s="188"/>
      <c r="AF77" s="188"/>
      <c r="AG77" s="185"/>
      <c r="AH77" s="182"/>
      <c r="AI77" s="576"/>
      <c r="AJ77" s="188"/>
      <c r="AK77" s="188"/>
      <c r="AL77" s="185"/>
      <c r="AM77" s="182"/>
      <c r="AN77" s="576"/>
      <c r="AO77" s="188"/>
      <c r="AP77" s="188"/>
      <c r="AQ77" s="185"/>
      <c r="AR77" s="182"/>
      <c r="AS77" s="576"/>
      <c r="AT77" s="188"/>
      <c r="AU77" s="188"/>
      <c r="AV77" s="185"/>
      <c r="AW77" s="182"/>
      <c r="AX77" s="576"/>
    </row>
    <row r="78" spans="2:50" ht="14.25" customHeight="1">
      <c r="B78" s="575"/>
      <c r="C78" s="180">
        <v>12</v>
      </c>
      <c r="D78" s="183"/>
      <c r="E78" s="180"/>
      <c r="F78" s="180"/>
      <c r="G78" s="185"/>
      <c r="H78" s="576"/>
      <c r="I78" s="186"/>
      <c r="J78" s="186"/>
      <c r="K78" s="187"/>
      <c r="L78" s="577"/>
      <c r="M78" s="186"/>
      <c r="N78" s="575"/>
      <c r="O78" s="575"/>
      <c r="P78" s="188"/>
      <c r="Q78" s="188"/>
      <c r="R78" s="185"/>
      <c r="S78" s="182"/>
      <c r="T78" s="576"/>
      <c r="U78" s="188"/>
      <c r="V78" s="188"/>
      <c r="W78" s="185"/>
      <c r="X78" s="182"/>
      <c r="Y78" s="576"/>
      <c r="Z78" s="188"/>
      <c r="AA78" s="188"/>
      <c r="AB78" s="185"/>
      <c r="AC78" s="182"/>
      <c r="AD78" s="576"/>
      <c r="AE78" s="188"/>
      <c r="AF78" s="188"/>
      <c r="AG78" s="185"/>
      <c r="AH78" s="182"/>
      <c r="AI78" s="576"/>
      <c r="AJ78" s="188"/>
      <c r="AK78" s="188"/>
      <c r="AL78" s="185"/>
      <c r="AM78" s="182"/>
      <c r="AN78" s="576"/>
      <c r="AO78" s="188"/>
      <c r="AP78" s="188"/>
      <c r="AQ78" s="185"/>
      <c r="AR78" s="182"/>
      <c r="AS78" s="576"/>
      <c r="AT78" s="188"/>
      <c r="AU78" s="188"/>
      <c r="AV78" s="185"/>
      <c r="AW78" s="182"/>
      <c r="AX78" s="576"/>
    </row>
    <row r="79" spans="2:50" ht="14.25" customHeight="1">
      <c r="B79" s="575"/>
      <c r="C79" s="180">
        <v>13</v>
      </c>
      <c r="D79" s="183"/>
      <c r="E79" s="180"/>
      <c r="F79" s="180"/>
      <c r="G79" s="185"/>
      <c r="H79" s="576"/>
      <c r="I79" s="186"/>
      <c r="J79" s="186"/>
      <c r="K79" s="187"/>
      <c r="L79" s="577"/>
      <c r="M79" s="186"/>
      <c r="N79" s="575"/>
      <c r="O79" s="575"/>
      <c r="P79" s="188"/>
      <c r="Q79" s="188"/>
      <c r="R79" s="185"/>
      <c r="S79" s="182"/>
      <c r="T79" s="576"/>
      <c r="U79" s="188"/>
      <c r="V79" s="188"/>
      <c r="W79" s="185"/>
      <c r="X79" s="182"/>
      <c r="Y79" s="576"/>
      <c r="Z79" s="188"/>
      <c r="AA79" s="188"/>
      <c r="AB79" s="185"/>
      <c r="AC79" s="182"/>
      <c r="AD79" s="576"/>
      <c r="AE79" s="188"/>
      <c r="AF79" s="188"/>
      <c r="AG79" s="185"/>
      <c r="AH79" s="182"/>
      <c r="AI79" s="576"/>
      <c r="AJ79" s="188"/>
      <c r="AK79" s="188"/>
      <c r="AL79" s="185"/>
      <c r="AM79" s="182"/>
      <c r="AN79" s="576"/>
      <c r="AO79" s="188"/>
      <c r="AP79" s="188"/>
      <c r="AQ79" s="185"/>
      <c r="AR79" s="182"/>
      <c r="AS79" s="576"/>
      <c r="AT79" s="188"/>
      <c r="AU79" s="188"/>
      <c r="AV79" s="185"/>
      <c r="AW79" s="182"/>
      <c r="AX79" s="576"/>
    </row>
    <row r="80" spans="2:50" ht="14.25" customHeight="1">
      <c r="B80" s="575"/>
      <c r="C80" s="180">
        <v>14</v>
      </c>
      <c r="D80" s="183"/>
      <c r="E80" s="180"/>
      <c r="F80" s="180"/>
      <c r="G80" s="185"/>
      <c r="H80" s="576"/>
      <c r="I80" s="186"/>
      <c r="J80" s="186"/>
      <c r="K80" s="187"/>
      <c r="L80" s="577"/>
      <c r="M80" s="186"/>
      <c r="N80" s="575"/>
      <c r="O80" s="575"/>
      <c r="P80" s="188"/>
      <c r="Q80" s="188"/>
      <c r="R80" s="185"/>
      <c r="S80" s="182"/>
      <c r="T80" s="576"/>
      <c r="U80" s="188"/>
      <c r="V80" s="188"/>
      <c r="W80" s="185"/>
      <c r="X80" s="182"/>
      <c r="Y80" s="576"/>
      <c r="Z80" s="188"/>
      <c r="AA80" s="188"/>
      <c r="AB80" s="185"/>
      <c r="AC80" s="182"/>
      <c r="AD80" s="576"/>
      <c r="AE80" s="188"/>
      <c r="AF80" s="188"/>
      <c r="AG80" s="185"/>
      <c r="AH80" s="182"/>
      <c r="AI80" s="576"/>
      <c r="AJ80" s="188"/>
      <c r="AK80" s="188"/>
      <c r="AL80" s="185"/>
      <c r="AM80" s="182"/>
      <c r="AN80" s="576"/>
      <c r="AO80" s="188"/>
      <c r="AP80" s="188"/>
      <c r="AQ80" s="185"/>
      <c r="AR80" s="182"/>
      <c r="AS80" s="576"/>
      <c r="AT80" s="188"/>
      <c r="AU80" s="188"/>
      <c r="AV80" s="185"/>
      <c r="AW80" s="182"/>
      <c r="AX80" s="576"/>
    </row>
    <row r="81" spans="2:50" ht="14.25" customHeight="1">
      <c r="B81" s="575"/>
      <c r="C81" s="180">
        <v>15</v>
      </c>
      <c r="D81" s="183"/>
      <c r="E81" s="180"/>
      <c r="F81" s="180"/>
      <c r="G81" s="185"/>
      <c r="H81" s="576"/>
      <c r="I81" s="186"/>
      <c r="J81" s="186"/>
      <c r="K81" s="187"/>
      <c r="L81" s="577"/>
      <c r="M81" s="186"/>
      <c r="N81" s="575"/>
      <c r="O81" s="575"/>
      <c r="P81" s="188"/>
      <c r="Q81" s="188"/>
      <c r="R81" s="185"/>
      <c r="S81" s="182"/>
      <c r="T81" s="576"/>
      <c r="U81" s="188"/>
      <c r="V81" s="188"/>
      <c r="W81" s="185"/>
      <c r="X81" s="182"/>
      <c r="Y81" s="576"/>
      <c r="Z81" s="188"/>
      <c r="AA81" s="188"/>
      <c r="AB81" s="185"/>
      <c r="AC81" s="182"/>
      <c r="AD81" s="576"/>
      <c r="AE81" s="188"/>
      <c r="AF81" s="188"/>
      <c r="AG81" s="185"/>
      <c r="AH81" s="182"/>
      <c r="AI81" s="576"/>
      <c r="AJ81" s="188"/>
      <c r="AK81" s="188"/>
      <c r="AL81" s="185"/>
      <c r="AM81" s="182"/>
      <c r="AN81" s="576"/>
      <c r="AO81" s="188"/>
      <c r="AP81" s="188"/>
      <c r="AQ81" s="185"/>
      <c r="AR81" s="182"/>
      <c r="AS81" s="576"/>
      <c r="AT81" s="188"/>
      <c r="AU81" s="188"/>
      <c r="AV81" s="185"/>
      <c r="AW81" s="182"/>
      <c r="AX81" s="576"/>
    </row>
    <row r="82" spans="2:50" ht="14.25" customHeight="1">
      <c r="B82" s="643" t="s">
        <v>784</v>
      </c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4"/>
      <c r="N82" s="609" t="s">
        <v>374</v>
      </c>
      <c r="O82" s="609" t="s">
        <v>105</v>
      </c>
      <c r="P82" s="655">
        <f>'[2]（５-1）品群別人時生產性(18℃-飯糰)'!P82:T82</f>
        <v>0</v>
      </c>
      <c r="Q82" s="656"/>
      <c r="R82" s="656"/>
      <c r="S82" s="656"/>
      <c r="T82" s="656"/>
      <c r="U82" s="657">
        <f>P82+1</f>
        <v>1</v>
      </c>
      <c r="V82" s="658"/>
      <c r="W82" s="658"/>
      <c r="X82" s="658"/>
      <c r="Y82" s="658"/>
      <c r="Z82" s="655">
        <f t="shared" ref="Z82" si="30">U82+1</f>
        <v>2</v>
      </c>
      <c r="AA82" s="656"/>
      <c r="AB82" s="656"/>
      <c r="AC82" s="656"/>
      <c r="AD82" s="656"/>
      <c r="AE82" s="657">
        <f t="shared" ref="AE82" si="31">Z82+1</f>
        <v>3</v>
      </c>
      <c r="AF82" s="658"/>
      <c r="AG82" s="658"/>
      <c r="AH82" s="658"/>
      <c r="AI82" s="658"/>
      <c r="AJ82" s="647">
        <f t="shared" ref="AJ82" si="32">AE82+1</f>
        <v>4</v>
      </c>
      <c r="AK82" s="648"/>
      <c r="AL82" s="648"/>
      <c r="AM82" s="648"/>
      <c r="AN82" s="649"/>
      <c r="AO82" s="657">
        <f t="shared" ref="AO82" si="33">AJ82+1</f>
        <v>5</v>
      </c>
      <c r="AP82" s="658"/>
      <c r="AQ82" s="658"/>
      <c r="AR82" s="658"/>
      <c r="AS82" s="658"/>
      <c r="AT82" s="647">
        <f t="shared" ref="AT82" si="34">AO82+1</f>
        <v>6</v>
      </c>
      <c r="AU82" s="648"/>
      <c r="AV82" s="648"/>
      <c r="AW82" s="648"/>
      <c r="AX82" s="649"/>
    </row>
    <row r="83" spans="2:50" ht="14.25" customHeight="1">
      <c r="B83" s="645"/>
      <c r="C83" s="645"/>
      <c r="D83" s="645"/>
      <c r="E83" s="645"/>
      <c r="F83" s="645"/>
      <c r="G83" s="645"/>
      <c r="H83" s="645"/>
      <c r="I83" s="645"/>
      <c r="J83" s="645"/>
      <c r="K83" s="645"/>
      <c r="L83" s="645"/>
      <c r="M83" s="646"/>
      <c r="N83" s="611"/>
      <c r="O83" s="611"/>
      <c r="P83" s="650">
        <f>P82</f>
        <v>0</v>
      </c>
      <c r="Q83" s="650"/>
      <c r="R83" s="650"/>
      <c r="S83" s="650"/>
      <c r="T83" s="650"/>
      <c r="U83" s="651">
        <f>U82</f>
        <v>1</v>
      </c>
      <c r="V83" s="651"/>
      <c r="W83" s="651"/>
      <c r="X83" s="651"/>
      <c r="Y83" s="651"/>
      <c r="Z83" s="650">
        <f t="shared" ref="Z83" si="35">Z82</f>
        <v>2</v>
      </c>
      <c r="AA83" s="650"/>
      <c r="AB83" s="650"/>
      <c r="AC83" s="650"/>
      <c r="AD83" s="650"/>
      <c r="AE83" s="651">
        <f t="shared" ref="AE83" si="36">AE82</f>
        <v>3</v>
      </c>
      <c r="AF83" s="651"/>
      <c r="AG83" s="651"/>
      <c r="AH83" s="651"/>
      <c r="AI83" s="651"/>
      <c r="AJ83" s="652">
        <f t="shared" ref="AJ83" si="37">AJ82</f>
        <v>4</v>
      </c>
      <c r="AK83" s="653"/>
      <c r="AL83" s="653"/>
      <c r="AM83" s="653"/>
      <c r="AN83" s="654"/>
      <c r="AO83" s="651">
        <f t="shared" ref="AO83" si="38">AO82</f>
        <v>5</v>
      </c>
      <c r="AP83" s="651"/>
      <c r="AQ83" s="651"/>
      <c r="AR83" s="651"/>
      <c r="AS83" s="651"/>
      <c r="AT83" s="652">
        <f t="shared" ref="AT83" si="39">AT82</f>
        <v>6</v>
      </c>
      <c r="AU83" s="653"/>
      <c r="AV83" s="653"/>
      <c r="AW83" s="653"/>
      <c r="AX83" s="654"/>
    </row>
    <row r="84" spans="2:50" ht="14.25" customHeight="1">
      <c r="B84" s="575" t="s">
        <v>162</v>
      </c>
      <c r="C84" s="575" t="s">
        <v>157</v>
      </c>
      <c r="D84" s="575"/>
      <c r="E84" s="575" t="s">
        <v>158</v>
      </c>
      <c r="F84" s="575"/>
      <c r="G84" s="575"/>
      <c r="H84" s="575" t="s">
        <v>163</v>
      </c>
      <c r="I84" s="579" t="s">
        <v>375</v>
      </c>
      <c r="J84" s="579"/>
      <c r="K84" s="579"/>
      <c r="L84" s="579" t="s">
        <v>163</v>
      </c>
      <c r="M84" s="579" t="s">
        <v>165</v>
      </c>
      <c r="N84" s="575"/>
      <c r="O84" s="575" t="s">
        <v>164</v>
      </c>
      <c r="P84" s="575" t="s">
        <v>160</v>
      </c>
      <c r="Q84" s="575"/>
      <c r="R84" s="575"/>
      <c r="S84" s="575"/>
      <c r="T84" s="575" t="s">
        <v>163</v>
      </c>
      <c r="U84" s="575" t="s">
        <v>160</v>
      </c>
      <c r="V84" s="575"/>
      <c r="W84" s="575"/>
      <c r="X84" s="575"/>
      <c r="Y84" s="575" t="s">
        <v>163</v>
      </c>
      <c r="Z84" s="575" t="s">
        <v>160</v>
      </c>
      <c r="AA84" s="575"/>
      <c r="AB84" s="575"/>
      <c r="AC84" s="575"/>
      <c r="AD84" s="575" t="s">
        <v>163</v>
      </c>
      <c r="AE84" s="575" t="s">
        <v>160</v>
      </c>
      <c r="AF84" s="575"/>
      <c r="AG84" s="575"/>
      <c r="AH84" s="575"/>
      <c r="AI84" s="575" t="s">
        <v>163</v>
      </c>
      <c r="AJ84" s="575" t="s">
        <v>160</v>
      </c>
      <c r="AK84" s="575"/>
      <c r="AL84" s="575"/>
      <c r="AM84" s="575"/>
      <c r="AN84" s="575" t="s">
        <v>163</v>
      </c>
      <c r="AO84" s="575" t="s">
        <v>160</v>
      </c>
      <c r="AP84" s="575"/>
      <c r="AQ84" s="575"/>
      <c r="AR84" s="575"/>
      <c r="AS84" s="575" t="s">
        <v>163</v>
      </c>
      <c r="AT84" s="575" t="s">
        <v>160</v>
      </c>
      <c r="AU84" s="575"/>
      <c r="AV84" s="575"/>
      <c r="AW84" s="575"/>
      <c r="AX84" s="575" t="s">
        <v>163</v>
      </c>
    </row>
    <row r="85" spans="2:50" ht="14.25" customHeight="1">
      <c r="B85" s="575"/>
      <c r="C85" s="575"/>
      <c r="D85" s="575"/>
      <c r="E85" s="575" t="s">
        <v>376</v>
      </c>
      <c r="F85" s="575"/>
      <c r="G85" s="575"/>
      <c r="H85" s="575"/>
      <c r="I85" s="579" t="s">
        <v>376</v>
      </c>
      <c r="J85" s="579"/>
      <c r="K85" s="579"/>
      <c r="L85" s="579"/>
      <c r="M85" s="579"/>
      <c r="N85" s="575"/>
      <c r="O85" s="575"/>
      <c r="P85" s="575" t="s">
        <v>377</v>
      </c>
      <c r="Q85" s="575"/>
      <c r="R85" s="575"/>
      <c r="S85" s="575"/>
      <c r="T85" s="575"/>
      <c r="U85" s="575" t="s">
        <v>377</v>
      </c>
      <c r="V85" s="575"/>
      <c r="W85" s="575"/>
      <c r="X85" s="575"/>
      <c r="Y85" s="575"/>
      <c r="Z85" s="575" t="s">
        <v>377</v>
      </c>
      <c r="AA85" s="575"/>
      <c r="AB85" s="575"/>
      <c r="AC85" s="575"/>
      <c r="AD85" s="575"/>
      <c r="AE85" s="575" t="s">
        <v>377</v>
      </c>
      <c r="AF85" s="575"/>
      <c r="AG85" s="575"/>
      <c r="AH85" s="575"/>
      <c r="AI85" s="575"/>
      <c r="AJ85" s="575" t="s">
        <v>377</v>
      </c>
      <c r="AK85" s="575"/>
      <c r="AL85" s="575"/>
      <c r="AM85" s="575"/>
      <c r="AN85" s="575"/>
      <c r="AO85" s="575" t="s">
        <v>377</v>
      </c>
      <c r="AP85" s="575"/>
      <c r="AQ85" s="575"/>
      <c r="AR85" s="575"/>
      <c r="AS85" s="575"/>
      <c r="AT85" s="575" t="s">
        <v>377</v>
      </c>
      <c r="AU85" s="575"/>
      <c r="AV85" s="575"/>
      <c r="AW85" s="575"/>
      <c r="AX85" s="575"/>
    </row>
    <row r="86" spans="2:50" ht="14.25" customHeight="1">
      <c r="B86" s="575"/>
      <c r="C86" s="575"/>
      <c r="D86" s="575"/>
      <c r="E86" s="180" t="s">
        <v>159</v>
      </c>
      <c r="F86" s="180" t="s">
        <v>378</v>
      </c>
      <c r="G86" s="180" t="s">
        <v>161</v>
      </c>
      <c r="H86" s="575"/>
      <c r="I86" s="181" t="s">
        <v>159</v>
      </c>
      <c r="J86" s="181" t="s">
        <v>378</v>
      </c>
      <c r="K86" s="181" t="s">
        <v>161</v>
      </c>
      <c r="L86" s="579"/>
      <c r="M86" s="579"/>
      <c r="N86" s="575"/>
      <c r="O86" s="575"/>
      <c r="P86" s="180" t="s">
        <v>159</v>
      </c>
      <c r="Q86" s="180" t="s">
        <v>378</v>
      </c>
      <c r="R86" s="180" t="s">
        <v>161</v>
      </c>
      <c r="S86" s="182" t="s">
        <v>165</v>
      </c>
      <c r="T86" s="575"/>
      <c r="U86" s="180" t="s">
        <v>159</v>
      </c>
      <c r="V86" s="180" t="s">
        <v>378</v>
      </c>
      <c r="W86" s="180" t="s">
        <v>161</v>
      </c>
      <c r="X86" s="182" t="s">
        <v>165</v>
      </c>
      <c r="Y86" s="575"/>
      <c r="Z86" s="180" t="s">
        <v>159</v>
      </c>
      <c r="AA86" s="180" t="s">
        <v>378</v>
      </c>
      <c r="AB86" s="180" t="s">
        <v>161</v>
      </c>
      <c r="AC86" s="182" t="s">
        <v>165</v>
      </c>
      <c r="AD86" s="575"/>
      <c r="AE86" s="180" t="s">
        <v>159</v>
      </c>
      <c r="AF86" s="180" t="s">
        <v>378</v>
      </c>
      <c r="AG86" s="180" t="s">
        <v>161</v>
      </c>
      <c r="AH86" s="182" t="s">
        <v>165</v>
      </c>
      <c r="AI86" s="575"/>
      <c r="AJ86" s="180" t="s">
        <v>159</v>
      </c>
      <c r="AK86" s="180" t="s">
        <v>378</v>
      </c>
      <c r="AL86" s="180" t="s">
        <v>161</v>
      </c>
      <c r="AM86" s="182" t="s">
        <v>165</v>
      </c>
      <c r="AN86" s="575"/>
      <c r="AO86" s="180" t="s">
        <v>159</v>
      </c>
      <c r="AP86" s="180" t="s">
        <v>378</v>
      </c>
      <c r="AQ86" s="180" t="s">
        <v>161</v>
      </c>
      <c r="AR86" s="182" t="s">
        <v>165</v>
      </c>
      <c r="AS86" s="575"/>
      <c r="AT86" s="180" t="s">
        <v>159</v>
      </c>
      <c r="AU86" s="180" t="s">
        <v>378</v>
      </c>
      <c r="AV86" s="180" t="s">
        <v>161</v>
      </c>
      <c r="AW86" s="182" t="s">
        <v>165</v>
      </c>
      <c r="AX86" s="575"/>
    </row>
    <row r="87" spans="2:50" ht="14.25" customHeight="1">
      <c r="B87" s="575" t="s">
        <v>451</v>
      </c>
      <c r="C87" s="180">
        <v>1</v>
      </c>
      <c r="D87" s="183"/>
      <c r="E87" s="180"/>
      <c r="F87" s="180"/>
      <c r="G87" s="185"/>
      <c r="H87" s="576"/>
      <c r="I87" s="186"/>
      <c r="J87" s="186"/>
      <c r="K87" s="187"/>
      <c r="L87" s="577"/>
      <c r="M87" s="186"/>
      <c r="N87" s="575"/>
      <c r="O87" s="575"/>
      <c r="P87" s="188"/>
      <c r="Q87" s="188"/>
      <c r="R87" s="185"/>
      <c r="S87" s="182"/>
      <c r="T87" s="576"/>
      <c r="U87" s="188"/>
      <c r="V87" s="188"/>
      <c r="W87" s="185"/>
      <c r="X87" s="182"/>
      <c r="Y87" s="576"/>
      <c r="Z87" s="188"/>
      <c r="AA87" s="188"/>
      <c r="AB87" s="185"/>
      <c r="AC87" s="182"/>
      <c r="AD87" s="576"/>
      <c r="AE87" s="188"/>
      <c r="AF87" s="188"/>
      <c r="AG87" s="185"/>
      <c r="AH87" s="182"/>
      <c r="AI87" s="576"/>
      <c r="AJ87" s="188"/>
      <c r="AK87" s="188"/>
      <c r="AL87" s="185"/>
      <c r="AM87" s="182"/>
      <c r="AN87" s="576"/>
      <c r="AO87" s="188"/>
      <c r="AP87" s="188"/>
      <c r="AQ87" s="185"/>
      <c r="AR87" s="182"/>
      <c r="AS87" s="576"/>
      <c r="AT87" s="188"/>
      <c r="AU87" s="188"/>
      <c r="AV87" s="185"/>
      <c r="AW87" s="182"/>
      <c r="AX87" s="576"/>
    </row>
    <row r="88" spans="2:50" ht="14.25" customHeight="1">
      <c r="B88" s="575"/>
      <c r="C88" s="180">
        <v>2</v>
      </c>
      <c r="D88" s="183"/>
      <c r="E88" s="180"/>
      <c r="F88" s="180"/>
      <c r="G88" s="185"/>
      <c r="H88" s="576"/>
      <c r="I88" s="186"/>
      <c r="J88" s="186"/>
      <c r="K88" s="187"/>
      <c r="L88" s="577"/>
      <c r="M88" s="186"/>
      <c r="N88" s="575"/>
      <c r="O88" s="575"/>
      <c r="P88" s="188"/>
      <c r="Q88" s="188"/>
      <c r="R88" s="185"/>
      <c r="S88" s="182"/>
      <c r="T88" s="576"/>
      <c r="U88" s="188"/>
      <c r="V88" s="188"/>
      <c r="W88" s="185"/>
      <c r="X88" s="182"/>
      <c r="Y88" s="576"/>
      <c r="Z88" s="188"/>
      <c r="AA88" s="188"/>
      <c r="AB88" s="185"/>
      <c r="AC88" s="182"/>
      <c r="AD88" s="576"/>
      <c r="AE88" s="188"/>
      <c r="AF88" s="188"/>
      <c r="AG88" s="185"/>
      <c r="AH88" s="182"/>
      <c r="AI88" s="576"/>
      <c r="AJ88" s="188"/>
      <c r="AK88" s="188"/>
      <c r="AL88" s="185"/>
      <c r="AM88" s="182"/>
      <c r="AN88" s="576"/>
      <c r="AO88" s="188"/>
      <c r="AP88" s="188"/>
      <c r="AQ88" s="185"/>
      <c r="AR88" s="182"/>
      <c r="AS88" s="576"/>
      <c r="AT88" s="188"/>
      <c r="AU88" s="188"/>
      <c r="AV88" s="185"/>
      <c r="AW88" s="182"/>
      <c r="AX88" s="576"/>
    </row>
    <row r="89" spans="2:50" ht="14.25" customHeight="1">
      <c r="B89" s="575"/>
      <c r="C89" s="180">
        <v>3</v>
      </c>
      <c r="D89" s="183"/>
      <c r="E89" s="180"/>
      <c r="F89" s="180"/>
      <c r="G89" s="185"/>
      <c r="H89" s="576"/>
      <c r="I89" s="186"/>
      <c r="J89" s="186"/>
      <c r="K89" s="187"/>
      <c r="L89" s="577"/>
      <c r="M89" s="186"/>
      <c r="N89" s="575"/>
      <c r="O89" s="575"/>
      <c r="P89" s="188"/>
      <c r="Q89" s="188"/>
      <c r="R89" s="185"/>
      <c r="S89" s="182"/>
      <c r="T89" s="576"/>
      <c r="U89" s="188"/>
      <c r="V89" s="188"/>
      <c r="W89" s="185"/>
      <c r="X89" s="182"/>
      <c r="Y89" s="576"/>
      <c r="Z89" s="188"/>
      <c r="AA89" s="188"/>
      <c r="AB89" s="185"/>
      <c r="AC89" s="182"/>
      <c r="AD89" s="576"/>
      <c r="AE89" s="188"/>
      <c r="AF89" s="188"/>
      <c r="AG89" s="185"/>
      <c r="AH89" s="182"/>
      <c r="AI89" s="576"/>
      <c r="AJ89" s="188"/>
      <c r="AK89" s="188"/>
      <c r="AL89" s="185"/>
      <c r="AM89" s="182"/>
      <c r="AN89" s="576"/>
      <c r="AO89" s="188"/>
      <c r="AP89" s="188"/>
      <c r="AQ89" s="185"/>
      <c r="AR89" s="182"/>
      <c r="AS89" s="576"/>
      <c r="AT89" s="188"/>
      <c r="AU89" s="188"/>
      <c r="AV89" s="185"/>
      <c r="AW89" s="182"/>
      <c r="AX89" s="576"/>
    </row>
    <row r="90" spans="2:50" ht="14.25" customHeight="1">
      <c r="B90" s="575"/>
      <c r="C90" s="180">
        <v>4</v>
      </c>
      <c r="D90" s="183"/>
      <c r="E90" s="180"/>
      <c r="F90" s="180"/>
      <c r="G90" s="185"/>
      <c r="H90" s="576"/>
      <c r="I90" s="186"/>
      <c r="J90" s="186"/>
      <c r="K90" s="187"/>
      <c r="L90" s="577"/>
      <c r="M90" s="186"/>
      <c r="N90" s="575"/>
      <c r="O90" s="575"/>
      <c r="P90" s="188"/>
      <c r="Q90" s="188"/>
      <c r="R90" s="185"/>
      <c r="S90" s="182"/>
      <c r="T90" s="576"/>
      <c r="U90" s="188"/>
      <c r="V90" s="188"/>
      <c r="W90" s="185"/>
      <c r="X90" s="182"/>
      <c r="Y90" s="576"/>
      <c r="Z90" s="188"/>
      <c r="AA90" s="188"/>
      <c r="AB90" s="185"/>
      <c r="AC90" s="182"/>
      <c r="AD90" s="576"/>
      <c r="AE90" s="188"/>
      <c r="AF90" s="188"/>
      <c r="AG90" s="185"/>
      <c r="AH90" s="182"/>
      <c r="AI90" s="576"/>
      <c r="AJ90" s="188"/>
      <c r="AK90" s="188"/>
      <c r="AL90" s="185"/>
      <c r="AM90" s="182"/>
      <c r="AN90" s="576"/>
      <c r="AO90" s="188"/>
      <c r="AP90" s="188"/>
      <c r="AQ90" s="185"/>
      <c r="AR90" s="182"/>
      <c r="AS90" s="576"/>
      <c r="AT90" s="188"/>
      <c r="AU90" s="188"/>
      <c r="AV90" s="185"/>
      <c r="AW90" s="182"/>
      <c r="AX90" s="576"/>
    </row>
    <row r="91" spans="2:50" ht="14.25" customHeight="1">
      <c r="B91" s="575"/>
      <c r="C91" s="180">
        <v>5</v>
      </c>
      <c r="D91" s="183"/>
      <c r="E91" s="180"/>
      <c r="F91" s="180"/>
      <c r="G91" s="185"/>
      <c r="H91" s="576"/>
      <c r="I91" s="186"/>
      <c r="J91" s="186"/>
      <c r="K91" s="187"/>
      <c r="L91" s="577"/>
      <c r="M91" s="186"/>
      <c r="N91" s="575"/>
      <c r="O91" s="575"/>
      <c r="P91" s="188"/>
      <c r="Q91" s="188"/>
      <c r="R91" s="185"/>
      <c r="S91" s="182"/>
      <c r="T91" s="576"/>
      <c r="U91" s="188"/>
      <c r="V91" s="188"/>
      <c r="W91" s="185"/>
      <c r="X91" s="182"/>
      <c r="Y91" s="576"/>
      <c r="Z91" s="188"/>
      <c r="AA91" s="188"/>
      <c r="AB91" s="185"/>
      <c r="AC91" s="182"/>
      <c r="AD91" s="576"/>
      <c r="AE91" s="188"/>
      <c r="AF91" s="188"/>
      <c r="AG91" s="185"/>
      <c r="AH91" s="182"/>
      <c r="AI91" s="576"/>
      <c r="AJ91" s="188"/>
      <c r="AK91" s="188"/>
      <c r="AL91" s="185"/>
      <c r="AM91" s="182"/>
      <c r="AN91" s="576"/>
      <c r="AO91" s="188"/>
      <c r="AP91" s="188"/>
      <c r="AQ91" s="185"/>
      <c r="AR91" s="182"/>
      <c r="AS91" s="576"/>
      <c r="AT91" s="188"/>
      <c r="AU91" s="188"/>
      <c r="AV91" s="185"/>
      <c r="AW91" s="182"/>
      <c r="AX91" s="576"/>
    </row>
    <row r="92" spans="2:50" ht="14.25" customHeight="1">
      <c r="B92" s="575"/>
      <c r="C92" s="180">
        <v>6</v>
      </c>
      <c r="D92" s="183"/>
      <c r="E92" s="180"/>
      <c r="F92" s="180"/>
      <c r="G92" s="185"/>
      <c r="H92" s="576"/>
      <c r="I92" s="186"/>
      <c r="J92" s="186"/>
      <c r="K92" s="187"/>
      <c r="L92" s="577"/>
      <c r="M92" s="186"/>
      <c r="N92" s="575"/>
      <c r="O92" s="575"/>
      <c r="P92" s="188"/>
      <c r="Q92" s="188"/>
      <c r="R92" s="185"/>
      <c r="S92" s="182"/>
      <c r="T92" s="576"/>
      <c r="U92" s="188"/>
      <c r="V92" s="188"/>
      <c r="W92" s="185"/>
      <c r="X92" s="182"/>
      <c r="Y92" s="576"/>
      <c r="Z92" s="188"/>
      <c r="AA92" s="188"/>
      <c r="AB92" s="185"/>
      <c r="AC92" s="182"/>
      <c r="AD92" s="576"/>
      <c r="AE92" s="188"/>
      <c r="AF92" s="188"/>
      <c r="AG92" s="185"/>
      <c r="AH92" s="182"/>
      <c r="AI92" s="576"/>
      <c r="AJ92" s="188"/>
      <c r="AK92" s="188"/>
      <c r="AL92" s="185"/>
      <c r="AM92" s="182"/>
      <c r="AN92" s="576"/>
      <c r="AO92" s="188"/>
      <c r="AP92" s="188"/>
      <c r="AQ92" s="185"/>
      <c r="AR92" s="182"/>
      <c r="AS92" s="576"/>
      <c r="AT92" s="188"/>
      <c r="AU92" s="188"/>
      <c r="AV92" s="185"/>
      <c r="AW92" s="182"/>
      <c r="AX92" s="576"/>
    </row>
    <row r="93" spans="2:50" ht="14.25" customHeight="1">
      <c r="B93" s="575"/>
      <c r="C93" s="180">
        <v>7</v>
      </c>
      <c r="D93" s="183"/>
      <c r="E93" s="180"/>
      <c r="F93" s="180"/>
      <c r="G93" s="185"/>
      <c r="H93" s="576"/>
      <c r="I93" s="186"/>
      <c r="J93" s="186"/>
      <c r="K93" s="187"/>
      <c r="L93" s="577"/>
      <c r="M93" s="186"/>
      <c r="N93" s="575"/>
      <c r="O93" s="575"/>
      <c r="P93" s="188"/>
      <c r="Q93" s="188"/>
      <c r="R93" s="185"/>
      <c r="S93" s="182"/>
      <c r="T93" s="576"/>
      <c r="U93" s="188"/>
      <c r="V93" s="188"/>
      <c r="W93" s="185"/>
      <c r="X93" s="182"/>
      <c r="Y93" s="576"/>
      <c r="Z93" s="188"/>
      <c r="AA93" s="188"/>
      <c r="AB93" s="185"/>
      <c r="AC93" s="182"/>
      <c r="AD93" s="576"/>
      <c r="AE93" s="188"/>
      <c r="AF93" s="188"/>
      <c r="AG93" s="185"/>
      <c r="AH93" s="182"/>
      <c r="AI93" s="576"/>
      <c r="AJ93" s="188"/>
      <c r="AK93" s="188"/>
      <c r="AL93" s="185"/>
      <c r="AM93" s="182"/>
      <c r="AN93" s="576"/>
      <c r="AO93" s="188"/>
      <c r="AP93" s="188"/>
      <c r="AQ93" s="185"/>
      <c r="AR93" s="182"/>
      <c r="AS93" s="576"/>
      <c r="AT93" s="188"/>
      <c r="AU93" s="188"/>
      <c r="AV93" s="185"/>
      <c r="AW93" s="182"/>
      <c r="AX93" s="576"/>
    </row>
    <row r="94" spans="2:50" ht="14.25" customHeight="1">
      <c r="B94" s="575"/>
      <c r="C94" s="180">
        <v>8</v>
      </c>
      <c r="D94" s="183"/>
      <c r="E94" s="180"/>
      <c r="F94" s="180"/>
      <c r="G94" s="185"/>
      <c r="H94" s="576"/>
      <c r="I94" s="186"/>
      <c r="J94" s="186"/>
      <c r="K94" s="187"/>
      <c r="L94" s="577"/>
      <c r="M94" s="186"/>
      <c r="N94" s="575"/>
      <c r="O94" s="575"/>
      <c r="P94" s="188"/>
      <c r="Q94" s="188"/>
      <c r="R94" s="185"/>
      <c r="S94" s="182"/>
      <c r="T94" s="576"/>
      <c r="U94" s="188"/>
      <c r="V94" s="188"/>
      <c r="W94" s="185"/>
      <c r="X94" s="182"/>
      <c r="Y94" s="576"/>
      <c r="Z94" s="188"/>
      <c r="AA94" s="188"/>
      <c r="AB94" s="185"/>
      <c r="AC94" s="182"/>
      <c r="AD94" s="576"/>
      <c r="AE94" s="188"/>
      <c r="AF94" s="188"/>
      <c r="AG94" s="185"/>
      <c r="AH94" s="182"/>
      <c r="AI94" s="576"/>
      <c r="AJ94" s="188"/>
      <c r="AK94" s="188"/>
      <c r="AL94" s="185"/>
      <c r="AM94" s="182"/>
      <c r="AN94" s="576"/>
      <c r="AO94" s="188"/>
      <c r="AP94" s="188"/>
      <c r="AQ94" s="185"/>
      <c r="AR94" s="182"/>
      <c r="AS94" s="576"/>
      <c r="AT94" s="188"/>
      <c r="AU94" s="188"/>
      <c r="AV94" s="185"/>
      <c r="AW94" s="182"/>
      <c r="AX94" s="576"/>
    </row>
    <row r="95" spans="2:50" ht="14.25" customHeight="1">
      <c r="B95" s="575"/>
      <c r="C95" s="180">
        <v>9</v>
      </c>
      <c r="D95" s="183"/>
      <c r="E95" s="180"/>
      <c r="F95" s="180"/>
      <c r="G95" s="185"/>
      <c r="H95" s="576"/>
      <c r="I95" s="186"/>
      <c r="J95" s="186"/>
      <c r="K95" s="187"/>
      <c r="L95" s="577"/>
      <c r="M95" s="186"/>
      <c r="N95" s="575"/>
      <c r="O95" s="575"/>
      <c r="P95" s="188"/>
      <c r="Q95" s="188"/>
      <c r="R95" s="185"/>
      <c r="S95" s="182"/>
      <c r="T95" s="576"/>
      <c r="U95" s="188"/>
      <c r="V95" s="188"/>
      <c r="W95" s="185"/>
      <c r="X95" s="182"/>
      <c r="Y95" s="576"/>
      <c r="Z95" s="188"/>
      <c r="AA95" s="188"/>
      <c r="AB95" s="185"/>
      <c r="AC95" s="182"/>
      <c r="AD95" s="576"/>
      <c r="AE95" s="188"/>
      <c r="AF95" s="188"/>
      <c r="AG95" s="185"/>
      <c r="AH95" s="182"/>
      <c r="AI95" s="576"/>
      <c r="AJ95" s="188"/>
      <c r="AK95" s="188"/>
      <c r="AL95" s="185"/>
      <c r="AM95" s="182"/>
      <c r="AN95" s="576"/>
      <c r="AO95" s="188"/>
      <c r="AP95" s="188"/>
      <c r="AQ95" s="185"/>
      <c r="AR95" s="182"/>
      <c r="AS95" s="576"/>
      <c r="AT95" s="188"/>
      <c r="AU95" s="188"/>
      <c r="AV95" s="185"/>
      <c r="AW95" s="182"/>
      <c r="AX95" s="576"/>
    </row>
    <row r="96" spans="2:50" ht="14.25" customHeight="1">
      <c r="B96" s="575"/>
      <c r="C96" s="180">
        <v>10</v>
      </c>
      <c r="D96" s="183"/>
      <c r="E96" s="180"/>
      <c r="F96" s="180"/>
      <c r="G96" s="185"/>
      <c r="H96" s="576"/>
      <c r="I96" s="186"/>
      <c r="J96" s="186"/>
      <c r="K96" s="187"/>
      <c r="L96" s="577"/>
      <c r="M96" s="186"/>
      <c r="N96" s="575"/>
      <c r="O96" s="575"/>
      <c r="P96" s="188"/>
      <c r="Q96" s="188"/>
      <c r="R96" s="185"/>
      <c r="S96" s="182"/>
      <c r="T96" s="576"/>
      <c r="U96" s="188"/>
      <c r="V96" s="188"/>
      <c r="W96" s="185"/>
      <c r="X96" s="182"/>
      <c r="Y96" s="576"/>
      <c r="Z96" s="188"/>
      <c r="AA96" s="188"/>
      <c r="AB96" s="185"/>
      <c r="AC96" s="182"/>
      <c r="AD96" s="576"/>
      <c r="AE96" s="188"/>
      <c r="AF96" s="188"/>
      <c r="AG96" s="185"/>
      <c r="AH96" s="182"/>
      <c r="AI96" s="576"/>
      <c r="AJ96" s="188"/>
      <c r="AK96" s="188"/>
      <c r="AL96" s="185"/>
      <c r="AM96" s="182"/>
      <c r="AN96" s="576"/>
      <c r="AO96" s="188"/>
      <c r="AP96" s="188"/>
      <c r="AQ96" s="185"/>
      <c r="AR96" s="182"/>
      <c r="AS96" s="576"/>
      <c r="AT96" s="188"/>
      <c r="AU96" s="188"/>
      <c r="AV96" s="185"/>
      <c r="AW96" s="182"/>
      <c r="AX96" s="576"/>
    </row>
    <row r="97" spans="2:50" ht="14.25" customHeight="1">
      <c r="B97" s="575"/>
      <c r="C97" s="180">
        <v>11</v>
      </c>
      <c r="D97" s="183"/>
      <c r="E97" s="180"/>
      <c r="F97" s="180"/>
      <c r="G97" s="185"/>
      <c r="H97" s="576"/>
      <c r="I97" s="186"/>
      <c r="J97" s="186"/>
      <c r="K97" s="187"/>
      <c r="L97" s="577"/>
      <c r="M97" s="186"/>
      <c r="N97" s="575"/>
      <c r="O97" s="575"/>
      <c r="P97" s="188"/>
      <c r="Q97" s="188"/>
      <c r="R97" s="185"/>
      <c r="S97" s="182"/>
      <c r="T97" s="576"/>
      <c r="U97" s="188"/>
      <c r="V97" s="188"/>
      <c r="W97" s="185"/>
      <c r="X97" s="182"/>
      <c r="Y97" s="576"/>
      <c r="Z97" s="188"/>
      <c r="AA97" s="188"/>
      <c r="AB97" s="185"/>
      <c r="AC97" s="182"/>
      <c r="AD97" s="576"/>
      <c r="AE97" s="188"/>
      <c r="AF97" s="188"/>
      <c r="AG97" s="185"/>
      <c r="AH97" s="182"/>
      <c r="AI97" s="576"/>
      <c r="AJ97" s="188"/>
      <c r="AK97" s="188"/>
      <c r="AL97" s="185"/>
      <c r="AM97" s="182"/>
      <c r="AN97" s="576"/>
      <c r="AO97" s="188"/>
      <c r="AP97" s="188"/>
      <c r="AQ97" s="185"/>
      <c r="AR97" s="182"/>
      <c r="AS97" s="576"/>
      <c r="AT97" s="188"/>
      <c r="AU97" s="188"/>
      <c r="AV97" s="185"/>
      <c r="AW97" s="182"/>
      <c r="AX97" s="576"/>
    </row>
    <row r="98" spans="2:50" ht="14.25" customHeight="1">
      <c r="B98" s="575"/>
      <c r="C98" s="180">
        <v>12</v>
      </c>
      <c r="D98" s="183"/>
      <c r="E98" s="180"/>
      <c r="F98" s="180"/>
      <c r="G98" s="185"/>
      <c r="H98" s="576"/>
      <c r="I98" s="186"/>
      <c r="J98" s="186"/>
      <c r="K98" s="187"/>
      <c r="L98" s="577"/>
      <c r="M98" s="186"/>
      <c r="N98" s="575"/>
      <c r="O98" s="575"/>
      <c r="P98" s="188"/>
      <c r="Q98" s="188"/>
      <c r="R98" s="185"/>
      <c r="S98" s="182"/>
      <c r="T98" s="576"/>
      <c r="U98" s="188"/>
      <c r="V98" s="188"/>
      <c r="W98" s="185"/>
      <c r="X98" s="182"/>
      <c r="Y98" s="576"/>
      <c r="Z98" s="188"/>
      <c r="AA98" s="188"/>
      <c r="AB98" s="185"/>
      <c r="AC98" s="182"/>
      <c r="AD98" s="576"/>
      <c r="AE98" s="188"/>
      <c r="AF98" s="188"/>
      <c r="AG98" s="185"/>
      <c r="AH98" s="182"/>
      <c r="AI98" s="576"/>
      <c r="AJ98" s="188"/>
      <c r="AK98" s="188"/>
      <c r="AL98" s="185"/>
      <c r="AM98" s="182"/>
      <c r="AN98" s="576"/>
      <c r="AO98" s="188"/>
      <c r="AP98" s="188"/>
      <c r="AQ98" s="185"/>
      <c r="AR98" s="182"/>
      <c r="AS98" s="576"/>
      <c r="AT98" s="188"/>
      <c r="AU98" s="188"/>
      <c r="AV98" s="185"/>
      <c r="AW98" s="182"/>
      <c r="AX98" s="576"/>
    </row>
    <row r="99" spans="2:50" ht="14.25" customHeight="1">
      <c r="B99" s="575"/>
      <c r="C99" s="180">
        <v>13</v>
      </c>
      <c r="D99" s="183"/>
      <c r="E99" s="180"/>
      <c r="F99" s="180"/>
      <c r="G99" s="185"/>
      <c r="H99" s="576"/>
      <c r="I99" s="186"/>
      <c r="J99" s="186"/>
      <c r="K99" s="187"/>
      <c r="L99" s="577"/>
      <c r="M99" s="186"/>
      <c r="N99" s="575"/>
      <c r="O99" s="575"/>
      <c r="P99" s="188"/>
      <c r="Q99" s="188"/>
      <c r="R99" s="185"/>
      <c r="S99" s="182"/>
      <c r="T99" s="576"/>
      <c r="U99" s="188"/>
      <c r="V99" s="188"/>
      <c r="W99" s="185"/>
      <c r="X99" s="182"/>
      <c r="Y99" s="576"/>
      <c r="Z99" s="188"/>
      <c r="AA99" s="188"/>
      <c r="AB99" s="185"/>
      <c r="AC99" s="182"/>
      <c r="AD99" s="576"/>
      <c r="AE99" s="188"/>
      <c r="AF99" s="188"/>
      <c r="AG99" s="185"/>
      <c r="AH99" s="182"/>
      <c r="AI99" s="576"/>
      <c r="AJ99" s="188"/>
      <c r="AK99" s="188"/>
      <c r="AL99" s="185"/>
      <c r="AM99" s="182"/>
      <c r="AN99" s="576"/>
      <c r="AO99" s="188"/>
      <c r="AP99" s="188"/>
      <c r="AQ99" s="185"/>
      <c r="AR99" s="182"/>
      <c r="AS99" s="576"/>
      <c r="AT99" s="188"/>
      <c r="AU99" s="188"/>
      <c r="AV99" s="185"/>
      <c r="AW99" s="182"/>
      <c r="AX99" s="576"/>
    </row>
    <row r="100" spans="2:50" ht="14.25" customHeight="1">
      <c r="B100" s="575"/>
      <c r="C100" s="180">
        <v>14</v>
      </c>
      <c r="D100" s="183"/>
      <c r="E100" s="180"/>
      <c r="F100" s="180"/>
      <c r="G100" s="185"/>
      <c r="H100" s="576"/>
      <c r="I100" s="186"/>
      <c r="J100" s="186"/>
      <c r="K100" s="187"/>
      <c r="L100" s="577"/>
      <c r="M100" s="186"/>
      <c r="N100" s="575"/>
      <c r="O100" s="575"/>
      <c r="P100" s="188"/>
      <c r="Q100" s="188"/>
      <c r="R100" s="185"/>
      <c r="S100" s="182"/>
      <c r="T100" s="576"/>
      <c r="U100" s="188"/>
      <c r="V100" s="188"/>
      <c r="W100" s="185"/>
      <c r="X100" s="182"/>
      <c r="Y100" s="576"/>
      <c r="Z100" s="188"/>
      <c r="AA100" s="188"/>
      <c r="AB100" s="185"/>
      <c r="AC100" s="182"/>
      <c r="AD100" s="576"/>
      <c r="AE100" s="188"/>
      <c r="AF100" s="188"/>
      <c r="AG100" s="185"/>
      <c r="AH100" s="182"/>
      <c r="AI100" s="576"/>
      <c r="AJ100" s="188"/>
      <c r="AK100" s="188"/>
      <c r="AL100" s="185"/>
      <c r="AM100" s="182"/>
      <c r="AN100" s="576"/>
      <c r="AO100" s="188"/>
      <c r="AP100" s="188"/>
      <c r="AQ100" s="185"/>
      <c r="AR100" s="182"/>
      <c r="AS100" s="576"/>
      <c r="AT100" s="188"/>
      <c r="AU100" s="188"/>
      <c r="AV100" s="185"/>
      <c r="AW100" s="182"/>
      <c r="AX100" s="576"/>
    </row>
    <row r="101" spans="2:50" ht="14.25" customHeight="1">
      <c r="B101" s="575"/>
      <c r="C101" s="180">
        <v>15</v>
      </c>
      <c r="D101" s="183"/>
      <c r="E101" s="180"/>
      <c r="F101" s="180"/>
      <c r="G101" s="185"/>
      <c r="H101" s="576"/>
      <c r="I101" s="186"/>
      <c r="J101" s="186"/>
      <c r="K101" s="187"/>
      <c r="L101" s="577"/>
      <c r="M101" s="186"/>
      <c r="N101" s="575"/>
      <c r="O101" s="575"/>
      <c r="P101" s="188"/>
      <c r="Q101" s="188"/>
      <c r="R101" s="185"/>
      <c r="S101" s="182"/>
      <c r="T101" s="576"/>
      <c r="U101" s="188"/>
      <c r="V101" s="188"/>
      <c r="W101" s="185"/>
      <c r="X101" s="182"/>
      <c r="Y101" s="576"/>
      <c r="Z101" s="188"/>
      <c r="AA101" s="188"/>
      <c r="AB101" s="185"/>
      <c r="AC101" s="182"/>
      <c r="AD101" s="576"/>
      <c r="AE101" s="188"/>
      <c r="AF101" s="188"/>
      <c r="AG101" s="185"/>
      <c r="AH101" s="182"/>
      <c r="AI101" s="576"/>
      <c r="AJ101" s="188"/>
      <c r="AK101" s="188"/>
      <c r="AL101" s="185"/>
      <c r="AM101" s="182"/>
      <c r="AN101" s="576"/>
      <c r="AO101" s="188"/>
      <c r="AP101" s="188"/>
      <c r="AQ101" s="185"/>
      <c r="AR101" s="182"/>
      <c r="AS101" s="576"/>
      <c r="AT101" s="188"/>
      <c r="AU101" s="188"/>
      <c r="AV101" s="185"/>
      <c r="AW101" s="182"/>
      <c r="AX101" s="576"/>
    </row>
  </sheetData>
  <mergeCells count="295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5">
    <tabColor rgb="FFFFFFCC"/>
  </sheetPr>
  <dimension ref="A1:AX101"/>
  <sheetViews>
    <sheetView zoomScaleNormal="100" workbookViewId="0">
      <pane xSplit="13" ySplit="1" topLeftCell="N74" activePane="bottomRight" state="frozen"/>
      <selection activeCell="L95" sqref="L95"/>
      <selection pane="topRight" activeCell="L95" sqref="L95"/>
      <selection pane="bottomLeft" activeCell="L95" sqref="L95"/>
      <selection pane="bottomRight" activeCell="B82" sqref="B82:M8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5" t="s">
        <v>656</v>
      </c>
      <c r="C1" s="175">
        <f>AVERAGE(L7,L27,L47,L67)</f>
        <v>159.74228643292116</v>
      </c>
    </row>
    <row r="2" spans="1:50" ht="14.25" customHeight="1" collapsed="1">
      <c r="B2" s="589" t="s">
        <v>539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600"/>
      <c r="N2" s="609" t="s">
        <v>374</v>
      </c>
      <c r="O2" s="609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2"/>
      <c r="N3" s="611"/>
      <c r="O3" s="611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375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376</v>
      </c>
      <c r="F5" s="575"/>
      <c r="G5" s="575"/>
      <c r="H5" s="575"/>
      <c r="I5" s="579" t="s">
        <v>376</v>
      </c>
      <c r="J5" s="579"/>
      <c r="K5" s="579"/>
      <c r="L5" s="579"/>
      <c r="M5" s="579"/>
      <c r="N5" s="575"/>
      <c r="O5" s="575"/>
      <c r="P5" s="575" t="s">
        <v>377</v>
      </c>
      <c r="Q5" s="575"/>
      <c r="R5" s="575"/>
      <c r="S5" s="575"/>
      <c r="T5" s="575"/>
      <c r="U5" s="575" t="s">
        <v>377</v>
      </c>
      <c r="V5" s="575"/>
      <c r="W5" s="575"/>
      <c r="X5" s="575"/>
      <c r="Y5" s="575"/>
      <c r="Z5" s="575" t="s">
        <v>377</v>
      </c>
      <c r="AA5" s="575"/>
      <c r="AB5" s="575"/>
      <c r="AC5" s="575"/>
      <c r="AD5" s="575"/>
      <c r="AE5" s="575" t="s">
        <v>377</v>
      </c>
      <c r="AF5" s="575"/>
      <c r="AG5" s="575"/>
      <c r="AH5" s="575"/>
      <c r="AI5" s="575"/>
      <c r="AJ5" s="575" t="s">
        <v>377</v>
      </c>
      <c r="AK5" s="575"/>
      <c r="AL5" s="575"/>
      <c r="AM5" s="575"/>
      <c r="AN5" s="575"/>
      <c r="AO5" s="575" t="s">
        <v>377</v>
      </c>
      <c r="AP5" s="575"/>
      <c r="AQ5" s="575"/>
      <c r="AR5" s="575"/>
      <c r="AS5" s="575"/>
      <c r="AT5" s="575" t="s">
        <v>377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378</v>
      </c>
      <c r="G6" s="180" t="s">
        <v>161</v>
      </c>
      <c r="H6" s="575"/>
      <c r="I6" s="181" t="s">
        <v>159</v>
      </c>
      <c r="J6" s="181" t="s">
        <v>378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378</v>
      </c>
      <c r="R6" s="180" t="s">
        <v>161</v>
      </c>
      <c r="S6" s="182" t="s">
        <v>165</v>
      </c>
      <c r="T6" s="575"/>
      <c r="U6" s="180" t="s">
        <v>159</v>
      </c>
      <c r="V6" s="180" t="s">
        <v>378</v>
      </c>
      <c r="W6" s="180" t="s">
        <v>161</v>
      </c>
      <c r="X6" s="182" t="s">
        <v>165</v>
      </c>
      <c r="Y6" s="575"/>
      <c r="Z6" s="180" t="s">
        <v>159</v>
      </c>
      <c r="AA6" s="180" t="s">
        <v>378</v>
      </c>
      <c r="AB6" s="180" t="s">
        <v>161</v>
      </c>
      <c r="AC6" s="182" t="s">
        <v>165</v>
      </c>
      <c r="AD6" s="575"/>
      <c r="AE6" s="180" t="s">
        <v>159</v>
      </c>
      <c r="AF6" s="180" t="s">
        <v>378</v>
      </c>
      <c r="AG6" s="180" t="s">
        <v>161</v>
      </c>
      <c r="AH6" s="182" t="s">
        <v>165</v>
      </c>
      <c r="AI6" s="575"/>
      <c r="AJ6" s="180" t="s">
        <v>159</v>
      </c>
      <c r="AK6" s="180" t="s">
        <v>378</v>
      </c>
      <c r="AL6" s="180" t="s">
        <v>161</v>
      </c>
      <c r="AM6" s="182" t="s">
        <v>165</v>
      </c>
      <c r="AN6" s="575"/>
      <c r="AO6" s="180" t="s">
        <v>159</v>
      </c>
      <c r="AP6" s="180" t="s">
        <v>378</v>
      </c>
      <c r="AQ6" s="180" t="s">
        <v>161</v>
      </c>
      <c r="AR6" s="182" t="s">
        <v>165</v>
      </c>
      <c r="AS6" s="575"/>
      <c r="AT6" s="180" t="s">
        <v>159</v>
      </c>
      <c r="AU6" s="180" t="s">
        <v>378</v>
      </c>
      <c r="AV6" s="180" t="s">
        <v>161</v>
      </c>
      <c r="AW6" s="182" t="s">
        <v>165</v>
      </c>
      <c r="AX6" s="575"/>
    </row>
    <row r="7" spans="1:50" ht="14.25" customHeight="1">
      <c r="B7" s="575" t="s">
        <v>382</v>
      </c>
      <c r="C7" s="180">
        <v>1</v>
      </c>
      <c r="D7" s="183"/>
      <c r="E7" s="180"/>
      <c r="F7" s="180"/>
      <c r="G7" s="185"/>
      <c r="H7" s="576"/>
      <c r="I7" s="186"/>
      <c r="J7" s="186"/>
      <c r="K7" s="187"/>
      <c r="L7" s="577"/>
      <c r="M7" s="186"/>
      <c r="N7" s="575"/>
      <c r="O7" s="575"/>
      <c r="P7" s="188"/>
      <c r="Q7" s="188"/>
      <c r="R7" s="185"/>
      <c r="S7" s="182"/>
      <c r="T7" s="576"/>
      <c r="U7" s="188"/>
      <c r="V7" s="188"/>
      <c r="W7" s="185"/>
      <c r="X7" s="182"/>
      <c r="Y7" s="576"/>
      <c r="Z7" s="188"/>
      <c r="AA7" s="188"/>
      <c r="AB7" s="185"/>
      <c r="AC7" s="182"/>
      <c r="AD7" s="576"/>
      <c r="AE7" s="188"/>
      <c r="AF7" s="188"/>
      <c r="AG7" s="185"/>
      <c r="AH7" s="182"/>
      <c r="AI7" s="576"/>
      <c r="AJ7" s="188"/>
      <c r="AK7" s="188"/>
      <c r="AL7" s="185"/>
      <c r="AM7" s="182"/>
      <c r="AN7" s="576"/>
      <c r="AO7" s="188"/>
      <c r="AP7" s="188"/>
      <c r="AQ7" s="185"/>
      <c r="AR7" s="182"/>
      <c r="AS7" s="576"/>
      <c r="AT7" s="188"/>
      <c r="AU7" s="188"/>
      <c r="AV7" s="185"/>
      <c r="AW7" s="182"/>
      <c r="AX7" s="576"/>
    </row>
    <row r="8" spans="1:50" ht="14.25" customHeight="1">
      <c r="B8" s="575"/>
      <c r="C8" s="180">
        <v>2</v>
      </c>
      <c r="D8" s="183"/>
      <c r="E8" s="180"/>
      <c r="F8" s="180"/>
      <c r="G8" s="185"/>
      <c r="H8" s="576"/>
      <c r="I8" s="186"/>
      <c r="J8" s="186"/>
      <c r="K8" s="187"/>
      <c r="L8" s="577"/>
      <c r="M8" s="186"/>
      <c r="N8" s="575"/>
      <c r="O8" s="575"/>
      <c r="P8" s="188"/>
      <c r="Q8" s="188"/>
      <c r="R8" s="185"/>
      <c r="S8" s="182"/>
      <c r="T8" s="576"/>
      <c r="U8" s="188"/>
      <c r="V8" s="188"/>
      <c r="W8" s="185"/>
      <c r="X8" s="182"/>
      <c r="Y8" s="576"/>
      <c r="Z8" s="188"/>
      <c r="AA8" s="188"/>
      <c r="AB8" s="185"/>
      <c r="AC8" s="182"/>
      <c r="AD8" s="576"/>
      <c r="AE8" s="188"/>
      <c r="AF8" s="188"/>
      <c r="AG8" s="185"/>
      <c r="AH8" s="182"/>
      <c r="AI8" s="576"/>
      <c r="AJ8" s="188"/>
      <c r="AK8" s="188"/>
      <c r="AL8" s="185"/>
      <c r="AM8" s="182"/>
      <c r="AN8" s="576"/>
      <c r="AO8" s="188"/>
      <c r="AP8" s="188"/>
      <c r="AQ8" s="185"/>
      <c r="AR8" s="182"/>
      <c r="AS8" s="576"/>
      <c r="AT8" s="188"/>
      <c r="AU8" s="188"/>
      <c r="AV8" s="185"/>
      <c r="AW8" s="182"/>
      <c r="AX8" s="576"/>
    </row>
    <row r="9" spans="1:50" ht="14.25" customHeight="1">
      <c r="B9" s="575"/>
      <c r="C9" s="180">
        <v>3</v>
      </c>
      <c r="D9" s="183"/>
      <c r="E9" s="180"/>
      <c r="F9" s="180"/>
      <c r="G9" s="185"/>
      <c r="H9" s="576"/>
      <c r="I9" s="186"/>
      <c r="J9" s="186"/>
      <c r="K9" s="187"/>
      <c r="L9" s="577"/>
      <c r="M9" s="186"/>
      <c r="N9" s="575"/>
      <c r="O9" s="575"/>
      <c r="P9" s="188"/>
      <c r="Q9" s="188"/>
      <c r="R9" s="185"/>
      <c r="S9" s="182"/>
      <c r="T9" s="576"/>
      <c r="U9" s="188"/>
      <c r="V9" s="188"/>
      <c r="W9" s="185"/>
      <c r="X9" s="182"/>
      <c r="Y9" s="576"/>
      <c r="Z9" s="188"/>
      <c r="AA9" s="188"/>
      <c r="AB9" s="185"/>
      <c r="AC9" s="182"/>
      <c r="AD9" s="576"/>
      <c r="AE9" s="188"/>
      <c r="AF9" s="188"/>
      <c r="AG9" s="185"/>
      <c r="AH9" s="182"/>
      <c r="AI9" s="576"/>
      <c r="AJ9" s="188"/>
      <c r="AK9" s="188"/>
      <c r="AL9" s="185"/>
      <c r="AM9" s="182"/>
      <c r="AN9" s="576"/>
      <c r="AO9" s="188"/>
      <c r="AP9" s="188"/>
      <c r="AQ9" s="185"/>
      <c r="AR9" s="182"/>
      <c r="AS9" s="576"/>
      <c r="AT9" s="188"/>
      <c r="AU9" s="188"/>
      <c r="AV9" s="185"/>
      <c r="AW9" s="182"/>
      <c r="AX9" s="576"/>
    </row>
    <row r="10" spans="1:50" ht="14.25" customHeight="1">
      <c r="B10" s="575"/>
      <c r="C10" s="180">
        <v>4</v>
      </c>
      <c r="D10" s="183"/>
      <c r="E10" s="180"/>
      <c r="F10" s="180"/>
      <c r="G10" s="185"/>
      <c r="H10" s="576"/>
      <c r="I10" s="186"/>
      <c r="J10" s="186"/>
      <c r="K10" s="187"/>
      <c r="L10" s="577"/>
      <c r="M10" s="186"/>
      <c r="N10" s="575"/>
      <c r="O10" s="575"/>
      <c r="P10" s="188"/>
      <c r="Q10" s="188"/>
      <c r="R10" s="185"/>
      <c r="S10" s="182"/>
      <c r="T10" s="576"/>
      <c r="U10" s="188"/>
      <c r="V10" s="188"/>
      <c r="W10" s="185"/>
      <c r="X10" s="182"/>
      <c r="Y10" s="576"/>
      <c r="Z10" s="188"/>
      <c r="AA10" s="188"/>
      <c r="AB10" s="185"/>
      <c r="AC10" s="182"/>
      <c r="AD10" s="576"/>
      <c r="AE10" s="188"/>
      <c r="AF10" s="188"/>
      <c r="AG10" s="185"/>
      <c r="AH10" s="182"/>
      <c r="AI10" s="576"/>
      <c r="AJ10" s="188"/>
      <c r="AK10" s="188"/>
      <c r="AL10" s="185"/>
      <c r="AM10" s="182"/>
      <c r="AN10" s="576"/>
      <c r="AO10" s="188"/>
      <c r="AP10" s="188"/>
      <c r="AQ10" s="185"/>
      <c r="AR10" s="182"/>
      <c r="AS10" s="576"/>
      <c r="AT10" s="188"/>
      <c r="AU10" s="188"/>
      <c r="AV10" s="185"/>
      <c r="AW10" s="182"/>
      <c r="AX10" s="576"/>
    </row>
    <row r="11" spans="1:50" ht="14.25" customHeight="1">
      <c r="B11" s="575"/>
      <c r="C11" s="180">
        <v>5</v>
      </c>
      <c r="D11" s="183"/>
      <c r="E11" s="180"/>
      <c r="F11" s="180"/>
      <c r="G11" s="185"/>
      <c r="H11" s="576"/>
      <c r="I11" s="186"/>
      <c r="J11" s="186"/>
      <c r="K11" s="187"/>
      <c r="L11" s="577"/>
      <c r="M11" s="186"/>
      <c r="N11" s="575"/>
      <c r="O11" s="575"/>
      <c r="P11" s="188"/>
      <c r="Q11" s="188"/>
      <c r="R11" s="185"/>
      <c r="S11" s="182"/>
      <c r="T11" s="576"/>
      <c r="U11" s="188"/>
      <c r="V11" s="188"/>
      <c r="W11" s="185"/>
      <c r="X11" s="182"/>
      <c r="Y11" s="576"/>
      <c r="Z11" s="188"/>
      <c r="AA11" s="188"/>
      <c r="AB11" s="185"/>
      <c r="AC11" s="182"/>
      <c r="AD11" s="576"/>
      <c r="AE11" s="188"/>
      <c r="AF11" s="188"/>
      <c r="AG11" s="185"/>
      <c r="AH11" s="182"/>
      <c r="AI11" s="576"/>
      <c r="AJ11" s="188"/>
      <c r="AK11" s="188"/>
      <c r="AL11" s="185"/>
      <c r="AM11" s="182"/>
      <c r="AN11" s="576"/>
      <c r="AO11" s="188"/>
      <c r="AP11" s="188"/>
      <c r="AQ11" s="185"/>
      <c r="AR11" s="182"/>
      <c r="AS11" s="576"/>
      <c r="AT11" s="188"/>
      <c r="AU11" s="188"/>
      <c r="AV11" s="185"/>
      <c r="AW11" s="182"/>
      <c r="AX11" s="576"/>
    </row>
    <row r="12" spans="1:50" ht="14.25" customHeight="1">
      <c r="B12" s="575"/>
      <c r="C12" s="180">
        <v>6</v>
      </c>
      <c r="D12" s="183"/>
      <c r="E12" s="180"/>
      <c r="F12" s="180"/>
      <c r="G12" s="185"/>
      <c r="H12" s="576"/>
      <c r="I12" s="186"/>
      <c r="J12" s="186"/>
      <c r="K12" s="187"/>
      <c r="L12" s="577"/>
      <c r="M12" s="186"/>
      <c r="N12" s="575"/>
      <c r="O12" s="575"/>
      <c r="P12" s="188"/>
      <c r="Q12" s="188"/>
      <c r="R12" s="185"/>
      <c r="S12" s="182"/>
      <c r="T12" s="576"/>
      <c r="U12" s="188"/>
      <c r="V12" s="188"/>
      <c r="W12" s="185"/>
      <c r="X12" s="182"/>
      <c r="Y12" s="576"/>
      <c r="Z12" s="188"/>
      <c r="AA12" s="188"/>
      <c r="AB12" s="185"/>
      <c r="AC12" s="182"/>
      <c r="AD12" s="576"/>
      <c r="AE12" s="188"/>
      <c r="AF12" s="188"/>
      <c r="AG12" s="185"/>
      <c r="AH12" s="182"/>
      <c r="AI12" s="576"/>
      <c r="AJ12" s="188"/>
      <c r="AK12" s="188"/>
      <c r="AL12" s="185"/>
      <c r="AM12" s="182"/>
      <c r="AN12" s="576"/>
      <c r="AO12" s="188"/>
      <c r="AP12" s="188"/>
      <c r="AQ12" s="185"/>
      <c r="AR12" s="182"/>
      <c r="AS12" s="576"/>
      <c r="AT12" s="188"/>
      <c r="AU12" s="188"/>
      <c r="AV12" s="185"/>
      <c r="AW12" s="182"/>
      <c r="AX12" s="576"/>
    </row>
    <row r="13" spans="1:50" ht="14.25" customHeight="1">
      <c r="B13" s="575"/>
      <c r="C13" s="180">
        <v>7</v>
      </c>
      <c r="D13" s="183"/>
      <c r="E13" s="180"/>
      <c r="F13" s="180"/>
      <c r="G13" s="185"/>
      <c r="H13" s="576"/>
      <c r="I13" s="186"/>
      <c r="J13" s="186"/>
      <c r="K13" s="187"/>
      <c r="L13" s="577"/>
      <c r="M13" s="186"/>
      <c r="N13" s="575"/>
      <c r="O13" s="575"/>
      <c r="P13" s="188"/>
      <c r="Q13" s="188"/>
      <c r="R13" s="185"/>
      <c r="S13" s="182"/>
      <c r="T13" s="576"/>
      <c r="U13" s="188"/>
      <c r="V13" s="188"/>
      <c r="W13" s="185"/>
      <c r="X13" s="182"/>
      <c r="Y13" s="576"/>
      <c r="Z13" s="188"/>
      <c r="AA13" s="188"/>
      <c r="AB13" s="185"/>
      <c r="AC13" s="182"/>
      <c r="AD13" s="576"/>
      <c r="AE13" s="188"/>
      <c r="AF13" s="188"/>
      <c r="AG13" s="185"/>
      <c r="AH13" s="182"/>
      <c r="AI13" s="576"/>
      <c r="AJ13" s="188"/>
      <c r="AK13" s="188"/>
      <c r="AL13" s="185"/>
      <c r="AM13" s="182"/>
      <c r="AN13" s="576"/>
      <c r="AO13" s="188"/>
      <c r="AP13" s="188"/>
      <c r="AQ13" s="185"/>
      <c r="AR13" s="182"/>
      <c r="AS13" s="576"/>
      <c r="AT13" s="188"/>
      <c r="AU13" s="188"/>
      <c r="AV13" s="185"/>
      <c r="AW13" s="182"/>
      <c r="AX13" s="576"/>
    </row>
    <row r="14" spans="1:50" ht="14.25" customHeight="1">
      <c r="B14" s="575"/>
      <c r="C14" s="180">
        <v>8</v>
      </c>
      <c r="D14" s="183"/>
      <c r="E14" s="180"/>
      <c r="F14" s="180"/>
      <c r="G14" s="185"/>
      <c r="H14" s="576"/>
      <c r="I14" s="186"/>
      <c r="J14" s="186"/>
      <c r="K14" s="187"/>
      <c r="L14" s="577"/>
      <c r="M14" s="186"/>
      <c r="N14" s="575"/>
      <c r="O14" s="575"/>
      <c r="P14" s="188"/>
      <c r="Q14" s="188"/>
      <c r="R14" s="185"/>
      <c r="S14" s="182"/>
      <c r="T14" s="576"/>
      <c r="U14" s="188"/>
      <c r="V14" s="188"/>
      <c r="W14" s="185"/>
      <c r="X14" s="182"/>
      <c r="Y14" s="576"/>
      <c r="Z14" s="188"/>
      <c r="AA14" s="188"/>
      <c r="AB14" s="185"/>
      <c r="AC14" s="182"/>
      <c r="AD14" s="576"/>
      <c r="AE14" s="188"/>
      <c r="AF14" s="188"/>
      <c r="AG14" s="185"/>
      <c r="AH14" s="182"/>
      <c r="AI14" s="576"/>
      <c r="AJ14" s="188"/>
      <c r="AK14" s="188"/>
      <c r="AL14" s="185"/>
      <c r="AM14" s="182"/>
      <c r="AN14" s="576"/>
      <c r="AO14" s="188"/>
      <c r="AP14" s="188"/>
      <c r="AQ14" s="185"/>
      <c r="AR14" s="182"/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575"/>
      <c r="O15" s="575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589" t="s">
        <v>657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09" t="s">
        <v>374</v>
      </c>
      <c r="O22" s="609" t="s">
        <v>105</v>
      </c>
      <c r="P22" s="655">
        <v>46119</v>
      </c>
      <c r="Q22" s="656"/>
      <c r="R22" s="656"/>
      <c r="S22" s="656"/>
      <c r="T22" s="656"/>
      <c r="U22" s="657">
        <f>P22+1</f>
        <v>46120</v>
      </c>
      <c r="V22" s="658"/>
      <c r="W22" s="658"/>
      <c r="X22" s="658"/>
      <c r="Y22" s="658"/>
      <c r="Z22" s="655">
        <f t="shared" ref="Z22" si="10">U22+1</f>
        <v>46121</v>
      </c>
      <c r="AA22" s="656"/>
      <c r="AB22" s="656"/>
      <c r="AC22" s="656"/>
      <c r="AD22" s="656"/>
      <c r="AE22" s="657">
        <f t="shared" ref="AE22" si="11">Z22+1</f>
        <v>46122</v>
      </c>
      <c r="AF22" s="658"/>
      <c r="AG22" s="658"/>
      <c r="AH22" s="658"/>
      <c r="AI22" s="658"/>
      <c r="AJ22" s="647">
        <f t="shared" ref="AJ22" si="12">AE22+1</f>
        <v>46123</v>
      </c>
      <c r="AK22" s="648"/>
      <c r="AL22" s="648"/>
      <c r="AM22" s="648"/>
      <c r="AN22" s="649"/>
      <c r="AO22" s="657">
        <f t="shared" ref="AO22" si="13">AJ22+1</f>
        <v>46124</v>
      </c>
      <c r="AP22" s="658"/>
      <c r="AQ22" s="658"/>
      <c r="AR22" s="658"/>
      <c r="AS22" s="658"/>
      <c r="AT22" s="647">
        <f t="shared" ref="AT22" si="14">AO22+1</f>
        <v>46125</v>
      </c>
      <c r="AU22" s="648"/>
      <c r="AV22" s="648"/>
      <c r="AW22" s="648"/>
      <c r="AX22" s="649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1"/>
      <c r="O23" s="611"/>
      <c r="P23" s="650">
        <f>P22</f>
        <v>46119</v>
      </c>
      <c r="Q23" s="650"/>
      <c r="R23" s="650"/>
      <c r="S23" s="650"/>
      <c r="T23" s="650"/>
      <c r="U23" s="651">
        <f>U22</f>
        <v>46120</v>
      </c>
      <c r="V23" s="651"/>
      <c r="W23" s="651"/>
      <c r="X23" s="651"/>
      <c r="Y23" s="651"/>
      <c r="Z23" s="650">
        <f t="shared" ref="Z23" si="15">Z22</f>
        <v>46121</v>
      </c>
      <c r="AA23" s="650"/>
      <c r="AB23" s="650"/>
      <c r="AC23" s="650"/>
      <c r="AD23" s="650"/>
      <c r="AE23" s="651">
        <f t="shared" ref="AE23" si="16">AE22</f>
        <v>46122</v>
      </c>
      <c r="AF23" s="651"/>
      <c r="AG23" s="651"/>
      <c r="AH23" s="651"/>
      <c r="AI23" s="651"/>
      <c r="AJ23" s="652">
        <f t="shared" ref="AJ23" si="17">AJ22</f>
        <v>46123</v>
      </c>
      <c r="AK23" s="653"/>
      <c r="AL23" s="653"/>
      <c r="AM23" s="653"/>
      <c r="AN23" s="654"/>
      <c r="AO23" s="651">
        <f t="shared" ref="AO23" si="18">AO22</f>
        <v>46124</v>
      </c>
      <c r="AP23" s="651"/>
      <c r="AQ23" s="651"/>
      <c r="AR23" s="651"/>
      <c r="AS23" s="651"/>
      <c r="AT23" s="652">
        <f t="shared" ref="AT23" si="19">AT22</f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375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376</v>
      </c>
      <c r="F25" s="575"/>
      <c r="G25" s="575"/>
      <c r="H25" s="575"/>
      <c r="I25" s="579" t="s">
        <v>376</v>
      </c>
      <c r="J25" s="579"/>
      <c r="K25" s="579"/>
      <c r="L25" s="579"/>
      <c r="M25" s="579"/>
      <c r="N25" s="575"/>
      <c r="O25" s="575"/>
      <c r="P25" s="575" t="s">
        <v>377</v>
      </c>
      <c r="Q25" s="575"/>
      <c r="R25" s="575"/>
      <c r="S25" s="575"/>
      <c r="T25" s="575"/>
      <c r="U25" s="575" t="s">
        <v>377</v>
      </c>
      <c r="V25" s="575"/>
      <c r="W25" s="575"/>
      <c r="X25" s="575"/>
      <c r="Y25" s="575"/>
      <c r="Z25" s="575" t="s">
        <v>377</v>
      </c>
      <c r="AA25" s="575"/>
      <c r="AB25" s="575"/>
      <c r="AC25" s="575"/>
      <c r="AD25" s="575"/>
      <c r="AE25" s="575" t="s">
        <v>377</v>
      </c>
      <c r="AF25" s="575"/>
      <c r="AG25" s="575"/>
      <c r="AH25" s="575"/>
      <c r="AI25" s="575"/>
      <c r="AJ25" s="575" t="s">
        <v>377</v>
      </c>
      <c r="AK25" s="575"/>
      <c r="AL25" s="575"/>
      <c r="AM25" s="575"/>
      <c r="AN25" s="575"/>
      <c r="AO25" s="575" t="s">
        <v>377</v>
      </c>
      <c r="AP25" s="575"/>
      <c r="AQ25" s="575"/>
      <c r="AR25" s="575"/>
      <c r="AS25" s="575"/>
      <c r="AT25" s="575" t="s">
        <v>377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378</v>
      </c>
      <c r="G26" s="180" t="s">
        <v>161</v>
      </c>
      <c r="H26" s="575"/>
      <c r="I26" s="181" t="s">
        <v>159</v>
      </c>
      <c r="J26" s="181" t="s">
        <v>378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378</v>
      </c>
      <c r="R26" s="180" t="s">
        <v>161</v>
      </c>
      <c r="S26" s="182" t="s">
        <v>165</v>
      </c>
      <c r="T26" s="575"/>
      <c r="U26" s="180" t="s">
        <v>159</v>
      </c>
      <c r="V26" s="180" t="s">
        <v>378</v>
      </c>
      <c r="W26" s="180" t="s">
        <v>161</v>
      </c>
      <c r="X26" s="182" t="s">
        <v>165</v>
      </c>
      <c r="Y26" s="575"/>
      <c r="Z26" s="180" t="s">
        <v>159</v>
      </c>
      <c r="AA26" s="180" t="s">
        <v>378</v>
      </c>
      <c r="AB26" s="180" t="s">
        <v>161</v>
      </c>
      <c r="AC26" s="182" t="s">
        <v>165</v>
      </c>
      <c r="AD26" s="575"/>
      <c r="AE26" s="180" t="s">
        <v>159</v>
      </c>
      <c r="AF26" s="180" t="s">
        <v>378</v>
      </c>
      <c r="AG26" s="180" t="s">
        <v>161</v>
      </c>
      <c r="AH26" s="182" t="s">
        <v>165</v>
      </c>
      <c r="AI26" s="575"/>
      <c r="AJ26" s="180" t="s">
        <v>159</v>
      </c>
      <c r="AK26" s="180" t="s">
        <v>378</v>
      </c>
      <c r="AL26" s="180" t="s">
        <v>161</v>
      </c>
      <c r="AM26" s="182" t="s">
        <v>165</v>
      </c>
      <c r="AN26" s="575"/>
      <c r="AO26" s="180" t="s">
        <v>159</v>
      </c>
      <c r="AP26" s="180" t="s">
        <v>378</v>
      </c>
      <c r="AQ26" s="180" t="s">
        <v>161</v>
      </c>
      <c r="AR26" s="182" t="s">
        <v>165</v>
      </c>
      <c r="AS26" s="575"/>
      <c r="AT26" s="180" t="s">
        <v>159</v>
      </c>
      <c r="AU26" s="180" t="s">
        <v>378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382</v>
      </c>
      <c r="C27" s="180">
        <v>1</v>
      </c>
      <c r="D27" s="183"/>
      <c r="E27" s="180"/>
      <c r="F27" s="180"/>
      <c r="G27" s="185"/>
      <c r="H27" s="576"/>
      <c r="I27" s="186"/>
      <c r="J27" s="186"/>
      <c r="K27" s="187"/>
      <c r="L27" s="577"/>
      <c r="M27" s="186"/>
      <c r="N27" s="575"/>
      <c r="O27" s="575"/>
      <c r="P27" s="188"/>
      <c r="Q27" s="188"/>
      <c r="R27" s="185"/>
      <c r="S27" s="182"/>
      <c r="T27" s="576"/>
      <c r="U27" s="188"/>
      <c r="V27" s="188"/>
      <c r="W27" s="185"/>
      <c r="X27" s="182"/>
      <c r="Y27" s="576"/>
      <c r="Z27" s="188"/>
      <c r="AA27" s="188"/>
      <c r="AB27" s="185"/>
      <c r="AC27" s="182"/>
      <c r="AD27" s="576"/>
      <c r="AE27" s="188"/>
      <c r="AF27" s="188"/>
      <c r="AG27" s="185"/>
      <c r="AH27" s="182"/>
      <c r="AI27" s="576"/>
      <c r="AJ27" s="188"/>
      <c r="AK27" s="188"/>
      <c r="AL27" s="185"/>
      <c r="AM27" s="182"/>
      <c r="AN27" s="576"/>
      <c r="AO27" s="188"/>
      <c r="AP27" s="188"/>
      <c r="AQ27" s="185"/>
      <c r="AR27" s="182"/>
      <c r="AS27" s="576"/>
      <c r="AT27" s="188"/>
      <c r="AU27" s="188"/>
      <c r="AV27" s="185"/>
      <c r="AW27" s="182"/>
      <c r="AX27" s="576"/>
    </row>
    <row r="28" spans="2:50" ht="14.25" customHeight="1">
      <c r="B28" s="575"/>
      <c r="C28" s="180">
        <v>2</v>
      </c>
      <c r="D28" s="183"/>
      <c r="E28" s="180"/>
      <c r="F28" s="180"/>
      <c r="G28" s="185"/>
      <c r="H28" s="576"/>
      <c r="I28" s="186"/>
      <c r="J28" s="186"/>
      <c r="K28" s="187"/>
      <c r="L28" s="577"/>
      <c r="M28" s="186"/>
      <c r="N28" s="575"/>
      <c r="O28" s="575"/>
      <c r="P28" s="188"/>
      <c r="Q28" s="188"/>
      <c r="R28" s="185"/>
      <c r="S28" s="182"/>
      <c r="T28" s="576"/>
      <c r="U28" s="188"/>
      <c r="V28" s="188"/>
      <c r="W28" s="185"/>
      <c r="X28" s="182"/>
      <c r="Y28" s="576"/>
      <c r="Z28" s="188"/>
      <c r="AA28" s="188"/>
      <c r="AB28" s="185"/>
      <c r="AC28" s="182"/>
      <c r="AD28" s="576"/>
      <c r="AE28" s="188"/>
      <c r="AF28" s="188"/>
      <c r="AG28" s="185"/>
      <c r="AH28" s="182"/>
      <c r="AI28" s="576"/>
      <c r="AJ28" s="188"/>
      <c r="AK28" s="188"/>
      <c r="AL28" s="185"/>
      <c r="AM28" s="182"/>
      <c r="AN28" s="576"/>
      <c r="AO28" s="188"/>
      <c r="AP28" s="188"/>
      <c r="AQ28" s="185"/>
      <c r="AR28" s="182"/>
      <c r="AS28" s="576"/>
      <c r="AT28" s="188"/>
      <c r="AU28" s="188"/>
      <c r="AV28" s="185"/>
      <c r="AW28" s="182"/>
      <c r="AX28" s="576"/>
    </row>
    <row r="29" spans="2:50" ht="14.25" customHeight="1">
      <c r="B29" s="575"/>
      <c r="C29" s="180">
        <v>3</v>
      </c>
      <c r="D29" s="183"/>
      <c r="E29" s="180"/>
      <c r="F29" s="180"/>
      <c r="G29" s="185"/>
      <c r="H29" s="576"/>
      <c r="I29" s="186"/>
      <c r="J29" s="186"/>
      <c r="K29" s="187"/>
      <c r="L29" s="577"/>
      <c r="M29" s="186"/>
      <c r="N29" s="575"/>
      <c r="O29" s="575"/>
      <c r="P29" s="188"/>
      <c r="Q29" s="188"/>
      <c r="R29" s="185"/>
      <c r="S29" s="182"/>
      <c r="T29" s="576"/>
      <c r="U29" s="188"/>
      <c r="V29" s="188"/>
      <c r="W29" s="185"/>
      <c r="X29" s="182"/>
      <c r="Y29" s="576"/>
      <c r="Z29" s="188"/>
      <c r="AA29" s="188"/>
      <c r="AB29" s="185"/>
      <c r="AC29" s="182"/>
      <c r="AD29" s="576"/>
      <c r="AE29" s="188"/>
      <c r="AF29" s="188"/>
      <c r="AG29" s="185"/>
      <c r="AH29" s="182"/>
      <c r="AI29" s="576"/>
      <c r="AJ29" s="188"/>
      <c r="AK29" s="188"/>
      <c r="AL29" s="185"/>
      <c r="AM29" s="182"/>
      <c r="AN29" s="576"/>
      <c r="AO29" s="188"/>
      <c r="AP29" s="188"/>
      <c r="AQ29" s="185"/>
      <c r="AR29" s="182"/>
      <c r="AS29" s="576"/>
      <c r="AT29" s="188"/>
      <c r="AU29" s="188"/>
      <c r="AV29" s="185"/>
      <c r="AW29" s="182"/>
      <c r="AX29" s="576"/>
    </row>
    <row r="30" spans="2:50" ht="14.25" customHeight="1">
      <c r="B30" s="575"/>
      <c r="C30" s="180">
        <v>4</v>
      </c>
      <c r="D30" s="183"/>
      <c r="E30" s="180"/>
      <c r="F30" s="180"/>
      <c r="G30" s="185"/>
      <c r="H30" s="576"/>
      <c r="I30" s="186"/>
      <c r="J30" s="186"/>
      <c r="K30" s="187"/>
      <c r="L30" s="577"/>
      <c r="M30" s="186"/>
      <c r="N30" s="575"/>
      <c r="O30" s="575"/>
      <c r="P30" s="188"/>
      <c r="Q30" s="188"/>
      <c r="R30" s="185"/>
      <c r="S30" s="182"/>
      <c r="T30" s="576"/>
      <c r="U30" s="188"/>
      <c r="V30" s="188"/>
      <c r="W30" s="185"/>
      <c r="X30" s="182"/>
      <c r="Y30" s="576"/>
      <c r="Z30" s="188"/>
      <c r="AA30" s="188"/>
      <c r="AB30" s="185"/>
      <c r="AC30" s="182"/>
      <c r="AD30" s="576"/>
      <c r="AE30" s="188"/>
      <c r="AF30" s="188"/>
      <c r="AG30" s="185"/>
      <c r="AH30" s="182"/>
      <c r="AI30" s="576"/>
      <c r="AJ30" s="188"/>
      <c r="AK30" s="188"/>
      <c r="AL30" s="185"/>
      <c r="AM30" s="182"/>
      <c r="AN30" s="576"/>
      <c r="AO30" s="188"/>
      <c r="AP30" s="188"/>
      <c r="AQ30" s="185"/>
      <c r="AR30" s="182"/>
      <c r="AS30" s="576"/>
      <c r="AT30" s="188"/>
      <c r="AU30" s="188"/>
      <c r="AV30" s="185"/>
      <c r="AW30" s="182"/>
      <c r="AX30" s="576"/>
    </row>
    <row r="31" spans="2:50" ht="14.25" customHeight="1">
      <c r="B31" s="575"/>
      <c r="C31" s="180">
        <v>5</v>
      </c>
      <c r="D31" s="183"/>
      <c r="E31" s="180"/>
      <c r="F31" s="180"/>
      <c r="G31" s="185"/>
      <c r="H31" s="576"/>
      <c r="I31" s="186"/>
      <c r="J31" s="186"/>
      <c r="K31" s="187"/>
      <c r="L31" s="577"/>
      <c r="M31" s="186"/>
      <c r="N31" s="575"/>
      <c r="O31" s="575"/>
      <c r="P31" s="188"/>
      <c r="Q31" s="188"/>
      <c r="R31" s="185"/>
      <c r="S31" s="182"/>
      <c r="T31" s="576"/>
      <c r="U31" s="188"/>
      <c r="V31" s="188"/>
      <c r="W31" s="185"/>
      <c r="X31" s="182"/>
      <c r="Y31" s="576"/>
      <c r="Z31" s="188"/>
      <c r="AA31" s="188"/>
      <c r="AB31" s="185"/>
      <c r="AC31" s="182"/>
      <c r="AD31" s="576"/>
      <c r="AE31" s="188"/>
      <c r="AF31" s="188"/>
      <c r="AG31" s="185"/>
      <c r="AH31" s="182"/>
      <c r="AI31" s="576"/>
      <c r="AJ31" s="188"/>
      <c r="AK31" s="188"/>
      <c r="AL31" s="185"/>
      <c r="AM31" s="182"/>
      <c r="AN31" s="576"/>
      <c r="AO31" s="188"/>
      <c r="AP31" s="188"/>
      <c r="AQ31" s="185"/>
      <c r="AR31" s="182"/>
      <c r="AS31" s="576"/>
      <c r="AT31" s="188"/>
      <c r="AU31" s="188"/>
      <c r="AV31" s="185"/>
      <c r="AW31" s="182"/>
      <c r="AX31" s="576"/>
    </row>
    <row r="32" spans="2:50" ht="14.25" customHeight="1">
      <c r="B32" s="575"/>
      <c r="C32" s="180">
        <v>6</v>
      </c>
      <c r="D32" s="183"/>
      <c r="E32" s="180"/>
      <c r="F32" s="180"/>
      <c r="G32" s="185"/>
      <c r="H32" s="576"/>
      <c r="I32" s="186"/>
      <c r="J32" s="186"/>
      <c r="K32" s="187"/>
      <c r="L32" s="577"/>
      <c r="M32" s="186"/>
      <c r="N32" s="575"/>
      <c r="O32" s="575"/>
      <c r="P32" s="188"/>
      <c r="Q32" s="188"/>
      <c r="R32" s="185"/>
      <c r="S32" s="182"/>
      <c r="T32" s="576"/>
      <c r="U32" s="188"/>
      <c r="V32" s="188"/>
      <c r="W32" s="185"/>
      <c r="X32" s="182"/>
      <c r="Y32" s="576"/>
      <c r="Z32" s="188"/>
      <c r="AA32" s="188"/>
      <c r="AB32" s="185"/>
      <c r="AC32" s="182"/>
      <c r="AD32" s="576"/>
      <c r="AE32" s="188"/>
      <c r="AF32" s="188"/>
      <c r="AG32" s="185"/>
      <c r="AH32" s="182"/>
      <c r="AI32" s="576"/>
      <c r="AJ32" s="188"/>
      <c r="AK32" s="188"/>
      <c r="AL32" s="185"/>
      <c r="AM32" s="182"/>
      <c r="AN32" s="576"/>
      <c r="AO32" s="188"/>
      <c r="AP32" s="188"/>
      <c r="AQ32" s="185"/>
      <c r="AR32" s="182"/>
      <c r="AS32" s="576"/>
      <c r="AT32" s="188"/>
      <c r="AU32" s="188"/>
      <c r="AV32" s="185"/>
      <c r="AW32" s="182"/>
      <c r="AX32" s="576"/>
    </row>
    <row r="33" spans="2:50" ht="14.25" customHeight="1">
      <c r="B33" s="575"/>
      <c r="C33" s="180">
        <v>7</v>
      </c>
      <c r="D33" s="183"/>
      <c r="E33" s="180"/>
      <c r="F33" s="180"/>
      <c r="G33" s="185"/>
      <c r="H33" s="576"/>
      <c r="I33" s="186"/>
      <c r="J33" s="186"/>
      <c r="K33" s="187"/>
      <c r="L33" s="577"/>
      <c r="M33" s="186"/>
      <c r="N33" s="575"/>
      <c r="O33" s="575"/>
      <c r="P33" s="188"/>
      <c r="Q33" s="188"/>
      <c r="R33" s="185"/>
      <c r="S33" s="182"/>
      <c r="T33" s="576"/>
      <c r="U33" s="188"/>
      <c r="V33" s="188"/>
      <c r="W33" s="185"/>
      <c r="X33" s="182"/>
      <c r="Y33" s="576"/>
      <c r="Z33" s="188"/>
      <c r="AA33" s="188"/>
      <c r="AB33" s="185"/>
      <c r="AC33" s="182"/>
      <c r="AD33" s="576"/>
      <c r="AE33" s="188"/>
      <c r="AF33" s="188"/>
      <c r="AG33" s="185"/>
      <c r="AH33" s="182"/>
      <c r="AI33" s="576"/>
      <c r="AJ33" s="188"/>
      <c r="AK33" s="188"/>
      <c r="AL33" s="185"/>
      <c r="AM33" s="182"/>
      <c r="AN33" s="576"/>
      <c r="AO33" s="188"/>
      <c r="AP33" s="188"/>
      <c r="AQ33" s="185"/>
      <c r="AR33" s="182"/>
      <c r="AS33" s="576"/>
      <c r="AT33" s="188"/>
      <c r="AU33" s="188"/>
      <c r="AV33" s="185"/>
      <c r="AW33" s="182"/>
      <c r="AX33" s="576"/>
    </row>
    <row r="34" spans="2:50" ht="14.25" customHeight="1">
      <c r="B34" s="575"/>
      <c r="C34" s="180">
        <v>8</v>
      </c>
      <c r="D34" s="183"/>
      <c r="E34" s="180"/>
      <c r="F34" s="180"/>
      <c r="G34" s="185"/>
      <c r="H34" s="576"/>
      <c r="I34" s="186"/>
      <c r="J34" s="186"/>
      <c r="K34" s="187"/>
      <c r="L34" s="577"/>
      <c r="M34" s="186"/>
      <c r="N34" s="575"/>
      <c r="O34" s="575"/>
      <c r="P34" s="188"/>
      <c r="Q34" s="188"/>
      <c r="R34" s="185"/>
      <c r="S34" s="182"/>
      <c r="T34" s="576"/>
      <c r="U34" s="188"/>
      <c r="V34" s="188"/>
      <c r="W34" s="185"/>
      <c r="X34" s="182"/>
      <c r="Y34" s="576"/>
      <c r="Z34" s="188"/>
      <c r="AA34" s="188"/>
      <c r="AB34" s="185"/>
      <c r="AC34" s="182"/>
      <c r="AD34" s="576"/>
      <c r="AE34" s="188"/>
      <c r="AF34" s="188"/>
      <c r="AG34" s="185"/>
      <c r="AH34" s="182"/>
      <c r="AI34" s="576"/>
      <c r="AJ34" s="188"/>
      <c r="AK34" s="188"/>
      <c r="AL34" s="185"/>
      <c r="AM34" s="182"/>
      <c r="AN34" s="576"/>
      <c r="AO34" s="188"/>
      <c r="AP34" s="188"/>
      <c r="AQ34" s="185"/>
      <c r="AR34" s="182"/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589" t="s">
        <v>715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09" t="s">
        <v>374</v>
      </c>
      <c r="O42" s="609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1"/>
      <c r="O43" s="611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375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376</v>
      </c>
      <c r="F45" s="575"/>
      <c r="G45" s="575"/>
      <c r="H45" s="575"/>
      <c r="I45" s="579" t="s">
        <v>376</v>
      </c>
      <c r="J45" s="579"/>
      <c r="K45" s="579"/>
      <c r="L45" s="579"/>
      <c r="M45" s="579"/>
      <c r="N45" s="575"/>
      <c r="O45" s="575"/>
      <c r="P45" s="575" t="s">
        <v>377</v>
      </c>
      <c r="Q45" s="575"/>
      <c r="R45" s="575"/>
      <c r="S45" s="575"/>
      <c r="T45" s="575"/>
      <c r="U45" s="575" t="s">
        <v>377</v>
      </c>
      <c r="V45" s="575"/>
      <c r="W45" s="575"/>
      <c r="X45" s="575"/>
      <c r="Y45" s="575"/>
      <c r="Z45" s="575" t="s">
        <v>377</v>
      </c>
      <c r="AA45" s="575"/>
      <c r="AB45" s="575"/>
      <c r="AC45" s="575"/>
      <c r="AD45" s="575"/>
      <c r="AE45" s="575" t="s">
        <v>377</v>
      </c>
      <c r="AF45" s="575"/>
      <c r="AG45" s="575"/>
      <c r="AH45" s="575"/>
      <c r="AI45" s="575"/>
      <c r="AJ45" s="575" t="s">
        <v>377</v>
      </c>
      <c r="AK45" s="575"/>
      <c r="AL45" s="575"/>
      <c r="AM45" s="575"/>
      <c r="AN45" s="575"/>
      <c r="AO45" s="575" t="s">
        <v>377</v>
      </c>
      <c r="AP45" s="575"/>
      <c r="AQ45" s="575"/>
      <c r="AR45" s="575"/>
      <c r="AS45" s="575"/>
      <c r="AT45" s="575" t="s">
        <v>377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378</v>
      </c>
      <c r="G46" s="180" t="s">
        <v>161</v>
      </c>
      <c r="H46" s="575"/>
      <c r="I46" s="181" t="s">
        <v>159</v>
      </c>
      <c r="J46" s="181" t="s">
        <v>378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378</v>
      </c>
      <c r="R46" s="180" t="s">
        <v>161</v>
      </c>
      <c r="S46" s="182" t="s">
        <v>165</v>
      </c>
      <c r="T46" s="575"/>
      <c r="U46" s="180" t="s">
        <v>159</v>
      </c>
      <c r="V46" s="180" t="s">
        <v>378</v>
      </c>
      <c r="W46" s="180" t="s">
        <v>161</v>
      </c>
      <c r="X46" s="182" t="s">
        <v>165</v>
      </c>
      <c r="Y46" s="575"/>
      <c r="Z46" s="180" t="s">
        <v>159</v>
      </c>
      <c r="AA46" s="180" t="s">
        <v>378</v>
      </c>
      <c r="AB46" s="180" t="s">
        <v>161</v>
      </c>
      <c r="AC46" s="182" t="s">
        <v>165</v>
      </c>
      <c r="AD46" s="575"/>
      <c r="AE46" s="180" t="s">
        <v>159</v>
      </c>
      <c r="AF46" s="180" t="s">
        <v>378</v>
      </c>
      <c r="AG46" s="180" t="s">
        <v>161</v>
      </c>
      <c r="AH46" s="182" t="s">
        <v>165</v>
      </c>
      <c r="AI46" s="575"/>
      <c r="AJ46" s="180" t="s">
        <v>159</v>
      </c>
      <c r="AK46" s="180" t="s">
        <v>378</v>
      </c>
      <c r="AL46" s="180" t="s">
        <v>161</v>
      </c>
      <c r="AM46" s="182" t="s">
        <v>165</v>
      </c>
      <c r="AN46" s="575"/>
      <c r="AO46" s="180" t="s">
        <v>159</v>
      </c>
      <c r="AP46" s="180" t="s">
        <v>378</v>
      </c>
      <c r="AQ46" s="180" t="s">
        <v>161</v>
      </c>
      <c r="AR46" s="182" t="s">
        <v>165</v>
      </c>
      <c r="AS46" s="575"/>
      <c r="AT46" s="180" t="s">
        <v>159</v>
      </c>
      <c r="AU46" s="180" t="s">
        <v>378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382</v>
      </c>
      <c r="C47" s="180">
        <v>1</v>
      </c>
      <c r="D47" s="183" t="s">
        <v>718</v>
      </c>
      <c r="E47" s="180">
        <v>20</v>
      </c>
      <c r="F47" s="180">
        <v>3600</v>
      </c>
      <c r="G47" s="185">
        <f t="shared" ref="G47:G49" si="20">F47/E47</f>
        <v>180</v>
      </c>
      <c r="H47" s="576">
        <f>AVERAGE(G47:G61)</f>
        <v>180.30075187969928</v>
      </c>
      <c r="I47" s="186">
        <f>AVERAGE(P47,U47,Z47,AE47,AJ47,AO47,AT47)</f>
        <v>20</v>
      </c>
      <c r="J47" s="186">
        <f>AVERAGE(Q47,V47,AA47,AF47,AK47,AP47,AU47)</f>
        <v>3160.3464189668584</v>
      </c>
      <c r="K47" s="187">
        <f>AVERAGE(R47,W47,AB47,AG47,AL47,AQ47,AV47)</f>
        <v>158.01732094834293</v>
      </c>
      <c r="L47" s="577">
        <f>IFERROR(AVERAGE(K47:K61),"-")</f>
        <v>157.40548930332389</v>
      </c>
      <c r="M47" s="186">
        <f>RANK(K47, K$47:$K$61)</f>
        <v>2</v>
      </c>
      <c r="N47" s="575"/>
      <c r="O47" s="575"/>
      <c r="P47" s="188">
        <v>20</v>
      </c>
      <c r="Q47" s="188">
        <v>2988.0000000000005</v>
      </c>
      <c r="R47" s="185">
        <f>IFERROR(Q47/P47,"")</f>
        <v>149.40000000000003</v>
      </c>
      <c r="S47" s="182">
        <f>RANK(R47, R$47:R$61)</f>
        <v>2</v>
      </c>
      <c r="T47" s="576">
        <f>AVERAGE(R47:R61)</f>
        <v>149.35497086018503</v>
      </c>
      <c r="U47" s="188">
        <v>20</v>
      </c>
      <c r="V47" s="188">
        <v>3047.7600000000007</v>
      </c>
      <c r="W47" s="185">
        <f t="shared" ref="W47:W49" si="21">IFERROR(V47/U47,"")</f>
        <v>152.38800000000003</v>
      </c>
      <c r="X47" s="182">
        <f>RANK(W47, W$47:W$61)</f>
        <v>2</v>
      </c>
      <c r="Y47" s="576">
        <f>AVERAGE(W47:W61)</f>
        <v>152.34329734505786</v>
      </c>
      <c r="Z47" s="188">
        <v>20</v>
      </c>
      <c r="AA47" s="188">
        <v>3107.2464000000018</v>
      </c>
      <c r="AB47" s="185">
        <f t="shared" ref="AB47:AB49" si="22">IFERROR(AA47/Z47,"")</f>
        <v>155.3623200000001</v>
      </c>
      <c r="AC47" s="182">
        <f>RANK(AB47, AB$47:AB$61)</f>
        <v>2</v>
      </c>
      <c r="AD47" s="576">
        <f>AVERAGE(AB47:AB61)</f>
        <v>155.32948479571846</v>
      </c>
      <c r="AE47" s="188">
        <v>20</v>
      </c>
      <c r="AF47" s="188">
        <v>3200.4637920000018</v>
      </c>
      <c r="AG47" s="185">
        <f>IFERROR(AF47/AE47,"")</f>
        <v>160.02318960000008</v>
      </c>
      <c r="AH47" s="182">
        <f>RANK(AG47, AG$47:AG$61)</f>
        <v>2</v>
      </c>
      <c r="AI47" s="576">
        <f>AVERAGE(AG47:AG61)</f>
        <v>159.75047011952867</v>
      </c>
      <c r="AJ47" s="188">
        <v>20</v>
      </c>
      <c r="AK47" s="188">
        <v>3259.1715802560016</v>
      </c>
      <c r="AL47" s="185">
        <f t="shared" ref="AL47:AL49" si="23">IFERROR(AK47/AJ47,"")</f>
        <v>162.95857901280007</v>
      </c>
      <c r="AM47" s="182">
        <f>RANK(AL47, AL$47:AL$61)</f>
        <v>2</v>
      </c>
      <c r="AN47" s="576">
        <f>AVERAGE(AL47:AL61)</f>
        <v>161.63652848714131</v>
      </c>
      <c r="AO47" s="188">
        <v>20</v>
      </c>
      <c r="AP47" s="188">
        <v>3259.8915802560014</v>
      </c>
      <c r="AQ47" s="185">
        <f t="shared" ref="AQ47:AQ49" si="24">IFERROR(AP47/AO47,"")</f>
        <v>162.99457901280007</v>
      </c>
      <c r="AR47" s="182">
        <f>RANK(AQ47, AQ$47:AQ$61)</f>
        <v>2</v>
      </c>
      <c r="AS47" s="576">
        <f>AVERAGE(AQ47:AQ61)</f>
        <v>161.6846187127052</v>
      </c>
      <c r="AT47" s="188">
        <v>20</v>
      </c>
      <c r="AU47" s="188">
        <v>3259.8915802560014</v>
      </c>
      <c r="AV47" s="185">
        <f t="shared" ref="AV47:AV49" si="25">IFERROR(AU47/AT47,"")</f>
        <v>162.99457901280007</v>
      </c>
      <c r="AW47" s="182">
        <f>RANK(AV47, AV$47:AV$61)</f>
        <v>2</v>
      </c>
      <c r="AX47" s="576">
        <f>AVERAGE(AV47:AV61)</f>
        <v>161.73905480293078</v>
      </c>
    </row>
    <row r="48" spans="2:50" ht="14.25" customHeight="1">
      <c r="B48" s="575"/>
      <c r="C48" s="180">
        <v>2</v>
      </c>
      <c r="D48" s="183" t="s">
        <v>719</v>
      </c>
      <c r="E48" s="180">
        <v>21</v>
      </c>
      <c r="F48" s="180">
        <v>3600</v>
      </c>
      <c r="G48" s="185">
        <f t="shared" si="20"/>
        <v>171.42857142857142</v>
      </c>
      <c r="H48" s="576"/>
      <c r="I48" s="186">
        <f t="shared" ref="I48:K49" si="26">AVERAGE(P48,U48,Z48,AE48,AJ48,AO48,AT48)</f>
        <v>21</v>
      </c>
      <c r="J48" s="186">
        <f t="shared" si="26"/>
        <v>3160.1115863333475</v>
      </c>
      <c r="K48" s="187">
        <f t="shared" si="26"/>
        <v>150.48150411111178</v>
      </c>
      <c r="L48" s="577"/>
      <c r="M48" s="186">
        <f>RANK(K48, K$47:$K$61)</f>
        <v>3</v>
      </c>
      <c r="N48" s="575"/>
      <c r="O48" s="575"/>
      <c r="P48" s="188">
        <v>21</v>
      </c>
      <c r="Q48" s="188">
        <v>2988</v>
      </c>
      <c r="R48" s="185">
        <f t="shared" ref="R48:R49" si="27">IFERROR(Q48/P48,"")</f>
        <v>142.28571428571428</v>
      </c>
      <c r="S48" s="182">
        <f t="shared" ref="S48:S49" si="28">RANK(R48, R$47:R$61)</f>
        <v>3</v>
      </c>
      <c r="T48" s="576"/>
      <c r="U48" s="188">
        <v>21</v>
      </c>
      <c r="V48" s="188">
        <v>3047.0255999999995</v>
      </c>
      <c r="W48" s="185">
        <f t="shared" si="21"/>
        <v>145.0964571428571</v>
      </c>
      <c r="X48" s="182">
        <f t="shared" ref="X48:X49" si="29">RANK(W48, W$47:W$61)</f>
        <v>3</v>
      </c>
      <c r="Y48" s="576"/>
      <c r="Z48" s="188">
        <v>21</v>
      </c>
      <c r="AA48" s="188">
        <v>3106.4973119999991</v>
      </c>
      <c r="AB48" s="185">
        <f t="shared" si="22"/>
        <v>147.92844342857137</v>
      </c>
      <c r="AC48" s="182">
        <f t="shared" ref="AC48:AC49" si="30">RANK(AB48, AB$47:AB$61)</f>
        <v>3</v>
      </c>
      <c r="AD48" s="576"/>
      <c r="AE48" s="188">
        <v>21</v>
      </c>
      <c r="AF48" s="188">
        <v>3200.4338313599983</v>
      </c>
      <c r="AG48" s="185">
        <f t="shared" ref="AG48:AG49" si="31">IFERROR(AF48/AE48,"")</f>
        <v>152.40161101714278</v>
      </c>
      <c r="AH48" s="182">
        <f t="shared" ref="AH48:AH49" si="32">RANK(AG48, AG$47:AG$61)</f>
        <v>3</v>
      </c>
      <c r="AI48" s="576"/>
      <c r="AJ48" s="188">
        <v>21</v>
      </c>
      <c r="AK48" s="188">
        <v>3258.4081203244787</v>
      </c>
      <c r="AL48" s="185">
        <f t="shared" si="23"/>
        <v>155.1622914440228</v>
      </c>
      <c r="AM48" s="182">
        <f t="shared" ref="AM48:AM49" si="33">RANK(AL48, AL$47:AL$61)</f>
        <v>3</v>
      </c>
      <c r="AN48" s="576"/>
      <c r="AO48" s="188">
        <v>21</v>
      </c>
      <c r="AP48" s="188">
        <v>3259.488120324479</v>
      </c>
      <c r="AQ48" s="185">
        <f t="shared" si="24"/>
        <v>155.21372001545137</v>
      </c>
      <c r="AR48" s="182">
        <f t="shared" ref="AR48:AR49" si="34">RANK(AQ48, AQ$47:AQ$61)</f>
        <v>3</v>
      </c>
      <c r="AS48" s="576"/>
      <c r="AT48" s="188">
        <v>21</v>
      </c>
      <c r="AU48" s="188">
        <v>3260.9281203244796</v>
      </c>
      <c r="AV48" s="185">
        <f t="shared" si="25"/>
        <v>155.28229144402283</v>
      </c>
      <c r="AW48" s="182">
        <f t="shared" ref="AW48:AW49" si="35">RANK(AV48, AV$47:AV$61)</f>
        <v>3</v>
      </c>
      <c r="AX48" s="576"/>
    </row>
    <row r="49" spans="2:50" ht="14.25" customHeight="1">
      <c r="B49" s="575"/>
      <c r="C49" s="180">
        <v>3</v>
      </c>
      <c r="D49" s="183" t="s">
        <v>720</v>
      </c>
      <c r="E49" s="180">
        <v>19</v>
      </c>
      <c r="F49" s="180">
        <v>3600</v>
      </c>
      <c r="G49" s="185">
        <f t="shared" si="20"/>
        <v>189.47368421052633</v>
      </c>
      <c r="H49" s="576"/>
      <c r="I49" s="186">
        <f t="shared" si="26"/>
        <v>19</v>
      </c>
      <c r="J49" s="186">
        <f t="shared" si="26"/>
        <v>3110.6352141598227</v>
      </c>
      <c r="K49" s="187">
        <f t="shared" si="26"/>
        <v>163.717642850517</v>
      </c>
      <c r="L49" s="577"/>
      <c r="M49" s="186">
        <f>RANK(K49, K$47:$K$61)</f>
        <v>1</v>
      </c>
      <c r="N49" s="575"/>
      <c r="O49" s="575"/>
      <c r="P49" s="188">
        <v>19</v>
      </c>
      <c r="Q49" s="188">
        <v>2971.2047676019738</v>
      </c>
      <c r="R49" s="185">
        <f t="shared" si="27"/>
        <v>156.37919829484073</v>
      </c>
      <c r="S49" s="182">
        <f t="shared" si="28"/>
        <v>1</v>
      </c>
      <c r="T49" s="576"/>
      <c r="U49" s="188">
        <v>19</v>
      </c>
      <c r="V49" s="188">
        <v>3031.363262954013</v>
      </c>
      <c r="W49" s="185">
        <f t="shared" si="21"/>
        <v>159.54543489231648</v>
      </c>
      <c r="X49" s="182">
        <f t="shared" si="29"/>
        <v>1</v>
      </c>
      <c r="Y49" s="576"/>
      <c r="Z49" s="188">
        <v>19</v>
      </c>
      <c r="AA49" s="188">
        <v>3091.2561282130928</v>
      </c>
      <c r="AB49" s="185">
        <f t="shared" si="22"/>
        <v>162.69769095858382</v>
      </c>
      <c r="AC49" s="182">
        <f t="shared" si="30"/>
        <v>1</v>
      </c>
      <c r="AD49" s="576"/>
      <c r="AE49" s="188">
        <v>19</v>
      </c>
      <c r="AF49" s="188">
        <v>3169.7055850874203</v>
      </c>
      <c r="AG49" s="185">
        <f t="shared" si="31"/>
        <v>166.82660974144318</v>
      </c>
      <c r="AH49" s="182">
        <f t="shared" si="32"/>
        <v>1</v>
      </c>
      <c r="AI49" s="576"/>
      <c r="AJ49" s="188">
        <v>19</v>
      </c>
      <c r="AK49" s="188">
        <v>3168.9855850874201</v>
      </c>
      <c r="AL49" s="185">
        <f t="shared" si="23"/>
        <v>166.78871500460104</v>
      </c>
      <c r="AM49" s="182">
        <f t="shared" si="33"/>
        <v>1</v>
      </c>
      <c r="AN49" s="576"/>
      <c r="AO49" s="188">
        <v>19</v>
      </c>
      <c r="AP49" s="188">
        <v>3170.0655850874195</v>
      </c>
      <c r="AQ49" s="185">
        <f t="shared" si="24"/>
        <v>166.84555710986419</v>
      </c>
      <c r="AR49" s="182">
        <f t="shared" si="34"/>
        <v>1</v>
      </c>
      <c r="AS49" s="576"/>
      <c r="AT49" s="188">
        <v>19</v>
      </c>
      <c r="AU49" s="188">
        <v>3171.8655850874193</v>
      </c>
      <c r="AV49" s="185">
        <f t="shared" si="25"/>
        <v>166.94029395196944</v>
      </c>
      <c r="AW49" s="182">
        <f t="shared" si="35"/>
        <v>1</v>
      </c>
      <c r="AX49" s="576"/>
    </row>
    <row r="50" spans="2:50" ht="14.25" customHeight="1">
      <c r="B50" s="575"/>
      <c r="C50" s="180">
        <v>4</v>
      </c>
      <c r="D50" s="183"/>
      <c r="E50" s="180"/>
      <c r="F50" s="180"/>
      <c r="G50" s="185"/>
      <c r="H50" s="576"/>
      <c r="I50" s="186"/>
      <c r="J50" s="186"/>
      <c r="K50" s="187"/>
      <c r="L50" s="577"/>
      <c r="M50" s="186"/>
      <c r="N50" s="575"/>
      <c r="O50" s="575"/>
      <c r="P50" s="188"/>
      <c r="Q50" s="188"/>
      <c r="R50" s="185"/>
      <c r="S50" s="182"/>
      <c r="T50" s="576"/>
      <c r="U50" s="188"/>
      <c r="V50" s="188"/>
      <c r="W50" s="185"/>
      <c r="X50" s="182"/>
      <c r="Y50" s="576"/>
      <c r="Z50" s="188"/>
      <c r="AA50" s="188"/>
      <c r="AB50" s="185"/>
      <c r="AC50" s="182"/>
      <c r="AD50" s="576"/>
      <c r="AE50" s="188"/>
      <c r="AF50" s="188"/>
      <c r="AG50" s="185"/>
      <c r="AH50" s="182"/>
      <c r="AI50" s="576"/>
      <c r="AJ50" s="188"/>
      <c r="AK50" s="188"/>
      <c r="AL50" s="185"/>
      <c r="AM50" s="182"/>
      <c r="AN50" s="576"/>
      <c r="AO50" s="188"/>
      <c r="AP50" s="188"/>
      <c r="AQ50" s="185"/>
      <c r="AR50" s="182"/>
      <c r="AS50" s="576"/>
      <c r="AT50" s="188"/>
      <c r="AU50" s="188"/>
      <c r="AV50" s="185"/>
      <c r="AW50" s="182"/>
      <c r="AX50" s="576"/>
    </row>
    <row r="51" spans="2:50" ht="14.25" customHeight="1">
      <c r="B51" s="575"/>
      <c r="C51" s="180">
        <v>5</v>
      </c>
      <c r="D51" s="183"/>
      <c r="E51" s="180"/>
      <c r="F51" s="180"/>
      <c r="G51" s="185"/>
      <c r="H51" s="576"/>
      <c r="I51" s="186"/>
      <c r="J51" s="186"/>
      <c r="K51" s="187"/>
      <c r="L51" s="577"/>
      <c r="M51" s="186"/>
      <c r="N51" s="575"/>
      <c r="O51" s="575"/>
      <c r="P51" s="188"/>
      <c r="Q51" s="188"/>
      <c r="R51" s="185"/>
      <c r="S51" s="182"/>
      <c r="T51" s="576"/>
      <c r="U51" s="188"/>
      <c r="V51" s="188"/>
      <c r="W51" s="185"/>
      <c r="X51" s="182"/>
      <c r="Y51" s="576"/>
      <c r="Z51" s="188"/>
      <c r="AA51" s="188"/>
      <c r="AB51" s="185"/>
      <c r="AC51" s="182"/>
      <c r="AD51" s="576"/>
      <c r="AE51" s="188"/>
      <c r="AF51" s="188"/>
      <c r="AG51" s="185"/>
      <c r="AH51" s="182"/>
      <c r="AI51" s="576"/>
      <c r="AJ51" s="188"/>
      <c r="AK51" s="188"/>
      <c r="AL51" s="185"/>
      <c r="AM51" s="182"/>
      <c r="AN51" s="576"/>
      <c r="AO51" s="188"/>
      <c r="AP51" s="188"/>
      <c r="AQ51" s="185"/>
      <c r="AR51" s="182"/>
      <c r="AS51" s="576"/>
      <c r="AT51" s="188"/>
      <c r="AU51" s="188"/>
      <c r="AV51" s="185"/>
      <c r="AW51" s="182"/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576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576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576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  <row r="62" spans="2:50" ht="14.25" customHeight="1">
      <c r="B62" s="643" t="s">
        <v>754</v>
      </c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4"/>
      <c r="N62" s="609" t="s">
        <v>374</v>
      </c>
      <c r="O62" s="609" t="s">
        <v>105</v>
      </c>
      <c r="P62" s="655">
        <v>46133</v>
      </c>
      <c r="Q62" s="656"/>
      <c r="R62" s="656"/>
      <c r="S62" s="656"/>
      <c r="T62" s="656"/>
      <c r="U62" s="657">
        <v>46134</v>
      </c>
      <c r="V62" s="658"/>
      <c r="W62" s="658"/>
      <c r="X62" s="658"/>
      <c r="Y62" s="658"/>
      <c r="Z62" s="655">
        <v>46135</v>
      </c>
      <c r="AA62" s="656"/>
      <c r="AB62" s="656"/>
      <c r="AC62" s="656"/>
      <c r="AD62" s="656"/>
      <c r="AE62" s="657">
        <v>46136</v>
      </c>
      <c r="AF62" s="658"/>
      <c r="AG62" s="658"/>
      <c r="AH62" s="658"/>
      <c r="AI62" s="658"/>
      <c r="AJ62" s="647">
        <v>46137</v>
      </c>
      <c r="AK62" s="648"/>
      <c r="AL62" s="648"/>
      <c r="AM62" s="648"/>
      <c r="AN62" s="649"/>
      <c r="AO62" s="657">
        <v>46138</v>
      </c>
      <c r="AP62" s="658"/>
      <c r="AQ62" s="658"/>
      <c r="AR62" s="658"/>
      <c r="AS62" s="658"/>
      <c r="AT62" s="647">
        <v>46139</v>
      </c>
      <c r="AU62" s="648"/>
      <c r="AV62" s="648"/>
      <c r="AW62" s="648"/>
      <c r="AX62" s="649"/>
    </row>
    <row r="63" spans="2:50" ht="14.25" customHeight="1"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6"/>
      <c r="N63" s="611"/>
      <c r="O63" s="611"/>
      <c r="P63" s="650">
        <v>46133</v>
      </c>
      <c r="Q63" s="650"/>
      <c r="R63" s="650"/>
      <c r="S63" s="650"/>
      <c r="T63" s="650"/>
      <c r="U63" s="651">
        <v>46134</v>
      </c>
      <c r="V63" s="651"/>
      <c r="W63" s="651"/>
      <c r="X63" s="651"/>
      <c r="Y63" s="651"/>
      <c r="Z63" s="650">
        <v>46135</v>
      </c>
      <c r="AA63" s="650"/>
      <c r="AB63" s="650"/>
      <c r="AC63" s="650"/>
      <c r="AD63" s="650"/>
      <c r="AE63" s="651">
        <v>46136</v>
      </c>
      <c r="AF63" s="651"/>
      <c r="AG63" s="651"/>
      <c r="AH63" s="651"/>
      <c r="AI63" s="651"/>
      <c r="AJ63" s="652">
        <v>46137</v>
      </c>
      <c r="AK63" s="653"/>
      <c r="AL63" s="653"/>
      <c r="AM63" s="653"/>
      <c r="AN63" s="654"/>
      <c r="AO63" s="651">
        <v>46138</v>
      </c>
      <c r="AP63" s="651"/>
      <c r="AQ63" s="651"/>
      <c r="AR63" s="651"/>
      <c r="AS63" s="651"/>
      <c r="AT63" s="652">
        <v>46139</v>
      </c>
      <c r="AU63" s="653"/>
      <c r="AV63" s="653"/>
      <c r="AW63" s="653"/>
      <c r="AX63" s="654"/>
    </row>
    <row r="64" spans="2:50" ht="14.25" customHeight="1">
      <c r="B64" s="575" t="s">
        <v>162</v>
      </c>
      <c r="C64" s="575" t="s">
        <v>157</v>
      </c>
      <c r="D64" s="575"/>
      <c r="E64" s="575" t="s">
        <v>158</v>
      </c>
      <c r="F64" s="575"/>
      <c r="G64" s="575"/>
      <c r="H64" s="575" t="s">
        <v>163</v>
      </c>
      <c r="I64" s="579" t="s">
        <v>375</v>
      </c>
      <c r="J64" s="579"/>
      <c r="K64" s="579"/>
      <c r="L64" s="579" t="s">
        <v>163</v>
      </c>
      <c r="M64" s="579" t="s">
        <v>165</v>
      </c>
      <c r="N64" s="575"/>
      <c r="O64" s="575" t="s">
        <v>164</v>
      </c>
      <c r="P64" s="575" t="s">
        <v>160</v>
      </c>
      <c r="Q64" s="575"/>
      <c r="R64" s="575"/>
      <c r="S64" s="575"/>
      <c r="T64" s="575" t="s">
        <v>163</v>
      </c>
      <c r="U64" s="575" t="s">
        <v>160</v>
      </c>
      <c r="V64" s="575"/>
      <c r="W64" s="575"/>
      <c r="X64" s="575"/>
      <c r="Y64" s="575" t="s">
        <v>163</v>
      </c>
      <c r="Z64" s="575" t="s">
        <v>160</v>
      </c>
      <c r="AA64" s="575"/>
      <c r="AB64" s="575"/>
      <c r="AC64" s="575"/>
      <c r="AD64" s="575" t="s">
        <v>163</v>
      </c>
      <c r="AE64" s="575" t="s">
        <v>160</v>
      </c>
      <c r="AF64" s="575"/>
      <c r="AG64" s="575"/>
      <c r="AH64" s="575"/>
      <c r="AI64" s="575" t="s">
        <v>163</v>
      </c>
      <c r="AJ64" s="575" t="s">
        <v>160</v>
      </c>
      <c r="AK64" s="575"/>
      <c r="AL64" s="575"/>
      <c r="AM64" s="575"/>
      <c r="AN64" s="575" t="s">
        <v>163</v>
      </c>
      <c r="AO64" s="575" t="s">
        <v>160</v>
      </c>
      <c r="AP64" s="575"/>
      <c r="AQ64" s="575"/>
      <c r="AR64" s="575"/>
      <c r="AS64" s="575" t="s">
        <v>163</v>
      </c>
      <c r="AT64" s="575" t="s">
        <v>160</v>
      </c>
      <c r="AU64" s="575"/>
      <c r="AV64" s="575"/>
      <c r="AW64" s="575"/>
      <c r="AX64" s="575" t="s">
        <v>163</v>
      </c>
    </row>
    <row r="65" spans="2:50" ht="14.25" customHeight="1">
      <c r="B65" s="575"/>
      <c r="C65" s="575"/>
      <c r="D65" s="575"/>
      <c r="E65" s="575" t="s">
        <v>376</v>
      </c>
      <c r="F65" s="575"/>
      <c r="G65" s="575"/>
      <c r="H65" s="575"/>
      <c r="I65" s="579" t="s">
        <v>376</v>
      </c>
      <c r="J65" s="579"/>
      <c r="K65" s="579"/>
      <c r="L65" s="579"/>
      <c r="M65" s="579"/>
      <c r="N65" s="575"/>
      <c r="O65" s="575"/>
      <c r="P65" s="575" t="s">
        <v>377</v>
      </c>
      <c r="Q65" s="575"/>
      <c r="R65" s="575"/>
      <c r="S65" s="575"/>
      <c r="T65" s="575"/>
      <c r="U65" s="575" t="s">
        <v>377</v>
      </c>
      <c r="V65" s="575"/>
      <c r="W65" s="575"/>
      <c r="X65" s="575"/>
      <c r="Y65" s="575"/>
      <c r="Z65" s="575" t="s">
        <v>377</v>
      </c>
      <c r="AA65" s="575"/>
      <c r="AB65" s="575"/>
      <c r="AC65" s="575"/>
      <c r="AD65" s="575"/>
      <c r="AE65" s="575" t="s">
        <v>377</v>
      </c>
      <c r="AF65" s="575"/>
      <c r="AG65" s="575"/>
      <c r="AH65" s="575"/>
      <c r="AI65" s="575"/>
      <c r="AJ65" s="575" t="s">
        <v>377</v>
      </c>
      <c r="AK65" s="575"/>
      <c r="AL65" s="575"/>
      <c r="AM65" s="575"/>
      <c r="AN65" s="575"/>
      <c r="AO65" s="575" t="s">
        <v>377</v>
      </c>
      <c r="AP65" s="575"/>
      <c r="AQ65" s="575"/>
      <c r="AR65" s="575"/>
      <c r="AS65" s="575"/>
      <c r="AT65" s="575" t="s">
        <v>377</v>
      </c>
      <c r="AU65" s="575"/>
      <c r="AV65" s="575"/>
      <c r="AW65" s="575"/>
      <c r="AX65" s="575"/>
    </row>
    <row r="66" spans="2:50" ht="14.25" customHeight="1">
      <c r="B66" s="575"/>
      <c r="C66" s="575"/>
      <c r="D66" s="575"/>
      <c r="E66" s="180" t="s">
        <v>159</v>
      </c>
      <c r="F66" s="180" t="s">
        <v>378</v>
      </c>
      <c r="G66" s="180" t="s">
        <v>161</v>
      </c>
      <c r="H66" s="575"/>
      <c r="I66" s="181" t="s">
        <v>159</v>
      </c>
      <c r="J66" s="181" t="s">
        <v>378</v>
      </c>
      <c r="K66" s="181" t="s">
        <v>161</v>
      </c>
      <c r="L66" s="579"/>
      <c r="M66" s="579"/>
      <c r="N66" s="575"/>
      <c r="O66" s="575"/>
      <c r="P66" s="180" t="s">
        <v>159</v>
      </c>
      <c r="Q66" s="180" t="s">
        <v>378</v>
      </c>
      <c r="R66" s="180" t="s">
        <v>161</v>
      </c>
      <c r="S66" s="182" t="s">
        <v>165</v>
      </c>
      <c r="T66" s="575"/>
      <c r="U66" s="180" t="s">
        <v>159</v>
      </c>
      <c r="V66" s="180" t="s">
        <v>378</v>
      </c>
      <c r="W66" s="180" t="s">
        <v>161</v>
      </c>
      <c r="X66" s="182" t="s">
        <v>165</v>
      </c>
      <c r="Y66" s="575"/>
      <c r="Z66" s="180" t="s">
        <v>159</v>
      </c>
      <c r="AA66" s="180" t="s">
        <v>378</v>
      </c>
      <c r="AB66" s="180" t="s">
        <v>161</v>
      </c>
      <c r="AC66" s="182" t="s">
        <v>165</v>
      </c>
      <c r="AD66" s="575"/>
      <c r="AE66" s="180" t="s">
        <v>159</v>
      </c>
      <c r="AF66" s="180" t="s">
        <v>378</v>
      </c>
      <c r="AG66" s="180" t="s">
        <v>161</v>
      </c>
      <c r="AH66" s="182" t="s">
        <v>165</v>
      </c>
      <c r="AI66" s="575"/>
      <c r="AJ66" s="180" t="s">
        <v>159</v>
      </c>
      <c r="AK66" s="180" t="s">
        <v>378</v>
      </c>
      <c r="AL66" s="180" t="s">
        <v>161</v>
      </c>
      <c r="AM66" s="182" t="s">
        <v>165</v>
      </c>
      <c r="AN66" s="575"/>
      <c r="AO66" s="180" t="s">
        <v>159</v>
      </c>
      <c r="AP66" s="180" t="s">
        <v>378</v>
      </c>
      <c r="AQ66" s="180" t="s">
        <v>161</v>
      </c>
      <c r="AR66" s="182" t="s">
        <v>165</v>
      </c>
      <c r="AS66" s="575"/>
      <c r="AT66" s="180" t="s">
        <v>159</v>
      </c>
      <c r="AU66" s="180" t="s">
        <v>378</v>
      </c>
      <c r="AV66" s="180" t="s">
        <v>161</v>
      </c>
      <c r="AW66" s="182" t="s">
        <v>165</v>
      </c>
      <c r="AX66" s="575"/>
    </row>
    <row r="67" spans="2:50" ht="14.25" customHeight="1">
      <c r="B67" s="575" t="s">
        <v>382</v>
      </c>
      <c r="C67" s="180">
        <v>1</v>
      </c>
      <c r="D67" s="183" t="s">
        <v>718</v>
      </c>
      <c r="E67" s="180">
        <v>20</v>
      </c>
      <c r="F67" s="180">
        <v>3600</v>
      </c>
      <c r="G67" s="185">
        <f t="shared" ref="G67:G70" si="36">F67/E67</f>
        <v>180</v>
      </c>
      <c r="H67" s="576">
        <f>AVERAGE(G67:G81)</f>
        <v>182.59398496240604</v>
      </c>
      <c r="I67" s="186">
        <f>AVERAGE(P67,U67,Z67,AE67,AJ67,AO67,AT67)</f>
        <v>20</v>
      </c>
      <c r="J67" s="186">
        <f>AVERAGE(Q67,V67,AA67,AF67,AK67,AP67,AU67)</f>
        <v>3257.0630088274306</v>
      </c>
      <c r="K67" s="187">
        <f>AVERAGE(R67,W67,AB67,AG67,AL67,AQ67,AV67)</f>
        <v>162.85315044137153</v>
      </c>
      <c r="L67" s="577">
        <f>IFERROR(AVERAGE(K67:K81),"-")</f>
        <v>162.07908356251841</v>
      </c>
      <c r="M67" s="186">
        <f>RANK(K67, K$67:$K$81)</f>
        <v>3</v>
      </c>
      <c r="N67" s="575"/>
      <c r="O67" s="575"/>
      <c r="P67" s="188">
        <v>20</v>
      </c>
      <c r="Q67" s="188">
        <v>3258.4515802560009</v>
      </c>
      <c r="R67" s="185">
        <f>IFERROR(Q67/P67,"")</f>
        <v>162.92257901280004</v>
      </c>
      <c r="S67" s="182">
        <f>RANK(R67, R$67:R$81)</f>
        <v>2</v>
      </c>
      <c r="T67" s="576">
        <f>AVERAGE(R67:R81)</f>
        <v>160.14035125257399</v>
      </c>
      <c r="U67" s="188">
        <v>20</v>
      </c>
      <c r="V67" s="188">
        <v>3256.6515802560011</v>
      </c>
      <c r="W67" s="185">
        <f t="shared" ref="W67:W70" si="37">IFERROR(V67/U67,"")</f>
        <v>162.83257901280007</v>
      </c>
      <c r="X67" s="182">
        <f>RANK(W67, W$67:W$81)</f>
        <v>2</v>
      </c>
      <c r="Y67" s="576">
        <f>AVERAGE(W67:W81)</f>
        <v>160.89136214043003</v>
      </c>
      <c r="Z67" s="188">
        <v>20</v>
      </c>
      <c r="AA67" s="188">
        <v>3257.3715802560014</v>
      </c>
      <c r="AB67" s="185">
        <f t="shared" ref="AB67:AB70" si="38">IFERROR(AA67/Z67,"")</f>
        <v>162.86857901280007</v>
      </c>
      <c r="AC67" s="182">
        <f>RANK(AB67, AB$67:AB$81)</f>
        <v>2</v>
      </c>
      <c r="AD67" s="576">
        <f>AVERAGE(AB67:AB81)</f>
        <v>161.860777234019</v>
      </c>
      <c r="AE67" s="188">
        <v>20</v>
      </c>
      <c r="AF67" s="188">
        <v>3256.6515802560016</v>
      </c>
      <c r="AG67" s="185">
        <f>IFERROR(AF67/AE67,"")</f>
        <v>162.83257901280007</v>
      </c>
      <c r="AH67" s="182">
        <f>RANK(AG67, AG$67:AG$81)</f>
        <v>3</v>
      </c>
      <c r="AI67" s="576">
        <f>AVERAGE(AG67:AG81)</f>
        <v>162.87726661472215</v>
      </c>
      <c r="AJ67" s="188">
        <v>20</v>
      </c>
      <c r="AK67" s="188">
        <v>3257.3715802560018</v>
      </c>
      <c r="AL67" s="185">
        <f t="shared" ref="AL67:AL70" si="39">IFERROR(AK67/AJ67,"")</f>
        <v>162.8685790128001</v>
      </c>
      <c r="AM67" s="182">
        <f>RANK(AL67, AL$67:AL$81)</f>
        <v>3</v>
      </c>
      <c r="AN67" s="576">
        <f>AVERAGE(AL67:AL81)</f>
        <v>162.88958008337795</v>
      </c>
      <c r="AO67" s="188">
        <v>20</v>
      </c>
      <c r="AP67" s="188">
        <v>3256.2915802560028</v>
      </c>
      <c r="AQ67" s="185">
        <f t="shared" ref="AQ67:AQ70" si="40">IFERROR(AP67/AO67,"")</f>
        <v>162.81457901280015</v>
      </c>
      <c r="AR67" s="182">
        <f>RANK(AQ67, AQ$67:AQ$81)</f>
        <v>3</v>
      </c>
      <c r="AS67" s="576">
        <f>AVERAGE(AQ67:AQ81)</f>
        <v>162.94227982129044</v>
      </c>
      <c r="AT67" s="188">
        <v>20</v>
      </c>
      <c r="AU67" s="188">
        <v>3256.6515802560029</v>
      </c>
      <c r="AV67" s="185">
        <f t="shared" ref="AV67:AV70" si="41">IFERROR(AU67/AT67,"")</f>
        <v>162.83257901280015</v>
      </c>
      <c r="AW67" s="182">
        <f>RANK(AV67, AV$67:AV$81)</f>
        <v>3</v>
      </c>
      <c r="AX67" s="576">
        <f>AVERAGE(AV67:AV81)</f>
        <v>162.95196779121528</v>
      </c>
    </row>
    <row r="68" spans="2:50" ht="14.25" customHeight="1">
      <c r="B68" s="575"/>
      <c r="C68" s="180">
        <v>2</v>
      </c>
      <c r="D68" s="183" t="s">
        <v>719</v>
      </c>
      <c r="E68" s="180">
        <v>21</v>
      </c>
      <c r="F68" s="180">
        <v>3600</v>
      </c>
      <c r="G68" s="185">
        <f t="shared" si="36"/>
        <v>171.42857142857142</v>
      </c>
      <c r="H68" s="576"/>
      <c r="I68" s="186">
        <f t="shared" ref="I68:K70" si="42">AVERAGE(P68,U68,Z68,AE68,AJ68,AO68,AT68)</f>
        <v>21</v>
      </c>
      <c r="J68" s="186">
        <f t="shared" si="42"/>
        <v>3258.5725023829978</v>
      </c>
      <c r="K68" s="187">
        <f t="shared" si="42"/>
        <v>155.1701191610951</v>
      </c>
      <c r="L68" s="577"/>
      <c r="M68" s="186">
        <f>RANK(K68, K$67:$K$81)</f>
        <v>4</v>
      </c>
      <c r="N68" s="575"/>
      <c r="O68" s="575"/>
      <c r="P68" s="188">
        <v>21</v>
      </c>
      <c r="Q68" s="188">
        <v>3262.7281203244793</v>
      </c>
      <c r="R68" s="185">
        <f t="shared" ref="R68:R70" si="43">IFERROR(Q68/P68,"")</f>
        <v>155.36800572973712</v>
      </c>
      <c r="S68" s="182">
        <f t="shared" ref="S68:S70" si="44">RANK(R68, R$67:R$81)</f>
        <v>4</v>
      </c>
      <c r="T68" s="576"/>
      <c r="U68" s="188">
        <v>21</v>
      </c>
      <c r="V68" s="188">
        <v>3257.69989939275</v>
      </c>
      <c r="W68" s="185">
        <f t="shared" si="37"/>
        <v>155.12856663775</v>
      </c>
      <c r="X68" s="182">
        <f t="shared" ref="X68:X70" si="45">RANK(W68, W$67:W$81)</f>
        <v>4</v>
      </c>
      <c r="Y68" s="576"/>
      <c r="Z68" s="188">
        <v>21</v>
      </c>
      <c r="AA68" s="188">
        <v>3256.25989939275</v>
      </c>
      <c r="AB68" s="185">
        <f t="shared" si="38"/>
        <v>155.05999520917857</v>
      </c>
      <c r="AC68" s="182">
        <f t="shared" ref="AC68:AC70" si="46">RANK(AB68, AB$67:AB$81)</f>
        <v>4</v>
      </c>
      <c r="AD68" s="576"/>
      <c r="AE68" s="188">
        <v>21</v>
      </c>
      <c r="AF68" s="188">
        <v>3256.9798993927507</v>
      </c>
      <c r="AG68" s="185">
        <f t="shared" ref="AG68:AG70" si="47">IFERROR(AF68/AE68,"")</f>
        <v>155.09428092346431</v>
      </c>
      <c r="AH68" s="182">
        <f t="shared" ref="AH68:AH70" si="48">RANK(AG68, AG$67:AG$81)</f>
        <v>4</v>
      </c>
      <c r="AI68" s="576"/>
      <c r="AJ68" s="188">
        <v>21</v>
      </c>
      <c r="AK68" s="188">
        <v>3258.4198993927507</v>
      </c>
      <c r="AL68" s="185">
        <f t="shared" si="39"/>
        <v>155.16285235203574</v>
      </c>
      <c r="AM68" s="182">
        <f t="shared" ref="AM68:AM70" si="49">RANK(AL68, AL$67:AL$81)</f>
        <v>4</v>
      </c>
      <c r="AN68" s="576"/>
      <c r="AO68" s="188">
        <v>21</v>
      </c>
      <c r="AP68" s="188">
        <v>3259.1398993927505</v>
      </c>
      <c r="AQ68" s="185">
        <f t="shared" si="40"/>
        <v>155.19713806632146</v>
      </c>
      <c r="AR68" s="182">
        <f t="shared" ref="AR68:AR70" si="50">RANK(AQ68, AQ$67:AQ$81)</f>
        <v>4</v>
      </c>
      <c r="AS68" s="576"/>
      <c r="AT68" s="188">
        <v>21</v>
      </c>
      <c r="AU68" s="188">
        <v>3258.7798993927508</v>
      </c>
      <c r="AV68" s="185">
        <f t="shared" si="41"/>
        <v>155.1799952091786</v>
      </c>
      <c r="AW68" s="182">
        <f t="shared" ref="AW68:AW70" si="51">RANK(AV68, AV$67:AV$81)</f>
        <v>4</v>
      </c>
      <c r="AX68" s="576"/>
    </row>
    <row r="69" spans="2:50" ht="14.25" customHeight="1">
      <c r="B69" s="575"/>
      <c r="C69" s="180">
        <v>3</v>
      </c>
      <c r="D69" s="183" t="s">
        <v>756</v>
      </c>
      <c r="E69" s="180">
        <v>19</v>
      </c>
      <c r="F69" s="180">
        <v>3600</v>
      </c>
      <c r="G69" s="185">
        <f t="shared" si="36"/>
        <v>189.47368421052633</v>
      </c>
      <c r="H69" s="576"/>
      <c r="I69" s="186">
        <f t="shared" si="42"/>
        <v>19</v>
      </c>
      <c r="J69" s="186">
        <f t="shared" si="42"/>
        <v>3105.2330861564074</v>
      </c>
      <c r="K69" s="187">
        <f t="shared" si="42"/>
        <v>163.43332032402142</v>
      </c>
      <c r="L69" s="577"/>
      <c r="M69" s="186">
        <f>RANK(K69, K$67:$K$81)</f>
        <v>2</v>
      </c>
      <c r="N69" s="575"/>
      <c r="O69" s="575"/>
      <c r="P69" s="188">
        <v>19</v>
      </c>
      <c r="Q69" s="188">
        <v>2952</v>
      </c>
      <c r="R69" s="185">
        <f t="shared" si="43"/>
        <v>155.36842105263159</v>
      </c>
      <c r="S69" s="182">
        <f t="shared" si="44"/>
        <v>3</v>
      </c>
      <c r="T69" s="576"/>
      <c r="U69" s="188">
        <v>19</v>
      </c>
      <c r="V69" s="188">
        <v>3015.3361702248126</v>
      </c>
      <c r="W69" s="185">
        <f t="shared" si="37"/>
        <v>158.70190369604276</v>
      </c>
      <c r="X69" s="182">
        <f t="shared" si="45"/>
        <v>3</v>
      </c>
      <c r="Y69" s="576"/>
      <c r="Z69" s="188">
        <v>19</v>
      </c>
      <c r="AA69" s="188">
        <v>3090.350574480432</v>
      </c>
      <c r="AB69" s="185">
        <f t="shared" si="38"/>
        <v>162.65003023581221</v>
      </c>
      <c r="AC69" s="182">
        <f t="shared" si="46"/>
        <v>3</v>
      </c>
      <c r="AD69" s="576"/>
      <c r="AE69" s="188">
        <v>19</v>
      </c>
      <c r="AF69" s="188">
        <v>3168.7163388424419</v>
      </c>
      <c r="AG69" s="185">
        <f t="shared" si="47"/>
        <v>166.77454414960221</v>
      </c>
      <c r="AH69" s="182">
        <f t="shared" si="48"/>
        <v>2</v>
      </c>
      <c r="AI69" s="576"/>
      <c r="AJ69" s="188">
        <v>19</v>
      </c>
      <c r="AK69" s="188">
        <v>3167.2763388424419</v>
      </c>
      <c r="AL69" s="185">
        <f t="shared" si="39"/>
        <v>166.698754675918</v>
      </c>
      <c r="AM69" s="182">
        <f t="shared" si="49"/>
        <v>2</v>
      </c>
      <c r="AN69" s="576"/>
      <c r="AO69" s="188">
        <v>19</v>
      </c>
      <c r="AP69" s="188">
        <v>3170.9360903523616</v>
      </c>
      <c r="AQ69" s="185">
        <f t="shared" si="40"/>
        <v>166.89137317644008</v>
      </c>
      <c r="AR69" s="182">
        <f t="shared" si="50"/>
        <v>1</v>
      </c>
      <c r="AS69" s="576"/>
      <c r="AT69" s="188">
        <v>19</v>
      </c>
      <c r="AU69" s="188">
        <v>3172.0160903523611</v>
      </c>
      <c r="AV69" s="185">
        <f t="shared" si="41"/>
        <v>166.94821528170323</v>
      </c>
      <c r="AW69" s="182">
        <f t="shared" si="51"/>
        <v>1</v>
      </c>
      <c r="AX69" s="576"/>
    </row>
    <row r="70" spans="2:50" ht="14.25" customHeight="1">
      <c r="B70" s="575"/>
      <c r="C70" s="180">
        <v>4</v>
      </c>
      <c r="D70" s="183" t="s">
        <v>720</v>
      </c>
      <c r="E70" s="180">
        <v>19</v>
      </c>
      <c r="F70" s="180">
        <v>3600</v>
      </c>
      <c r="G70" s="185">
        <f t="shared" si="36"/>
        <v>189.47368421052633</v>
      </c>
      <c r="H70" s="576"/>
      <c r="I70" s="186">
        <f t="shared" si="42"/>
        <v>19</v>
      </c>
      <c r="J70" s="186">
        <f t="shared" si="42"/>
        <v>3170.3351421481252</v>
      </c>
      <c r="K70" s="187">
        <f t="shared" si="42"/>
        <v>166.85974432358555</v>
      </c>
      <c r="L70" s="577"/>
      <c r="M70" s="186">
        <f>RANK(K70, K$67:$K$81)</f>
        <v>1</v>
      </c>
      <c r="N70" s="575"/>
      <c r="O70" s="575"/>
      <c r="P70" s="188">
        <v>19</v>
      </c>
      <c r="Q70" s="188">
        <v>3171.145585087419</v>
      </c>
      <c r="R70" s="185">
        <f t="shared" si="43"/>
        <v>166.9023992151273</v>
      </c>
      <c r="S70" s="182">
        <f t="shared" si="44"/>
        <v>1</v>
      </c>
      <c r="T70" s="576"/>
      <c r="U70" s="188">
        <v>19</v>
      </c>
      <c r="V70" s="188">
        <v>3171.1455850874186</v>
      </c>
      <c r="W70" s="185">
        <f t="shared" si="37"/>
        <v>166.9023992151273</v>
      </c>
      <c r="X70" s="182">
        <f t="shared" si="45"/>
        <v>1</v>
      </c>
      <c r="Y70" s="576"/>
      <c r="Z70" s="188">
        <v>19</v>
      </c>
      <c r="AA70" s="188">
        <v>3170.4255850874179</v>
      </c>
      <c r="AB70" s="185">
        <f t="shared" si="38"/>
        <v>166.86450447828514</v>
      </c>
      <c r="AC70" s="182">
        <f t="shared" si="46"/>
        <v>1</v>
      </c>
      <c r="AD70" s="576"/>
      <c r="AE70" s="188">
        <v>19</v>
      </c>
      <c r="AF70" s="188">
        <v>3169.3455850874175</v>
      </c>
      <c r="AG70" s="185">
        <f t="shared" si="47"/>
        <v>166.80766237302197</v>
      </c>
      <c r="AH70" s="182">
        <f t="shared" si="48"/>
        <v>1</v>
      </c>
      <c r="AI70" s="576"/>
      <c r="AJ70" s="188">
        <v>19</v>
      </c>
      <c r="AK70" s="188">
        <v>3169.7345515624024</v>
      </c>
      <c r="AL70" s="185">
        <f t="shared" si="39"/>
        <v>166.82813429275802</v>
      </c>
      <c r="AM70" s="182">
        <f t="shared" si="49"/>
        <v>1</v>
      </c>
      <c r="AN70" s="576"/>
      <c r="AO70" s="188">
        <v>19</v>
      </c>
      <c r="AP70" s="188">
        <v>3170.4545515624022</v>
      </c>
      <c r="AQ70" s="185">
        <f t="shared" si="40"/>
        <v>166.86602902960013</v>
      </c>
      <c r="AR70" s="182">
        <f t="shared" si="50"/>
        <v>2</v>
      </c>
      <c r="AS70" s="576"/>
      <c r="AT70" s="188">
        <v>19</v>
      </c>
      <c r="AU70" s="188">
        <v>3170.0945515624021</v>
      </c>
      <c r="AV70" s="185">
        <f t="shared" si="41"/>
        <v>166.84708166117906</v>
      </c>
      <c r="AW70" s="182">
        <f t="shared" si="51"/>
        <v>2</v>
      </c>
      <c r="AX70" s="576"/>
    </row>
    <row r="71" spans="2:50" ht="14.25" customHeight="1">
      <c r="B71" s="575"/>
      <c r="C71" s="180">
        <v>5</v>
      </c>
      <c r="D71" s="183"/>
      <c r="E71" s="180"/>
      <c r="F71" s="180"/>
      <c r="G71" s="185"/>
      <c r="H71" s="576"/>
      <c r="I71" s="186"/>
      <c r="J71" s="186"/>
      <c r="K71" s="187"/>
      <c r="L71" s="577"/>
      <c r="M71" s="186"/>
      <c r="N71" s="575"/>
      <c r="O71" s="575"/>
      <c r="P71" s="188"/>
      <c r="Q71" s="188"/>
      <c r="R71" s="185"/>
      <c r="S71" s="182"/>
      <c r="T71" s="576"/>
      <c r="U71" s="188"/>
      <c r="V71" s="188"/>
      <c r="W71" s="185"/>
      <c r="X71" s="182"/>
      <c r="Y71" s="576"/>
      <c r="Z71" s="188"/>
      <c r="AA71" s="188"/>
      <c r="AB71" s="185"/>
      <c r="AC71" s="182"/>
      <c r="AD71" s="576"/>
      <c r="AE71" s="188"/>
      <c r="AF71" s="188"/>
      <c r="AG71" s="185"/>
      <c r="AH71" s="182"/>
      <c r="AI71" s="576"/>
      <c r="AJ71" s="188"/>
      <c r="AK71" s="188"/>
      <c r="AL71" s="185"/>
      <c r="AM71" s="182"/>
      <c r="AN71" s="576"/>
      <c r="AO71" s="188"/>
      <c r="AP71" s="188"/>
      <c r="AQ71" s="185"/>
      <c r="AR71" s="182"/>
      <c r="AS71" s="576"/>
      <c r="AT71" s="188"/>
      <c r="AU71" s="188"/>
      <c r="AV71" s="185"/>
      <c r="AW71" s="182"/>
      <c r="AX71" s="576"/>
    </row>
    <row r="72" spans="2:50" ht="14.25" customHeight="1">
      <c r="B72" s="575"/>
      <c r="C72" s="180">
        <v>6</v>
      </c>
      <c r="D72" s="183"/>
      <c r="E72" s="180"/>
      <c r="F72" s="180"/>
      <c r="G72" s="185"/>
      <c r="H72" s="576"/>
      <c r="I72" s="186"/>
      <c r="J72" s="186"/>
      <c r="K72" s="187"/>
      <c r="L72" s="577"/>
      <c r="M72" s="186"/>
      <c r="N72" s="575"/>
      <c r="O72" s="575"/>
      <c r="P72" s="188"/>
      <c r="Q72" s="188"/>
      <c r="R72" s="185"/>
      <c r="S72" s="182"/>
      <c r="T72" s="576"/>
      <c r="U72" s="188"/>
      <c r="V72" s="188"/>
      <c r="W72" s="185"/>
      <c r="X72" s="182"/>
      <c r="Y72" s="576"/>
      <c r="Z72" s="188"/>
      <c r="AA72" s="188"/>
      <c r="AB72" s="185"/>
      <c r="AC72" s="182"/>
      <c r="AD72" s="576"/>
      <c r="AE72" s="188"/>
      <c r="AF72" s="188"/>
      <c r="AG72" s="185"/>
      <c r="AH72" s="182"/>
      <c r="AI72" s="576"/>
      <c r="AJ72" s="188"/>
      <c r="AK72" s="188"/>
      <c r="AL72" s="185"/>
      <c r="AM72" s="182"/>
      <c r="AN72" s="576"/>
      <c r="AO72" s="188"/>
      <c r="AP72" s="188"/>
      <c r="AQ72" s="185"/>
      <c r="AR72" s="182"/>
      <c r="AS72" s="576"/>
      <c r="AT72" s="188"/>
      <c r="AU72" s="188"/>
      <c r="AV72" s="185"/>
      <c r="AW72" s="182"/>
      <c r="AX72" s="576"/>
    </row>
    <row r="73" spans="2:50" ht="14.25" customHeight="1">
      <c r="B73" s="575"/>
      <c r="C73" s="180">
        <v>7</v>
      </c>
      <c r="D73" s="183"/>
      <c r="E73" s="180"/>
      <c r="F73" s="180"/>
      <c r="G73" s="185"/>
      <c r="H73" s="576"/>
      <c r="I73" s="186"/>
      <c r="J73" s="186"/>
      <c r="K73" s="187"/>
      <c r="L73" s="577"/>
      <c r="M73" s="186"/>
      <c r="N73" s="575"/>
      <c r="O73" s="575"/>
      <c r="P73" s="188"/>
      <c r="Q73" s="188"/>
      <c r="R73" s="185"/>
      <c r="S73" s="182"/>
      <c r="T73" s="576"/>
      <c r="U73" s="188"/>
      <c r="V73" s="188"/>
      <c r="W73" s="185"/>
      <c r="X73" s="182"/>
      <c r="Y73" s="576"/>
      <c r="Z73" s="188"/>
      <c r="AA73" s="188"/>
      <c r="AB73" s="185"/>
      <c r="AC73" s="182"/>
      <c r="AD73" s="576"/>
      <c r="AE73" s="188"/>
      <c r="AF73" s="188"/>
      <c r="AG73" s="185"/>
      <c r="AH73" s="182"/>
      <c r="AI73" s="576"/>
      <c r="AJ73" s="188"/>
      <c r="AK73" s="188"/>
      <c r="AL73" s="185"/>
      <c r="AM73" s="182"/>
      <c r="AN73" s="576"/>
      <c r="AO73" s="188"/>
      <c r="AP73" s="188"/>
      <c r="AQ73" s="185"/>
      <c r="AR73" s="182"/>
      <c r="AS73" s="576"/>
      <c r="AT73" s="188"/>
      <c r="AU73" s="188"/>
      <c r="AV73" s="185"/>
      <c r="AW73" s="182"/>
      <c r="AX73" s="576"/>
    </row>
    <row r="74" spans="2:50" ht="14.25" customHeight="1">
      <c r="B74" s="575"/>
      <c r="C74" s="180">
        <v>8</v>
      </c>
      <c r="D74" s="183"/>
      <c r="E74" s="180"/>
      <c r="F74" s="180"/>
      <c r="G74" s="185"/>
      <c r="H74" s="576"/>
      <c r="I74" s="186"/>
      <c r="J74" s="186"/>
      <c r="K74" s="187"/>
      <c r="L74" s="577"/>
      <c r="M74" s="186"/>
      <c r="N74" s="575"/>
      <c r="O74" s="575"/>
      <c r="P74" s="188"/>
      <c r="Q74" s="188"/>
      <c r="R74" s="185"/>
      <c r="S74" s="182"/>
      <c r="T74" s="576"/>
      <c r="U74" s="188"/>
      <c r="V74" s="188"/>
      <c r="W74" s="185"/>
      <c r="X74" s="182"/>
      <c r="Y74" s="576"/>
      <c r="Z74" s="188"/>
      <c r="AA74" s="188"/>
      <c r="AB74" s="185"/>
      <c r="AC74" s="182"/>
      <c r="AD74" s="576"/>
      <c r="AE74" s="188"/>
      <c r="AF74" s="188"/>
      <c r="AG74" s="185"/>
      <c r="AH74" s="182"/>
      <c r="AI74" s="576"/>
      <c r="AJ74" s="188"/>
      <c r="AK74" s="188"/>
      <c r="AL74" s="185"/>
      <c r="AM74" s="182"/>
      <c r="AN74" s="576"/>
      <c r="AO74" s="188"/>
      <c r="AP74" s="188"/>
      <c r="AQ74" s="185"/>
      <c r="AR74" s="182"/>
      <c r="AS74" s="576"/>
      <c r="AT74" s="188"/>
      <c r="AU74" s="188"/>
      <c r="AV74" s="185"/>
      <c r="AW74" s="182"/>
      <c r="AX74" s="576"/>
    </row>
    <row r="75" spans="2:50" ht="14.25" customHeight="1">
      <c r="B75" s="575"/>
      <c r="C75" s="180">
        <v>9</v>
      </c>
      <c r="D75" s="183"/>
      <c r="E75" s="180"/>
      <c r="F75" s="180"/>
      <c r="G75" s="185"/>
      <c r="H75" s="576"/>
      <c r="I75" s="186"/>
      <c r="J75" s="186"/>
      <c r="K75" s="187"/>
      <c r="L75" s="577"/>
      <c r="M75" s="186"/>
      <c r="N75" s="575"/>
      <c r="O75" s="575"/>
      <c r="P75" s="188"/>
      <c r="Q75" s="188"/>
      <c r="R75" s="185"/>
      <c r="S75" s="182"/>
      <c r="T75" s="576"/>
      <c r="U75" s="188"/>
      <c r="V75" s="188"/>
      <c r="W75" s="185"/>
      <c r="X75" s="182"/>
      <c r="Y75" s="576"/>
      <c r="Z75" s="188"/>
      <c r="AA75" s="188"/>
      <c r="AB75" s="185"/>
      <c r="AC75" s="182"/>
      <c r="AD75" s="576"/>
      <c r="AE75" s="188"/>
      <c r="AF75" s="188"/>
      <c r="AG75" s="185"/>
      <c r="AH75" s="182"/>
      <c r="AI75" s="576"/>
      <c r="AJ75" s="188"/>
      <c r="AK75" s="188"/>
      <c r="AL75" s="185"/>
      <c r="AM75" s="182"/>
      <c r="AN75" s="576"/>
      <c r="AO75" s="188"/>
      <c r="AP75" s="188"/>
      <c r="AQ75" s="185"/>
      <c r="AR75" s="182"/>
      <c r="AS75" s="576"/>
      <c r="AT75" s="188"/>
      <c r="AU75" s="188"/>
      <c r="AV75" s="185"/>
      <c r="AW75" s="182"/>
      <c r="AX75" s="576"/>
    </row>
    <row r="76" spans="2:50" ht="14.25" customHeight="1">
      <c r="B76" s="575"/>
      <c r="C76" s="180">
        <v>10</v>
      </c>
      <c r="D76" s="183"/>
      <c r="E76" s="180"/>
      <c r="F76" s="180"/>
      <c r="G76" s="185"/>
      <c r="H76" s="576"/>
      <c r="I76" s="186"/>
      <c r="J76" s="186"/>
      <c r="K76" s="187"/>
      <c r="L76" s="577"/>
      <c r="M76" s="186"/>
      <c r="N76" s="575"/>
      <c r="O76" s="575"/>
      <c r="P76" s="188"/>
      <c r="Q76" s="188"/>
      <c r="R76" s="185"/>
      <c r="S76" s="182"/>
      <c r="T76" s="576"/>
      <c r="U76" s="188"/>
      <c r="V76" s="188"/>
      <c r="W76" s="185"/>
      <c r="X76" s="182"/>
      <c r="Y76" s="576"/>
      <c r="Z76" s="188"/>
      <c r="AA76" s="188"/>
      <c r="AB76" s="185"/>
      <c r="AC76" s="182"/>
      <c r="AD76" s="576"/>
      <c r="AE76" s="188"/>
      <c r="AF76" s="188"/>
      <c r="AG76" s="185"/>
      <c r="AH76" s="182"/>
      <c r="AI76" s="576"/>
      <c r="AJ76" s="188"/>
      <c r="AK76" s="188"/>
      <c r="AL76" s="185"/>
      <c r="AM76" s="182"/>
      <c r="AN76" s="576"/>
      <c r="AO76" s="188"/>
      <c r="AP76" s="188"/>
      <c r="AQ76" s="185"/>
      <c r="AR76" s="182"/>
      <c r="AS76" s="576"/>
      <c r="AT76" s="188"/>
      <c r="AU76" s="188"/>
      <c r="AV76" s="185"/>
      <c r="AW76" s="182"/>
      <c r="AX76" s="576"/>
    </row>
    <row r="77" spans="2:50" ht="14.25" customHeight="1">
      <c r="B77" s="575"/>
      <c r="C77" s="180">
        <v>11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75"/>
      <c r="O77" s="575"/>
      <c r="P77" s="188"/>
      <c r="Q77" s="188"/>
      <c r="R77" s="185"/>
      <c r="S77" s="182"/>
      <c r="T77" s="576"/>
      <c r="U77" s="188"/>
      <c r="V77" s="188"/>
      <c r="W77" s="185"/>
      <c r="X77" s="182"/>
      <c r="Y77" s="576"/>
      <c r="Z77" s="188"/>
      <c r="AA77" s="188"/>
      <c r="AB77" s="185"/>
      <c r="AC77" s="182"/>
      <c r="AD77" s="576"/>
      <c r="AE77" s="188"/>
      <c r="AF77" s="188"/>
      <c r="AG77" s="185"/>
      <c r="AH77" s="182"/>
      <c r="AI77" s="576"/>
      <c r="AJ77" s="188"/>
      <c r="AK77" s="188"/>
      <c r="AL77" s="185"/>
      <c r="AM77" s="182"/>
      <c r="AN77" s="576"/>
      <c r="AO77" s="188"/>
      <c r="AP77" s="188"/>
      <c r="AQ77" s="185"/>
      <c r="AR77" s="182"/>
      <c r="AS77" s="576"/>
      <c r="AT77" s="188"/>
      <c r="AU77" s="188"/>
      <c r="AV77" s="185"/>
      <c r="AW77" s="182"/>
      <c r="AX77" s="576"/>
    </row>
    <row r="78" spans="2:50" ht="14.25" customHeight="1">
      <c r="B78" s="575"/>
      <c r="C78" s="180">
        <v>12</v>
      </c>
      <c r="D78" s="183"/>
      <c r="E78" s="180"/>
      <c r="F78" s="180"/>
      <c r="G78" s="185"/>
      <c r="H78" s="576"/>
      <c r="I78" s="186"/>
      <c r="J78" s="186"/>
      <c r="K78" s="187"/>
      <c r="L78" s="577"/>
      <c r="M78" s="186"/>
      <c r="N78" s="575"/>
      <c r="O78" s="575"/>
      <c r="P78" s="188"/>
      <c r="Q78" s="188"/>
      <c r="R78" s="185"/>
      <c r="S78" s="182"/>
      <c r="T78" s="576"/>
      <c r="U78" s="188"/>
      <c r="V78" s="188"/>
      <c r="W78" s="185"/>
      <c r="X78" s="182"/>
      <c r="Y78" s="576"/>
      <c r="Z78" s="188"/>
      <c r="AA78" s="188"/>
      <c r="AB78" s="185"/>
      <c r="AC78" s="182"/>
      <c r="AD78" s="576"/>
      <c r="AE78" s="188"/>
      <c r="AF78" s="188"/>
      <c r="AG78" s="185"/>
      <c r="AH78" s="182"/>
      <c r="AI78" s="576"/>
      <c r="AJ78" s="188"/>
      <c r="AK78" s="188"/>
      <c r="AL78" s="185"/>
      <c r="AM78" s="182"/>
      <c r="AN78" s="576"/>
      <c r="AO78" s="188"/>
      <c r="AP78" s="188"/>
      <c r="AQ78" s="185"/>
      <c r="AR78" s="182"/>
      <c r="AS78" s="576"/>
      <c r="AT78" s="188"/>
      <c r="AU78" s="188"/>
      <c r="AV78" s="185"/>
      <c r="AW78" s="182"/>
      <c r="AX78" s="576"/>
    </row>
    <row r="79" spans="2:50" ht="14.25" customHeight="1">
      <c r="B79" s="575"/>
      <c r="C79" s="180">
        <v>13</v>
      </c>
      <c r="D79" s="183"/>
      <c r="E79" s="180"/>
      <c r="F79" s="180"/>
      <c r="G79" s="185"/>
      <c r="H79" s="576"/>
      <c r="I79" s="186"/>
      <c r="J79" s="186"/>
      <c r="K79" s="187"/>
      <c r="L79" s="577"/>
      <c r="M79" s="186"/>
      <c r="N79" s="575"/>
      <c r="O79" s="575"/>
      <c r="P79" s="188"/>
      <c r="Q79" s="188"/>
      <c r="R79" s="185"/>
      <c r="S79" s="182"/>
      <c r="T79" s="576"/>
      <c r="U79" s="188"/>
      <c r="V79" s="188"/>
      <c r="W79" s="185"/>
      <c r="X79" s="182"/>
      <c r="Y79" s="576"/>
      <c r="Z79" s="188"/>
      <c r="AA79" s="188"/>
      <c r="AB79" s="185"/>
      <c r="AC79" s="182"/>
      <c r="AD79" s="576"/>
      <c r="AE79" s="188"/>
      <c r="AF79" s="188"/>
      <c r="AG79" s="185"/>
      <c r="AH79" s="182"/>
      <c r="AI79" s="576"/>
      <c r="AJ79" s="188"/>
      <c r="AK79" s="188"/>
      <c r="AL79" s="185"/>
      <c r="AM79" s="182"/>
      <c r="AN79" s="576"/>
      <c r="AO79" s="188"/>
      <c r="AP79" s="188"/>
      <c r="AQ79" s="185"/>
      <c r="AR79" s="182"/>
      <c r="AS79" s="576"/>
      <c r="AT79" s="188"/>
      <c r="AU79" s="188"/>
      <c r="AV79" s="185"/>
      <c r="AW79" s="182"/>
      <c r="AX79" s="576"/>
    </row>
    <row r="80" spans="2:50" ht="14.25" customHeight="1">
      <c r="B80" s="575"/>
      <c r="C80" s="180">
        <v>14</v>
      </c>
      <c r="D80" s="183"/>
      <c r="E80" s="180"/>
      <c r="F80" s="180"/>
      <c r="G80" s="185"/>
      <c r="H80" s="576"/>
      <c r="I80" s="186"/>
      <c r="J80" s="186"/>
      <c r="K80" s="187"/>
      <c r="L80" s="577"/>
      <c r="M80" s="186"/>
      <c r="N80" s="575"/>
      <c r="O80" s="575"/>
      <c r="P80" s="188"/>
      <c r="Q80" s="188"/>
      <c r="R80" s="185"/>
      <c r="S80" s="182"/>
      <c r="T80" s="576"/>
      <c r="U80" s="188"/>
      <c r="V80" s="188"/>
      <c r="W80" s="185"/>
      <c r="X80" s="182"/>
      <c r="Y80" s="576"/>
      <c r="Z80" s="188"/>
      <c r="AA80" s="188"/>
      <c r="AB80" s="185"/>
      <c r="AC80" s="182"/>
      <c r="AD80" s="576"/>
      <c r="AE80" s="188"/>
      <c r="AF80" s="188"/>
      <c r="AG80" s="185"/>
      <c r="AH80" s="182"/>
      <c r="AI80" s="576"/>
      <c r="AJ80" s="188"/>
      <c r="AK80" s="188"/>
      <c r="AL80" s="185"/>
      <c r="AM80" s="182"/>
      <c r="AN80" s="576"/>
      <c r="AO80" s="188"/>
      <c r="AP80" s="188"/>
      <c r="AQ80" s="185"/>
      <c r="AR80" s="182"/>
      <c r="AS80" s="576"/>
      <c r="AT80" s="188"/>
      <c r="AU80" s="188"/>
      <c r="AV80" s="185"/>
      <c r="AW80" s="182"/>
      <c r="AX80" s="576"/>
    </row>
    <row r="81" spans="2:50" ht="14.25" customHeight="1">
      <c r="B81" s="575"/>
      <c r="C81" s="180">
        <v>15</v>
      </c>
      <c r="D81" s="183"/>
      <c r="E81" s="180"/>
      <c r="F81" s="180"/>
      <c r="G81" s="185"/>
      <c r="H81" s="576"/>
      <c r="I81" s="186"/>
      <c r="J81" s="186"/>
      <c r="K81" s="187"/>
      <c r="L81" s="577"/>
      <c r="M81" s="186"/>
      <c r="N81" s="575"/>
      <c r="O81" s="575"/>
      <c r="P81" s="188"/>
      <c r="Q81" s="188"/>
      <c r="R81" s="185"/>
      <c r="S81" s="182"/>
      <c r="T81" s="576"/>
      <c r="U81" s="188"/>
      <c r="V81" s="188"/>
      <c r="W81" s="185"/>
      <c r="X81" s="182"/>
      <c r="Y81" s="576"/>
      <c r="Z81" s="188"/>
      <c r="AA81" s="188"/>
      <c r="AB81" s="185"/>
      <c r="AC81" s="182"/>
      <c r="AD81" s="576"/>
      <c r="AE81" s="188"/>
      <c r="AF81" s="188"/>
      <c r="AG81" s="185"/>
      <c r="AH81" s="182"/>
      <c r="AI81" s="576"/>
      <c r="AJ81" s="188"/>
      <c r="AK81" s="188"/>
      <c r="AL81" s="185"/>
      <c r="AM81" s="182"/>
      <c r="AN81" s="576"/>
      <c r="AO81" s="188"/>
      <c r="AP81" s="188"/>
      <c r="AQ81" s="185"/>
      <c r="AR81" s="182"/>
      <c r="AS81" s="576"/>
      <c r="AT81" s="188"/>
      <c r="AU81" s="188"/>
      <c r="AV81" s="185"/>
      <c r="AW81" s="182"/>
      <c r="AX81" s="576"/>
    </row>
    <row r="82" spans="2:50" ht="14.25" customHeight="1">
      <c r="B82" s="643" t="s">
        <v>784</v>
      </c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4"/>
      <c r="N82" s="609" t="s">
        <v>374</v>
      </c>
      <c r="O82" s="609" t="s">
        <v>105</v>
      </c>
      <c r="P82" s="655">
        <v>46140</v>
      </c>
      <c r="Q82" s="656"/>
      <c r="R82" s="656"/>
      <c r="S82" s="656"/>
      <c r="T82" s="656"/>
      <c r="U82" s="657">
        <v>46141</v>
      </c>
      <c r="V82" s="658"/>
      <c r="W82" s="658"/>
      <c r="X82" s="658"/>
      <c r="Y82" s="658"/>
      <c r="Z82" s="655">
        <v>46142</v>
      </c>
      <c r="AA82" s="656"/>
      <c r="AB82" s="656"/>
      <c r="AC82" s="656"/>
      <c r="AD82" s="656"/>
      <c r="AE82" s="657">
        <v>46143</v>
      </c>
      <c r="AF82" s="658"/>
      <c r="AG82" s="658"/>
      <c r="AH82" s="658"/>
      <c r="AI82" s="658"/>
      <c r="AJ82" s="647">
        <v>46144</v>
      </c>
      <c r="AK82" s="648"/>
      <c r="AL82" s="648"/>
      <c r="AM82" s="648"/>
      <c r="AN82" s="649"/>
      <c r="AO82" s="657">
        <v>46145</v>
      </c>
      <c r="AP82" s="658"/>
      <c r="AQ82" s="658"/>
      <c r="AR82" s="658"/>
      <c r="AS82" s="658"/>
      <c r="AT82" s="647">
        <v>46146</v>
      </c>
      <c r="AU82" s="648"/>
      <c r="AV82" s="648"/>
      <c r="AW82" s="648"/>
      <c r="AX82" s="649"/>
    </row>
    <row r="83" spans="2:50" ht="14.25" customHeight="1">
      <c r="B83" s="645"/>
      <c r="C83" s="645"/>
      <c r="D83" s="645"/>
      <c r="E83" s="645"/>
      <c r="F83" s="645"/>
      <c r="G83" s="645"/>
      <c r="H83" s="645"/>
      <c r="I83" s="645"/>
      <c r="J83" s="645"/>
      <c r="K83" s="645"/>
      <c r="L83" s="645"/>
      <c r="M83" s="646"/>
      <c r="N83" s="611"/>
      <c r="O83" s="611"/>
      <c r="P83" s="650">
        <v>46140</v>
      </c>
      <c r="Q83" s="650"/>
      <c r="R83" s="650"/>
      <c r="S83" s="650"/>
      <c r="T83" s="650"/>
      <c r="U83" s="651">
        <v>46141</v>
      </c>
      <c r="V83" s="651"/>
      <c r="W83" s="651"/>
      <c r="X83" s="651"/>
      <c r="Y83" s="651"/>
      <c r="Z83" s="650">
        <v>46142</v>
      </c>
      <c r="AA83" s="650"/>
      <c r="AB83" s="650"/>
      <c r="AC83" s="650"/>
      <c r="AD83" s="650"/>
      <c r="AE83" s="651">
        <v>46143</v>
      </c>
      <c r="AF83" s="651"/>
      <c r="AG83" s="651"/>
      <c r="AH83" s="651"/>
      <c r="AI83" s="651"/>
      <c r="AJ83" s="652">
        <v>46144</v>
      </c>
      <c r="AK83" s="653"/>
      <c r="AL83" s="653"/>
      <c r="AM83" s="653"/>
      <c r="AN83" s="654"/>
      <c r="AO83" s="651">
        <v>46145</v>
      </c>
      <c r="AP83" s="651"/>
      <c r="AQ83" s="651"/>
      <c r="AR83" s="651"/>
      <c r="AS83" s="651"/>
      <c r="AT83" s="652">
        <v>46146</v>
      </c>
      <c r="AU83" s="653"/>
      <c r="AV83" s="653"/>
      <c r="AW83" s="653"/>
      <c r="AX83" s="654"/>
    </row>
    <row r="84" spans="2:50" ht="14.25" customHeight="1">
      <c r="B84" s="575" t="s">
        <v>162</v>
      </c>
      <c r="C84" s="575" t="s">
        <v>157</v>
      </c>
      <c r="D84" s="575"/>
      <c r="E84" s="575" t="s">
        <v>158</v>
      </c>
      <c r="F84" s="575"/>
      <c r="G84" s="575"/>
      <c r="H84" s="575" t="s">
        <v>163</v>
      </c>
      <c r="I84" s="579" t="s">
        <v>375</v>
      </c>
      <c r="J84" s="579"/>
      <c r="K84" s="579"/>
      <c r="L84" s="579" t="s">
        <v>163</v>
      </c>
      <c r="M84" s="579" t="s">
        <v>165</v>
      </c>
      <c r="N84" s="575"/>
      <c r="O84" s="575" t="s">
        <v>164</v>
      </c>
      <c r="P84" s="575" t="s">
        <v>160</v>
      </c>
      <c r="Q84" s="575"/>
      <c r="R84" s="575"/>
      <c r="S84" s="575"/>
      <c r="T84" s="575" t="s">
        <v>163</v>
      </c>
      <c r="U84" s="575" t="s">
        <v>160</v>
      </c>
      <c r="V84" s="575"/>
      <c r="W84" s="575"/>
      <c r="X84" s="575"/>
      <c r="Y84" s="575" t="s">
        <v>163</v>
      </c>
      <c r="Z84" s="575" t="s">
        <v>160</v>
      </c>
      <c r="AA84" s="575"/>
      <c r="AB84" s="575"/>
      <c r="AC84" s="575"/>
      <c r="AD84" s="575" t="s">
        <v>163</v>
      </c>
      <c r="AE84" s="575" t="s">
        <v>160</v>
      </c>
      <c r="AF84" s="575"/>
      <c r="AG84" s="575"/>
      <c r="AH84" s="575"/>
      <c r="AI84" s="575" t="s">
        <v>163</v>
      </c>
      <c r="AJ84" s="575" t="s">
        <v>160</v>
      </c>
      <c r="AK84" s="575"/>
      <c r="AL84" s="575"/>
      <c r="AM84" s="575"/>
      <c r="AN84" s="575" t="s">
        <v>163</v>
      </c>
      <c r="AO84" s="575" t="s">
        <v>160</v>
      </c>
      <c r="AP84" s="575"/>
      <c r="AQ84" s="575"/>
      <c r="AR84" s="575"/>
      <c r="AS84" s="575" t="s">
        <v>163</v>
      </c>
      <c r="AT84" s="575" t="s">
        <v>160</v>
      </c>
      <c r="AU84" s="575"/>
      <c r="AV84" s="575"/>
      <c r="AW84" s="575"/>
      <c r="AX84" s="575" t="s">
        <v>163</v>
      </c>
    </row>
    <row r="85" spans="2:50" ht="14.25" customHeight="1">
      <c r="B85" s="575"/>
      <c r="C85" s="575"/>
      <c r="D85" s="575"/>
      <c r="E85" s="575" t="s">
        <v>376</v>
      </c>
      <c r="F85" s="575"/>
      <c r="G85" s="575"/>
      <c r="H85" s="575"/>
      <c r="I85" s="579" t="s">
        <v>376</v>
      </c>
      <c r="J85" s="579"/>
      <c r="K85" s="579"/>
      <c r="L85" s="579"/>
      <c r="M85" s="579"/>
      <c r="N85" s="575"/>
      <c r="O85" s="575"/>
      <c r="P85" s="575" t="s">
        <v>377</v>
      </c>
      <c r="Q85" s="575"/>
      <c r="R85" s="575"/>
      <c r="S85" s="575"/>
      <c r="T85" s="575"/>
      <c r="U85" s="575" t="s">
        <v>377</v>
      </c>
      <c r="V85" s="575"/>
      <c r="W85" s="575"/>
      <c r="X85" s="575"/>
      <c r="Y85" s="575"/>
      <c r="Z85" s="575" t="s">
        <v>377</v>
      </c>
      <c r="AA85" s="575"/>
      <c r="AB85" s="575"/>
      <c r="AC85" s="575"/>
      <c r="AD85" s="575"/>
      <c r="AE85" s="575" t="s">
        <v>377</v>
      </c>
      <c r="AF85" s="575"/>
      <c r="AG85" s="575"/>
      <c r="AH85" s="575"/>
      <c r="AI85" s="575"/>
      <c r="AJ85" s="575" t="s">
        <v>377</v>
      </c>
      <c r="AK85" s="575"/>
      <c r="AL85" s="575"/>
      <c r="AM85" s="575"/>
      <c r="AN85" s="575"/>
      <c r="AO85" s="575" t="s">
        <v>377</v>
      </c>
      <c r="AP85" s="575"/>
      <c r="AQ85" s="575"/>
      <c r="AR85" s="575"/>
      <c r="AS85" s="575"/>
      <c r="AT85" s="575" t="s">
        <v>377</v>
      </c>
      <c r="AU85" s="575"/>
      <c r="AV85" s="575"/>
      <c r="AW85" s="575"/>
      <c r="AX85" s="575"/>
    </row>
    <row r="86" spans="2:50" ht="14.25" customHeight="1">
      <c r="B86" s="575"/>
      <c r="C86" s="575"/>
      <c r="D86" s="575"/>
      <c r="E86" s="180" t="s">
        <v>159</v>
      </c>
      <c r="F86" s="180" t="s">
        <v>378</v>
      </c>
      <c r="G86" s="180" t="s">
        <v>161</v>
      </c>
      <c r="H86" s="575"/>
      <c r="I86" s="181" t="s">
        <v>159</v>
      </c>
      <c r="J86" s="181" t="s">
        <v>378</v>
      </c>
      <c r="K86" s="181" t="s">
        <v>161</v>
      </c>
      <c r="L86" s="579"/>
      <c r="M86" s="579"/>
      <c r="N86" s="575"/>
      <c r="O86" s="575"/>
      <c r="P86" s="180" t="s">
        <v>159</v>
      </c>
      <c r="Q86" s="180" t="s">
        <v>378</v>
      </c>
      <c r="R86" s="180" t="s">
        <v>161</v>
      </c>
      <c r="S86" s="182" t="s">
        <v>165</v>
      </c>
      <c r="T86" s="575"/>
      <c r="U86" s="180" t="s">
        <v>159</v>
      </c>
      <c r="V86" s="180" t="s">
        <v>378</v>
      </c>
      <c r="W86" s="180" t="s">
        <v>161</v>
      </c>
      <c r="X86" s="182" t="s">
        <v>165</v>
      </c>
      <c r="Y86" s="575"/>
      <c r="Z86" s="180" t="s">
        <v>159</v>
      </c>
      <c r="AA86" s="180" t="s">
        <v>378</v>
      </c>
      <c r="AB86" s="180" t="s">
        <v>161</v>
      </c>
      <c r="AC86" s="182" t="s">
        <v>165</v>
      </c>
      <c r="AD86" s="575"/>
      <c r="AE86" s="180" t="s">
        <v>159</v>
      </c>
      <c r="AF86" s="180" t="s">
        <v>378</v>
      </c>
      <c r="AG86" s="180" t="s">
        <v>161</v>
      </c>
      <c r="AH86" s="182" t="s">
        <v>165</v>
      </c>
      <c r="AI86" s="575"/>
      <c r="AJ86" s="180" t="s">
        <v>159</v>
      </c>
      <c r="AK86" s="180" t="s">
        <v>378</v>
      </c>
      <c r="AL86" s="180" t="s">
        <v>161</v>
      </c>
      <c r="AM86" s="182" t="s">
        <v>165</v>
      </c>
      <c r="AN86" s="575"/>
      <c r="AO86" s="180" t="s">
        <v>159</v>
      </c>
      <c r="AP86" s="180" t="s">
        <v>378</v>
      </c>
      <c r="AQ86" s="180" t="s">
        <v>161</v>
      </c>
      <c r="AR86" s="182" t="s">
        <v>165</v>
      </c>
      <c r="AS86" s="575"/>
      <c r="AT86" s="180" t="s">
        <v>159</v>
      </c>
      <c r="AU86" s="180" t="s">
        <v>378</v>
      </c>
      <c r="AV86" s="180" t="s">
        <v>161</v>
      </c>
      <c r="AW86" s="182" t="s">
        <v>165</v>
      </c>
      <c r="AX86" s="575"/>
    </row>
    <row r="87" spans="2:50" ht="14.25" customHeight="1">
      <c r="B87" s="575" t="s">
        <v>382</v>
      </c>
      <c r="C87" s="180">
        <v>1</v>
      </c>
      <c r="D87" s="183" t="s">
        <v>718</v>
      </c>
      <c r="E87" s="180">
        <v>20</v>
      </c>
      <c r="F87" s="180">
        <v>3600</v>
      </c>
      <c r="G87" s="185">
        <f t="shared" ref="G87:G91" si="52">F87/E87</f>
        <v>180</v>
      </c>
      <c r="H87" s="576">
        <f>AVERAGE(G87:G101)</f>
        <v>183.96992481203011</v>
      </c>
      <c r="I87" s="186">
        <f>AVERAGE(P87,U87,Z87,AE87,AJ87,AO87,AT87)</f>
        <v>20</v>
      </c>
      <c r="J87" s="186">
        <f>AVERAGE(Q87,V87,AA87,AF87,AK87,AP87,AU87)</f>
        <v>3257.0218312293314</v>
      </c>
      <c r="K87" s="187">
        <f>AVERAGE(R87,W87,AB87,AG87,AL87,AQ87,AV87)</f>
        <v>162.85109156146657</v>
      </c>
      <c r="L87" s="577">
        <f>IFERROR(AVERAGE(K87:K101),"-")</f>
        <v>163.07026614315444</v>
      </c>
      <c r="M87" s="186">
        <f>RANK(K87, K$87:$K$101)</f>
        <v>4</v>
      </c>
      <c r="N87" s="575"/>
      <c r="O87" s="575"/>
      <c r="P87" s="188">
        <v>20</v>
      </c>
      <c r="Q87" s="188">
        <v>3257.7315802560033</v>
      </c>
      <c r="R87" s="185">
        <f>IFERROR(Q87/P87,"")</f>
        <v>162.88657901280015</v>
      </c>
      <c r="S87" s="182">
        <f>RANK(R87, R$87:R$101)</f>
        <v>3</v>
      </c>
      <c r="T87" s="576">
        <f>AVERAGE(R87:R101)</f>
        <v>161.473679611622</v>
      </c>
      <c r="U87" s="188">
        <v>20</v>
      </c>
      <c r="V87" s="188">
        <v>3255.9315802560041</v>
      </c>
      <c r="W87" s="185">
        <f t="shared" ref="W87:W91" si="53">IFERROR(V87/U87,"")</f>
        <v>162.79657901280021</v>
      </c>
      <c r="X87" s="182">
        <f>RANK(W87, W$87:W$101)</f>
        <v>3</v>
      </c>
      <c r="Y87" s="576">
        <f>AVERAGE(W87:W101)</f>
        <v>162.14278323759945</v>
      </c>
      <c r="Z87" s="188">
        <v>20</v>
      </c>
      <c r="AA87" s="188">
        <v>3257.0500464532588</v>
      </c>
      <c r="AB87" s="185">
        <f t="shared" ref="AB87:AB91" si="54">IFERROR(AA87/Z87,"")</f>
        <v>162.85250232266293</v>
      </c>
      <c r="AC87" s="182">
        <f>RANK(AB87, AB$87:AB$101)</f>
        <v>3</v>
      </c>
      <c r="AD87" s="576">
        <f>AVERAGE(AB87:AB101)</f>
        <v>162.88976558621806</v>
      </c>
      <c r="AE87" s="188">
        <v>20</v>
      </c>
      <c r="AF87" s="188">
        <v>3256.6900464532591</v>
      </c>
      <c r="AG87" s="185">
        <f>IFERROR(AF87/AE87,"")</f>
        <v>162.83450232266296</v>
      </c>
      <c r="AH87" s="182">
        <f>RANK(AG87, AG$87:AG$101)</f>
        <v>4</v>
      </c>
      <c r="AI87" s="576">
        <f>AVERAGE(AG87:AG101)</f>
        <v>163.72155483142674</v>
      </c>
      <c r="AJ87" s="188">
        <v>20</v>
      </c>
      <c r="AK87" s="188">
        <v>3257.7700464532595</v>
      </c>
      <c r="AL87" s="185">
        <f t="shared" ref="AL87:AL91" si="55">IFERROR(AK87/AJ87,"")</f>
        <v>162.88850232266299</v>
      </c>
      <c r="AM87" s="182">
        <f>RANK(AL87, AL$87:AL$101)</f>
        <v>4</v>
      </c>
      <c r="AN87" s="576">
        <f>AVERAGE(AL87:AL101)</f>
        <v>163.76537738781772</v>
      </c>
      <c r="AO87" s="188">
        <v>20</v>
      </c>
      <c r="AP87" s="188">
        <v>3256.3300464532599</v>
      </c>
      <c r="AQ87" s="185">
        <f t="shared" ref="AQ87:AQ91" si="56">IFERROR(AP87/AO87,"")</f>
        <v>162.81650232266298</v>
      </c>
      <c r="AR87" s="182">
        <f>RANK(AQ87, AQ$87:AQ$101)</f>
        <v>4</v>
      </c>
      <c r="AS87" s="576">
        <f>AVERAGE(AQ87:AQ101)</f>
        <v>163.75258863102962</v>
      </c>
      <c r="AT87" s="188">
        <v>20</v>
      </c>
      <c r="AU87" s="188">
        <v>3257.6494722802759</v>
      </c>
      <c r="AV87" s="185">
        <f t="shared" ref="AV87:AV91" si="57">IFERROR(AU87/AT87,"")</f>
        <v>162.8824736140138</v>
      </c>
      <c r="AW87" s="182">
        <f>RANK(AV87, AV$87:AV$101)</f>
        <v>4</v>
      </c>
      <c r="AX87" s="576">
        <f>AVERAGE(AV87:AV101)</f>
        <v>163.74611371636746</v>
      </c>
    </row>
    <row r="88" spans="2:50" ht="14.25" customHeight="1">
      <c r="B88" s="575"/>
      <c r="C88" s="180">
        <v>2</v>
      </c>
      <c r="D88" s="183" t="s">
        <v>719</v>
      </c>
      <c r="E88" s="180">
        <v>21</v>
      </c>
      <c r="F88" s="180">
        <v>3600</v>
      </c>
      <c r="G88" s="185">
        <f t="shared" si="52"/>
        <v>171.42857142857142</v>
      </c>
      <c r="H88" s="576"/>
      <c r="I88" s="186">
        <f t="shared" ref="I88:K91" si="58">AVERAGE(P88,U88,Z88,AE88,AJ88,AO88,AT88)</f>
        <v>21</v>
      </c>
      <c r="J88" s="186">
        <f t="shared" si="58"/>
        <v>3258.2142282390128</v>
      </c>
      <c r="K88" s="187">
        <f t="shared" si="58"/>
        <v>155.15305848757203</v>
      </c>
      <c r="L88" s="577"/>
      <c r="M88" s="186">
        <f>RANK(K88, K$87:$K$101)</f>
        <v>5</v>
      </c>
      <c r="N88" s="575"/>
      <c r="O88" s="575"/>
      <c r="P88" s="188">
        <v>21</v>
      </c>
      <c r="Q88" s="188">
        <v>3259.4998993927506</v>
      </c>
      <c r="R88" s="185">
        <f t="shared" ref="R88:R91" si="59">IFERROR(Q88/P88,"")</f>
        <v>155.21428092346432</v>
      </c>
      <c r="S88" s="182">
        <f t="shared" ref="S88:S91" si="60">RANK(R88, R$87:R$101)</f>
        <v>5</v>
      </c>
      <c r="T88" s="576"/>
      <c r="U88" s="188">
        <v>21</v>
      </c>
      <c r="V88" s="188">
        <v>3259.1398993927505</v>
      </c>
      <c r="W88" s="185">
        <f t="shared" si="53"/>
        <v>155.19713806632146</v>
      </c>
      <c r="X88" s="182">
        <f t="shared" ref="X88:X91" si="61">RANK(W88, W$87:W$101)</f>
        <v>5</v>
      </c>
      <c r="Y88" s="576"/>
      <c r="Z88" s="188">
        <v>21</v>
      </c>
      <c r="AA88" s="188">
        <v>3258.5639597775166</v>
      </c>
      <c r="AB88" s="185">
        <f t="shared" si="54"/>
        <v>155.16971237035793</v>
      </c>
      <c r="AC88" s="182">
        <f t="shared" ref="AC88:AC91" si="62">RANK(AB88, AB$87:AB$101)</f>
        <v>5</v>
      </c>
      <c r="AD88" s="576"/>
      <c r="AE88" s="188">
        <v>21</v>
      </c>
      <c r="AF88" s="188">
        <v>3257.1239597775175</v>
      </c>
      <c r="AG88" s="185">
        <f t="shared" ref="AG88:AG91" si="63">IFERROR(AF88/AE88,"")</f>
        <v>155.10114094178655</v>
      </c>
      <c r="AH88" s="182">
        <f t="shared" ref="AH88:AH91" si="64">RANK(AG88, AG$87:AG$101)</f>
        <v>5</v>
      </c>
      <c r="AI88" s="576"/>
      <c r="AJ88" s="188">
        <v>21</v>
      </c>
      <c r="AK88" s="188">
        <v>3258.2039597775183</v>
      </c>
      <c r="AL88" s="185">
        <f t="shared" si="55"/>
        <v>155.15256951321516</v>
      </c>
      <c r="AM88" s="182">
        <f t="shared" ref="AM88:AM91" si="65">RANK(AL88, AL$87:AL$101)</f>
        <v>5</v>
      </c>
      <c r="AN88" s="576"/>
      <c r="AO88" s="188">
        <v>21</v>
      </c>
      <c r="AP88" s="188">
        <v>3257.1239597775179</v>
      </c>
      <c r="AQ88" s="185">
        <f t="shared" si="56"/>
        <v>155.10114094178658</v>
      </c>
      <c r="AR88" s="182">
        <f t="shared" ref="AR88:AR91" si="66">RANK(AQ88, AQ$87:AQ$101)</f>
        <v>5</v>
      </c>
      <c r="AS88" s="576"/>
      <c r="AT88" s="188">
        <v>21</v>
      </c>
      <c r="AU88" s="188">
        <v>3257.8439597775186</v>
      </c>
      <c r="AV88" s="185">
        <f t="shared" si="57"/>
        <v>155.13542665607233</v>
      </c>
      <c r="AW88" s="182">
        <f t="shared" ref="AW88:AW91" si="67">RANK(AV88, AV$87:AV$101)</f>
        <v>5</v>
      </c>
      <c r="AX88" s="576"/>
    </row>
    <row r="89" spans="2:50" ht="14.25" customHeight="1">
      <c r="B89" s="575"/>
      <c r="C89" s="180">
        <v>3</v>
      </c>
      <c r="D89" s="183" t="s">
        <v>756</v>
      </c>
      <c r="E89" s="180">
        <v>19</v>
      </c>
      <c r="F89" s="180">
        <v>3600</v>
      </c>
      <c r="G89" s="185">
        <f t="shared" si="52"/>
        <v>189.47368421052633</v>
      </c>
      <c r="H89" s="576"/>
      <c r="I89" s="186">
        <f t="shared" si="58"/>
        <v>19</v>
      </c>
      <c r="J89" s="186">
        <f t="shared" si="58"/>
        <v>3170.9267633689415</v>
      </c>
      <c r="K89" s="187">
        <f t="shared" si="58"/>
        <v>166.89088228257586</v>
      </c>
      <c r="L89" s="577"/>
      <c r="M89" s="186">
        <f>RANK(K89, K$87:$K$101)</f>
        <v>2</v>
      </c>
      <c r="N89" s="575"/>
      <c r="O89" s="575"/>
      <c r="P89" s="188">
        <v>19</v>
      </c>
      <c r="Q89" s="188">
        <v>3171.6560903523614</v>
      </c>
      <c r="R89" s="185">
        <f t="shared" si="59"/>
        <v>166.92926791328219</v>
      </c>
      <c r="S89" s="182">
        <f t="shared" si="60"/>
        <v>2</v>
      </c>
      <c r="T89" s="576"/>
      <c r="U89" s="188">
        <v>19</v>
      </c>
      <c r="V89" s="188">
        <v>3170.5760903523615</v>
      </c>
      <c r="W89" s="185">
        <f t="shared" si="53"/>
        <v>166.87242580801902</v>
      </c>
      <c r="X89" s="182">
        <f t="shared" si="61"/>
        <v>2</v>
      </c>
      <c r="Y89" s="576"/>
      <c r="Z89" s="188">
        <v>19</v>
      </c>
      <c r="AA89" s="188">
        <v>3170.7441853969599</v>
      </c>
      <c r="AB89" s="185">
        <f t="shared" si="54"/>
        <v>166.88127291562947</v>
      </c>
      <c r="AC89" s="182">
        <f t="shared" si="62"/>
        <v>2</v>
      </c>
      <c r="AD89" s="576"/>
      <c r="AE89" s="188">
        <v>19</v>
      </c>
      <c r="AF89" s="188">
        <v>3170.0677443702275</v>
      </c>
      <c r="AG89" s="185">
        <f t="shared" si="63"/>
        <v>166.84567075632776</v>
      </c>
      <c r="AH89" s="182">
        <f t="shared" si="64"/>
        <v>3</v>
      </c>
      <c r="AI89" s="576"/>
      <c r="AJ89" s="188">
        <v>19</v>
      </c>
      <c r="AK89" s="188">
        <v>3171.5077443702266</v>
      </c>
      <c r="AL89" s="185">
        <f t="shared" si="55"/>
        <v>166.92146023001192</v>
      </c>
      <c r="AM89" s="182">
        <f t="shared" si="65"/>
        <v>2</v>
      </c>
      <c r="AN89" s="576"/>
      <c r="AO89" s="188">
        <v>19</v>
      </c>
      <c r="AP89" s="188">
        <v>3171.5077443702257</v>
      </c>
      <c r="AQ89" s="185">
        <f t="shared" si="56"/>
        <v>166.92146023001189</v>
      </c>
      <c r="AR89" s="182">
        <f t="shared" si="66"/>
        <v>3</v>
      </c>
      <c r="AS89" s="576"/>
      <c r="AT89" s="188">
        <v>19</v>
      </c>
      <c r="AU89" s="188">
        <v>3170.4277443702254</v>
      </c>
      <c r="AV89" s="185">
        <f t="shared" si="57"/>
        <v>166.86461812474872</v>
      </c>
      <c r="AW89" s="182">
        <f t="shared" si="67"/>
        <v>3</v>
      </c>
      <c r="AX89" s="576"/>
    </row>
    <row r="90" spans="2:50" ht="14.25" customHeight="1">
      <c r="B90" s="575"/>
      <c r="C90" s="180">
        <v>4</v>
      </c>
      <c r="D90" s="183" t="s">
        <v>785</v>
      </c>
      <c r="E90" s="180">
        <v>19</v>
      </c>
      <c r="F90" s="180">
        <v>3600</v>
      </c>
      <c r="G90" s="185">
        <f t="shared" si="52"/>
        <v>189.47368421052633</v>
      </c>
      <c r="H90" s="576"/>
      <c r="I90" s="186">
        <f t="shared" si="58"/>
        <v>19</v>
      </c>
      <c r="J90" s="186">
        <f t="shared" si="58"/>
        <v>3106.4853322042131</v>
      </c>
      <c r="K90" s="187">
        <f t="shared" si="58"/>
        <v>163.49922801074803</v>
      </c>
      <c r="L90" s="577"/>
      <c r="M90" s="186">
        <f>RANK(K90, K$87:$K$101)</f>
        <v>3</v>
      </c>
      <c r="N90" s="575"/>
      <c r="O90" s="575"/>
      <c r="P90" s="188">
        <v>19</v>
      </c>
      <c r="Q90" s="188">
        <v>2951.9999999999995</v>
      </c>
      <c r="R90" s="185">
        <f t="shared" si="59"/>
        <v>155.36842105263156</v>
      </c>
      <c r="S90" s="182">
        <f t="shared" si="60"/>
        <v>4</v>
      </c>
      <c r="T90" s="576"/>
      <c r="U90" s="188">
        <v>19</v>
      </c>
      <c r="V90" s="188">
        <v>3018.6805587535687</v>
      </c>
      <c r="W90" s="185">
        <f t="shared" si="53"/>
        <v>158.87792414492466</v>
      </c>
      <c r="X90" s="182">
        <f t="shared" si="61"/>
        <v>4</v>
      </c>
      <c r="Y90" s="576"/>
      <c r="Z90" s="188">
        <v>19</v>
      </c>
      <c r="AA90" s="188">
        <v>3089.6543321636545</v>
      </c>
      <c r="AB90" s="185">
        <f t="shared" si="54"/>
        <v>162.61338590335023</v>
      </c>
      <c r="AC90" s="182">
        <f t="shared" si="62"/>
        <v>4</v>
      </c>
      <c r="AD90" s="576"/>
      <c r="AE90" s="188">
        <v>19</v>
      </c>
      <c r="AF90" s="188">
        <v>3170.6356086280675</v>
      </c>
      <c r="AG90" s="185">
        <f t="shared" si="63"/>
        <v>166.87555834884566</v>
      </c>
      <c r="AH90" s="182">
        <f t="shared" si="64"/>
        <v>2</v>
      </c>
      <c r="AI90" s="576"/>
      <c r="AJ90" s="188">
        <v>19</v>
      </c>
      <c r="AK90" s="188">
        <v>3170.6356086280666</v>
      </c>
      <c r="AL90" s="185">
        <f t="shared" si="55"/>
        <v>166.8755583488456</v>
      </c>
      <c r="AM90" s="182">
        <f t="shared" si="65"/>
        <v>3</v>
      </c>
      <c r="AN90" s="576"/>
      <c r="AO90" s="188">
        <v>19</v>
      </c>
      <c r="AP90" s="188">
        <v>3172.0756086280653</v>
      </c>
      <c r="AQ90" s="185">
        <f t="shared" si="56"/>
        <v>166.95134782252975</v>
      </c>
      <c r="AR90" s="182">
        <f t="shared" si="66"/>
        <v>2</v>
      </c>
      <c r="AS90" s="576"/>
      <c r="AT90" s="188">
        <v>19</v>
      </c>
      <c r="AU90" s="188">
        <v>3171.7156086280652</v>
      </c>
      <c r="AV90" s="185">
        <f t="shared" si="57"/>
        <v>166.93240045410869</v>
      </c>
      <c r="AW90" s="182">
        <f t="shared" si="67"/>
        <v>1</v>
      </c>
      <c r="AX90" s="576"/>
    </row>
    <row r="91" spans="2:50" ht="14.25" customHeight="1">
      <c r="B91" s="575"/>
      <c r="C91" s="180">
        <v>5</v>
      </c>
      <c r="D91" s="183" t="s">
        <v>720</v>
      </c>
      <c r="E91" s="180">
        <v>19</v>
      </c>
      <c r="F91" s="180">
        <v>3600</v>
      </c>
      <c r="G91" s="185">
        <f t="shared" si="52"/>
        <v>189.47368421052633</v>
      </c>
      <c r="H91" s="576"/>
      <c r="I91" s="186">
        <f t="shared" si="58"/>
        <v>19</v>
      </c>
      <c r="J91" s="186">
        <f t="shared" si="58"/>
        <v>3172.184337094784</v>
      </c>
      <c r="K91" s="187">
        <f t="shared" si="58"/>
        <v>166.95707037340972</v>
      </c>
      <c r="L91" s="577"/>
      <c r="M91" s="186">
        <f>RANK(K91, K$87:$K$101)</f>
        <v>1</v>
      </c>
      <c r="N91" s="575"/>
      <c r="O91" s="575"/>
      <c r="P91" s="188">
        <v>19</v>
      </c>
      <c r="Q91" s="188">
        <v>3172.4271339627066</v>
      </c>
      <c r="R91" s="185">
        <f t="shared" si="59"/>
        <v>166.96984915593194</v>
      </c>
      <c r="S91" s="182">
        <f t="shared" si="60"/>
        <v>1</v>
      </c>
      <c r="T91" s="576"/>
      <c r="U91" s="188">
        <v>19</v>
      </c>
      <c r="V91" s="188">
        <v>3172.4271339627066</v>
      </c>
      <c r="W91" s="185">
        <f t="shared" si="53"/>
        <v>166.96984915593194</v>
      </c>
      <c r="X91" s="182">
        <f t="shared" si="61"/>
        <v>1</v>
      </c>
      <c r="Y91" s="576"/>
      <c r="Z91" s="188">
        <v>19</v>
      </c>
      <c r="AA91" s="188">
        <v>3171.7071339627068</v>
      </c>
      <c r="AB91" s="185">
        <f t="shared" si="54"/>
        <v>166.93195441908983</v>
      </c>
      <c r="AC91" s="182">
        <f t="shared" si="62"/>
        <v>1</v>
      </c>
      <c r="AD91" s="576"/>
      <c r="AE91" s="188">
        <v>19</v>
      </c>
      <c r="AF91" s="188">
        <v>3172.0671339627065</v>
      </c>
      <c r="AG91" s="185">
        <f t="shared" si="63"/>
        <v>166.95090178751087</v>
      </c>
      <c r="AH91" s="182">
        <f t="shared" si="64"/>
        <v>1</v>
      </c>
      <c r="AI91" s="576"/>
      <c r="AJ91" s="188">
        <v>19</v>
      </c>
      <c r="AK91" s="188">
        <v>3172.7871339627059</v>
      </c>
      <c r="AL91" s="185">
        <f t="shared" si="55"/>
        <v>166.98879652435295</v>
      </c>
      <c r="AM91" s="182">
        <f t="shared" si="65"/>
        <v>1</v>
      </c>
      <c r="AN91" s="576"/>
      <c r="AO91" s="188">
        <v>19</v>
      </c>
      <c r="AP91" s="188">
        <v>3172.4773449249806</v>
      </c>
      <c r="AQ91" s="185">
        <f t="shared" si="56"/>
        <v>166.97249183815688</v>
      </c>
      <c r="AR91" s="182">
        <f t="shared" si="66"/>
        <v>1</v>
      </c>
      <c r="AS91" s="576"/>
      <c r="AT91" s="188">
        <v>19</v>
      </c>
      <c r="AU91" s="188">
        <v>3171.3973449249802</v>
      </c>
      <c r="AV91" s="185">
        <f t="shared" si="57"/>
        <v>166.91564973289368</v>
      </c>
      <c r="AW91" s="182">
        <f t="shared" si="67"/>
        <v>2</v>
      </c>
      <c r="AX91" s="576"/>
    </row>
    <row r="92" spans="2:50" ht="14.25" customHeight="1">
      <c r="B92" s="575"/>
      <c r="C92" s="180">
        <v>6</v>
      </c>
      <c r="D92" s="183"/>
      <c r="E92" s="180"/>
      <c r="F92" s="180"/>
      <c r="G92" s="185"/>
      <c r="H92" s="576"/>
      <c r="I92" s="186"/>
      <c r="J92" s="186"/>
      <c r="K92" s="187"/>
      <c r="L92" s="577"/>
      <c r="M92" s="186"/>
      <c r="N92" s="575"/>
      <c r="O92" s="575"/>
      <c r="P92" s="188"/>
      <c r="Q92" s="188"/>
      <c r="R92" s="185"/>
      <c r="S92" s="182"/>
      <c r="T92" s="576"/>
      <c r="U92" s="188"/>
      <c r="V92" s="188"/>
      <c r="W92" s="185"/>
      <c r="X92" s="182"/>
      <c r="Y92" s="576"/>
      <c r="Z92" s="188"/>
      <c r="AA92" s="188"/>
      <c r="AB92" s="185"/>
      <c r="AC92" s="182"/>
      <c r="AD92" s="576"/>
      <c r="AE92" s="188"/>
      <c r="AF92" s="188"/>
      <c r="AG92" s="185"/>
      <c r="AH92" s="182"/>
      <c r="AI92" s="576"/>
      <c r="AJ92" s="188"/>
      <c r="AK92" s="188"/>
      <c r="AL92" s="185"/>
      <c r="AM92" s="182"/>
      <c r="AN92" s="576"/>
      <c r="AO92" s="188"/>
      <c r="AP92" s="188"/>
      <c r="AQ92" s="185"/>
      <c r="AR92" s="182"/>
      <c r="AS92" s="576"/>
      <c r="AT92" s="188"/>
      <c r="AU92" s="188"/>
      <c r="AV92" s="185"/>
      <c r="AW92" s="182"/>
      <c r="AX92" s="576"/>
    </row>
    <row r="93" spans="2:50" ht="14.25" customHeight="1">
      <c r="B93" s="575"/>
      <c r="C93" s="180">
        <v>7</v>
      </c>
      <c r="D93" s="183"/>
      <c r="E93" s="180"/>
      <c r="F93" s="180"/>
      <c r="G93" s="185"/>
      <c r="H93" s="576"/>
      <c r="I93" s="186"/>
      <c r="J93" s="186"/>
      <c r="K93" s="187"/>
      <c r="L93" s="577"/>
      <c r="M93" s="186"/>
      <c r="N93" s="575"/>
      <c r="O93" s="575"/>
      <c r="P93" s="188"/>
      <c r="Q93" s="188"/>
      <c r="R93" s="185"/>
      <c r="S93" s="182"/>
      <c r="T93" s="576"/>
      <c r="U93" s="188"/>
      <c r="V93" s="188"/>
      <c r="W93" s="185"/>
      <c r="X93" s="182"/>
      <c r="Y93" s="576"/>
      <c r="Z93" s="188"/>
      <c r="AA93" s="188"/>
      <c r="AB93" s="185"/>
      <c r="AC93" s="182"/>
      <c r="AD93" s="576"/>
      <c r="AE93" s="188"/>
      <c r="AF93" s="188"/>
      <c r="AG93" s="185"/>
      <c r="AH93" s="182"/>
      <c r="AI93" s="576"/>
      <c r="AJ93" s="188"/>
      <c r="AK93" s="188"/>
      <c r="AL93" s="185"/>
      <c r="AM93" s="182"/>
      <c r="AN93" s="576"/>
      <c r="AO93" s="188"/>
      <c r="AP93" s="188"/>
      <c r="AQ93" s="185"/>
      <c r="AR93" s="182"/>
      <c r="AS93" s="576"/>
      <c r="AT93" s="188"/>
      <c r="AU93" s="188"/>
      <c r="AV93" s="185"/>
      <c r="AW93" s="182"/>
      <c r="AX93" s="576"/>
    </row>
    <row r="94" spans="2:50" ht="14.25" customHeight="1">
      <c r="B94" s="575"/>
      <c r="C94" s="180">
        <v>8</v>
      </c>
      <c r="D94" s="183"/>
      <c r="E94" s="180"/>
      <c r="F94" s="180"/>
      <c r="G94" s="185"/>
      <c r="H94" s="576"/>
      <c r="I94" s="186"/>
      <c r="J94" s="186"/>
      <c r="K94" s="187"/>
      <c r="L94" s="577"/>
      <c r="M94" s="186"/>
      <c r="N94" s="575"/>
      <c r="O94" s="575"/>
      <c r="P94" s="188"/>
      <c r="Q94" s="188"/>
      <c r="R94" s="185"/>
      <c r="S94" s="182"/>
      <c r="T94" s="576"/>
      <c r="U94" s="188"/>
      <c r="V94" s="188"/>
      <c r="W94" s="185"/>
      <c r="X94" s="182"/>
      <c r="Y94" s="576"/>
      <c r="Z94" s="188"/>
      <c r="AA94" s="188"/>
      <c r="AB94" s="185"/>
      <c r="AC94" s="182"/>
      <c r="AD94" s="576"/>
      <c r="AE94" s="188"/>
      <c r="AF94" s="188"/>
      <c r="AG94" s="185"/>
      <c r="AH94" s="182"/>
      <c r="AI94" s="576"/>
      <c r="AJ94" s="188"/>
      <c r="AK94" s="188"/>
      <c r="AL94" s="185"/>
      <c r="AM94" s="182"/>
      <c r="AN94" s="576"/>
      <c r="AO94" s="188"/>
      <c r="AP94" s="188"/>
      <c r="AQ94" s="185"/>
      <c r="AR94" s="182"/>
      <c r="AS94" s="576"/>
      <c r="AT94" s="188"/>
      <c r="AU94" s="188"/>
      <c r="AV94" s="185"/>
      <c r="AW94" s="182"/>
      <c r="AX94" s="576"/>
    </row>
    <row r="95" spans="2:50" ht="14.25" customHeight="1">
      <c r="B95" s="575"/>
      <c r="C95" s="180">
        <v>9</v>
      </c>
      <c r="D95" s="183"/>
      <c r="E95" s="180"/>
      <c r="F95" s="180"/>
      <c r="G95" s="185"/>
      <c r="H95" s="576"/>
      <c r="I95" s="186"/>
      <c r="J95" s="186"/>
      <c r="K95" s="187"/>
      <c r="L95" s="577"/>
      <c r="M95" s="186"/>
      <c r="N95" s="575"/>
      <c r="O95" s="575"/>
      <c r="P95" s="188"/>
      <c r="Q95" s="188"/>
      <c r="R95" s="185"/>
      <c r="S95" s="182"/>
      <c r="T95" s="576"/>
      <c r="U95" s="188"/>
      <c r="V95" s="188"/>
      <c r="W95" s="185"/>
      <c r="X95" s="182"/>
      <c r="Y95" s="576"/>
      <c r="Z95" s="188"/>
      <c r="AA95" s="188"/>
      <c r="AB95" s="185"/>
      <c r="AC95" s="182"/>
      <c r="AD95" s="576"/>
      <c r="AE95" s="188"/>
      <c r="AF95" s="188"/>
      <c r="AG95" s="185"/>
      <c r="AH95" s="182"/>
      <c r="AI95" s="576"/>
      <c r="AJ95" s="188"/>
      <c r="AK95" s="188"/>
      <c r="AL95" s="185"/>
      <c r="AM95" s="182"/>
      <c r="AN95" s="576"/>
      <c r="AO95" s="188"/>
      <c r="AP95" s="188"/>
      <c r="AQ95" s="185"/>
      <c r="AR95" s="182"/>
      <c r="AS95" s="576"/>
      <c r="AT95" s="188"/>
      <c r="AU95" s="188"/>
      <c r="AV95" s="185"/>
      <c r="AW95" s="182"/>
      <c r="AX95" s="576"/>
    </row>
    <row r="96" spans="2:50" ht="14.25" customHeight="1">
      <c r="B96" s="575"/>
      <c r="C96" s="180">
        <v>10</v>
      </c>
      <c r="D96" s="183"/>
      <c r="E96" s="180"/>
      <c r="F96" s="180"/>
      <c r="G96" s="185"/>
      <c r="H96" s="576"/>
      <c r="I96" s="186"/>
      <c r="J96" s="186"/>
      <c r="K96" s="187"/>
      <c r="L96" s="577"/>
      <c r="M96" s="186"/>
      <c r="N96" s="575"/>
      <c r="O96" s="575"/>
      <c r="P96" s="188"/>
      <c r="Q96" s="188"/>
      <c r="R96" s="185"/>
      <c r="S96" s="182"/>
      <c r="T96" s="576"/>
      <c r="U96" s="188"/>
      <c r="V96" s="188"/>
      <c r="W96" s="185"/>
      <c r="X96" s="182"/>
      <c r="Y96" s="576"/>
      <c r="Z96" s="188"/>
      <c r="AA96" s="188"/>
      <c r="AB96" s="185"/>
      <c r="AC96" s="182"/>
      <c r="AD96" s="576"/>
      <c r="AE96" s="188"/>
      <c r="AF96" s="188"/>
      <c r="AG96" s="185"/>
      <c r="AH96" s="182"/>
      <c r="AI96" s="576"/>
      <c r="AJ96" s="188"/>
      <c r="AK96" s="188"/>
      <c r="AL96" s="185"/>
      <c r="AM96" s="182"/>
      <c r="AN96" s="576"/>
      <c r="AO96" s="188"/>
      <c r="AP96" s="188"/>
      <c r="AQ96" s="185"/>
      <c r="AR96" s="182"/>
      <c r="AS96" s="576"/>
      <c r="AT96" s="188"/>
      <c r="AU96" s="188"/>
      <c r="AV96" s="185"/>
      <c r="AW96" s="182"/>
      <c r="AX96" s="576"/>
    </row>
    <row r="97" spans="2:50" ht="14.25" customHeight="1">
      <c r="B97" s="575"/>
      <c r="C97" s="180">
        <v>11</v>
      </c>
      <c r="D97" s="183"/>
      <c r="E97" s="180"/>
      <c r="F97" s="180"/>
      <c r="G97" s="185"/>
      <c r="H97" s="576"/>
      <c r="I97" s="186"/>
      <c r="J97" s="186"/>
      <c r="K97" s="187"/>
      <c r="L97" s="577"/>
      <c r="M97" s="186"/>
      <c r="N97" s="575"/>
      <c r="O97" s="575"/>
      <c r="P97" s="188"/>
      <c r="Q97" s="188"/>
      <c r="R97" s="185"/>
      <c r="S97" s="182"/>
      <c r="T97" s="576"/>
      <c r="U97" s="188"/>
      <c r="V97" s="188"/>
      <c r="W97" s="185"/>
      <c r="X97" s="182"/>
      <c r="Y97" s="576"/>
      <c r="Z97" s="188"/>
      <c r="AA97" s="188"/>
      <c r="AB97" s="185"/>
      <c r="AC97" s="182"/>
      <c r="AD97" s="576"/>
      <c r="AE97" s="188"/>
      <c r="AF97" s="188"/>
      <c r="AG97" s="185"/>
      <c r="AH97" s="182"/>
      <c r="AI97" s="576"/>
      <c r="AJ97" s="188"/>
      <c r="AK97" s="188"/>
      <c r="AL97" s="185"/>
      <c r="AM97" s="182"/>
      <c r="AN97" s="576"/>
      <c r="AO97" s="188"/>
      <c r="AP97" s="188"/>
      <c r="AQ97" s="185"/>
      <c r="AR97" s="182"/>
      <c r="AS97" s="576"/>
      <c r="AT97" s="188"/>
      <c r="AU97" s="188"/>
      <c r="AV97" s="185"/>
      <c r="AW97" s="182"/>
      <c r="AX97" s="576"/>
    </row>
    <row r="98" spans="2:50" ht="14.25" customHeight="1">
      <c r="B98" s="575"/>
      <c r="C98" s="180">
        <v>12</v>
      </c>
      <c r="D98" s="183"/>
      <c r="E98" s="180"/>
      <c r="F98" s="180"/>
      <c r="G98" s="185"/>
      <c r="H98" s="576"/>
      <c r="I98" s="186"/>
      <c r="J98" s="186"/>
      <c r="K98" s="187"/>
      <c r="L98" s="577"/>
      <c r="M98" s="186"/>
      <c r="N98" s="575"/>
      <c r="O98" s="575"/>
      <c r="P98" s="188"/>
      <c r="Q98" s="188"/>
      <c r="R98" s="185"/>
      <c r="S98" s="182"/>
      <c r="T98" s="576"/>
      <c r="U98" s="188"/>
      <c r="V98" s="188"/>
      <c r="W98" s="185"/>
      <c r="X98" s="182"/>
      <c r="Y98" s="576"/>
      <c r="Z98" s="188"/>
      <c r="AA98" s="188"/>
      <c r="AB98" s="185"/>
      <c r="AC98" s="182"/>
      <c r="AD98" s="576"/>
      <c r="AE98" s="188"/>
      <c r="AF98" s="188"/>
      <c r="AG98" s="185"/>
      <c r="AH98" s="182"/>
      <c r="AI98" s="576"/>
      <c r="AJ98" s="188"/>
      <c r="AK98" s="188"/>
      <c r="AL98" s="185"/>
      <c r="AM98" s="182"/>
      <c r="AN98" s="576"/>
      <c r="AO98" s="188"/>
      <c r="AP98" s="188"/>
      <c r="AQ98" s="185"/>
      <c r="AR98" s="182"/>
      <c r="AS98" s="576"/>
      <c r="AT98" s="188"/>
      <c r="AU98" s="188"/>
      <c r="AV98" s="185"/>
      <c r="AW98" s="182"/>
      <c r="AX98" s="576"/>
    </row>
    <row r="99" spans="2:50" ht="14.25" customHeight="1">
      <c r="B99" s="575"/>
      <c r="C99" s="180">
        <v>13</v>
      </c>
      <c r="D99" s="183"/>
      <c r="E99" s="180"/>
      <c r="F99" s="180"/>
      <c r="G99" s="185"/>
      <c r="H99" s="576"/>
      <c r="I99" s="186"/>
      <c r="J99" s="186"/>
      <c r="K99" s="187"/>
      <c r="L99" s="577"/>
      <c r="M99" s="186"/>
      <c r="N99" s="575"/>
      <c r="O99" s="575"/>
      <c r="P99" s="188"/>
      <c r="Q99" s="188"/>
      <c r="R99" s="185"/>
      <c r="S99" s="182"/>
      <c r="T99" s="576"/>
      <c r="U99" s="188"/>
      <c r="V99" s="188"/>
      <c r="W99" s="185"/>
      <c r="X99" s="182"/>
      <c r="Y99" s="576"/>
      <c r="Z99" s="188"/>
      <c r="AA99" s="188"/>
      <c r="AB99" s="185"/>
      <c r="AC99" s="182"/>
      <c r="AD99" s="576"/>
      <c r="AE99" s="188"/>
      <c r="AF99" s="188"/>
      <c r="AG99" s="185"/>
      <c r="AH99" s="182"/>
      <c r="AI99" s="576"/>
      <c r="AJ99" s="188"/>
      <c r="AK99" s="188"/>
      <c r="AL99" s="185"/>
      <c r="AM99" s="182"/>
      <c r="AN99" s="576"/>
      <c r="AO99" s="188"/>
      <c r="AP99" s="188"/>
      <c r="AQ99" s="185"/>
      <c r="AR99" s="182"/>
      <c r="AS99" s="576"/>
      <c r="AT99" s="188"/>
      <c r="AU99" s="188"/>
      <c r="AV99" s="185"/>
      <c r="AW99" s="182"/>
      <c r="AX99" s="576"/>
    </row>
    <row r="100" spans="2:50" ht="14.25" customHeight="1">
      <c r="B100" s="575"/>
      <c r="C100" s="180">
        <v>14</v>
      </c>
      <c r="D100" s="183"/>
      <c r="E100" s="180"/>
      <c r="F100" s="180"/>
      <c r="G100" s="185"/>
      <c r="H100" s="576"/>
      <c r="I100" s="186"/>
      <c r="J100" s="186"/>
      <c r="K100" s="187"/>
      <c r="L100" s="577"/>
      <c r="M100" s="186"/>
      <c r="N100" s="575"/>
      <c r="O100" s="575"/>
      <c r="P100" s="188"/>
      <c r="Q100" s="188"/>
      <c r="R100" s="185"/>
      <c r="S100" s="182"/>
      <c r="T100" s="576"/>
      <c r="U100" s="188"/>
      <c r="V100" s="188"/>
      <c r="W100" s="185"/>
      <c r="X100" s="182"/>
      <c r="Y100" s="576"/>
      <c r="Z100" s="188"/>
      <c r="AA100" s="188"/>
      <c r="AB100" s="185"/>
      <c r="AC100" s="182"/>
      <c r="AD100" s="576"/>
      <c r="AE100" s="188"/>
      <c r="AF100" s="188"/>
      <c r="AG100" s="185"/>
      <c r="AH100" s="182"/>
      <c r="AI100" s="576"/>
      <c r="AJ100" s="188"/>
      <c r="AK100" s="188"/>
      <c r="AL100" s="185"/>
      <c r="AM100" s="182"/>
      <c r="AN100" s="576"/>
      <c r="AO100" s="188"/>
      <c r="AP100" s="188"/>
      <c r="AQ100" s="185"/>
      <c r="AR100" s="182"/>
      <c r="AS100" s="576"/>
      <c r="AT100" s="188"/>
      <c r="AU100" s="188"/>
      <c r="AV100" s="185"/>
      <c r="AW100" s="182"/>
      <c r="AX100" s="576"/>
    </row>
    <row r="101" spans="2:50" ht="14.25" customHeight="1">
      <c r="B101" s="575"/>
      <c r="C101" s="180">
        <v>15</v>
      </c>
      <c r="D101" s="183"/>
      <c r="E101" s="180"/>
      <c r="F101" s="180"/>
      <c r="G101" s="185"/>
      <c r="H101" s="576"/>
      <c r="I101" s="186"/>
      <c r="J101" s="186"/>
      <c r="K101" s="187"/>
      <c r="L101" s="577"/>
      <c r="M101" s="186"/>
      <c r="N101" s="575"/>
      <c r="O101" s="575"/>
      <c r="P101" s="188"/>
      <c r="Q101" s="188"/>
      <c r="R101" s="185"/>
      <c r="S101" s="182"/>
      <c r="T101" s="576"/>
      <c r="U101" s="188"/>
      <c r="V101" s="188"/>
      <c r="W101" s="185"/>
      <c r="X101" s="182"/>
      <c r="Y101" s="576"/>
      <c r="Z101" s="188"/>
      <c r="AA101" s="188"/>
      <c r="AB101" s="185"/>
      <c r="AC101" s="182"/>
      <c r="AD101" s="576"/>
      <c r="AE101" s="188"/>
      <c r="AF101" s="188"/>
      <c r="AG101" s="185"/>
      <c r="AH101" s="182"/>
      <c r="AI101" s="576"/>
      <c r="AJ101" s="188"/>
      <c r="AK101" s="188"/>
      <c r="AL101" s="185"/>
      <c r="AM101" s="182"/>
      <c r="AN101" s="576"/>
      <c r="AO101" s="188"/>
      <c r="AP101" s="188"/>
      <c r="AQ101" s="185"/>
      <c r="AR101" s="182"/>
      <c r="AS101" s="576"/>
      <c r="AT101" s="188"/>
      <c r="AU101" s="188"/>
      <c r="AV101" s="185"/>
      <c r="AW101" s="182"/>
      <c r="AX101" s="576"/>
    </row>
  </sheetData>
  <mergeCells count="295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6">
    <tabColor rgb="FFFFFFCC"/>
  </sheetPr>
  <dimension ref="A1:AX101"/>
  <sheetViews>
    <sheetView zoomScaleNormal="100" workbookViewId="0">
      <pane xSplit="13" ySplit="1" topLeftCell="N74" activePane="bottomRight" state="frozen"/>
      <selection activeCell="L95" sqref="L95"/>
      <selection pane="topRight" activeCell="L95" sqref="L95"/>
      <selection pane="bottomLeft" activeCell="L95" sqref="L95"/>
      <selection pane="bottomRight" activeCell="L87" sqref="L87:L10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95" t="s">
        <v>656</v>
      </c>
      <c r="C1" s="175">
        <f>AVERAGE(L7,L27,L47,L67)</f>
        <v>83.064526679068933</v>
      </c>
    </row>
    <row r="2" spans="1:50" ht="14.25" customHeight="1" collapsed="1">
      <c r="B2" s="589" t="s">
        <v>539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600"/>
      <c r="N2" s="609" t="s">
        <v>374</v>
      </c>
      <c r="O2" s="609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2"/>
      <c r="N3" s="611"/>
      <c r="O3" s="611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375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376</v>
      </c>
      <c r="F5" s="575"/>
      <c r="G5" s="575"/>
      <c r="H5" s="575"/>
      <c r="I5" s="579" t="s">
        <v>376</v>
      </c>
      <c r="J5" s="579"/>
      <c r="K5" s="579"/>
      <c r="L5" s="579"/>
      <c r="M5" s="579"/>
      <c r="N5" s="575"/>
      <c r="O5" s="575"/>
      <c r="P5" s="575" t="s">
        <v>377</v>
      </c>
      <c r="Q5" s="575"/>
      <c r="R5" s="575"/>
      <c r="S5" s="575"/>
      <c r="T5" s="575"/>
      <c r="U5" s="575" t="s">
        <v>377</v>
      </c>
      <c r="V5" s="575"/>
      <c r="W5" s="575"/>
      <c r="X5" s="575"/>
      <c r="Y5" s="575"/>
      <c r="Z5" s="575" t="s">
        <v>377</v>
      </c>
      <c r="AA5" s="575"/>
      <c r="AB5" s="575"/>
      <c r="AC5" s="575"/>
      <c r="AD5" s="575"/>
      <c r="AE5" s="575" t="s">
        <v>377</v>
      </c>
      <c r="AF5" s="575"/>
      <c r="AG5" s="575"/>
      <c r="AH5" s="575"/>
      <c r="AI5" s="575"/>
      <c r="AJ5" s="575" t="s">
        <v>377</v>
      </c>
      <c r="AK5" s="575"/>
      <c r="AL5" s="575"/>
      <c r="AM5" s="575"/>
      <c r="AN5" s="575"/>
      <c r="AO5" s="575" t="s">
        <v>377</v>
      </c>
      <c r="AP5" s="575"/>
      <c r="AQ5" s="575"/>
      <c r="AR5" s="575"/>
      <c r="AS5" s="575"/>
      <c r="AT5" s="575" t="s">
        <v>377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378</v>
      </c>
      <c r="G6" s="180" t="s">
        <v>161</v>
      </c>
      <c r="H6" s="575"/>
      <c r="I6" s="181" t="s">
        <v>159</v>
      </c>
      <c r="J6" s="181" t="s">
        <v>378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378</v>
      </c>
      <c r="R6" s="180" t="s">
        <v>161</v>
      </c>
      <c r="S6" s="182" t="s">
        <v>165</v>
      </c>
      <c r="T6" s="575"/>
      <c r="U6" s="180" t="s">
        <v>159</v>
      </c>
      <c r="V6" s="180" t="s">
        <v>378</v>
      </c>
      <c r="W6" s="180" t="s">
        <v>161</v>
      </c>
      <c r="X6" s="182" t="s">
        <v>165</v>
      </c>
      <c r="Y6" s="575"/>
      <c r="Z6" s="180" t="s">
        <v>159</v>
      </c>
      <c r="AA6" s="180" t="s">
        <v>378</v>
      </c>
      <c r="AB6" s="180" t="s">
        <v>161</v>
      </c>
      <c r="AC6" s="182" t="s">
        <v>165</v>
      </c>
      <c r="AD6" s="575"/>
      <c r="AE6" s="180" t="s">
        <v>159</v>
      </c>
      <c r="AF6" s="180" t="s">
        <v>378</v>
      </c>
      <c r="AG6" s="180" t="s">
        <v>161</v>
      </c>
      <c r="AH6" s="182" t="s">
        <v>165</v>
      </c>
      <c r="AI6" s="575"/>
      <c r="AJ6" s="180" t="s">
        <v>159</v>
      </c>
      <c r="AK6" s="180" t="s">
        <v>378</v>
      </c>
      <c r="AL6" s="180" t="s">
        <v>161</v>
      </c>
      <c r="AM6" s="182" t="s">
        <v>165</v>
      </c>
      <c r="AN6" s="575"/>
      <c r="AO6" s="180" t="s">
        <v>159</v>
      </c>
      <c r="AP6" s="180" t="s">
        <v>378</v>
      </c>
      <c r="AQ6" s="180" t="s">
        <v>161</v>
      </c>
      <c r="AR6" s="182" t="s">
        <v>165</v>
      </c>
      <c r="AS6" s="575"/>
      <c r="AT6" s="180" t="s">
        <v>159</v>
      </c>
      <c r="AU6" s="180" t="s">
        <v>378</v>
      </c>
      <c r="AV6" s="180" t="s">
        <v>161</v>
      </c>
      <c r="AW6" s="182" t="s">
        <v>165</v>
      </c>
      <c r="AX6" s="575"/>
    </row>
    <row r="7" spans="1:50" ht="14.25" customHeight="1">
      <c r="B7" s="575" t="s">
        <v>143</v>
      </c>
      <c r="C7" s="180">
        <v>1</v>
      </c>
      <c r="D7" s="183" t="s">
        <v>362</v>
      </c>
      <c r="E7" s="180">
        <v>13</v>
      </c>
      <c r="F7" s="180">
        <v>1200</v>
      </c>
      <c r="G7" s="185">
        <f t="shared" ref="G7" si="10">F7/E7</f>
        <v>92.307692307692307</v>
      </c>
      <c r="H7" s="576">
        <f>AVERAGE(G7:G21)</f>
        <v>92.307692307692307</v>
      </c>
      <c r="I7" s="186">
        <f>AVERAGE(P7,U7,Z7,AE7,AJ7,AO7,AT7)</f>
        <v>13</v>
      </c>
      <c r="J7" s="186">
        <f>AVERAGE(Q7,V7,AA7,AF7,AK7,AP7,AU7)</f>
        <v>1079.6277720595806</v>
      </c>
      <c r="K7" s="187">
        <f>AVERAGE(R7,W7,AB7,AG7,AL7,AQ7,AV7)</f>
        <v>83.048290158429268</v>
      </c>
      <c r="L7" s="577">
        <f>IFERROR(AVERAGE(K7:K21),"-")</f>
        <v>83.048290158429268</v>
      </c>
      <c r="M7" s="186">
        <f>RANK(K7, K$7:$K$21)</f>
        <v>1</v>
      </c>
      <c r="N7" s="575"/>
      <c r="O7" s="575"/>
      <c r="P7" s="188">
        <v>13</v>
      </c>
      <c r="Q7" s="188">
        <v>1079.6377054679635</v>
      </c>
      <c r="R7" s="185">
        <f>IFERROR(Q7/P7,"")</f>
        <v>83.049054266766433</v>
      </c>
      <c r="S7" s="182">
        <f>RANK(R7, R$7:R$21)</f>
        <v>1</v>
      </c>
      <c r="T7" s="576">
        <f>AVERAGE(R7:R21)</f>
        <v>83.049054266766433</v>
      </c>
      <c r="U7" s="188">
        <v>13</v>
      </c>
      <c r="V7" s="188">
        <v>1079.6468857282985</v>
      </c>
      <c r="W7" s="185">
        <f t="shared" ref="W7" si="11">IFERROR(V7/U7,"")</f>
        <v>83.049760440638337</v>
      </c>
      <c r="X7" s="182">
        <f>RANK(W7, W$7:W$21)</f>
        <v>1</v>
      </c>
      <c r="Y7" s="576">
        <f>AVERAGE(W7:W21)</f>
        <v>83.049760440638337</v>
      </c>
      <c r="Z7" s="188">
        <v>13</v>
      </c>
      <c r="AA7" s="188">
        <v>1079.6084828711257</v>
      </c>
      <c r="AB7" s="185">
        <f t="shared" ref="AB7" si="12">IFERROR(AA7/Z7,"")</f>
        <v>83.046806374701973</v>
      </c>
      <c r="AC7" s="182">
        <f>RANK(AB7, AB$7:AB$21)</f>
        <v>1</v>
      </c>
      <c r="AD7" s="576">
        <f>AVERAGE(AB7:AB21)</f>
        <v>83.046806374701973</v>
      </c>
      <c r="AE7" s="188">
        <v>13</v>
      </c>
      <c r="AF7" s="188">
        <v>1079.6174960155836</v>
      </c>
      <c r="AG7" s="185">
        <f>IFERROR(AF7/AE7,"")</f>
        <v>83.047499693506424</v>
      </c>
      <c r="AH7" s="182">
        <f>RANK(AG7, AG$7:AG$21)</f>
        <v>1</v>
      </c>
      <c r="AI7" s="576">
        <f>AVERAGE(AG7:AG21)</f>
        <v>83.047499693506424</v>
      </c>
      <c r="AJ7" s="188">
        <v>13</v>
      </c>
      <c r="AK7" s="188">
        <v>1079.6619012835231</v>
      </c>
      <c r="AL7" s="185">
        <f t="shared" ref="AL7" si="13">IFERROR(AK7/AJ7,"")</f>
        <v>83.050915483347936</v>
      </c>
      <c r="AM7" s="182">
        <v>1</v>
      </c>
      <c r="AN7" s="576">
        <f>AVERAGE(AL7:AL21)</f>
        <v>83.050915483347936</v>
      </c>
      <c r="AO7" s="188">
        <v>13</v>
      </c>
      <c r="AP7" s="188">
        <v>1079.6030871003306</v>
      </c>
      <c r="AQ7" s="185">
        <f t="shared" ref="AQ7" si="14">IFERROR(AP7/AO7,"")</f>
        <v>83.046391315410048</v>
      </c>
      <c r="AR7" s="182">
        <v>1</v>
      </c>
      <c r="AS7" s="576">
        <f>AVERAGE(AQ7:AQ21)</f>
        <v>83.046391315410048</v>
      </c>
      <c r="AT7" s="188">
        <v>13</v>
      </c>
      <c r="AU7" s="188">
        <v>1079.6188459502387</v>
      </c>
      <c r="AV7" s="185">
        <f t="shared" ref="AV7" si="15">IFERROR(AU7/AT7,"")</f>
        <v>83.047603534633737</v>
      </c>
      <c r="AW7" s="182">
        <v>1</v>
      </c>
      <c r="AX7" s="576">
        <f>AVERAGE(AV7:AV21)</f>
        <v>83.047603534633737</v>
      </c>
    </row>
    <row r="8" spans="1:50" ht="14.25" customHeight="1">
      <c r="B8" s="575"/>
      <c r="C8" s="180">
        <v>2</v>
      </c>
      <c r="D8" s="183"/>
      <c r="E8" s="180"/>
      <c r="F8" s="180"/>
      <c r="G8" s="185"/>
      <c r="H8" s="576"/>
      <c r="I8" s="186"/>
      <c r="J8" s="186"/>
      <c r="K8" s="187"/>
      <c r="L8" s="577"/>
      <c r="M8" s="186"/>
      <c r="N8" s="575"/>
      <c r="O8" s="575"/>
      <c r="P8" s="188"/>
      <c r="Q8" s="188"/>
      <c r="R8" s="185"/>
      <c r="S8" s="182"/>
      <c r="T8" s="576"/>
      <c r="U8" s="188"/>
      <c r="V8" s="188"/>
      <c r="W8" s="185"/>
      <c r="X8" s="182"/>
      <c r="Y8" s="576"/>
      <c r="Z8" s="188"/>
      <c r="AA8" s="188"/>
      <c r="AB8" s="185"/>
      <c r="AC8" s="182"/>
      <c r="AD8" s="576"/>
      <c r="AE8" s="188"/>
      <c r="AF8" s="188"/>
      <c r="AG8" s="185"/>
      <c r="AH8" s="182"/>
      <c r="AI8" s="576"/>
      <c r="AJ8" s="188"/>
      <c r="AK8" s="188"/>
      <c r="AL8" s="185"/>
      <c r="AM8" s="182"/>
      <c r="AN8" s="576"/>
      <c r="AO8" s="188"/>
      <c r="AP8" s="188"/>
      <c r="AQ8" s="185"/>
      <c r="AR8" s="182"/>
      <c r="AS8" s="576"/>
      <c r="AT8" s="188"/>
      <c r="AU8" s="188"/>
      <c r="AV8" s="185"/>
      <c r="AW8" s="182"/>
      <c r="AX8" s="576"/>
    </row>
    <row r="9" spans="1:50" ht="14.25" customHeight="1">
      <c r="B9" s="575"/>
      <c r="C9" s="180">
        <v>3</v>
      </c>
      <c r="D9" s="183"/>
      <c r="E9" s="180"/>
      <c r="F9" s="180"/>
      <c r="G9" s="185"/>
      <c r="H9" s="576"/>
      <c r="I9" s="186"/>
      <c r="J9" s="186"/>
      <c r="K9" s="187"/>
      <c r="L9" s="577"/>
      <c r="M9" s="186"/>
      <c r="N9" s="575"/>
      <c r="O9" s="575"/>
      <c r="P9" s="188"/>
      <c r="Q9" s="188"/>
      <c r="R9" s="185"/>
      <c r="S9" s="182"/>
      <c r="T9" s="576"/>
      <c r="U9" s="188"/>
      <c r="V9" s="188"/>
      <c r="W9" s="185"/>
      <c r="X9" s="182"/>
      <c r="Y9" s="576"/>
      <c r="Z9" s="188"/>
      <c r="AA9" s="188"/>
      <c r="AB9" s="185"/>
      <c r="AC9" s="182"/>
      <c r="AD9" s="576"/>
      <c r="AE9" s="188"/>
      <c r="AF9" s="188"/>
      <c r="AG9" s="185"/>
      <c r="AH9" s="182"/>
      <c r="AI9" s="576"/>
      <c r="AJ9" s="188"/>
      <c r="AK9" s="188"/>
      <c r="AL9" s="185"/>
      <c r="AM9" s="182"/>
      <c r="AN9" s="576"/>
      <c r="AO9" s="188"/>
      <c r="AP9" s="188"/>
      <c r="AQ9" s="185"/>
      <c r="AR9" s="182"/>
      <c r="AS9" s="576"/>
      <c r="AT9" s="188"/>
      <c r="AU9" s="188"/>
      <c r="AV9" s="185"/>
      <c r="AW9" s="182"/>
      <c r="AX9" s="576"/>
    </row>
    <row r="10" spans="1:50" ht="14.25" customHeight="1">
      <c r="B10" s="575"/>
      <c r="C10" s="180">
        <v>4</v>
      </c>
      <c r="D10" s="183"/>
      <c r="E10" s="180"/>
      <c r="F10" s="180"/>
      <c r="G10" s="185"/>
      <c r="H10" s="576"/>
      <c r="I10" s="186"/>
      <c r="J10" s="186"/>
      <c r="K10" s="187"/>
      <c r="L10" s="577"/>
      <c r="M10" s="186"/>
      <c r="N10" s="575"/>
      <c r="O10" s="575"/>
      <c r="P10" s="188"/>
      <c r="Q10" s="188"/>
      <c r="R10" s="185"/>
      <c r="S10" s="182"/>
      <c r="T10" s="576"/>
      <c r="U10" s="188"/>
      <c r="V10" s="188"/>
      <c r="W10" s="185"/>
      <c r="X10" s="182"/>
      <c r="Y10" s="576"/>
      <c r="Z10" s="188"/>
      <c r="AA10" s="188"/>
      <c r="AB10" s="185"/>
      <c r="AC10" s="182"/>
      <c r="AD10" s="576"/>
      <c r="AE10" s="188"/>
      <c r="AF10" s="188"/>
      <c r="AG10" s="185"/>
      <c r="AH10" s="182"/>
      <c r="AI10" s="576"/>
      <c r="AJ10" s="188"/>
      <c r="AK10" s="188"/>
      <c r="AL10" s="185"/>
      <c r="AM10" s="182"/>
      <c r="AN10" s="576"/>
      <c r="AO10" s="188"/>
      <c r="AP10" s="188"/>
      <c r="AQ10" s="185"/>
      <c r="AR10" s="182"/>
      <c r="AS10" s="576"/>
      <c r="AT10" s="188"/>
      <c r="AU10" s="188"/>
      <c r="AV10" s="185"/>
      <c r="AW10" s="182"/>
      <c r="AX10" s="576"/>
    </row>
    <row r="11" spans="1:50" ht="14.25" customHeight="1">
      <c r="B11" s="575"/>
      <c r="C11" s="180">
        <v>5</v>
      </c>
      <c r="D11" s="183"/>
      <c r="E11" s="180"/>
      <c r="F11" s="180"/>
      <c r="G11" s="185"/>
      <c r="H11" s="576"/>
      <c r="I11" s="186"/>
      <c r="J11" s="186"/>
      <c r="K11" s="187"/>
      <c r="L11" s="577"/>
      <c r="M11" s="186"/>
      <c r="N11" s="575"/>
      <c r="O11" s="575"/>
      <c r="P11" s="188"/>
      <c r="Q11" s="188"/>
      <c r="R11" s="185"/>
      <c r="S11" s="182"/>
      <c r="T11" s="576"/>
      <c r="U11" s="188"/>
      <c r="V11" s="188"/>
      <c r="W11" s="185"/>
      <c r="X11" s="182"/>
      <c r="Y11" s="576"/>
      <c r="Z11" s="188"/>
      <c r="AA11" s="188"/>
      <c r="AB11" s="185"/>
      <c r="AC11" s="182"/>
      <c r="AD11" s="576"/>
      <c r="AE11" s="188"/>
      <c r="AF11" s="188"/>
      <c r="AG11" s="185"/>
      <c r="AH11" s="182"/>
      <c r="AI11" s="576"/>
      <c r="AJ11" s="188"/>
      <c r="AK11" s="188"/>
      <c r="AL11" s="185"/>
      <c r="AM11" s="182"/>
      <c r="AN11" s="576"/>
      <c r="AO11" s="188"/>
      <c r="AP11" s="188"/>
      <c r="AQ11" s="185"/>
      <c r="AR11" s="182"/>
      <c r="AS11" s="576"/>
      <c r="AT11" s="188"/>
      <c r="AU11" s="188"/>
      <c r="AV11" s="185"/>
      <c r="AW11" s="182"/>
      <c r="AX11" s="576"/>
    </row>
    <row r="12" spans="1:50" ht="14.25" customHeight="1">
      <c r="B12" s="575"/>
      <c r="C12" s="180">
        <v>6</v>
      </c>
      <c r="D12" s="183"/>
      <c r="E12" s="180"/>
      <c r="F12" s="180"/>
      <c r="G12" s="185"/>
      <c r="H12" s="576"/>
      <c r="I12" s="186"/>
      <c r="J12" s="186"/>
      <c r="K12" s="187"/>
      <c r="L12" s="577"/>
      <c r="M12" s="186"/>
      <c r="N12" s="575"/>
      <c r="O12" s="575"/>
      <c r="P12" s="188"/>
      <c r="Q12" s="188"/>
      <c r="R12" s="185"/>
      <c r="S12" s="182"/>
      <c r="T12" s="576"/>
      <c r="U12" s="188"/>
      <c r="V12" s="188"/>
      <c r="W12" s="185"/>
      <c r="X12" s="182"/>
      <c r="Y12" s="576"/>
      <c r="Z12" s="188"/>
      <c r="AA12" s="188"/>
      <c r="AB12" s="185"/>
      <c r="AC12" s="182"/>
      <c r="AD12" s="576"/>
      <c r="AE12" s="188"/>
      <c r="AF12" s="188"/>
      <c r="AG12" s="185"/>
      <c r="AH12" s="182"/>
      <c r="AI12" s="576"/>
      <c r="AJ12" s="188"/>
      <c r="AK12" s="188"/>
      <c r="AL12" s="185"/>
      <c r="AM12" s="182"/>
      <c r="AN12" s="576"/>
      <c r="AO12" s="188"/>
      <c r="AP12" s="188"/>
      <c r="AQ12" s="185"/>
      <c r="AR12" s="182"/>
      <c r="AS12" s="576"/>
      <c r="AT12" s="188"/>
      <c r="AU12" s="188"/>
      <c r="AV12" s="185"/>
      <c r="AW12" s="182"/>
      <c r="AX12" s="576"/>
    </row>
    <row r="13" spans="1:50" ht="14.25" customHeight="1">
      <c r="B13" s="575"/>
      <c r="C13" s="180">
        <v>7</v>
      </c>
      <c r="D13" s="183"/>
      <c r="E13" s="180"/>
      <c r="F13" s="180"/>
      <c r="G13" s="185"/>
      <c r="H13" s="576"/>
      <c r="I13" s="186"/>
      <c r="J13" s="186"/>
      <c r="K13" s="187"/>
      <c r="L13" s="577"/>
      <c r="M13" s="186"/>
      <c r="N13" s="575"/>
      <c r="O13" s="575"/>
      <c r="P13" s="188"/>
      <c r="Q13" s="188"/>
      <c r="R13" s="185"/>
      <c r="S13" s="182"/>
      <c r="T13" s="576"/>
      <c r="U13" s="188"/>
      <c r="V13" s="188"/>
      <c r="W13" s="185"/>
      <c r="X13" s="182"/>
      <c r="Y13" s="576"/>
      <c r="Z13" s="188"/>
      <c r="AA13" s="188"/>
      <c r="AB13" s="185"/>
      <c r="AC13" s="182"/>
      <c r="AD13" s="576"/>
      <c r="AE13" s="188"/>
      <c r="AF13" s="188"/>
      <c r="AG13" s="185"/>
      <c r="AH13" s="182"/>
      <c r="AI13" s="576"/>
      <c r="AJ13" s="188"/>
      <c r="AK13" s="188"/>
      <c r="AL13" s="185"/>
      <c r="AM13" s="182"/>
      <c r="AN13" s="576"/>
      <c r="AO13" s="188"/>
      <c r="AP13" s="188"/>
      <c r="AQ13" s="185"/>
      <c r="AR13" s="182"/>
      <c r="AS13" s="576"/>
      <c r="AT13" s="188"/>
      <c r="AU13" s="188"/>
      <c r="AV13" s="185"/>
      <c r="AW13" s="182"/>
      <c r="AX13" s="576"/>
    </row>
    <row r="14" spans="1:50" ht="14.25" customHeight="1">
      <c r="B14" s="575"/>
      <c r="C14" s="180">
        <v>8</v>
      </c>
      <c r="D14" s="183"/>
      <c r="E14" s="180"/>
      <c r="F14" s="180"/>
      <c r="G14" s="185"/>
      <c r="H14" s="576"/>
      <c r="I14" s="186"/>
      <c r="J14" s="186"/>
      <c r="K14" s="187"/>
      <c r="L14" s="577"/>
      <c r="M14" s="186"/>
      <c r="N14" s="575"/>
      <c r="O14" s="575"/>
      <c r="P14" s="188"/>
      <c r="Q14" s="188"/>
      <c r="R14" s="185"/>
      <c r="S14" s="182"/>
      <c r="T14" s="576"/>
      <c r="U14" s="188"/>
      <c r="V14" s="188"/>
      <c r="W14" s="185"/>
      <c r="X14" s="182"/>
      <c r="Y14" s="576"/>
      <c r="Z14" s="188"/>
      <c r="AA14" s="188"/>
      <c r="AB14" s="185"/>
      <c r="AC14" s="182"/>
      <c r="AD14" s="576"/>
      <c r="AE14" s="188"/>
      <c r="AF14" s="188"/>
      <c r="AG14" s="185"/>
      <c r="AH14" s="182"/>
      <c r="AI14" s="576"/>
      <c r="AJ14" s="188"/>
      <c r="AK14" s="188"/>
      <c r="AL14" s="185"/>
      <c r="AM14" s="182"/>
      <c r="AN14" s="576"/>
      <c r="AO14" s="188"/>
      <c r="AP14" s="188"/>
      <c r="AQ14" s="185"/>
      <c r="AR14" s="182"/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575"/>
      <c r="O15" s="575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589" t="s">
        <v>657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09" t="s">
        <v>374</v>
      </c>
      <c r="O22" s="609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1"/>
      <c r="O23" s="611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375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376</v>
      </c>
      <c r="F25" s="575"/>
      <c r="G25" s="575"/>
      <c r="H25" s="575"/>
      <c r="I25" s="579" t="s">
        <v>376</v>
      </c>
      <c r="J25" s="579"/>
      <c r="K25" s="579"/>
      <c r="L25" s="579"/>
      <c r="M25" s="579"/>
      <c r="N25" s="575"/>
      <c r="O25" s="575"/>
      <c r="P25" s="575" t="s">
        <v>377</v>
      </c>
      <c r="Q25" s="575"/>
      <c r="R25" s="575"/>
      <c r="S25" s="575"/>
      <c r="T25" s="575"/>
      <c r="U25" s="575" t="s">
        <v>377</v>
      </c>
      <c r="V25" s="575"/>
      <c r="W25" s="575"/>
      <c r="X25" s="575"/>
      <c r="Y25" s="575"/>
      <c r="Z25" s="575" t="s">
        <v>377</v>
      </c>
      <c r="AA25" s="575"/>
      <c r="AB25" s="575"/>
      <c r="AC25" s="575"/>
      <c r="AD25" s="575"/>
      <c r="AE25" s="575" t="s">
        <v>377</v>
      </c>
      <c r="AF25" s="575"/>
      <c r="AG25" s="575"/>
      <c r="AH25" s="575"/>
      <c r="AI25" s="575"/>
      <c r="AJ25" s="575" t="s">
        <v>377</v>
      </c>
      <c r="AK25" s="575"/>
      <c r="AL25" s="575"/>
      <c r="AM25" s="575"/>
      <c r="AN25" s="575"/>
      <c r="AO25" s="575" t="s">
        <v>377</v>
      </c>
      <c r="AP25" s="575"/>
      <c r="AQ25" s="575"/>
      <c r="AR25" s="575"/>
      <c r="AS25" s="575"/>
      <c r="AT25" s="575" t="s">
        <v>377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378</v>
      </c>
      <c r="G26" s="180" t="s">
        <v>161</v>
      </c>
      <c r="H26" s="575"/>
      <c r="I26" s="181" t="s">
        <v>159</v>
      </c>
      <c r="J26" s="181" t="s">
        <v>378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378</v>
      </c>
      <c r="R26" s="180" t="s">
        <v>161</v>
      </c>
      <c r="S26" s="182" t="s">
        <v>165</v>
      </c>
      <c r="T26" s="575"/>
      <c r="U26" s="180" t="s">
        <v>159</v>
      </c>
      <c r="V26" s="180" t="s">
        <v>378</v>
      </c>
      <c r="W26" s="180" t="s">
        <v>161</v>
      </c>
      <c r="X26" s="182" t="s">
        <v>165</v>
      </c>
      <c r="Y26" s="575"/>
      <c r="Z26" s="180" t="s">
        <v>159</v>
      </c>
      <c r="AA26" s="180" t="s">
        <v>378</v>
      </c>
      <c r="AB26" s="180" t="s">
        <v>161</v>
      </c>
      <c r="AC26" s="182" t="s">
        <v>165</v>
      </c>
      <c r="AD26" s="575"/>
      <c r="AE26" s="180" t="s">
        <v>159</v>
      </c>
      <c r="AF26" s="180" t="s">
        <v>378</v>
      </c>
      <c r="AG26" s="180" t="s">
        <v>161</v>
      </c>
      <c r="AH26" s="182" t="s">
        <v>165</v>
      </c>
      <c r="AI26" s="575"/>
      <c r="AJ26" s="180" t="s">
        <v>159</v>
      </c>
      <c r="AK26" s="180" t="s">
        <v>378</v>
      </c>
      <c r="AL26" s="180" t="s">
        <v>161</v>
      </c>
      <c r="AM26" s="182" t="s">
        <v>165</v>
      </c>
      <c r="AN26" s="575"/>
      <c r="AO26" s="180" t="s">
        <v>159</v>
      </c>
      <c r="AP26" s="180" t="s">
        <v>378</v>
      </c>
      <c r="AQ26" s="180" t="s">
        <v>161</v>
      </c>
      <c r="AR26" s="182" t="s">
        <v>165</v>
      </c>
      <c r="AS26" s="575"/>
      <c r="AT26" s="180" t="s">
        <v>159</v>
      </c>
      <c r="AU26" s="180" t="s">
        <v>378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143</v>
      </c>
      <c r="C27" s="180">
        <v>1</v>
      </c>
      <c r="D27" s="183" t="s">
        <v>362</v>
      </c>
      <c r="E27" s="180">
        <v>13</v>
      </c>
      <c r="F27" s="180">
        <v>1200</v>
      </c>
      <c r="G27" s="185">
        <f t="shared" ref="G27" si="16">F27/E27</f>
        <v>92.307692307692307</v>
      </c>
      <c r="H27" s="576">
        <f>AVERAGE(G27:G41)</f>
        <v>92.307692307692307</v>
      </c>
      <c r="I27" s="186">
        <f>AVERAGE(P27,U27,Z27,AE27,AJ27,AO27,AT27)</f>
        <v>13</v>
      </c>
      <c r="J27" s="186">
        <f>AVERAGE(Q27,V27,AA27,AF27,AK27,AP27,AU27)</f>
        <v>1079.5009384804985</v>
      </c>
      <c r="K27" s="187">
        <f>AVERAGE(R27,W27,AB27,AG27,AL27,AQ27,AV27)</f>
        <v>83.038533729269133</v>
      </c>
      <c r="L27" s="577">
        <f>IFERROR(AVERAGE(K27:K41),"-")</f>
        <v>83.038533729269133</v>
      </c>
      <c r="M27" s="186">
        <f>RANK(K27, K$27:$K$41)</f>
        <v>1</v>
      </c>
      <c r="N27" s="575"/>
      <c r="O27" s="575"/>
      <c r="P27" s="188">
        <v>13</v>
      </c>
      <c r="Q27" s="188">
        <v>1079.6151104775481</v>
      </c>
      <c r="R27" s="185">
        <f>IFERROR(Q27/P27,"")</f>
        <v>83.047316190580631</v>
      </c>
      <c r="S27" s="182">
        <f>RANK(R27, R$27:R$41)</f>
        <v>1</v>
      </c>
      <c r="T27" s="576">
        <f>AVERAGE(R27:R41)</f>
        <v>83.047316190580631</v>
      </c>
      <c r="U27" s="188">
        <v>13</v>
      </c>
      <c r="V27" s="188">
        <v>1079.6419098143238</v>
      </c>
      <c r="W27" s="185">
        <f t="shared" ref="W27" si="17">IFERROR(V27/U27,"")</f>
        <v>83.049377678024911</v>
      </c>
      <c r="X27" s="182">
        <f>RANK(W27, W$27:W$41)</f>
        <v>1</v>
      </c>
      <c r="Y27" s="576">
        <f>AVERAGE(W27:W41)</f>
        <v>83.049377678024911</v>
      </c>
      <c r="Z27" s="188">
        <v>13</v>
      </c>
      <c r="AA27" s="188">
        <v>1079.0419098143238</v>
      </c>
      <c r="AB27" s="185">
        <f t="shared" ref="AB27" si="18">IFERROR(AA27/Z27,"")</f>
        <v>83.003223831871068</v>
      </c>
      <c r="AC27" s="182">
        <f>RANK(AB27, AB$27:AB$41)</f>
        <v>1</v>
      </c>
      <c r="AD27" s="576">
        <f>AVERAGE(AB27:AB41)</f>
        <v>83.003223831871068</v>
      </c>
      <c r="AE27" s="188">
        <v>13</v>
      </c>
      <c r="AF27" s="188">
        <v>1079.2819098143236</v>
      </c>
      <c r="AG27" s="185">
        <f>IFERROR(AF27/AE27,"")</f>
        <v>83.021685370332591</v>
      </c>
      <c r="AH27" s="182">
        <f>RANK(AG27, AG$27:AG$41)</f>
        <v>1</v>
      </c>
      <c r="AI27" s="576">
        <f>AVERAGE(AG27:AG41)</f>
        <v>83.021685370332591</v>
      </c>
      <c r="AJ27" s="188">
        <v>13</v>
      </c>
      <c r="AK27" s="188">
        <v>1079.5219098143236</v>
      </c>
      <c r="AL27" s="185">
        <f t="shared" ref="AL27" si="19">IFERROR(AK27/AJ27,"")</f>
        <v>83.040146908794128</v>
      </c>
      <c r="AM27" s="182">
        <f>RANK(AL27, AL$27:AL$41)</f>
        <v>1</v>
      </c>
      <c r="AN27" s="576">
        <f>AVERAGE(AL27:AL41)</f>
        <v>83.040146908794128</v>
      </c>
      <c r="AO27" s="188">
        <v>13</v>
      </c>
      <c r="AP27" s="188">
        <v>1079.7619098143236</v>
      </c>
      <c r="AQ27" s="185">
        <f t="shared" ref="AQ27" si="20">IFERROR(AP27/AO27,"")</f>
        <v>83.058608447255665</v>
      </c>
      <c r="AR27" s="182">
        <f>RANK(AQ27, AQ$27:AQ$41)</f>
        <v>1</v>
      </c>
      <c r="AS27" s="576">
        <f>AVERAGE(AQ27:AQ41)</f>
        <v>83.058608447255665</v>
      </c>
      <c r="AT27" s="188">
        <v>13</v>
      </c>
      <c r="AU27" s="188">
        <v>1079.6419098143238</v>
      </c>
      <c r="AV27" s="185">
        <f t="shared" ref="AV27" si="21">IFERROR(AU27/AT27,"")</f>
        <v>83.049377678024911</v>
      </c>
      <c r="AW27" s="182">
        <f>RANK(AV27, AV$27:AV$41)</f>
        <v>1</v>
      </c>
      <c r="AX27" s="576">
        <f>AVERAGE(AV27:AV41)</f>
        <v>83.049377678024911</v>
      </c>
    </row>
    <row r="28" spans="2:50" ht="14.25" customHeight="1">
      <c r="B28" s="575"/>
      <c r="C28" s="180">
        <v>2</v>
      </c>
      <c r="D28" s="183"/>
      <c r="E28" s="180"/>
      <c r="F28" s="180"/>
      <c r="G28" s="185"/>
      <c r="H28" s="576"/>
      <c r="I28" s="186"/>
      <c r="J28" s="186"/>
      <c r="K28" s="187"/>
      <c r="L28" s="577"/>
      <c r="M28" s="186"/>
      <c r="N28" s="575"/>
      <c r="O28" s="575"/>
      <c r="P28" s="188"/>
      <c r="Q28" s="188"/>
      <c r="R28" s="185"/>
      <c r="S28" s="182"/>
      <c r="T28" s="576"/>
      <c r="U28" s="188"/>
      <c r="V28" s="188"/>
      <c r="W28" s="185"/>
      <c r="X28" s="182"/>
      <c r="Y28" s="576"/>
      <c r="Z28" s="188"/>
      <c r="AA28" s="188"/>
      <c r="AB28" s="185"/>
      <c r="AC28" s="182"/>
      <c r="AD28" s="576"/>
      <c r="AE28" s="188"/>
      <c r="AF28" s="188"/>
      <c r="AG28" s="185"/>
      <c r="AH28" s="182"/>
      <c r="AI28" s="576"/>
      <c r="AJ28" s="188"/>
      <c r="AK28" s="188"/>
      <c r="AL28" s="185"/>
      <c r="AM28" s="182"/>
      <c r="AN28" s="576"/>
      <c r="AO28" s="188"/>
      <c r="AP28" s="188"/>
      <c r="AQ28" s="185"/>
      <c r="AR28" s="182"/>
      <c r="AS28" s="576"/>
      <c r="AT28" s="188"/>
      <c r="AU28" s="188"/>
      <c r="AV28" s="185"/>
      <c r="AW28" s="182"/>
      <c r="AX28" s="576"/>
    </row>
    <row r="29" spans="2:50" ht="14.25" customHeight="1">
      <c r="B29" s="575"/>
      <c r="C29" s="180">
        <v>3</v>
      </c>
      <c r="D29" s="183"/>
      <c r="E29" s="180"/>
      <c r="F29" s="180"/>
      <c r="G29" s="185"/>
      <c r="H29" s="576"/>
      <c r="I29" s="186"/>
      <c r="J29" s="186"/>
      <c r="K29" s="187"/>
      <c r="L29" s="577"/>
      <c r="M29" s="186"/>
      <c r="N29" s="575"/>
      <c r="O29" s="575"/>
      <c r="P29" s="188"/>
      <c r="Q29" s="188"/>
      <c r="R29" s="185"/>
      <c r="S29" s="182"/>
      <c r="T29" s="576"/>
      <c r="U29" s="188"/>
      <c r="V29" s="188"/>
      <c r="W29" s="185"/>
      <c r="X29" s="182"/>
      <c r="Y29" s="576"/>
      <c r="Z29" s="188"/>
      <c r="AA29" s="188"/>
      <c r="AB29" s="185"/>
      <c r="AC29" s="182"/>
      <c r="AD29" s="576"/>
      <c r="AE29" s="188"/>
      <c r="AF29" s="188"/>
      <c r="AG29" s="185"/>
      <c r="AH29" s="182"/>
      <c r="AI29" s="576"/>
      <c r="AJ29" s="188"/>
      <c r="AK29" s="188"/>
      <c r="AL29" s="185"/>
      <c r="AM29" s="182"/>
      <c r="AN29" s="576"/>
      <c r="AO29" s="188"/>
      <c r="AP29" s="188"/>
      <c r="AQ29" s="185"/>
      <c r="AR29" s="182"/>
      <c r="AS29" s="576"/>
      <c r="AT29" s="188"/>
      <c r="AU29" s="188"/>
      <c r="AV29" s="185"/>
      <c r="AW29" s="182"/>
      <c r="AX29" s="576"/>
    </row>
    <row r="30" spans="2:50" ht="14.25" customHeight="1">
      <c r="B30" s="575"/>
      <c r="C30" s="180">
        <v>4</v>
      </c>
      <c r="D30" s="183"/>
      <c r="E30" s="180"/>
      <c r="F30" s="180"/>
      <c r="G30" s="185"/>
      <c r="H30" s="576"/>
      <c r="I30" s="186"/>
      <c r="J30" s="186"/>
      <c r="K30" s="187"/>
      <c r="L30" s="577"/>
      <c r="M30" s="186"/>
      <c r="N30" s="575"/>
      <c r="O30" s="575"/>
      <c r="P30" s="188"/>
      <c r="Q30" s="188"/>
      <c r="R30" s="185"/>
      <c r="S30" s="182"/>
      <c r="T30" s="576"/>
      <c r="U30" s="188"/>
      <c r="V30" s="188"/>
      <c r="W30" s="185"/>
      <c r="X30" s="182"/>
      <c r="Y30" s="576"/>
      <c r="Z30" s="188"/>
      <c r="AA30" s="188"/>
      <c r="AB30" s="185"/>
      <c r="AC30" s="182"/>
      <c r="AD30" s="576"/>
      <c r="AE30" s="188"/>
      <c r="AF30" s="188"/>
      <c r="AG30" s="185"/>
      <c r="AH30" s="182"/>
      <c r="AI30" s="576"/>
      <c r="AJ30" s="188"/>
      <c r="AK30" s="188"/>
      <c r="AL30" s="185"/>
      <c r="AM30" s="182"/>
      <c r="AN30" s="576"/>
      <c r="AO30" s="188"/>
      <c r="AP30" s="188"/>
      <c r="AQ30" s="185"/>
      <c r="AR30" s="182"/>
      <c r="AS30" s="576"/>
      <c r="AT30" s="188"/>
      <c r="AU30" s="188"/>
      <c r="AV30" s="185"/>
      <c r="AW30" s="182"/>
      <c r="AX30" s="576"/>
    </row>
    <row r="31" spans="2:50" ht="14.25" customHeight="1">
      <c r="B31" s="575"/>
      <c r="C31" s="180">
        <v>5</v>
      </c>
      <c r="D31" s="183"/>
      <c r="E31" s="180"/>
      <c r="F31" s="180"/>
      <c r="G31" s="185"/>
      <c r="H31" s="576"/>
      <c r="I31" s="186"/>
      <c r="J31" s="186"/>
      <c r="K31" s="187"/>
      <c r="L31" s="577"/>
      <c r="M31" s="186"/>
      <c r="N31" s="575"/>
      <c r="O31" s="575"/>
      <c r="P31" s="188"/>
      <c r="Q31" s="188"/>
      <c r="R31" s="185"/>
      <c r="S31" s="182"/>
      <c r="T31" s="576"/>
      <c r="U31" s="188"/>
      <c r="V31" s="188"/>
      <c r="W31" s="185"/>
      <c r="X31" s="182"/>
      <c r="Y31" s="576"/>
      <c r="Z31" s="188"/>
      <c r="AA31" s="188"/>
      <c r="AB31" s="185"/>
      <c r="AC31" s="182"/>
      <c r="AD31" s="576"/>
      <c r="AE31" s="188"/>
      <c r="AF31" s="188"/>
      <c r="AG31" s="185"/>
      <c r="AH31" s="182"/>
      <c r="AI31" s="576"/>
      <c r="AJ31" s="188"/>
      <c r="AK31" s="188"/>
      <c r="AL31" s="185"/>
      <c r="AM31" s="182"/>
      <c r="AN31" s="576"/>
      <c r="AO31" s="188"/>
      <c r="AP31" s="188"/>
      <c r="AQ31" s="185"/>
      <c r="AR31" s="182"/>
      <c r="AS31" s="576"/>
      <c r="AT31" s="188"/>
      <c r="AU31" s="188"/>
      <c r="AV31" s="185"/>
      <c r="AW31" s="182"/>
      <c r="AX31" s="576"/>
    </row>
    <row r="32" spans="2:50" ht="14.25" customHeight="1">
      <c r="B32" s="575"/>
      <c r="C32" s="180">
        <v>6</v>
      </c>
      <c r="D32" s="183"/>
      <c r="E32" s="180"/>
      <c r="F32" s="180"/>
      <c r="G32" s="185"/>
      <c r="H32" s="576"/>
      <c r="I32" s="186"/>
      <c r="J32" s="186"/>
      <c r="K32" s="187"/>
      <c r="L32" s="577"/>
      <c r="M32" s="186"/>
      <c r="N32" s="575"/>
      <c r="O32" s="575"/>
      <c r="P32" s="188"/>
      <c r="Q32" s="188"/>
      <c r="R32" s="185"/>
      <c r="S32" s="182"/>
      <c r="T32" s="576"/>
      <c r="U32" s="188"/>
      <c r="V32" s="188"/>
      <c r="W32" s="185"/>
      <c r="X32" s="182"/>
      <c r="Y32" s="576"/>
      <c r="Z32" s="188"/>
      <c r="AA32" s="188"/>
      <c r="AB32" s="185"/>
      <c r="AC32" s="182"/>
      <c r="AD32" s="576"/>
      <c r="AE32" s="188"/>
      <c r="AF32" s="188"/>
      <c r="AG32" s="185"/>
      <c r="AH32" s="182"/>
      <c r="AI32" s="576"/>
      <c r="AJ32" s="188"/>
      <c r="AK32" s="188"/>
      <c r="AL32" s="185"/>
      <c r="AM32" s="182"/>
      <c r="AN32" s="576"/>
      <c r="AO32" s="188"/>
      <c r="AP32" s="188"/>
      <c r="AQ32" s="185"/>
      <c r="AR32" s="182"/>
      <c r="AS32" s="576"/>
      <c r="AT32" s="188"/>
      <c r="AU32" s="188"/>
      <c r="AV32" s="185"/>
      <c r="AW32" s="182"/>
      <c r="AX32" s="576"/>
    </row>
    <row r="33" spans="2:50" ht="14.25" customHeight="1">
      <c r="B33" s="575"/>
      <c r="C33" s="180">
        <v>7</v>
      </c>
      <c r="D33" s="183"/>
      <c r="E33" s="180"/>
      <c r="F33" s="180"/>
      <c r="G33" s="185"/>
      <c r="H33" s="576"/>
      <c r="I33" s="186"/>
      <c r="J33" s="186"/>
      <c r="K33" s="187"/>
      <c r="L33" s="577"/>
      <c r="M33" s="186"/>
      <c r="N33" s="575"/>
      <c r="O33" s="575"/>
      <c r="P33" s="188"/>
      <c r="Q33" s="188"/>
      <c r="R33" s="185"/>
      <c r="S33" s="182"/>
      <c r="T33" s="576"/>
      <c r="U33" s="188"/>
      <c r="V33" s="188"/>
      <c r="W33" s="185"/>
      <c r="X33" s="182"/>
      <c r="Y33" s="576"/>
      <c r="Z33" s="188"/>
      <c r="AA33" s="188"/>
      <c r="AB33" s="185"/>
      <c r="AC33" s="182"/>
      <c r="AD33" s="576"/>
      <c r="AE33" s="188"/>
      <c r="AF33" s="188"/>
      <c r="AG33" s="185"/>
      <c r="AH33" s="182"/>
      <c r="AI33" s="576"/>
      <c r="AJ33" s="188"/>
      <c r="AK33" s="188"/>
      <c r="AL33" s="185"/>
      <c r="AM33" s="182"/>
      <c r="AN33" s="576"/>
      <c r="AO33" s="188"/>
      <c r="AP33" s="188"/>
      <c r="AQ33" s="185"/>
      <c r="AR33" s="182"/>
      <c r="AS33" s="576"/>
      <c r="AT33" s="188"/>
      <c r="AU33" s="188"/>
      <c r="AV33" s="185"/>
      <c r="AW33" s="182"/>
      <c r="AX33" s="576"/>
    </row>
    <row r="34" spans="2:50" ht="14.25" customHeight="1">
      <c r="B34" s="575"/>
      <c r="C34" s="180">
        <v>8</v>
      </c>
      <c r="D34" s="183"/>
      <c r="E34" s="180"/>
      <c r="F34" s="180"/>
      <c r="G34" s="185"/>
      <c r="H34" s="576"/>
      <c r="I34" s="186"/>
      <c r="J34" s="186"/>
      <c r="K34" s="187"/>
      <c r="L34" s="577"/>
      <c r="M34" s="186"/>
      <c r="N34" s="575"/>
      <c r="O34" s="575"/>
      <c r="P34" s="188"/>
      <c r="Q34" s="188"/>
      <c r="R34" s="185"/>
      <c r="S34" s="182"/>
      <c r="T34" s="576"/>
      <c r="U34" s="188"/>
      <c r="V34" s="188"/>
      <c r="W34" s="185"/>
      <c r="X34" s="182"/>
      <c r="Y34" s="576"/>
      <c r="Z34" s="188"/>
      <c r="AA34" s="188"/>
      <c r="AB34" s="185"/>
      <c r="AC34" s="182"/>
      <c r="AD34" s="576"/>
      <c r="AE34" s="188"/>
      <c r="AF34" s="188"/>
      <c r="AG34" s="185"/>
      <c r="AH34" s="182"/>
      <c r="AI34" s="576"/>
      <c r="AJ34" s="188"/>
      <c r="AK34" s="188"/>
      <c r="AL34" s="185"/>
      <c r="AM34" s="182"/>
      <c r="AN34" s="576"/>
      <c r="AO34" s="188"/>
      <c r="AP34" s="188"/>
      <c r="AQ34" s="185"/>
      <c r="AR34" s="182"/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666" t="s">
        <v>715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09" t="s">
        <v>374</v>
      </c>
      <c r="O42" s="609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1"/>
      <c r="O43" s="611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375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376</v>
      </c>
      <c r="F45" s="575"/>
      <c r="G45" s="575"/>
      <c r="H45" s="575"/>
      <c r="I45" s="579" t="s">
        <v>376</v>
      </c>
      <c r="J45" s="579"/>
      <c r="K45" s="579"/>
      <c r="L45" s="579"/>
      <c r="M45" s="579"/>
      <c r="N45" s="575"/>
      <c r="O45" s="575"/>
      <c r="P45" s="575" t="s">
        <v>377</v>
      </c>
      <c r="Q45" s="575"/>
      <c r="R45" s="575"/>
      <c r="S45" s="575"/>
      <c r="T45" s="575"/>
      <c r="U45" s="575" t="s">
        <v>377</v>
      </c>
      <c r="V45" s="575"/>
      <c r="W45" s="575"/>
      <c r="X45" s="575"/>
      <c r="Y45" s="575"/>
      <c r="Z45" s="575" t="s">
        <v>377</v>
      </c>
      <c r="AA45" s="575"/>
      <c r="AB45" s="575"/>
      <c r="AC45" s="575"/>
      <c r="AD45" s="575"/>
      <c r="AE45" s="575" t="s">
        <v>377</v>
      </c>
      <c r="AF45" s="575"/>
      <c r="AG45" s="575"/>
      <c r="AH45" s="575"/>
      <c r="AI45" s="575"/>
      <c r="AJ45" s="575" t="s">
        <v>377</v>
      </c>
      <c r="AK45" s="575"/>
      <c r="AL45" s="575"/>
      <c r="AM45" s="575"/>
      <c r="AN45" s="575"/>
      <c r="AO45" s="575" t="s">
        <v>377</v>
      </c>
      <c r="AP45" s="575"/>
      <c r="AQ45" s="575"/>
      <c r="AR45" s="575"/>
      <c r="AS45" s="575"/>
      <c r="AT45" s="575" t="s">
        <v>377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378</v>
      </c>
      <c r="G46" s="180" t="s">
        <v>161</v>
      </c>
      <c r="H46" s="575"/>
      <c r="I46" s="181" t="s">
        <v>159</v>
      </c>
      <c r="J46" s="181" t="s">
        <v>378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378</v>
      </c>
      <c r="R46" s="180" t="s">
        <v>161</v>
      </c>
      <c r="S46" s="182" t="s">
        <v>165</v>
      </c>
      <c r="T46" s="575"/>
      <c r="U46" s="180" t="s">
        <v>159</v>
      </c>
      <c r="V46" s="180" t="s">
        <v>378</v>
      </c>
      <c r="W46" s="180" t="s">
        <v>161</v>
      </c>
      <c r="X46" s="182" t="s">
        <v>165</v>
      </c>
      <c r="Y46" s="575"/>
      <c r="Z46" s="180" t="s">
        <v>159</v>
      </c>
      <c r="AA46" s="180" t="s">
        <v>378</v>
      </c>
      <c r="AB46" s="180" t="s">
        <v>161</v>
      </c>
      <c r="AC46" s="182" t="s">
        <v>165</v>
      </c>
      <c r="AD46" s="575"/>
      <c r="AE46" s="180" t="s">
        <v>159</v>
      </c>
      <c r="AF46" s="180" t="s">
        <v>378</v>
      </c>
      <c r="AG46" s="180" t="s">
        <v>161</v>
      </c>
      <c r="AH46" s="182" t="s">
        <v>165</v>
      </c>
      <c r="AI46" s="575"/>
      <c r="AJ46" s="180" t="s">
        <v>159</v>
      </c>
      <c r="AK46" s="180" t="s">
        <v>378</v>
      </c>
      <c r="AL46" s="180" t="s">
        <v>161</v>
      </c>
      <c r="AM46" s="182" t="s">
        <v>165</v>
      </c>
      <c r="AN46" s="575"/>
      <c r="AO46" s="180" t="s">
        <v>159</v>
      </c>
      <c r="AP46" s="180" t="s">
        <v>378</v>
      </c>
      <c r="AQ46" s="180" t="s">
        <v>161</v>
      </c>
      <c r="AR46" s="182" t="s">
        <v>165</v>
      </c>
      <c r="AS46" s="575"/>
      <c r="AT46" s="180" t="s">
        <v>159</v>
      </c>
      <c r="AU46" s="180" t="s">
        <v>378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143</v>
      </c>
      <c r="C47" s="180">
        <v>1</v>
      </c>
      <c r="D47" s="183" t="s">
        <v>362</v>
      </c>
      <c r="E47" s="180">
        <v>13</v>
      </c>
      <c r="F47" s="180">
        <v>1200</v>
      </c>
      <c r="G47" s="185">
        <f t="shared" ref="G47" si="22">F47/E47</f>
        <v>92.307692307692307</v>
      </c>
      <c r="H47" s="576">
        <f>AVERAGE(G47:G61)</f>
        <v>92.307692307692307</v>
      </c>
      <c r="I47" s="186">
        <f>AVERAGE(P47,U47,Z47,AE47,AJ47,AO47,AT47)</f>
        <v>13</v>
      </c>
      <c r="J47" s="186">
        <f>AVERAGE(Q47,V47,AA47,AF47,AK47,AP47,AU47)</f>
        <v>1079.8476241000383</v>
      </c>
      <c r="K47" s="187">
        <f>AVERAGE(R47,W47,AB47,AG47,AL47,AQ47,AV47)</f>
        <v>83.065201853849089</v>
      </c>
      <c r="L47" s="577">
        <f>IFERROR(AVERAGE(K47:K61),"-")</f>
        <v>83.065201853849089</v>
      </c>
      <c r="M47" s="186">
        <f>RANK(K47, K$47:$K$61)</f>
        <v>1</v>
      </c>
      <c r="N47" s="575"/>
      <c r="O47" s="575"/>
      <c r="P47" s="188">
        <v>13</v>
      </c>
      <c r="Q47" s="188">
        <v>1079.7619098143239</v>
      </c>
      <c r="R47" s="185">
        <f>IFERROR(Q47/P47,"")</f>
        <v>83.058608447255679</v>
      </c>
      <c r="S47" s="182">
        <f>RANK(R47, R$47:R$61)</f>
        <v>1</v>
      </c>
      <c r="T47" s="576">
        <f>AVERAGE(R47:R61)</f>
        <v>83.058608447255679</v>
      </c>
      <c r="U47" s="188">
        <v>13</v>
      </c>
      <c r="V47" s="188">
        <v>1079.2819098143236</v>
      </c>
      <c r="W47" s="185">
        <f t="shared" ref="W47" si="23">IFERROR(V47/U47,"")</f>
        <v>83.021685370332591</v>
      </c>
      <c r="X47" s="182">
        <f>RANK(W47, W$47:W$61)</f>
        <v>1</v>
      </c>
      <c r="Y47" s="576">
        <f>AVERAGE(W47:W61)</f>
        <v>83.021685370332591</v>
      </c>
      <c r="Z47" s="188">
        <v>13</v>
      </c>
      <c r="AA47" s="188">
        <v>1079.401909814324</v>
      </c>
      <c r="AB47" s="185">
        <f t="shared" ref="AB47" si="24">IFERROR(AA47/Z47,"")</f>
        <v>83.030916139563388</v>
      </c>
      <c r="AC47" s="182">
        <f>RANK(AB47, AB$47:AB$61)</f>
        <v>1</v>
      </c>
      <c r="AD47" s="576">
        <f>AVERAGE(AB47:AB61)</f>
        <v>83.030916139563388</v>
      </c>
      <c r="AE47" s="188">
        <v>13</v>
      </c>
      <c r="AF47" s="188">
        <v>1080.0019098143239</v>
      </c>
      <c r="AG47" s="185">
        <f>IFERROR(AF47/AE47,"")</f>
        <v>83.077069985717216</v>
      </c>
      <c r="AH47" s="182">
        <f>RANK(AG47, AG$47:AG$61)</f>
        <v>1</v>
      </c>
      <c r="AI47" s="576">
        <f>AVERAGE(AG47:AG61)</f>
        <v>83.077069985717216</v>
      </c>
      <c r="AJ47" s="188">
        <v>13</v>
      </c>
      <c r="AK47" s="188">
        <v>1080.1219098143238</v>
      </c>
      <c r="AL47" s="185">
        <f t="shared" ref="AL47" si="25">IFERROR(AK47/AJ47,"")</f>
        <v>83.086300754947985</v>
      </c>
      <c r="AM47" s="182">
        <f>RANK(AL47, AL$47:AL$61)</f>
        <v>1</v>
      </c>
      <c r="AN47" s="576">
        <f>AVERAGE(AL47:AL61)</f>
        <v>83.086300754947985</v>
      </c>
      <c r="AO47" s="188">
        <v>13</v>
      </c>
      <c r="AP47" s="188">
        <v>1080.0019098143239</v>
      </c>
      <c r="AQ47" s="185">
        <f t="shared" ref="AQ47" si="26">IFERROR(AP47/AO47,"")</f>
        <v>83.077069985717216</v>
      </c>
      <c r="AR47" s="182">
        <f>RANK(AQ47, AQ$47:AQ$61)</f>
        <v>1</v>
      </c>
      <c r="AS47" s="576">
        <f>AVERAGE(AQ47:AQ61)</f>
        <v>83.077069985717216</v>
      </c>
      <c r="AT47" s="188">
        <v>13</v>
      </c>
      <c r="AU47" s="188">
        <v>1080.3619098143238</v>
      </c>
      <c r="AV47" s="185">
        <f t="shared" ref="AV47" si="27">IFERROR(AU47/AT47,"")</f>
        <v>83.104762293409522</v>
      </c>
      <c r="AW47" s="182">
        <f>RANK(AV47, AV$47:AV$61)</f>
        <v>1</v>
      </c>
      <c r="AX47" s="576">
        <f>AVERAGE(AV47:AV61)</f>
        <v>83.104762293409522</v>
      </c>
    </row>
    <row r="48" spans="2:50" ht="14.25" customHeight="1">
      <c r="B48" s="575"/>
      <c r="C48" s="180">
        <v>2</v>
      </c>
      <c r="D48" s="183"/>
      <c r="E48" s="180"/>
      <c r="F48" s="180"/>
      <c r="G48" s="185"/>
      <c r="H48" s="576"/>
      <c r="I48" s="186"/>
      <c r="J48" s="186"/>
      <c r="K48" s="187"/>
      <c r="L48" s="577"/>
      <c r="M48" s="186"/>
      <c r="N48" s="575"/>
      <c r="O48" s="575"/>
      <c r="P48" s="188"/>
      <c r="Q48" s="188"/>
      <c r="R48" s="185"/>
      <c r="S48" s="182"/>
      <c r="T48" s="576"/>
      <c r="U48" s="188"/>
      <c r="V48" s="188"/>
      <c r="W48" s="185"/>
      <c r="X48" s="182"/>
      <c r="Y48" s="576"/>
      <c r="Z48" s="188"/>
      <c r="AA48" s="188"/>
      <c r="AB48" s="185"/>
      <c r="AC48" s="182"/>
      <c r="AD48" s="576"/>
      <c r="AE48" s="188"/>
      <c r="AF48" s="188"/>
      <c r="AG48" s="185"/>
      <c r="AH48" s="182"/>
      <c r="AI48" s="576"/>
      <c r="AJ48" s="188"/>
      <c r="AK48" s="188"/>
      <c r="AL48" s="185"/>
      <c r="AM48" s="182"/>
      <c r="AN48" s="576"/>
      <c r="AO48" s="188"/>
      <c r="AP48" s="188"/>
      <c r="AQ48" s="185"/>
      <c r="AR48" s="182"/>
      <c r="AS48" s="576"/>
      <c r="AT48" s="188"/>
      <c r="AU48" s="188"/>
      <c r="AV48" s="185"/>
      <c r="AW48" s="182"/>
      <c r="AX48" s="576"/>
    </row>
    <row r="49" spans="2:50" ht="14.25" customHeight="1">
      <c r="B49" s="575"/>
      <c r="C49" s="180">
        <v>3</v>
      </c>
      <c r="D49" s="183"/>
      <c r="E49" s="180"/>
      <c r="F49" s="180"/>
      <c r="G49" s="185"/>
      <c r="H49" s="576"/>
      <c r="I49" s="186"/>
      <c r="J49" s="186"/>
      <c r="K49" s="187"/>
      <c r="L49" s="577"/>
      <c r="M49" s="186"/>
      <c r="N49" s="575"/>
      <c r="O49" s="575"/>
      <c r="P49" s="188"/>
      <c r="Q49" s="188"/>
      <c r="R49" s="185"/>
      <c r="S49" s="182"/>
      <c r="T49" s="576"/>
      <c r="U49" s="188"/>
      <c r="V49" s="188"/>
      <c r="W49" s="185"/>
      <c r="X49" s="182"/>
      <c r="Y49" s="576"/>
      <c r="Z49" s="188"/>
      <c r="AA49" s="188"/>
      <c r="AB49" s="185"/>
      <c r="AC49" s="182"/>
      <c r="AD49" s="576"/>
      <c r="AE49" s="188"/>
      <c r="AF49" s="188"/>
      <c r="AG49" s="185"/>
      <c r="AH49" s="182"/>
      <c r="AI49" s="576"/>
      <c r="AJ49" s="188"/>
      <c r="AK49" s="188"/>
      <c r="AL49" s="185"/>
      <c r="AM49" s="182"/>
      <c r="AN49" s="576"/>
      <c r="AO49" s="188"/>
      <c r="AP49" s="188"/>
      <c r="AQ49" s="185"/>
      <c r="AR49" s="182"/>
      <c r="AS49" s="576"/>
      <c r="AT49" s="188"/>
      <c r="AU49" s="188"/>
      <c r="AV49" s="185"/>
      <c r="AW49" s="182"/>
      <c r="AX49" s="576"/>
    </row>
    <row r="50" spans="2:50" ht="14.25" customHeight="1">
      <c r="B50" s="575"/>
      <c r="C50" s="180">
        <v>4</v>
      </c>
      <c r="D50" s="183"/>
      <c r="E50" s="180"/>
      <c r="F50" s="180"/>
      <c r="G50" s="185"/>
      <c r="H50" s="576"/>
      <c r="I50" s="186"/>
      <c r="J50" s="186"/>
      <c r="K50" s="187"/>
      <c r="L50" s="577"/>
      <c r="M50" s="186"/>
      <c r="N50" s="575"/>
      <c r="O50" s="575"/>
      <c r="P50" s="188"/>
      <c r="Q50" s="188"/>
      <c r="R50" s="185"/>
      <c r="S50" s="182"/>
      <c r="T50" s="576"/>
      <c r="U50" s="188"/>
      <c r="V50" s="188"/>
      <c r="W50" s="185"/>
      <c r="X50" s="182"/>
      <c r="Y50" s="576"/>
      <c r="Z50" s="188"/>
      <c r="AA50" s="188"/>
      <c r="AB50" s="185"/>
      <c r="AC50" s="182"/>
      <c r="AD50" s="576"/>
      <c r="AE50" s="188"/>
      <c r="AF50" s="188"/>
      <c r="AG50" s="185"/>
      <c r="AH50" s="182"/>
      <c r="AI50" s="576"/>
      <c r="AJ50" s="188"/>
      <c r="AK50" s="188"/>
      <c r="AL50" s="185"/>
      <c r="AM50" s="182"/>
      <c r="AN50" s="576"/>
      <c r="AO50" s="188"/>
      <c r="AP50" s="188"/>
      <c r="AQ50" s="185"/>
      <c r="AR50" s="182"/>
      <c r="AS50" s="576"/>
      <c r="AT50" s="188"/>
      <c r="AU50" s="188"/>
      <c r="AV50" s="185"/>
      <c r="AW50" s="182"/>
      <c r="AX50" s="576"/>
    </row>
    <row r="51" spans="2:50" ht="14.25" customHeight="1">
      <c r="B51" s="575"/>
      <c r="C51" s="180">
        <v>5</v>
      </c>
      <c r="D51" s="183"/>
      <c r="E51" s="180"/>
      <c r="F51" s="180"/>
      <c r="G51" s="185"/>
      <c r="H51" s="576"/>
      <c r="I51" s="186"/>
      <c r="J51" s="186"/>
      <c r="K51" s="187"/>
      <c r="L51" s="577"/>
      <c r="M51" s="186"/>
      <c r="N51" s="575"/>
      <c r="O51" s="575"/>
      <c r="P51" s="188"/>
      <c r="Q51" s="188"/>
      <c r="R51" s="185"/>
      <c r="S51" s="182"/>
      <c r="T51" s="576"/>
      <c r="U51" s="188"/>
      <c r="V51" s="188"/>
      <c r="W51" s="185"/>
      <c r="X51" s="182"/>
      <c r="Y51" s="576"/>
      <c r="Z51" s="188"/>
      <c r="AA51" s="188"/>
      <c r="AB51" s="185"/>
      <c r="AC51" s="182"/>
      <c r="AD51" s="576"/>
      <c r="AE51" s="188"/>
      <c r="AF51" s="188"/>
      <c r="AG51" s="185"/>
      <c r="AH51" s="182"/>
      <c r="AI51" s="576"/>
      <c r="AJ51" s="188"/>
      <c r="AK51" s="188"/>
      <c r="AL51" s="185"/>
      <c r="AM51" s="182"/>
      <c r="AN51" s="576"/>
      <c r="AO51" s="188"/>
      <c r="AP51" s="188"/>
      <c r="AQ51" s="185"/>
      <c r="AR51" s="182"/>
      <c r="AS51" s="576"/>
      <c r="AT51" s="188"/>
      <c r="AU51" s="188"/>
      <c r="AV51" s="185"/>
      <c r="AW51" s="182"/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576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576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576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  <row r="62" spans="2:50" ht="14.25" customHeight="1">
      <c r="B62" s="643" t="s">
        <v>754</v>
      </c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4"/>
      <c r="N62" s="609" t="s">
        <v>374</v>
      </c>
      <c r="O62" s="609" t="s">
        <v>105</v>
      </c>
      <c r="P62" s="655">
        <v>46133</v>
      </c>
      <c r="Q62" s="656"/>
      <c r="R62" s="656"/>
      <c r="S62" s="656"/>
      <c r="T62" s="656"/>
      <c r="U62" s="657">
        <v>46134</v>
      </c>
      <c r="V62" s="658"/>
      <c r="W62" s="658"/>
      <c r="X62" s="658"/>
      <c r="Y62" s="658"/>
      <c r="Z62" s="655">
        <v>46135</v>
      </c>
      <c r="AA62" s="656"/>
      <c r="AB62" s="656"/>
      <c r="AC62" s="656"/>
      <c r="AD62" s="656"/>
      <c r="AE62" s="657">
        <v>46136</v>
      </c>
      <c r="AF62" s="658"/>
      <c r="AG62" s="658"/>
      <c r="AH62" s="658"/>
      <c r="AI62" s="658"/>
      <c r="AJ62" s="647">
        <v>46137</v>
      </c>
      <c r="AK62" s="648"/>
      <c r="AL62" s="648"/>
      <c r="AM62" s="648"/>
      <c r="AN62" s="649"/>
      <c r="AO62" s="657">
        <v>46138</v>
      </c>
      <c r="AP62" s="658"/>
      <c r="AQ62" s="658"/>
      <c r="AR62" s="658"/>
      <c r="AS62" s="658"/>
      <c r="AT62" s="647">
        <v>46139</v>
      </c>
      <c r="AU62" s="648"/>
      <c r="AV62" s="648"/>
      <c r="AW62" s="648"/>
      <c r="AX62" s="649"/>
    </row>
    <row r="63" spans="2:50" ht="14.25" customHeight="1"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6"/>
      <c r="N63" s="611"/>
      <c r="O63" s="611"/>
      <c r="P63" s="650">
        <v>46133</v>
      </c>
      <c r="Q63" s="650"/>
      <c r="R63" s="650"/>
      <c r="S63" s="650"/>
      <c r="T63" s="650"/>
      <c r="U63" s="651">
        <v>46134</v>
      </c>
      <c r="V63" s="651"/>
      <c r="W63" s="651"/>
      <c r="X63" s="651"/>
      <c r="Y63" s="651"/>
      <c r="Z63" s="650">
        <v>46135</v>
      </c>
      <c r="AA63" s="650"/>
      <c r="AB63" s="650"/>
      <c r="AC63" s="650"/>
      <c r="AD63" s="650"/>
      <c r="AE63" s="651">
        <v>46136</v>
      </c>
      <c r="AF63" s="651"/>
      <c r="AG63" s="651"/>
      <c r="AH63" s="651"/>
      <c r="AI63" s="651"/>
      <c r="AJ63" s="652">
        <v>46137</v>
      </c>
      <c r="AK63" s="653"/>
      <c r="AL63" s="653"/>
      <c r="AM63" s="653"/>
      <c r="AN63" s="654"/>
      <c r="AO63" s="651">
        <v>46138</v>
      </c>
      <c r="AP63" s="651"/>
      <c r="AQ63" s="651"/>
      <c r="AR63" s="651"/>
      <c r="AS63" s="651"/>
      <c r="AT63" s="652">
        <v>46139</v>
      </c>
      <c r="AU63" s="653"/>
      <c r="AV63" s="653"/>
      <c r="AW63" s="653"/>
      <c r="AX63" s="654"/>
    </row>
    <row r="64" spans="2:50" ht="14.25" customHeight="1">
      <c r="B64" s="575" t="s">
        <v>162</v>
      </c>
      <c r="C64" s="575" t="s">
        <v>157</v>
      </c>
      <c r="D64" s="575"/>
      <c r="E64" s="575" t="s">
        <v>158</v>
      </c>
      <c r="F64" s="575"/>
      <c r="G64" s="575"/>
      <c r="H64" s="575" t="s">
        <v>163</v>
      </c>
      <c r="I64" s="579" t="s">
        <v>375</v>
      </c>
      <c r="J64" s="579"/>
      <c r="K64" s="579"/>
      <c r="L64" s="579" t="s">
        <v>163</v>
      </c>
      <c r="M64" s="579" t="s">
        <v>165</v>
      </c>
      <c r="N64" s="575"/>
      <c r="O64" s="575" t="s">
        <v>164</v>
      </c>
      <c r="P64" s="575" t="s">
        <v>160</v>
      </c>
      <c r="Q64" s="575"/>
      <c r="R64" s="575"/>
      <c r="S64" s="575"/>
      <c r="T64" s="575" t="s">
        <v>163</v>
      </c>
      <c r="U64" s="575" t="s">
        <v>160</v>
      </c>
      <c r="V64" s="575"/>
      <c r="W64" s="575"/>
      <c r="X64" s="575"/>
      <c r="Y64" s="575" t="s">
        <v>163</v>
      </c>
      <c r="Z64" s="575" t="s">
        <v>160</v>
      </c>
      <c r="AA64" s="575"/>
      <c r="AB64" s="575"/>
      <c r="AC64" s="575"/>
      <c r="AD64" s="575" t="s">
        <v>163</v>
      </c>
      <c r="AE64" s="575" t="s">
        <v>160</v>
      </c>
      <c r="AF64" s="575"/>
      <c r="AG64" s="575"/>
      <c r="AH64" s="575"/>
      <c r="AI64" s="575" t="s">
        <v>163</v>
      </c>
      <c r="AJ64" s="575" t="s">
        <v>160</v>
      </c>
      <c r="AK64" s="575"/>
      <c r="AL64" s="575"/>
      <c r="AM64" s="575"/>
      <c r="AN64" s="575" t="s">
        <v>163</v>
      </c>
      <c r="AO64" s="575" t="s">
        <v>160</v>
      </c>
      <c r="AP64" s="575"/>
      <c r="AQ64" s="575"/>
      <c r="AR64" s="575"/>
      <c r="AS64" s="575" t="s">
        <v>163</v>
      </c>
      <c r="AT64" s="575" t="s">
        <v>160</v>
      </c>
      <c r="AU64" s="575"/>
      <c r="AV64" s="575"/>
      <c r="AW64" s="575"/>
      <c r="AX64" s="575" t="s">
        <v>163</v>
      </c>
    </row>
    <row r="65" spans="2:50" ht="14.25" customHeight="1">
      <c r="B65" s="575"/>
      <c r="C65" s="575"/>
      <c r="D65" s="575"/>
      <c r="E65" s="575" t="s">
        <v>376</v>
      </c>
      <c r="F65" s="575"/>
      <c r="G65" s="575"/>
      <c r="H65" s="575"/>
      <c r="I65" s="579" t="s">
        <v>376</v>
      </c>
      <c r="J65" s="579"/>
      <c r="K65" s="579"/>
      <c r="L65" s="579"/>
      <c r="M65" s="579"/>
      <c r="N65" s="575"/>
      <c r="O65" s="575"/>
      <c r="P65" s="575" t="s">
        <v>377</v>
      </c>
      <c r="Q65" s="575"/>
      <c r="R65" s="575"/>
      <c r="S65" s="575"/>
      <c r="T65" s="575"/>
      <c r="U65" s="575" t="s">
        <v>377</v>
      </c>
      <c r="V65" s="575"/>
      <c r="W65" s="575"/>
      <c r="X65" s="575"/>
      <c r="Y65" s="575"/>
      <c r="Z65" s="575" t="s">
        <v>377</v>
      </c>
      <c r="AA65" s="575"/>
      <c r="AB65" s="575"/>
      <c r="AC65" s="575"/>
      <c r="AD65" s="575"/>
      <c r="AE65" s="575" t="s">
        <v>377</v>
      </c>
      <c r="AF65" s="575"/>
      <c r="AG65" s="575"/>
      <c r="AH65" s="575"/>
      <c r="AI65" s="575"/>
      <c r="AJ65" s="575" t="s">
        <v>377</v>
      </c>
      <c r="AK65" s="575"/>
      <c r="AL65" s="575"/>
      <c r="AM65" s="575"/>
      <c r="AN65" s="575"/>
      <c r="AO65" s="575" t="s">
        <v>377</v>
      </c>
      <c r="AP65" s="575"/>
      <c r="AQ65" s="575"/>
      <c r="AR65" s="575"/>
      <c r="AS65" s="575"/>
      <c r="AT65" s="575" t="s">
        <v>377</v>
      </c>
      <c r="AU65" s="575"/>
      <c r="AV65" s="575"/>
      <c r="AW65" s="575"/>
      <c r="AX65" s="575"/>
    </row>
    <row r="66" spans="2:50" ht="14.25" customHeight="1">
      <c r="B66" s="575"/>
      <c r="C66" s="575"/>
      <c r="D66" s="575"/>
      <c r="E66" s="180" t="s">
        <v>159</v>
      </c>
      <c r="F66" s="180" t="s">
        <v>378</v>
      </c>
      <c r="G66" s="180" t="s">
        <v>161</v>
      </c>
      <c r="H66" s="575"/>
      <c r="I66" s="181" t="s">
        <v>159</v>
      </c>
      <c r="J66" s="181" t="s">
        <v>378</v>
      </c>
      <c r="K66" s="181" t="s">
        <v>161</v>
      </c>
      <c r="L66" s="579"/>
      <c r="M66" s="579"/>
      <c r="N66" s="575"/>
      <c r="O66" s="575"/>
      <c r="P66" s="180" t="s">
        <v>159</v>
      </c>
      <c r="Q66" s="180" t="s">
        <v>378</v>
      </c>
      <c r="R66" s="180" t="s">
        <v>161</v>
      </c>
      <c r="S66" s="182" t="s">
        <v>165</v>
      </c>
      <c r="T66" s="575"/>
      <c r="U66" s="180" t="s">
        <v>159</v>
      </c>
      <c r="V66" s="180" t="s">
        <v>378</v>
      </c>
      <c r="W66" s="180" t="s">
        <v>161</v>
      </c>
      <c r="X66" s="182" t="s">
        <v>165</v>
      </c>
      <c r="Y66" s="575"/>
      <c r="Z66" s="180" t="s">
        <v>159</v>
      </c>
      <c r="AA66" s="180" t="s">
        <v>378</v>
      </c>
      <c r="AB66" s="180" t="s">
        <v>161</v>
      </c>
      <c r="AC66" s="182" t="s">
        <v>165</v>
      </c>
      <c r="AD66" s="575"/>
      <c r="AE66" s="180" t="s">
        <v>159</v>
      </c>
      <c r="AF66" s="180" t="s">
        <v>378</v>
      </c>
      <c r="AG66" s="180" t="s">
        <v>161</v>
      </c>
      <c r="AH66" s="182" t="s">
        <v>165</v>
      </c>
      <c r="AI66" s="575"/>
      <c r="AJ66" s="180" t="s">
        <v>159</v>
      </c>
      <c r="AK66" s="180" t="s">
        <v>378</v>
      </c>
      <c r="AL66" s="180" t="s">
        <v>161</v>
      </c>
      <c r="AM66" s="182" t="s">
        <v>165</v>
      </c>
      <c r="AN66" s="575"/>
      <c r="AO66" s="180" t="s">
        <v>159</v>
      </c>
      <c r="AP66" s="180" t="s">
        <v>378</v>
      </c>
      <c r="AQ66" s="180" t="s">
        <v>161</v>
      </c>
      <c r="AR66" s="182" t="s">
        <v>165</v>
      </c>
      <c r="AS66" s="575"/>
      <c r="AT66" s="180" t="s">
        <v>159</v>
      </c>
      <c r="AU66" s="180" t="s">
        <v>378</v>
      </c>
      <c r="AV66" s="180" t="s">
        <v>161</v>
      </c>
      <c r="AW66" s="182" t="s">
        <v>165</v>
      </c>
      <c r="AX66" s="575"/>
    </row>
    <row r="67" spans="2:50" ht="14.25" customHeight="1">
      <c r="B67" s="575" t="s">
        <v>143</v>
      </c>
      <c r="C67" s="180">
        <v>1</v>
      </c>
      <c r="D67" s="183" t="s">
        <v>362</v>
      </c>
      <c r="E67" s="180">
        <v>13</v>
      </c>
      <c r="F67" s="180">
        <v>1200</v>
      </c>
      <c r="G67" s="185">
        <f t="shared" ref="G67" si="28">F67/E67</f>
        <v>92.307692307692307</v>
      </c>
      <c r="H67" s="576">
        <f>AVERAGE(G67:G81)</f>
        <v>92.307692307692307</v>
      </c>
      <c r="I67" s="186">
        <f>AVERAGE(P67,U67,Z67,AE67,AJ67,AO67,AT67)</f>
        <v>13</v>
      </c>
      <c r="J67" s="186">
        <f>AVERAGE(Q67,V67,AA67,AF67,AK67,AP67,AU67)</f>
        <v>1080.3790526714668</v>
      </c>
      <c r="K67" s="187">
        <f>AVERAGE(R67,W67,AB67,AG67,AL67,AQ67,AV67)</f>
        <v>83.106080974728215</v>
      </c>
      <c r="L67" s="577">
        <f>IFERROR(AVERAGE(K67:K81),"-")</f>
        <v>83.106080974728215</v>
      </c>
      <c r="M67" s="186">
        <f>RANK(K67, K$67:$K$81)</f>
        <v>1</v>
      </c>
      <c r="N67" s="575"/>
      <c r="O67" s="575"/>
      <c r="P67" s="188">
        <v>13</v>
      </c>
      <c r="Q67" s="188">
        <v>1080.2419098143239</v>
      </c>
      <c r="R67" s="185">
        <f>IFERROR(Q67/P67,"")</f>
        <v>83.095531524178767</v>
      </c>
      <c r="S67" s="182">
        <f>RANK(R67, R$67:R$81)</f>
        <v>1</v>
      </c>
      <c r="T67" s="576">
        <f>AVERAGE(R67:R81)</f>
        <v>83.095531524178767</v>
      </c>
      <c r="U67" s="188">
        <v>13</v>
      </c>
      <c r="V67" s="188">
        <v>1080.7219098143237</v>
      </c>
      <c r="W67" s="185">
        <f t="shared" ref="W67" si="29">IFERROR(V67/U67,"")</f>
        <v>83.132454601101827</v>
      </c>
      <c r="X67" s="182">
        <f>RANK(W67, W$67:W$81)</f>
        <v>1</v>
      </c>
      <c r="Y67" s="576">
        <f>AVERAGE(W67:W81)</f>
        <v>83.132454601101827</v>
      </c>
      <c r="Z67" s="188">
        <v>13</v>
      </c>
      <c r="AA67" s="188">
        <v>1080.6019098143238</v>
      </c>
      <c r="AB67" s="185">
        <f t="shared" ref="AB67" si="30">IFERROR(AA67/Z67,"")</f>
        <v>83.123223831871059</v>
      </c>
      <c r="AC67" s="182">
        <f>RANK(AB67, AB$67:AB$81)</f>
        <v>1</v>
      </c>
      <c r="AD67" s="576">
        <f>AVERAGE(AB67:AB81)</f>
        <v>83.123223831871059</v>
      </c>
      <c r="AE67" s="188">
        <v>13</v>
      </c>
      <c r="AF67" s="188">
        <v>1080.121909814324</v>
      </c>
      <c r="AG67" s="185">
        <f>IFERROR(AF67/AE67,"")</f>
        <v>83.086300754947999</v>
      </c>
      <c r="AH67" s="182">
        <f>RANK(AG67, AG$67:AG$81)</f>
        <v>1</v>
      </c>
      <c r="AI67" s="576">
        <f>AVERAGE(AG67:AG81)</f>
        <v>83.086300754947999</v>
      </c>
      <c r="AJ67" s="188">
        <v>13</v>
      </c>
      <c r="AK67" s="188">
        <v>1080.0019098143239</v>
      </c>
      <c r="AL67" s="185">
        <f t="shared" ref="AL67" si="31">IFERROR(AK67/AJ67,"")</f>
        <v>83.077069985717216</v>
      </c>
      <c r="AM67" s="182">
        <f>RANK(AL67, AL$67:AL$81)</f>
        <v>1</v>
      </c>
      <c r="AN67" s="576">
        <f>AVERAGE(AL67:AL81)</f>
        <v>83.077069985717216</v>
      </c>
      <c r="AO67" s="188">
        <v>13</v>
      </c>
      <c r="AP67" s="188">
        <v>1080.3619098143238</v>
      </c>
      <c r="AQ67" s="185">
        <f t="shared" ref="AQ67" si="32">IFERROR(AP67/AO67,"")</f>
        <v>83.104762293409522</v>
      </c>
      <c r="AR67" s="182">
        <f>RANK(AQ67, AQ$67:AQ$81)</f>
        <v>1</v>
      </c>
      <c r="AS67" s="576">
        <f>AVERAGE(AQ67:AQ81)</f>
        <v>83.104762293409522</v>
      </c>
      <c r="AT67" s="188">
        <v>13</v>
      </c>
      <c r="AU67" s="188">
        <v>1080.6019098143238</v>
      </c>
      <c r="AV67" s="185">
        <f t="shared" ref="AV67" si="33">IFERROR(AU67/AT67,"")</f>
        <v>83.123223831871059</v>
      </c>
      <c r="AW67" s="182">
        <f>RANK(AV67, AV$67:AV$81)</f>
        <v>1</v>
      </c>
      <c r="AX67" s="576">
        <f>AVERAGE(AV67:AV81)</f>
        <v>83.123223831871059</v>
      </c>
    </row>
    <row r="68" spans="2:50" ht="14.25" customHeight="1">
      <c r="B68" s="575"/>
      <c r="C68" s="180">
        <v>2</v>
      </c>
      <c r="D68" s="183"/>
      <c r="E68" s="180"/>
      <c r="F68" s="180"/>
      <c r="G68" s="185"/>
      <c r="H68" s="576"/>
      <c r="I68" s="186"/>
      <c r="J68" s="186"/>
      <c r="K68" s="187"/>
      <c r="L68" s="577"/>
      <c r="M68" s="186"/>
      <c r="N68" s="575"/>
      <c r="O68" s="575"/>
      <c r="P68" s="188"/>
      <c r="Q68" s="188"/>
      <c r="R68" s="185"/>
      <c r="S68" s="182"/>
      <c r="T68" s="576"/>
      <c r="U68" s="188"/>
      <c r="V68" s="188"/>
      <c r="W68" s="185"/>
      <c r="X68" s="182"/>
      <c r="Y68" s="576"/>
      <c r="Z68" s="188"/>
      <c r="AA68" s="188"/>
      <c r="AB68" s="185"/>
      <c r="AC68" s="182"/>
      <c r="AD68" s="576"/>
      <c r="AE68" s="188"/>
      <c r="AF68" s="188"/>
      <c r="AG68" s="185"/>
      <c r="AH68" s="182"/>
      <c r="AI68" s="576"/>
      <c r="AJ68" s="188"/>
      <c r="AK68" s="188"/>
      <c r="AL68" s="185"/>
      <c r="AM68" s="182"/>
      <c r="AN68" s="576"/>
      <c r="AO68" s="188"/>
      <c r="AP68" s="188"/>
      <c r="AQ68" s="185"/>
      <c r="AR68" s="182"/>
      <c r="AS68" s="576"/>
      <c r="AT68" s="188"/>
      <c r="AU68" s="188"/>
      <c r="AV68" s="185"/>
      <c r="AW68" s="182"/>
      <c r="AX68" s="576"/>
    </row>
    <row r="69" spans="2:50" ht="14.25" customHeight="1">
      <c r="B69" s="575"/>
      <c r="C69" s="180">
        <v>3</v>
      </c>
      <c r="D69" s="183"/>
      <c r="E69" s="180"/>
      <c r="F69" s="180"/>
      <c r="G69" s="185"/>
      <c r="H69" s="576"/>
      <c r="I69" s="186"/>
      <c r="J69" s="186"/>
      <c r="K69" s="187"/>
      <c r="L69" s="577"/>
      <c r="M69" s="186"/>
      <c r="N69" s="575"/>
      <c r="O69" s="575"/>
      <c r="P69" s="188"/>
      <c r="Q69" s="188"/>
      <c r="R69" s="185"/>
      <c r="S69" s="182"/>
      <c r="T69" s="576"/>
      <c r="U69" s="188"/>
      <c r="V69" s="188"/>
      <c r="W69" s="185"/>
      <c r="X69" s="182"/>
      <c r="Y69" s="576"/>
      <c r="Z69" s="188"/>
      <c r="AA69" s="188"/>
      <c r="AB69" s="185"/>
      <c r="AC69" s="182"/>
      <c r="AD69" s="576"/>
      <c r="AE69" s="188"/>
      <c r="AF69" s="188"/>
      <c r="AG69" s="185"/>
      <c r="AH69" s="182"/>
      <c r="AI69" s="576"/>
      <c r="AJ69" s="188"/>
      <c r="AK69" s="188"/>
      <c r="AL69" s="185"/>
      <c r="AM69" s="182"/>
      <c r="AN69" s="576"/>
      <c r="AO69" s="188"/>
      <c r="AP69" s="188"/>
      <c r="AQ69" s="185"/>
      <c r="AR69" s="182"/>
      <c r="AS69" s="576"/>
      <c r="AT69" s="188"/>
      <c r="AU69" s="188"/>
      <c r="AV69" s="185"/>
      <c r="AW69" s="182"/>
      <c r="AX69" s="576"/>
    </row>
    <row r="70" spans="2:50" ht="14.25" customHeight="1">
      <c r="B70" s="575"/>
      <c r="C70" s="180">
        <v>4</v>
      </c>
      <c r="D70" s="183"/>
      <c r="E70" s="180"/>
      <c r="F70" s="180"/>
      <c r="G70" s="185"/>
      <c r="H70" s="576"/>
      <c r="I70" s="186"/>
      <c r="J70" s="186"/>
      <c r="K70" s="187"/>
      <c r="L70" s="577"/>
      <c r="M70" s="186"/>
      <c r="N70" s="575"/>
      <c r="O70" s="575"/>
      <c r="P70" s="188"/>
      <c r="Q70" s="188"/>
      <c r="R70" s="185"/>
      <c r="S70" s="182"/>
      <c r="T70" s="576"/>
      <c r="U70" s="188"/>
      <c r="V70" s="188"/>
      <c r="W70" s="185"/>
      <c r="X70" s="182"/>
      <c r="Y70" s="576"/>
      <c r="Z70" s="188"/>
      <c r="AA70" s="188"/>
      <c r="AB70" s="185"/>
      <c r="AC70" s="182"/>
      <c r="AD70" s="576"/>
      <c r="AE70" s="188"/>
      <c r="AF70" s="188"/>
      <c r="AG70" s="185"/>
      <c r="AH70" s="182"/>
      <c r="AI70" s="576"/>
      <c r="AJ70" s="188"/>
      <c r="AK70" s="188"/>
      <c r="AL70" s="185"/>
      <c r="AM70" s="182"/>
      <c r="AN70" s="576"/>
      <c r="AO70" s="188"/>
      <c r="AP70" s="188"/>
      <c r="AQ70" s="185"/>
      <c r="AR70" s="182"/>
      <c r="AS70" s="576"/>
      <c r="AT70" s="188"/>
      <c r="AU70" s="188"/>
      <c r="AV70" s="185"/>
      <c r="AW70" s="182"/>
      <c r="AX70" s="576"/>
    </row>
    <row r="71" spans="2:50" ht="14.25" customHeight="1">
      <c r="B71" s="575"/>
      <c r="C71" s="180">
        <v>5</v>
      </c>
      <c r="D71" s="183"/>
      <c r="E71" s="180"/>
      <c r="F71" s="180"/>
      <c r="G71" s="185"/>
      <c r="H71" s="576"/>
      <c r="I71" s="186"/>
      <c r="J71" s="186"/>
      <c r="K71" s="187"/>
      <c r="L71" s="577"/>
      <c r="M71" s="186"/>
      <c r="N71" s="575"/>
      <c r="O71" s="575"/>
      <c r="P71" s="188"/>
      <c r="Q71" s="188"/>
      <c r="R71" s="185"/>
      <c r="S71" s="182"/>
      <c r="T71" s="576"/>
      <c r="U71" s="188"/>
      <c r="V71" s="188"/>
      <c r="W71" s="185"/>
      <c r="X71" s="182"/>
      <c r="Y71" s="576"/>
      <c r="Z71" s="188"/>
      <c r="AA71" s="188"/>
      <c r="AB71" s="185"/>
      <c r="AC71" s="182"/>
      <c r="AD71" s="576"/>
      <c r="AE71" s="188"/>
      <c r="AF71" s="188"/>
      <c r="AG71" s="185"/>
      <c r="AH71" s="182"/>
      <c r="AI71" s="576"/>
      <c r="AJ71" s="188"/>
      <c r="AK71" s="188"/>
      <c r="AL71" s="185"/>
      <c r="AM71" s="182"/>
      <c r="AN71" s="576"/>
      <c r="AO71" s="188"/>
      <c r="AP71" s="188"/>
      <c r="AQ71" s="185"/>
      <c r="AR71" s="182"/>
      <c r="AS71" s="576"/>
      <c r="AT71" s="188"/>
      <c r="AU71" s="188"/>
      <c r="AV71" s="185"/>
      <c r="AW71" s="182"/>
      <c r="AX71" s="576"/>
    </row>
    <row r="72" spans="2:50" ht="14.25" customHeight="1">
      <c r="B72" s="575"/>
      <c r="C72" s="180">
        <v>6</v>
      </c>
      <c r="D72" s="183"/>
      <c r="E72" s="180"/>
      <c r="F72" s="180"/>
      <c r="G72" s="185"/>
      <c r="H72" s="576"/>
      <c r="I72" s="186"/>
      <c r="J72" s="186"/>
      <c r="K72" s="187"/>
      <c r="L72" s="577"/>
      <c r="M72" s="186"/>
      <c r="N72" s="575"/>
      <c r="O72" s="575"/>
      <c r="P72" s="188"/>
      <c r="Q72" s="188"/>
      <c r="R72" s="185"/>
      <c r="S72" s="182"/>
      <c r="T72" s="576"/>
      <c r="U72" s="188"/>
      <c r="V72" s="188"/>
      <c r="W72" s="185"/>
      <c r="X72" s="182"/>
      <c r="Y72" s="576"/>
      <c r="Z72" s="188"/>
      <c r="AA72" s="188"/>
      <c r="AB72" s="185"/>
      <c r="AC72" s="182"/>
      <c r="AD72" s="576"/>
      <c r="AE72" s="188"/>
      <c r="AF72" s="188"/>
      <c r="AG72" s="185"/>
      <c r="AH72" s="182"/>
      <c r="AI72" s="576"/>
      <c r="AJ72" s="188"/>
      <c r="AK72" s="188"/>
      <c r="AL72" s="185"/>
      <c r="AM72" s="182"/>
      <c r="AN72" s="576"/>
      <c r="AO72" s="188"/>
      <c r="AP72" s="188"/>
      <c r="AQ72" s="185"/>
      <c r="AR72" s="182"/>
      <c r="AS72" s="576"/>
      <c r="AT72" s="188"/>
      <c r="AU72" s="188"/>
      <c r="AV72" s="185"/>
      <c r="AW72" s="182"/>
      <c r="AX72" s="576"/>
    </row>
    <row r="73" spans="2:50" ht="14.25" customHeight="1">
      <c r="B73" s="575"/>
      <c r="C73" s="180">
        <v>7</v>
      </c>
      <c r="D73" s="183"/>
      <c r="E73" s="180"/>
      <c r="F73" s="180"/>
      <c r="G73" s="185"/>
      <c r="H73" s="576"/>
      <c r="I73" s="186"/>
      <c r="J73" s="186"/>
      <c r="K73" s="187"/>
      <c r="L73" s="577"/>
      <c r="M73" s="186"/>
      <c r="N73" s="575"/>
      <c r="O73" s="575"/>
      <c r="P73" s="188"/>
      <c r="Q73" s="188"/>
      <c r="R73" s="185"/>
      <c r="S73" s="182"/>
      <c r="T73" s="576"/>
      <c r="U73" s="188"/>
      <c r="V73" s="188"/>
      <c r="W73" s="185"/>
      <c r="X73" s="182"/>
      <c r="Y73" s="576"/>
      <c r="Z73" s="188"/>
      <c r="AA73" s="188"/>
      <c r="AB73" s="185"/>
      <c r="AC73" s="182"/>
      <c r="AD73" s="576"/>
      <c r="AE73" s="188"/>
      <c r="AF73" s="188"/>
      <c r="AG73" s="185"/>
      <c r="AH73" s="182"/>
      <c r="AI73" s="576"/>
      <c r="AJ73" s="188"/>
      <c r="AK73" s="188"/>
      <c r="AL73" s="185"/>
      <c r="AM73" s="182"/>
      <c r="AN73" s="576"/>
      <c r="AO73" s="188"/>
      <c r="AP73" s="188"/>
      <c r="AQ73" s="185"/>
      <c r="AR73" s="182"/>
      <c r="AS73" s="576"/>
      <c r="AT73" s="188"/>
      <c r="AU73" s="188"/>
      <c r="AV73" s="185"/>
      <c r="AW73" s="182"/>
      <c r="AX73" s="576"/>
    </row>
    <row r="74" spans="2:50" ht="14.25" customHeight="1">
      <c r="B74" s="575"/>
      <c r="C74" s="180">
        <v>8</v>
      </c>
      <c r="D74" s="183"/>
      <c r="E74" s="180"/>
      <c r="F74" s="180"/>
      <c r="G74" s="185"/>
      <c r="H74" s="576"/>
      <c r="I74" s="186"/>
      <c r="J74" s="186"/>
      <c r="K74" s="187"/>
      <c r="L74" s="577"/>
      <c r="M74" s="186"/>
      <c r="N74" s="575"/>
      <c r="O74" s="575"/>
      <c r="P74" s="188"/>
      <c r="Q74" s="188"/>
      <c r="R74" s="185"/>
      <c r="S74" s="182"/>
      <c r="T74" s="576"/>
      <c r="U74" s="188"/>
      <c r="V74" s="188"/>
      <c r="W74" s="185"/>
      <c r="X74" s="182"/>
      <c r="Y74" s="576"/>
      <c r="Z74" s="188"/>
      <c r="AA74" s="188"/>
      <c r="AB74" s="185"/>
      <c r="AC74" s="182"/>
      <c r="AD74" s="576"/>
      <c r="AE74" s="188"/>
      <c r="AF74" s="188"/>
      <c r="AG74" s="185"/>
      <c r="AH74" s="182"/>
      <c r="AI74" s="576"/>
      <c r="AJ74" s="188"/>
      <c r="AK74" s="188"/>
      <c r="AL74" s="185"/>
      <c r="AM74" s="182"/>
      <c r="AN74" s="576"/>
      <c r="AO74" s="188"/>
      <c r="AP74" s="188"/>
      <c r="AQ74" s="185"/>
      <c r="AR74" s="182"/>
      <c r="AS74" s="576"/>
      <c r="AT74" s="188"/>
      <c r="AU74" s="188"/>
      <c r="AV74" s="185"/>
      <c r="AW74" s="182"/>
      <c r="AX74" s="576"/>
    </row>
    <row r="75" spans="2:50" ht="14.25" customHeight="1">
      <c r="B75" s="575"/>
      <c r="C75" s="180">
        <v>9</v>
      </c>
      <c r="D75" s="183"/>
      <c r="E75" s="180"/>
      <c r="F75" s="180"/>
      <c r="G75" s="185"/>
      <c r="H75" s="576"/>
      <c r="I75" s="186"/>
      <c r="J75" s="186"/>
      <c r="K75" s="187"/>
      <c r="L75" s="577"/>
      <c r="M75" s="186"/>
      <c r="N75" s="575"/>
      <c r="O75" s="575"/>
      <c r="P75" s="188"/>
      <c r="Q75" s="188"/>
      <c r="R75" s="185"/>
      <c r="S75" s="182"/>
      <c r="T75" s="576"/>
      <c r="U75" s="188"/>
      <c r="V75" s="188"/>
      <c r="W75" s="185"/>
      <c r="X75" s="182"/>
      <c r="Y75" s="576"/>
      <c r="Z75" s="188"/>
      <c r="AA75" s="188"/>
      <c r="AB75" s="185"/>
      <c r="AC75" s="182"/>
      <c r="AD75" s="576"/>
      <c r="AE75" s="188"/>
      <c r="AF75" s="188"/>
      <c r="AG75" s="185"/>
      <c r="AH75" s="182"/>
      <c r="AI75" s="576"/>
      <c r="AJ75" s="188"/>
      <c r="AK75" s="188"/>
      <c r="AL75" s="185"/>
      <c r="AM75" s="182"/>
      <c r="AN75" s="576"/>
      <c r="AO75" s="188"/>
      <c r="AP75" s="188"/>
      <c r="AQ75" s="185"/>
      <c r="AR75" s="182"/>
      <c r="AS75" s="576"/>
      <c r="AT75" s="188"/>
      <c r="AU75" s="188"/>
      <c r="AV75" s="185"/>
      <c r="AW75" s="182"/>
      <c r="AX75" s="576"/>
    </row>
    <row r="76" spans="2:50" ht="14.25" customHeight="1">
      <c r="B76" s="575"/>
      <c r="C76" s="180">
        <v>10</v>
      </c>
      <c r="D76" s="183"/>
      <c r="E76" s="180"/>
      <c r="F76" s="180"/>
      <c r="G76" s="185"/>
      <c r="H76" s="576"/>
      <c r="I76" s="186"/>
      <c r="J76" s="186"/>
      <c r="K76" s="187"/>
      <c r="L76" s="577"/>
      <c r="M76" s="186"/>
      <c r="N76" s="575"/>
      <c r="O76" s="575"/>
      <c r="P76" s="188"/>
      <c r="Q76" s="188"/>
      <c r="R76" s="185"/>
      <c r="S76" s="182"/>
      <c r="T76" s="576"/>
      <c r="U76" s="188"/>
      <c r="V76" s="188"/>
      <c r="W76" s="185"/>
      <c r="X76" s="182"/>
      <c r="Y76" s="576"/>
      <c r="Z76" s="188"/>
      <c r="AA76" s="188"/>
      <c r="AB76" s="185"/>
      <c r="AC76" s="182"/>
      <c r="AD76" s="576"/>
      <c r="AE76" s="188"/>
      <c r="AF76" s="188"/>
      <c r="AG76" s="185"/>
      <c r="AH76" s="182"/>
      <c r="AI76" s="576"/>
      <c r="AJ76" s="188"/>
      <c r="AK76" s="188"/>
      <c r="AL76" s="185"/>
      <c r="AM76" s="182"/>
      <c r="AN76" s="576"/>
      <c r="AO76" s="188"/>
      <c r="AP76" s="188"/>
      <c r="AQ76" s="185"/>
      <c r="AR76" s="182"/>
      <c r="AS76" s="576"/>
      <c r="AT76" s="188"/>
      <c r="AU76" s="188"/>
      <c r="AV76" s="185"/>
      <c r="AW76" s="182"/>
      <c r="AX76" s="576"/>
    </row>
    <row r="77" spans="2:50" ht="14.25" customHeight="1">
      <c r="B77" s="575"/>
      <c r="C77" s="180">
        <v>11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75"/>
      <c r="O77" s="575"/>
      <c r="P77" s="188"/>
      <c r="Q77" s="188"/>
      <c r="R77" s="185"/>
      <c r="S77" s="182"/>
      <c r="T77" s="576"/>
      <c r="U77" s="188"/>
      <c r="V77" s="188"/>
      <c r="W77" s="185"/>
      <c r="X77" s="182"/>
      <c r="Y77" s="576"/>
      <c r="Z77" s="188"/>
      <c r="AA77" s="188"/>
      <c r="AB77" s="185"/>
      <c r="AC77" s="182"/>
      <c r="AD77" s="576"/>
      <c r="AE77" s="188"/>
      <c r="AF77" s="188"/>
      <c r="AG77" s="185"/>
      <c r="AH77" s="182"/>
      <c r="AI77" s="576"/>
      <c r="AJ77" s="188"/>
      <c r="AK77" s="188"/>
      <c r="AL77" s="185"/>
      <c r="AM77" s="182"/>
      <c r="AN77" s="576"/>
      <c r="AO77" s="188"/>
      <c r="AP77" s="188"/>
      <c r="AQ77" s="185"/>
      <c r="AR77" s="182"/>
      <c r="AS77" s="576"/>
      <c r="AT77" s="188"/>
      <c r="AU77" s="188"/>
      <c r="AV77" s="185"/>
      <c r="AW77" s="182"/>
      <c r="AX77" s="576"/>
    </row>
    <row r="78" spans="2:50" ht="14.25" customHeight="1">
      <c r="B78" s="575"/>
      <c r="C78" s="180">
        <v>12</v>
      </c>
      <c r="D78" s="183"/>
      <c r="E78" s="180"/>
      <c r="F78" s="180"/>
      <c r="G78" s="185"/>
      <c r="H78" s="576"/>
      <c r="I78" s="186"/>
      <c r="J78" s="186"/>
      <c r="K78" s="187"/>
      <c r="L78" s="577"/>
      <c r="M78" s="186"/>
      <c r="N78" s="575"/>
      <c r="O78" s="575"/>
      <c r="P78" s="188"/>
      <c r="Q78" s="188"/>
      <c r="R78" s="185"/>
      <c r="S78" s="182"/>
      <c r="T78" s="576"/>
      <c r="U78" s="188"/>
      <c r="V78" s="188"/>
      <c r="W78" s="185"/>
      <c r="X78" s="182"/>
      <c r="Y78" s="576"/>
      <c r="Z78" s="188"/>
      <c r="AA78" s="188"/>
      <c r="AB78" s="185"/>
      <c r="AC78" s="182"/>
      <c r="AD78" s="576"/>
      <c r="AE78" s="188"/>
      <c r="AF78" s="188"/>
      <c r="AG78" s="185"/>
      <c r="AH78" s="182"/>
      <c r="AI78" s="576"/>
      <c r="AJ78" s="188"/>
      <c r="AK78" s="188"/>
      <c r="AL78" s="185"/>
      <c r="AM78" s="182"/>
      <c r="AN78" s="576"/>
      <c r="AO78" s="188"/>
      <c r="AP78" s="188"/>
      <c r="AQ78" s="185"/>
      <c r="AR78" s="182"/>
      <c r="AS78" s="576"/>
      <c r="AT78" s="188"/>
      <c r="AU78" s="188"/>
      <c r="AV78" s="185"/>
      <c r="AW78" s="182"/>
      <c r="AX78" s="576"/>
    </row>
    <row r="79" spans="2:50" ht="14.25" customHeight="1">
      <c r="B79" s="575"/>
      <c r="C79" s="180">
        <v>13</v>
      </c>
      <c r="D79" s="183"/>
      <c r="E79" s="180"/>
      <c r="F79" s="180"/>
      <c r="G79" s="185"/>
      <c r="H79" s="576"/>
      <c r="I79" s="186"/>
      <c r="J79" s="186"/>
      <c r="K79" s="187"/>
      <c r="L79" s="577"/>
      <c r="M79" s="186"/>
      <c r="N79" s="575"/>
      <c r="O79" s="575"/>
      <c r="P79" s="188"/>
      <c r="Q79" s="188"/>
      <c r="R79" s="185"/>
      <c r="S79" s="182"/>
      <c r="T79" s="576"/>
      <c r="U79" s="188"/>
      <c r="V79" s="188"/>
      <c r="W79" s="185"/>
      <c r="X79" s="182"/>
      <c r="Y79" s="576"/>
      <c r="Z79" s="188"/>
      <c r="AA79" s="188"/>
      <c r="AB79" s="185"/>
      <c r="AC79" s="182"/>
      <c r="AD79" s="576"/>
      <c r="AE79" s="188"/>
      <c r="AF79" s="188"/>
      <c r="AG79" s="185"/>
      <c r="AH79" s="182"/>
      <c r="AI79" s="576"/>
      <c r="AJ79" s="188"/>
      <c r="AK79" s="188"/>
      <c r="AL79" s="185"/>
      <c r="AM79" s="182"/>
      <c r="AN79" s="576"/>
      <c r="AO79" s="188"/>
      <c r="AP79" s="188"/>
      <c r="AQ79" s="185"/>
      <c r="AR79" s="182"/>
      <c r="AS79" s="576"/>
      <c r="AT79" s="188"/>
      <c r="AU79" s="188"/>
      <c r="AV79" s="185"/>
      <c r="AW79" s="182"/>
      <c r="AX79" s="576"/>
    </row>
    <row r="80" spans="2:50" ht="14.25" customHeight="1">
      <c r="B80" s="575"/>
      <c r="C80" s="180">
        <v>14</v>
      </c>
      <c r="D80" s="183"/>
      <c r="E80" s="180"/>
      <c r="F80" s="180"/>
      <c r="G80" s="185"/>
      <c r="H80" s="576"/>
      <c r="I80" s="186"/>
      <c r="J80" s="186"/>
      <c r="K80" s="187"/>
      <c r="L80" s="577"/>
      <c r="M80" s="186"/>
      <c r="N80" s="575"/>
      <c r="O80" s="575"/>
      <c r="P80" s="188"/>
      <c r="Q80" s="188"/>
      <c r="R80" s="185"/>
      <c r="S80" s="182"/>
      <c r="T80" s="576"/>
      <c r="U80" s="188"/>
      <c r="V80" s="188"/>
      <c r="W80" s="185"/>
      <c r="X80" s="182"/>
      <c r="Y80" s="576"/>
      <c r="Z80" s="188"/>
      <c r="AA80" s="188"/>
      <c r="AB80" s="185"/>
      <c r="AC80" s="182"/>
      <c r="AD80" s="576"/>
      <c r="AE80" s="188"/>
      <c r="AF80" s="188"/>
      <c r="AG80" s="185"/>
      <c r="AH80" s="182"/>
      <c r="AI80" s="576"/>
      <c r="AJ80" s="188"/>
      <c r="AK80" s="188"/>
      <c r="AL80" s="185"/>
      <c r="AM80" s="182"/>
      <c r="AN80" s="576"/>
      <c r="AO80" s="188"/>
      <c r="AP80" s="188"/>
      <c r="AQ80" s="185"/>
      <c r="AR80" s="182"/>
      <c r="AS80" s="576"/>
      <c r="AT80" s="188"/>
      <c r="AU80" s="188"/>
      <c r="AV80" s="185"/>
      <c r="AW80" s="182"/>
      <c r="AX80" s="576"/>
    </row>
    <row r="81" spans="2:50" ht="14.25" customHeight="1">
      <c r="B81" s="575"/>
      <c r="C81" s="180">
        <v>15</v>
      </c>
      <c r="D81" s="183"/>
      <c r="E81" s="180"/>
      <c r="F81" s="180"/>
      <c r="G81" s="185"/>
      <c r="H81" s="576"/>
      <c r="I81" s="186"/>
      <c r="J81" s="186"/>
      <c r="K81" s="187"/>
      <c r="L81" s="577"/>
      <c r="M81" s="186"/>
      <c r="N81" s="575"/>
      <c r="O81" s="575"/>
      <c r="P81" s="188"/>
      <c r="Q81" s="188"/>
      <c r="R81" s="185"/>
      <c r="S81" s="182"/>
      <c r="T81" s="576"/>
      <c r="U81" s="188"/>
      <c r="V81" s="188"/>
      <c r="W81" s="185"/>
      <c r="X81" s="182"/>
      <c r="Y81" s="576"/>
      <c r="Z81" s="188"/>
      <c r="AA81" s="188"/>
      <c r="AB81" s="185"/>
      <c r="AC81" s="182"/>
      <c r="AD81" s="576"/>
      <c r="AE81" s="188"/>
      <c r="AF81" s="188"/>
      <c r="AG81" s="185"/>
      <c r="AH81" s="182"/>
      <c r="AI81" s="576"/>
      <c r="AJ81" s="188"/>
      <c r="AK81" s="188"/>
      <c r="AL81" s="185"/>
      <c r="AM81" s="182"/>
      <c r="AN81" s="576"/>
      <c r="AO81" s="188"/>
      <c r="AP81" s="188"/>
      <c r="AQ81" s="185"/>
      <c r="AR81" s="182"/>
      <c r="AS81" s="576"/>
      <c r="AT81" s="188"/>
      <c r="AU81" s="188"/>
      <c r="AV81" s="185"/>
      <c r="AW81" s="182"/>
      <c r="AX81" s="576"/>
    </row>
    <row r="82" spans="2:50" ht="14.25" customHeight="1">
      <c r="B82" s="643" t="s">
        <v>784</v>
      </c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4"/>
      <c r="N82" s="609" t="s">
        <v>374</v>
      </c>
      <c r="O82" s="609" t="s">
        <v>105</v>
      </c>
      <c r="P82" s="655">
        <v>46140</v>
      </c>
      <c r="Q82" s="656"/>
      <c r="R82" s="656"/>
      <c r="S82" s="656"/>
      <c r="T82" s="656"/>
      <c r="U82" s="657">
        <v>46141</v>
      </c>
      <c r="V82" s="658"/>
      <c r="W82" s="658"/>
      <c r="X82" s="658"/>
      <c r="Y82" s="658"/>
      <c r="Z82" s="655">
        <v>46142</v>
      </c>
      <c r="AA82" s="656"/>
      <c r="AB82" s="656"/>
      <c r="AC82" s="656"/>
      <c r="AD82" s="656"/>
      <c r="AE82" s="657">
        <v>46143</v>
      </c>
      <c r="AF82" s="658"/>
      <c r="AG82" s="658"/>
      <c r="AH82" s="658"/>
      <c r="AI82" s="658"/>
      <c r="AJ82" s="647">
        <v>46144</v>
      </c>
      <c r="AK82" s="648"/>
      <c r="AL82" s="648"/>
      <c r="AM82" s="648"/>
      <c r="AN82" s="649"/>
      <c r="AO82" s="657">
        <v>46145</v>
      </c>
      <c r="AP82" s="658"/>
      <c r="AQ82" s="658"/>
      <c r="AR82" s="658"/>
      <c r="AS82" s="658"/>
      <c r="AT82" s="647">
        <v>46146</v>
      </c>
      <c r="AU82" s="648"/>
      <c r="AV82" s="648"/>
      <c r="AW82" s="648"/>
      <c r="AX82" s="649"/>
    </row>
    <row r="83" spans="2:50" ht="14.25" customHeight="1">
      <c r="B83" s="645"/>
      <c r="C83" s="645"/>
      <c r="D83" s="645"/>
      <c r="E83" s="645"/>
      <c r="F83" s="645"/>
      <c r="G83" s="645"/>
      <c r="H83" s="645"/>
      <c r="I83" s="645"/>
      <c r="J83" s="645"/>
      <c r="K83" s="645"/>
      <c r="L83" s="645"/>
      <c r="M83" s="646"/>
      <c r="N83" s="611"/>
      <c r="O83" s="611"/>
      <c r="P83" s="650">
        <v>46140</v>
      </c>
      <c r="Q83" s="650"/>
      <c r="R83" s="650"/>
      <c r="S83" s="650"/>
      <c r="T83" s="650"/>
      <c r="U83" s="651">
        <v>46141</v>
      </c>
      <c r="V83" s="651"/>
      <c r="W83" s="651"/>
      <c r="X83" s="651"/>
      <c r="Y83" s="651"/>
      <c r="Z83" s="650">
        <v>46142</v>
      </c>
      <c r="AA83" s="650"/>
      <c r="AB83" s="650"/>
      <c r="AC83" s="650"/>
      <c r="AD83" s="650"/>
      <c r="AE83" s="651">
        <v>46143</v>
      </c>
      <c r="AF83" s="651"/>
      <c r="AG83" s="651"/>
      <c r="AH83" s="651"/>
      <c r="AI83" s="651"/>
      <c r="AJ83" s="652">
        <v>46144</v>
      </c>
      <c r="AK83" s="653"/>
      <c r="AL83" s="653"/>
      <c r="AM83" s="653"/>
      <c r="AN83" s="654"/>
      <c r="AO83" s="651">
        <v>46145</v>
      </c>
      <c r="AP83" s="651"/>
      <c r="AQ83" s="651"/>
      <c r="AR83" s="651"/>
      <c r="AS83" s="651"/>
      <c r="AT83" s="652">
        <v>46146</v>
      </c>
      <c r="AU83" s="653"/>
      <c r="AV83" s="653"/>
      <c r="AW83" s="653"/>
      <c r="AX83" s="654"/>
    </row>
    <row r="84" spans="2:50" ht="14.25" customHeight="1">
      <c r="B84" s="575" t="s">
        <v>162</v>
      </c>
      <c r="C84" s="575" t="s">
        <v>157</v>
      </c>
      <c r="D84" s="575"/>
      <c r="E84" s="575" t="s">
        <v>158</v>
      </c>
      <c r="F84" s="575"/>
      <c r="G84" s="575"/>
      <c r="H84" s="575" t="s">
        <v>163</v>
      </c>
      <c r="I84" s="579" t="s">
        <v>375</v>
      </c>
      <c r="J84" s="579"/>
      <c r="K84" s="579"/>
      <c r="L84" s="579" t="s">
        <v>163</v>
      </c>
      <c r="M84" s="579" t="s">
        <v>165</v>
      </c>
      <c r="N84" s="575"/>
      <c r="O84" s="575" t="s">
        <v>164</v>
      </c>
      <c r="P84" s="575" t="s">
        <v>160</v>
      </c>
      <c r="Q84" s="575"/>
      <c r="R84" s="575"/>
      <c r="S84" s="575"/>
      <c r="T84" s="575" t="s">
        <v>163</v>
      </c>
      <c r="U84" s="575" t="s">
        <v>160</v>
      </c>
      <c r="V84" s="575"/>
      <c r="W84" s="575"/>
      <c r="X84" s="575"/>
      <c r="Y84" s="575" t="s">
        <v>163</v>
      </c>
      <c r="Z84" s="575" t="s">
        <v>160</v>
      </c>
      <c r="AA84" s="575"/>
      <c r="AB84" s="575"/>
      <c r="AC84" s="575"/>
      <c r="AD84" s="575" t="s">
        <v>163</v>
      </c>
      <c r="AE84" s="575" t="s">
        <v>160</v>
      </c>
      <c r="AF84" s="575"/>
      <c r="AG84" s="575"/>
      <c r="AH84" s="575"/>
      <c r="AI84" s="575" t="s">
        <v>163</v>
      </c>
      <c r="AJ84" s="575" t="s">
        <v>160</v>
      </c>
      <c r="AK84" s="575"/>
      <c r="AL84" s="575"/>
      <c r="AM84" s="575"/>
      <c r="AN84" s="575" t="s">
        <v>163</v>
      </c>
      <c r="AO84" s="575" t="s">
        <v>160</v>
      </c>
      <c r="AP84" s="575"/>
      <c r="AQ84" s="575"/>
      <c r="AR84" s="575"/>
      <c r="AS84" s="575" t="s">
        <v>163</v>
      </c>
      <c r="AT84" s="575" t="s">
        <v>160</v>
      </c>
      <c r="AU84" s="575"/>
      <c r="AV84" s="575"/>
      <c r="AW84" s="575"/>
      <c r="AX84" s="575" t="s">
        <v>163</v>
      </c>
    </row>
    <row r="85" spans="2:50" ht="14.25" customHeight="1">
      <c r="B85" s="575"/>
      <c r="C85" s="575"/>
      <c r="D85" s="575"/>
      <c r="E85" s="575" t="s">
        <v>376</v>
      </c>
      <c r="F85" s="575"/>
      <c r="G85" s="575"/>
      <c r="H85" s="575"/>
      <c r="I85" s="579" t="s">
        <v>376</v>
      </c>
      <c r="J85" s="579"/>
      <c r="K85" s="579"/>
      <c r="L85" s="579"/>
      <c r="M85" s="579"/>
      <c r="N85" s="575"/>
      <c r="O85" s="575"/>
      <c r="P85" s="575" t="s">
        <v>377</v>
      </c>
      <c r="Q85" s="575"/>
      <c r="R85" s="575"/>
      <c r="S85" s="575"/>
      <c r="T85" s="575"/>
      <c r="U85" s="575" t="s">
        <v>377</v>
      </c>
      <c r="V85" s="575"/>
      <c r="W85" s="575"/>
      <c r="X85" s="575"/>
      <c r="Y85" s="575"/>
      <c r="Z85" s="575" t="s">
        <v>377</v>
      </c>
      <c r="AA85" s="575"/>
      <c r="AB85" s="575"/>
      <c r="AC85" s="575"/>
      <c r="AD85" s="575"/>
      <c r="AE85" s="575" t="s">
        <v>377</v>
      </c>
      <c r="AF85" s="575"/>
      <c r="AG85" s="575"/>
      <c r="AH85" s="575"/>
      <c r="AI85" s="575"/>
      <c r="AJ85" s="575" t="s">
        <v>377</v>
      </c>
      <c r="AK85" s="575"/>
      <c r="AL85" s="575"/>
      <c r="AM85" s="575"/>
      <c r="AN85" s="575"/>
      <c r="AO85" s="575" t="s">
        <v>377</v>
      </c>
      <c r="AP85" s="575"/>
      <c r="AQ85" s="575"/>
      <c r="AR85" s="575"/>
      <c r="AS85" s="575"/>
      <c r="AT85" s="575" t="s">
        <v>377</v>
      </c>
      <c r="AU85" s="575"/>
      <c r="AV85" s="575"/>
      <c r="AW85" s="575"/>
      <c r="AX85" s="575"/>
    </row>
    <row r="86" spans="2:50" ht="14.25" customHeight="1">
      <c r="B86" s="575"/>
      <c r="C86" s="575"/>
      <c r="D86" s="575"/>
      <c r="E86" s="180" t="s">
        <v>159</v>
      </c>
      <c r="F86" s="180" t="s">
        <v>378</v>
      </c>
      <c r="G86" s="180" t="s">
        <v>161</v>
      </c>
      <c r="H86" s="575"/>
      <c r="I86" s="181" t="s">
        <v>159</v>
      </c>
      <c r="J86" s="181" t="s">
        <v>378</v>
      </c>
      <c r="K86" s="181" t="s">
        <v>161</v>
      </c>
      <c r="L86" s="579"/>
      <c r="M86" s="579"/>
      <c r="N86" s="575"/>
      <c r="O86" s="575"/>
      <c r="P86" s="180" t="s">
        <v>159</v>
      </c>
      <c r="Q86" s="180" t="s">
        <v>378</v>
      </c>
      <c r="R86" s="180" t="s">
        <v>161</v>
      </c>
      <c r="S86" s="182" t="s">
        <v>165</v>
      </c>
      <c r="T86" s="575"/>
      <c r="U86" s="180" t="s">
        <v>159</v>
      </c>
      <c r="V86" s="180" t="s">
        <v>378</v>
      </c>
      <c r="W86" s="180" t="s">
        <v>161</v>
      </c>
      <c r="X86" s="182" t="s">
        <v>165</v>
      </c>
      <c r="Y86" s="575"/>
      <c r="Z86" s="180" t="s">
        <v>159</v>
      </c>
      <c r="AA86" s="180" t="s">
        <v>378</v>
      </c>
      <c r="AB86" s="180" t="s">
        <v>161</v>
      </c>
      <c r="AC86" s="182" t="s">
        <v>165</v>
      </c>
      <c r="AD86" s="575"/>
      <c r="AE86" s="180" t="s">
        <v>159</v>
      </c>
      <c r="AF86" s="180" t="s">
        <v>378</v>
      </c>
      <c r="AG86" s="180" t="s">
        <v>161</v>
      </c>
      <c r="AH86" s="182" t="s">
        <v>165</v>
      </c>
      <c r="AI86" s="575"/>
      <c r="AJ86" s="180" t="s">
        <v>159</v>
      </c>
      <c r="AK86" s="180" t="s">
        <v>378</v>
      </c>
      <c r="AL86" s="180" t="s">
        <v>161</v>
      </c>
      <c r="AM86" s="182" t="s">
        <v>165</v>
      </c>
      <c r="AN86" s="575"/>
      <c r="AO86" s="180" t="s">
        <v>159</v>
      </c>
      <c r="AP86" s="180" t="s">
        <v>378</v>
      </c>
      <c r="AQ86" s="180" t="s">
        <v>161</v>
      </c>
      <c r="AR86" s="182" t="s">
        <v>165</v>
      </c>
      <c r="AS86" s="575"/>
      <c r="AT86" s="180" t="s">
        <v>159</v>
      </c>
      <c r="AU86" s="180" t="s">
        <v>378</v>
      </c>
      <c r="AV86" s="180" t="s">
        <v>161</v>
      </c>
      <c r="AW86" s="182" t="s">
        <v>165</v>
      </c>
      <c r="AX86" s="575"/>
    </row>
    <row r="87" spans="2:50" ht="14.25" customHeight="1">
      <c r="B87" s="575" t="s">
        <v>143</v>
      </c>
      <c r="C87" s="180">
        <v>1</v>
      </c>
      <c r="D87" s="183" t="s">
        <v>362</v>
      </c>
      <c r="E87" s="180">
        <v>13</v>
      </c>
      <c r="F87" s="180">
        <v>1200</v>
      </c>
      <c r="G87" s="185">
        <f t="shared" ref="G87" si="34">F87/E87</f>
        <v>92.307692307692307</v>
      </c>
      <c r="H87" s="576">
        <f>AVERAGE(G87:G101)</f>
        <v>92.307692307692307</v>
      </c>
      <c r="I87" s="186">
        <f>AVERAGE(P87,U87,Z87,AE87,AJ87,AO87,AT87)</f>
        <v>13</v>
      </c>
      <c r="J87" s="186">
        <f>AVERAGE(Q87,V87,AA87,AF87,AK87,AP87,AU87)</f>
        <v>1080.3104812428951</v>
      </c>
      <c r="K87" s="187">
        <f>AVERAGE(R87,W87,AB87,AG87,AL87,AQ87,AV87)</f>
        <v>83.100806249453484</v>
      </c>
      <c r="L87" s="577">
        <f>IFERROR(AVERAGE(K87:K101),"-")</f>
        <v>83.100806249453484</v>
      </c>
      <c r="M87" s="186">
        <f>RANK(K87, K$87:$K$101)</f>
        <v>1</v>
      </c>
      <c r="N87" s="575"/>
      <c r="O87" s="575"/>
      <c r="P87" s="188">
        <v>13</v>
      </c>
      <c r="Q87" s="188">
        <v>1080.3619098143238</v>
      </c>
      <c r="R87" s="185">
        <f>IFERROR(Q87/P87,"")</f>
        <v>83.104762293409522</v>
      </c>
      <c r="S87" s="182">
        <f>RANK(R87, R$87:R$101)</f>
        <v>1</v>
      </c>
      <c r="T87" s="576">
        <f>AVERAGE(R87:R101)</f>
        <v>83.104762293409522</v>
      </c>
      <c r="U87" s="188">
        <v>13</v>
      </c>
      <c r="V87" s="188">
        <v>1080.2419098143237</v>
      </c>
      <c r="W87" s="185">
        <f t="shared" ref="W87" si="35">IFERROR(V87/U87,"")</f>
        <v>83.095531524178739</v>
      </c>
      <c r="X87" s="182">
        <f>RANK(W87, W$87:W$101)</f>
        <v>1</v>
      </c>
      <c r="Y87" s="576">
        <f>AVERAGE(W87:W101)</f>
        <v>83.095531524178739</v>
      </c>
      <c r="Z87" s="188">
        <v>13</v>
      </c>
      <c r="AA87" s="188">
        <v>1080.3619098143236</v>
      </c>
      <c r="AB87" s="185">
        <f t="shared" ref="AB87" si="36">IFERROR(AA87/Z87,"")</f>
        <v>83.104762293409507</v>
      </c>
      <c r="AC87" s="182">
        <f>RANK(AB87, AB$87:AB$101)</f>
        <v>1</v>
      </c>
      <c r="AD87" s="576">
        <f>AVERAGE(AB87:AB101)</f>
        <v>83.104762293409507</v>
      </c>
      <c r="AE87" s="188">
        <v>13</v>
      </c>
      <c r="AF87" s="188">
        <v>1080.3619098143236</v>
      </c>
      <c r="AG87" s="185">
        <f>IFERROR(AF87/AE87,"")</f>
        <v>83.104762293409507</v>
      </c>
      <c r="AH87" s="182">
        <f>RANK(AG87, AG$87:AG$101)</f>
        <v>1</v>
      </c>
      <c r="AI87" s="576">
        <f>AVERAGE(AG87:AG101)</f>
        <v>83.104762293409507</v>
      </c>
      <c r="AJ87" s="188">
        <v>13</v>
      </c>
      <c r="AK87" s="188">
        <v>1080.4819098143237</v>
      </c>
      <c r="AL87" s="185">
        <f t="shared" ref="AL87" si="37">IFERROR(AK87/AJ87,"")</f>
        <v>83.113993062640276</v>
      </c>
      <c r="AM87" s="182">
        <f>RANK(AL87, AL$87:AL$101)</f>
        <v>1</v>
      </c>
      <c r="AN87" s="576">
        <f>AVERAGE(AL87:AL101)</f>
        <v>83.113993062640276</v>
      </c>
      <c r="AO87" s="188">
        <v>13</v>
      </c>
      <c r="AP87" s="188">
        <v>1080.3619098143236</v>
      </c>
      <c r="AQ87" s="185">
        <f t="shared" ref="AQ87" si="38">IFERROR(AP87/AO87,"")</f>
        <v>83.104762293409507</v>
      </c>
      <c r="AR87" s="182">
        <f>RANK(AQ87, AQ$87:AQ$101)</f>
        <v>1</v>
      </c>
      <c r="AS87" s="576">
        <f>AVERAGE(AQ87:AQ101)</f>
        <v>83.104762293409507</v>
      </c>
      <c r="AT87" s="188">
        <v>13</v>
      </c>
      <c r="AU87" s="188">
        <v>1080.0019098143237</v>
      </c>
      <c r="AV87" s="185">
        <f t="shared" ref="AV87" si="39">IFERROR(AU87/AT87,"")</f>
        <v>83.077069985717202</v>
      </c>
      <c r="AW87" s="182">
        <f>RANK(AV87, AV$87:AV$101)</f>
        <v>1</v>
      </c>
      <c r="AX87" s="576">
        <f>AVERAGE(AV87:AV101)</f>
        <v>83.077069985717202</v>
      </c>
    </row>
    <row r="88" spans="2:50" ht="14.25" customHeight="1">
      <c r="B88" s="575"/>
      <c r="C88" s="180">
        <v>2</v>
      </c>
      <c r="D88" s="183"/>
      <c r="E88" s="180"/>
      <c r="F88" s="180"/>
      <c r="G88" s="185"/>
      <c r="H88" s="576"/>
      <c r="I88" s="186"/>
      <c r="J88" s="186"/>
      <c r="K88" s="187"/>
      <c r="L88" s="577"/>
      <c r="M88" s="186"/>
      <c r="N88" s="575"/>
      <c r="O88" s="575"/>
      <c r="P88" s="188"/>
      <c r="Q88" s="188"/>
      <c r="R88" s="185"/>
      <c r="S88" s="182"/>
      <c r="T88" s="576"/>
      <c r="U88" s="188"/>
      <c r="V88" s="188"/>
      <c r="W88" s="185"/>
      <c r="X88" s="182"/>
      <c r="Y88" s="576"/>
      <c r="Z88" s="188"/>
      <c r="AA88" s="188"/>
      <c r="AB88" s="185"/>
      <c r="AC88" s="182"/>
      <c r="AD88" s="576"/>
      <c r="AE88" s="188"/>
      <c r="AF88" s="188"/>
      <c r="AG88" s="185"/>
      <c r="AH88" s="182"/>
      <c r="AI88" s="576"/>
      <c r="AJ88" s="188"/>
      <c r="AK88" s="188"/>
      <c r="AL88" s="185"/>
      <c r="AM88" s="182"/>
      <c r="AN88" s="576"/>
      <c r="AO88" s="188"/>
      <c r="AP88" s="188"/>
      <c r="AQ88" s="185"/>
      <c r="AR88" s="182"/>
      <c r="AS88" s="576"/>
      <c r="AT88" s="188"/>
      <c r="AU88" s="188"/>
      <c r="AV88" s="185"/>
      <c r="AW88" s="182"/>
      <c r="AX88" s="576"/>
    </row>
    <row r="89" spans="2:50" ht="14.25" customHeight="1">
      <c r="B89" s="575"/>
      <c r="C89" s="180">
        <v>3</v>
      </c>
      <c r="D89" s="183"/>
      <c r="E89" s="180"/>
      <c r="F89" s="180"/>
      <c r="G89" s="185"/>
      <c r="H89" s="576"/>
      <c r="I89" s="186"/>
      <c r="J89" s="186"/>
      <c r="K89" s="187"/>
      <c r="L89" s="577"/>
      <c r="M89" s="186"/>
      <c r="N89" s="575"/>
      <c r="O89" s="575"/>
      <c r="P89" s="188"/>
      <c r="Q89" s="188"/>
      <c r="R89" s="185"/>
      <c r="S89" s="182"/>
      <c r="T89" s="576"/>
      <c r="U89" s="188"/>
      <c r="V89" s="188"/>
      <c r="W89" s="185"/>
      <c r="X89" s="182"/>
      <c r="Y89" s="576"/>
      <c r="Z89" s="188"/>
      <c r="AA89" s="188"/>
      <c r="AB89" s="185"/>
      <c r="AC89" s="182"/>
      <c r="AD89" s="576"/>
      <c r="AE89" s="188"/>
      <c r="AF89" s="188"/>
      <c r="AG89" s="185"/>
      <c r="AH89" s="182"/>
      <c r="AI89" s="576"/>
      <c r="AJ89" s="188"/>
      <c r="AK89" s="188"/>
      <c r="AL89" s="185"/>
      <c r="AM89" s="182"/>
      <c r="AN89" s="576"/>
      <c r="AO89" s="188"/>
      <c r="AP89" s="188"/>
      <c r="AQ89" s="185"/>
      <c r="AR89" s="182"/>
      <c r="AS89" s="576"/>
      <c r="AT89" s="188"/>
      <c r="AU89" s="188"/>
      <c r="AV89" s="185"/>
      <c r="AW89" s="182"/>
      <c r="AX89" s="576"/>
    </row>
    <row r="90" spans="2:50" ht="14.25" customHeight="1">
      <c r="B90" s="575"/>
      <c r="C90" s="180">
        <v>4</v>
      </c>
      <c r="D90" s="183"/>
      <c r="E90" s="180"/>
      <c r="F90" s="180"/>
      <c r="G90" s="185"/>
      <c r="H90" s="576"/>
      <c r="I90" s="186"/>
      <c r="J90" s="186"/>
      <c r="K90" s="187"/>
      <c r="L90" s="577"/>
      <c r="M90" s="186"/>
      <c r="N90" s="575"/>
      <c r="O90" s="575"/>
      <c r="P90" s="188"/>
      <c r="Q90" s="188"/>
      <c r="R90" s="185"/>
      <c r="S90" s="182"/>
      <c r="T90" s="576"/>
      <c r="U90" s="188"/>
      <c r="V90" s="188"/>
      <c r="W90" s="185"/>
      <c r="X90" s="182"/>
      <c r="Y90" s="576"/>
      <c r="Z90" s="188"/>
      <c r="AA90" s="188"/>
      <c r="AB90" s="185"/>
      <c r="AC90" s="182"/>
      <c r="AD90" s="576"/>
      <c r="AE90" s="188"/>
      <c r="AF90" s="188"/>
      <c r="AG90" s="185"/>
      <c r="AH90" s="182"/>
      <c r="AI90" s="576"/>
      <c r="AJ90" s="188"/>
      <c r="AK90" s="188"/>
      <c r="AL90" s="185"/>
      <c r="AM90" s="182"/>
      <c r="AN90" s="576"/>
      <c r="AO90" s="188"/>
      <c r="AP90" s="188"/>
      <c r="AQ90" s="185"/>
      <c r="AR90" s="182"/>
      <c r="AS90" s="576"/>
      <c r="AT90" s="188"/>
      <c r="AU90" s="188"/>
      <c r="AV90" s="185"/>
      <c r="AW90" s="182"/>
      <c r="AX90" s="576"/>
    </row>
    <row r="91" spans="2:50" ht="14.25" customHeight="1">
      <c r="B91" s="575"/>
      <c r="C91" s="180">
        <v>5</v>
      </c>
      <c r="D91" s="183"/>
      <c r="E91" s="180"/>
      <c r="F91" s="180"/>
      <c r="G91" s="185"/>
      <c r="H91" s="576"/>
      <c r="I91" s="186"/>
      <c r="J91" s="186"/>
      <c r="K91" s="187"/>
      <c r="L91" s="577"/>
      <c r="M91" s="186"/>
      <c r="N91" s="575"/>
      <c r="O91" s="575"/>
      <c r="P91" s="188"/>
      <c r="Q91" s="188"/>
      <c r="R91" s="185"/>
      <c r="S91" s="182"/>
      <c r="T91" s="576"/>
      <c r="U91" s="188"/>
      <c r="V91" s="188"/>
      <c r="W91" s="185"/>
      <c r="X91" s="182"/>
      <c r="Y91" s="576"/>
      <c r="Z91" s="188"/>
      <c r="AA91" s="188"/>
      <c r="AB91" s="185"/>
      <c r="AC91" s="182"/>
      <c r="AD91" s="576"/>
      <c r="AE91" s="188"/>
      <c r="AF91" s="188"/>
      <c r="AG91" s="185"/>
      <c r="AH91" s="182"/>
      <c r="AI91" s="576"/>
      <c r="AJ91" s="188"/>
      <c r="AK91" s="188"/>
      <c r="AL91" s="185"/>
      <c r="AM91" s="182"/>
      <c r="AN91" s="576"/>
      <c r="AO91" s="188"/>
      <c r="AP91" s="188"/>
      <c r="AQ91" s="185"/>
      <c r="AR91" s="182"/>
      <c r="AS91" s="576"/>
      <c r="AT91" s="188"/>
      <c r="AU91" s="188"/>
      <c r="AV91" s="185"/>
      <c r="AW91" s="182"/>
      <c r="AX91" s="576"/>
    </row>
    <row r="92" spans="2:50" ht="14.25" customHeight="1">
      <c r="B92" s="575"/>
      <c r="C92" s="180">
        <v>6</v>
      </c>
      <c r="D92" s="183"/>
      <c r="E92" s="180"/>
      <c r="F92" s="180"/>
      <c r="G92" s="185"/>
      <c r="H92" s="576"/>
      <c r="I92" s="186"/>
      <c r="J92" s="186"/>
      <c r="K92" s="187"/>
      <c r="L92" s="577"/>
      <c r="M92" s="186"/>
      <c r="N92" s="575"/>
      <c r="O92" s="575"/>
      <c r="P92" s="188"/>
      <c r="Q92" s="188"/>
      <c r="R92" s="185"/>
      <c r="S92" s="182"/>
      <c r="T92" s="576"/>
      <c r="U92" s="188"/>
      <c r="V92" s="188"/>
      <c r="W92" s="185"/>
      <c r="X92" s="182"/>
      <c r="Y92" s="576"/>
      <c r="Z92" s="188"/>
      <c r="AA92" s="188"/>
      <c r="AB92" s="185"/>
      <c r="AC92" s="182"/>
      <c r="AD92" s="576"/>
      <c r="AE92" s="188"/>
      <c r="AF92" s="188"/>
      <c r="AG92" s="185"/>
      <c r="AH92" s="182"/>
      <c r="AI92" s="576"/>
      <c r="AJ92" s="188"/>
      <c r="AK92" s="188"/>
      <c r="AL92" s="185"/>
      <c r="AM92" s="182"/>
      <c r="AN92" s="576"/>
      <c r="AO92" s="188"/>
      <c r="AP92" s="188"/>
      <c r="AQ92" s="185"/>
      <c r="AR92" s="182"/>
      <c r="AS92" s="576"/>
      <c r="AT92" s="188"/>
      <c r="AU92" s="188"/>
      <c r="AV92" s="185"/>
      <c r="AW92" s="182"/>
      <c r="AX92" s="576"/>
    </row>
    <row r="93" spans="2:50" ht="14.25" customHeight="1">
      <c r="B93" s="575"/>
      <c r="C93" s="180">
        <v>7</v>
      </c>
      <c r="D93" s="183"/>
      <c r="E93" s="180"/>
      <c r="F93" s="180"/>
      <c r="G93" s="185"/>
      <c r="H93" s="576"/>
      <c r="I93" s="186"/>
      <c r="J93" s="186"/>
      <c r="K93" s="187"/>
      <c r="L93" s="577"/>
      <c r="M93" s="186"/>
      <c r="N93" s="575"/>
      <c r="O93" s="575"/>
      <c r="P93" s="188"/>
      <c r="Q93" s="188"/>
      <c r="R93" s="185"/>
      <c r="S93" s="182"/>
      <c r="T93" s="576"/>
      <c r="U93" s="188"/>
      <c r="V93" s="188"/>
      <c r="W93" s="185"/>
      <c r="X93" s="182"/>
      <c r="Y93" s="576"/>
      <c r="Z93" s="188"/>
      <c r="AA93" s="188"/>
      <c r="AB93" s="185"/>
      <c r="AC93" s="182"/>
      <c r="AD93" s="576"/>
      <c r="AE93" s="188"/>
      <c r="AF93" s="188"/>
      <c r="AG93" s="185"/>
      <c r="AH93" s="182"/>
      <c r="AI93" s="576"/>
      <c r="AJ93" s="188"/>
      <c r="AK93" s="188"/>
      <c r="AL93" s="185"/>
      <c r="AM93" s="182"/>
      <c r="AN93" s="576"/>
      <c r="AO93" s="188"/>
      <c r="AP93" s="188"/>
      <c r="AQ93" s="185"/>
      <c r="AR93" s="182"/>
      <c r="AS93" s="576"/>
      <c r="AT93" s="188"/>
      <c r="AU93" s="188"/>
      <c r="AV93" s="185"/>
      <c r="AW93" s="182"/>
      <c r="AX93" s="576"/>
    </row>
    <row r="94" spans="2:50" ht="14.25" customHeight="1">
      <c r="B94" s="575"/>
      <c r="C94" s="180">
        <v>8</v>
      </c>
      <c r="D94" s="183"/>
      <c r="E94" s="180"/>
      <c r="F94" s="180"/>
      <c r="G94" s="185"/>
      <c r="H94" s="576"/>
      <c r="I94" s="186"/>
      <c r="J94" s="186"/>
      <c r="K94" s="187"/>
      <c r="L94" s="577"/>
      <c r="M94" s="186"/>
      <c r="N94" s="575"/>
      <c r="O94" s="575"/>
      <c r="P94" s="188"/>
      <c r="Q94" s="188"/>
      <c r="R94" s="185"/>
      <c r="S94" s="182"/>
      <c r="T94" s="576"/>
      <c r="U94" s="188"/>
      <c r="V94" s="188"/>
      <c r="W94" s="185"/>
      <c r="X94" s="182"/>
      <c r="Y94" s="576"/>
      <c r="Z94" s="188"/>
      <c r="AA94" s="188"/>
      <c r="AB94" s="185"/>
      <c r="AC94" s="182"/>
      <c r="AD94" s="576"/>
      <c r="AE94" s="188"/>
      <c r="AF94" s="188"/>
      <c r="AG94" s="185"/>
      <c r="AH94" s="182"/>
      <c r="AI94" s="576"/>
      <c r="AJ94" s="188"/>
      <c r="AK94" s="188"/>
      <c r="AL94" s="185"/>
      <c r="AM94" s="182"/>
      <c r="AN94" s="576"/>
      <c r="AO94" s="188"/>
      <c r="AP94" s="188"/>
      <c r="AQ94" s="185"/>
      <c r="AR94" s="182"/>
      <c r="AS94" s="576"/>
      <c r="AT94" s="188"/>
      <c r="AU94" s="188"/>
      <c r="AV94" s="185"/>
      <c r="AW94" s="182"/>
      <c r="AX94" s="576"/>
    </row>
    <row r="95" spans="2:50" ht="14.25" customHeight="1">
      <c r="B95" s="575"/>
      <c r="C95" s="180">
        <v>9</v>
      </c>
      <c r="D95" s="183"/>
      <c r="E95" s="180"/>
      <c r="F95" s="180"/>
      <c r="G95" s="185"/>
      <c r="H95" s="576"/>
      <c r="I95" s="186"/>
      <c r="J95" s="186"/>
      <c r="K95" s="187"/>
      <c r="L95" s="577"/>
      <c r="M95" s="186"/>
      <c r="N95" s="575"/>
      <c r="O95" s="575"/>
      <c r="P95" s="188"/>
      <c r="Q95" s="188"/>
      <c r="R95" s="185"/>
      <c r="S95" s="182"/>
      <c r="T95" s="576"/>
      <c r="U95" s="188"/>
      <c r="V95" s="188"/>
      <c r="W95" s="185"/>
      <c r="X95" s="182"/>
      <c r="Y95" s="576"/>
      <c r="Z95" s="188"/>
      <c r="AA95" s="188"/>
      <c r="AB95" s="185"/>
      <c r="AC95" s="182"/>
      <c r="AD95" s="576"/>
      <c r="AE95" s="188"/>
      <c r="AF95" s="188"/>
      <c r="AG95" s="185"/>
      <c r="AH95" s="182"/>
      <c r="AI95" s="576"/>
      <c r="AJ95" s="188"/>
      <c r="AK95" s="188"/>
      <c r="AL95" s="185"/>
      <c r="AM95" s="182"/>
      <c r="AN95" s="576"/>
      <c r="AO95" s="188"/>
      <c r="AP95" s="188"/>
      <c r="AQ95" s="185"/>
      <c r="AR95" s="182"/>
      <c r="AS95" s="576"/>
      <c r="AT95" s="188"/>
      <c r="AU95" s="188"/>
      <c r="AV95" s="185"/>
      <c r="AW95" s="182"/>
      <c r="AX95" s="576"/>
    </row>
    <row r="96" spans="2:50" ht="14.25" customHeight="1">
      <c r="B96" s="575"/>
      <c r="C96" s="180">
        <v>10</v>
      </c>
      <c r="D96" s="183"/>
      <c r="E96" s="180"/>
      <c r="F96" s="180"/>
      <c r="G96" s="185"/>
      <c r="H96" s="576"/>
      <c r="I96" s="186"/>
      <c r="J96" s="186"/>
      <c r="K96" s="187"/>
      <c r="L96" s="577"/>
      <c r="M96" s="186"/>
      <c r="N96" s="575"/>
      <c r="O96" s="575"/>
      <c r="P96" s="188"/>
      <c r="Q96" s="188"/>
      <c r="R96" s="185"/>
      <c r="S96" s="182"/>
      <c r="T96" s="576"/>
      <c r="U96" s="188"/>
      <c r="V96" s="188"/>
      <c r="W96" s="185"/>
      <c r="X96" s="182"/>
      <c r="Y96" s="576"/>
      <c r="Z96" s="188"/>
      <c r="AA96" s="188"/>
      <c r="AB96" s="185"/>
      <c r="AC96" s="182"/>
      <c r="AD96" s="576"/>
      <c r="AE96" s="188"/>
      <c r="AF96" s="188"/>
      <c r="AG96" s="185"/>
      <c r="AH96" s="182"/>
      <c r="AI96" s="576"/>
      <c r="AJ96" s="188"/>
      <c r="AK96" s="188"/>
      <c r="AL96" s="185"/>
      <c r="AM96" s="182"/>
      <c r="AN96" s="576"/>
      <c r="AO96" s="188"/>
      <c r="AP96" s="188"/>
      <c r="AQ96" s="185"/>
      <c r="AR96" s="182"/>
      <c r="AS96" s="576"/>
      <c r="AT96" s="188"/>
      <c r="AU96" s="188"/>
      <c r="AV96" s="185"/>
      <c r="AW96" s="182"/>
      <c r="AX96" s="576"/>
    </row>
    <row r="97" spans="2:50" ht="14.25" customHeight="1">
      <c r="B97" s="575"/>
      <c r="C97" s="180">
        <v>11</v>
      </c>
      <c r="D97" s="183"/>
      <c r="E97" s="180"/>
      <c r="F97" s="180"/>
      <c r="G97" s="185"/>
      <c r="H97" s="576"/>
      <c r="I97" s="186"/>
      <c r="J97" s="186"/>
      <c r="K97" s="187"/>
      <c r="L97" s="577"/>
      <c r="M97" s="186"/>
      <c r="N97" s="575"/>
      <c r="O97" s="575"/>
      <c r="P97" s="188"/>
      <c r="Q97" s="188"/>
      <c r="R97" s="185"/>
      <c r="S97" s="182"/>
      <c r="T97" s="576"/>
      <c r="U97" s="188"/>
      <c r="V97" s="188"/>
      <c r="W97" s="185"/>
      <c r="X97" s="182"/>
      <c r="Y97" s="576"/>
      <c r="Z97" s="188"/>
      <c r="AA97" s="188"/>
      <c r="AB97" s="185"/>
      <c r="AC97" s="182"/>
      <c r="AD97" s="576"/>
      <c r="AE97" s="188"/>
      <c r="AF97" s="188"/>
      <c r="AG97" s="185"/>
      <c r="AH97" s="182"/>
      <c r="AI97" s="576"/>
      <c r="AJ97" s="188"/>
      <c r="AK97" s="188"/>
      <c r="AL97" s="185"/>
      <c r="AM97" s="182"/>
      <c r="AN97" s="576"/>
      <c r="AO97" s="188"/>
      <c r="AP97" s="188"/>
      <c r="AQ97" s="185"/>
      <c r="AR97" s="182"/>
      <c r="AS97" s="576"/>
      <c r="AT97" s="188"/>
      <c r="AU97" s="188"/>
      <c r="AV97" s="185"/>
      <c r="AW97" s="182"/>
      <c r="AX97" s="576"/>
    </row>
    <row r="98" spans="2:50" ht="14.25" customHeight="1">
      <c r="B98" s="575"/>
      <c r="C98" s="180">
        <v>12</v>
      </c>
      <c r="D98" s="183"/>
      <c r="E98" s="180"/>
      <c r="F98" s="180"/>
      <c r="G98" s="185"/>
      <c r="H98" s="576"/>
      <c r="I98" s="186"/>
      <c r="J98" s="186"/>
      <c r="K98" s="187"/>
      <c r="L98" s="577"/>
      <c r="M98" s="186"/>
      <c r="N98" s="575"/>
      <c r="O98" s="575"/>
      <c r="P98" s="188"/>
      <c r="Q98" s="188"/>
      <c r="R98" s="185"/>
      <c r="S98" s="182"/>
      <c r="T98" s="576"/>
      <c r="U98" s="188"/>
      <c r="V98" s="188"/>
      <c r="W98" s="185"/>
      <c r="X98" s="182"/>
      <c r="Y98" s="576"/>
      <c r="Z98" s="188"/>
      <c r="AA98" s="188"/>
      <c r="AB98" s="185"/>
      <c r="AC98" s="182"/>
      <c r="AD98" s="576"/>
      <c r="AE98" s="188"/>
      <c r="AF98" s="188"/>
      <c r="AG98" s="185"/>
      <c r="AH98" s="182"/>
      <c r="AI98" s="576"/>
      <c r="AJ98" s="188"/>
      <c r="AK98" s="188"/>
      <c r="AL98" s="185"/>
      <c r="AM98" s="182"/>
      <c r="AN98" s="576"/>
      <c r="AO98" s="188"/>
      <c r="AP98" s="188"/>
      <c r="AQ98" s="185"/>
      <c r="AR98" s="182"/>
      <c r="AS98" s="576"/>
      <c r="AT98" s="188"/>
      <c r="AU98" s="188"/>
      <c r="AV98" s="185"/>
      <c r="AW98" s="182"/>
      <c r="AX98" s="576"/>
    </row>
    <row r="99" spans="2:50" ht="14.25" customHeight="1">
      <c r="B99" s="575"/>
      <c r="C99" s="180">
        <v>13</v>
      </c>
      <c r="D99" s="183"/>
      <c r="E99" s="180"/>
      <c r="F99" s="180"/>
      <c r="G99" s="185"/>
      <c r="H99" s="576"/>
      <c r="I99" s="186"/>
      <c r="J99" s="186"/>
      <c r="K99" s="187"/>
      <c r="L99" s="577"/>
      <c r="M99" s="186"/>
      <c r="N99" s="575"/>
      <c r="O99" s="575"/>
      <c r="P99" s="188"/>
      <c r="Q99" s="188"/>
      <c r="R99" s="185"/>
      <c r="S99" s="182"/>
      <c r="T99" s="576"/>
      <c r="U99" s="188"/>
      <c r="V99" s="188"/>
      <c r="W99" s="185"/>
      <c r="X99" s="182"/>
      <c r="Y99" s="576"/>
      <c r="Z99" s="188"/>
      <c r="AA99" s="188"/>
      <c r="AB99" s="185"/>
      <c r="AC99" s="182"/>
      <c r="AD99" s="576"/>
      <c r="AE99" s="188"/>
      <c r="AF99" s="188"/>
      <c r="AG99" s="185"/>
      <c r="AH99" s="182"/>
      <c r="AI99" s="576"/>
      <c r="AJ99" s="188"/>
      <c r="AK99" s="188"/>
      <c r="AL99" s="185"/>
      <c r="AM99" s="182"/>
      <c r="AN99" s="576"/>
      <c r="AO99" s="188"/>
      <c r="AP99" s="188"/>
      <c r="AQ99" s="185"/>
      <c r="AR99" s="182"/>
      <c r="AS99" s="576"/>
      <c r="AT99" s="188"/>
      <c r="AU99" s="188"/>
      <c r="AV99" s="185"/>
      <c r="AW99" s="182"/>
      <c r="AX99" s="576"/>
    </row>
    <row r="100" spans="2:50" ht="14.25" customHeight="1">
      <c r="B100" s="575"/>
      <c r="C100" s="180">
        <v>14</v>
      </c>
      <c r="D100" s="183"/>
      <c r="E100" s="180"/>
      <c r="F100" s="180"/>
      <c r="G100" s="185"/>
      <c r="H100" s="576"/>
      <c r="I100" s="186"/>
      <c r="J100" s="186"/>
      <c r="K100" s="187"/>
      <c r="L100" s="577"/>
      <c r="M100" s="186"/>
      <c r="N100" s="575"/>
      <c r="O100" s="575"/>
      <c r="P100" s="188"/>
      <c r="Q100" s="188"/>
      <c r="R100" s="185"/>
      <c r="S100" s="182"/>
      <c r="T100" s="576"/>
      <c r="U100" s="188"/>
      <c r="V100" s="188"/>
      <c r="W100" s="185"/>
      <c r="X100" s="182"/>
      <c r="Y100" s="576"/>
      <c r="Z100" s="188"/>
      <c r="AA100" s="188"/>
      <c r="AB100" s="185"/>
      <c r="AC100" s="182"/>
      <c r="AD100" s="576"/>
      <c r="AE100" s="188"/>
      <c r="AF100" s="188"/>
      <c r="AG100" s="185"/>
      <c r="AH100" s="182"/>
      <c r="AI100" s="576"/>
      <c r="AJ100" s="188"/>
      <c r="AK100" s="188"/>
      <c r="AL100" s="185"/>
      <c r="AM100" s="182"/>
      <c r="AN100" s="576"/>
      <c r="AO100" s="188"/>
      <c r="AP100" s="188"/>
      <c r="AQ100" s="185"/>
      <c r="AR100" s="182"/>
      <c r="AS100" s="576"/>
      <c r="AT100" s="188"/>
      <c r="AU100" s="188"/>
      <c r="AV100" s="185"/>
      <c r="AW100" s="182"/>
      <c r="AX100" s="576"/>
    </row>
    <row r="101" spans="2:50" ht="14.25" customHeight="1">
      <c r="B101" s="575"/>
      <c r="C101" s="180">
        <v>15</v>
      </c>
      <c r="D101" s="183"/>
      <c r="E101" s="180"/>
      <c r="F101" s="180"/>
      <c r="G101" s="185"/>
      <c r="H101" s="576"/>
      <c r="I101" s="186"/>
      <c r="J101" s="186"/>
      <c r="K101" s="187"/>
      <c r="L101" s="577"/>
      <c r="M101" s="186"/>
      <c r="N101" s="575"/>
      <c r="O101" s="575"/>
      <c r="P101" s="188"/>
      <c r="Q101" s="188"/>
      <c r="R101" s="185"/>
      <c r="S101" s="182"/>
      <c r="T101" s="576"/>
      <c r="U101" s="188"/>
      <c r="V101" s="188"/>
      <c r="W101" s="185"/>
      <c r="X101" s="182"/>
      <c r="Y101" s="576"/>
      <c r="Z101" s="188"/>
      <c r="AA101" s="188"/>
      <c r="AB101" s="185"/>
      <c r="AC101" s="182"/>
      <c r="AD101" s="576"/>
      <c r="AE101" s="188"/>
      <c r="AF101" s="188"/>
      <c r="AG101" s="185"/>
      <c r="AH101" s="182"/>
      <c r="AI101" s="576"/>
      <c r="AJ101" s="188"/>
      <c r="AK101" s="188"/>
      <c r="AL101" s="185"/>
      <c r="AM101" s="182"/>
      <c r="AN101" s="576"/>
      <c r="AO101" s="188"/>
      <c r="AP101" s="188"/>
      <c r="AQ101" s="185"/>
      <c r="AR101" s="182"/>
      <c r="AS101" s="576"/>
      <c r="AT101" s="188"/>
      <c r="AU101" s="188"/>
      <c r="AV101" s="185"/>
      <c r="AW101" s="182"/>
      <c r="AX101" s="576"/>
    </row>
  </sheetData>
  <mergeCells count="295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7">
    <tabColor rgb="FF92D050"/>
    <outlinePr summaryBelow="0" summaryRight="0"/>
  </sheetPr>
  <dimension ref="A1:R132"/>
  <sheetViews>
    <sheetView view="pageBreakPreview" topLeftCell="A108" zoomScale="115" zoomScaleNormal="60" zoomScaleSheetLayoutView="115" workbookViewId="0">
      <selection activeCell="J128" sqref="J128"/>
    </sheetView>
  </sheetViews>
  <sheetFormatPr defaultColWidth="12.5703125" defaultRowHeight="15.75" customHeight="1"/>
  <cols>
    <col min="1" max="1" width="6.42578125" style="189" customWidth="1"/>
    <col min="2" max="10" width="11.5703125" style="189" customWidth="1"/>
    <col min="11" max="11" width="12.85546875" style="189" customWidth="1"/>
    <col min="12" max="12" width="41.85546875" style="189" customWidth="1"/>
    <col min="13" max="13" width="12.5703125" style="190"/>
    <col min="14" max="16384" width="12.5703125" style="189"/>
  </cols>
  <sheetData>
    <row r="1" spans="1:18" ht="15.75" customHeight="1">
      <c r="A1" s="508" t="s">
        <v>383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189"/>
    </row>
    <row r="2" spans="1:18" s="19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</row>
    <row r="3" spans="1:18" ht="15.75" customHeight="1">
      <c r="A3" s="674" t="s">
        <v>619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189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78" customFormat="1" ht="15.75" customHeight="1">
      <c r="A5" s="669" t="s">
        <v>162</v>
      </c>
      <c r="B5" s="191">
        <v>1</v>
      </c>
      <c r="C5" s="191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ht="16.350000000000001" customHeight="1">
      <c r="A6" s="669"/>
      <c r="B6" s="194" t="s">
        <v>206</v>
      </c>
      <c r="C6" s="194" t="s">
        <v>155</v>
      </c>
      <c r="D6" s="195" t="s">
        <v>207</v>
      </c>
      <c r="E6" s="195" t="s">
        <v>156</v>
      </c>
      <c r="F6" s="195" t="s">
        <v>355</v>
      </c>
      <c r="G6" s="196" t="s">
        <v>136</v>
      </c>
      <c r="H6" s="197" t="s">
        <v>208</v>
      </c>
      <c r="I6" s="196" t="s">
        <v>384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78" customFormat="1" ht="15.75" customHeight="1">
      <c r="A7" s="670" t="s">
        <v>188</v>
      </c>
      <c r="B7" s="670"/>
      <c r="C7" s="160" t="s">
        <v>47</v>
      </c>
      <c r="D7" s="670" t="s">
        <v>12</v>
      </c>
      <c r="E7" s="675"/>
      <c r="F7" s="675"/>
      <c r="G7" s="160" t="s">
        <v>46</v>
      </c>
      <c r="H7" s="160" t="s">
        <v>385</v>
      </c>
      <c r="I7" s="160" t="s">
        <v>386</v>
      </c>
      <c r="J7" s="160" t="s">
        <v>332</v>
      </c>
      <c r="K7" s="670" t="s">
        <v>51</v>
      </c>
      <c r="L7" s="675"/>
      <c r="M7" s="193"/>
      <c r="P7" s="423"/>
      <c r="Q7" s="423"/>
    </row>
    <row r="8" spans="1:18" ht="15.75" customHeight="1">
      <c r="A8" s="669">
        <v>1</v>
      </c>
      <c r="B8" s="670" t="s">
        <v>387</v>
      </c>
      <c r="C8" s="200">
        <v>1</v>
      </c>
      <c r="D8" s="671" t="s">
        <v>463</v>
      </c>
      <c r="E8" s="672"/>
      <c r="F8" s="672"/>
      <c r="G8" s="200">
        <v>3</v>
      </c>
      <c r="H8" s="202">
        <v>3180.9857471046348</v>
      </c>
      <c r="I8" s="203">
        <v>1060.3285823682113</v>
      </c>
      <c r="J8" s="221">
        <v>2.072115514430152</v>
      </c>
      <c r="K8" s="671" t="s">
        <v>456</v>
      </c>
      <c r="L8" s="672"/>
      <c r="N8" s="178"/>
      <c r="O8" s="178"/>
      <c r="P8" s="423"/>
      <c r="Q8" s="423"/>
      <c r="R8" s="178"/>
    </row>
    <row r="9" spans="1:18" ht="15.75" customHeight="1">
      <c r="A9" s="669"/>
      <c r="B9" s="670"/>
      <c r="C9" s="200">
        <v>2</v>
      </c>
      <c r="D9" s="671" t="s">
        <v>401</v>
      </c>
      <c r="E9" s="672"/>
      <c r="F9" s="672"/>
      <c r="G9" s="200">
        <v>3</v>
      </c>
      <c r="H9" s="202">
        <v>3178.836210245116</v>
      </c>
      <c r="I9" s="203">
        <v>1059.612070081705</v>
      </c>
      <c r="J9" s="221">
        <v>0.57719549017110694</v>
      </c>
      <c r="K9" s="671" t="s">
        <v>456</v>
      </c>
      <c r="L9" s="672"/>
      <c r="N9" s="178"/>
      <c r="O9" s="178"/>
      <c r="P9" s="423"/>
      <c r="Q9" s="423"/>
      <c r="R9" s="178"/>
    </row>
    <row r="10" spans="1:18" ht="15.75" customHeight="1">
      <c r="A10" s="669"/>
      <c r="B10" s="670"/>
      <c r="C10" s="200">
        <v>3</v>
      </c>
      <c r="D10" s="671" t="s">
        <v>411</v>
      </c>
      <c r="E10" s="672"/>
      <c r="F10" s="672"/>
      <c r="G10" s="200">
        <v>3</v>
      </c>
      <c r="H10" s="202">
        <v>3177.4049349391148</v>
      </c>
      <c r="I10" s="203">
        <v>1059.1349783130386</v>
      </c>
      <c r="J10" s="221">
        <v>0.86590446793798037</v>
      </c>
      <c r="K10" s="671" t="s">
        <v>456</v>
      </c>
      <c r="L10" s="672"/>
      <c r="N10" s="178"/>
      <c r="O10" s="178"/>
      <c r="P10" s="423"/>
      <c r="Q10" s="423"/>
      <c r="R10" s="178"/>
    </row>
    <row r="11" spans="1:18" ht="15.75" customHeight="1">
      <c r="A11" s="669"/>
      <c r="B11" s="670"/>
      <c r="C11" s="200">
        <v>4</v>
      </c>
      <c r="D11" s="671" t="s">
        <v>406</v>
      </c>
      <c r="E11" s="672"/>
      <c r="F11" s="672"/>
      <c r="G11" s="200">
        <v>3</v>
      </c>
      <c r="H11" s="202">
        <v>3176.4997092153685</v>
      </c>
      <c r="I11" s="203">
        <v>1058.8332364051228</v>
      </c>
      <c r="J11" s="221">
        <v>0.28062599143049738</v>
      </c>
      <c r="K11" s="671" t="s">
        <v>456</v>
      </c>
      <c r="L11" s="672"/>
      <c r="O11" s="178"/>
      <c r="P11" s="423"/>
      <c r="Q11" s="423"/>
      <c r="R11" s="178"/>
    </row>
    <row r="12" spans="1:18" ht="15.75" customHeight="1">
      <c r="A12" s="669"/>
      <c r="B12" s="670"/>
      <c r="C12" s="200">
        <v>5</v>
      </c>
      <c r="D12" s="671" t="s">
        <v>410</v>
      </c>
      <c r="E12" s="672"/>
      <c r="F12" s="672"/>
      <c r="G12" s="200">
        <v>3</v>
      </c>
      <c r="H12" s="202">
        <v>3175.6429731826256</v>
      </c>
      <c r="I12" s="203">
        <v>1058.5476577275419</v>
      </c>
      <c r="J12" s="221"/>
      <c r="K12" s="671" t="s">
        <v>456</v>
      </c>
      <c r="L12" s="672"/>
      <c r="N12" s="178"/>
      <c r="O12" s="178"/>
      <c r="P12" s="423"/>
      <c r="Q12" s="423"/>
      <c r="R12" s="178"/>
    </row>
    <row r="13" spans="1:18" ht="15.75" customHeight="1">
      <c r="A13" s="669"/>
      <c r="B13" s="670"/>
      <c r="C13" s="204" t="s">
        <v>204</v>
      </c>
      <c r="D13" s="672" t="s">
        <v>584</v>
      </c>
      <c r="E13" s="672"/>
      <c r="F13" s="672"/>
      <c r="G13" s="201">
        <v>13</v>
      </c>
      <c r="H13" s="205">
        <v>3172.7093415088698</v>
      </c>
      <c r="I13" s="206">
        <v>244.05456473145145</v>
      </c>
      <c r="J13" s="221">
        <v>16.694897371783924</v>
      </c>
      <c r="K13" s="671" t="s">
        <v>555</v>
      </c>
      <c r="L13" s="672"/>
      <c r="N13" s="178"/>
      <c r="O13" s="178"/>
      <c r="P13" s="423"/>
      <c r="Q13" s="423"/>
      <c r="R13" s="178"/>
    </row>
    <row r="14" spans="1:18" ht="15.75" customHeight="1">
      <c r="A14" s="669"/>
      <c r="B14" s="670"/>
      <c r="C14" s="204" t="s">
        <v>209</v>
      </c>
      <c r="D14" s="672" t="s">
        <v>468</v>
      </c>
      <c r="E14" s="672"/>
      <c r="F14" s="672"/>
      <c r="G14" s="201">
        <v>12</v>
      </c>
      <c r="H14" s="205">
        <v>3124.514992674005</v>
      </c>
      <c r="I14" s="206">
        <v>260.3762493895004</v>
      </c>
      <c r="J14" s="221">
        <v>-0.13944860162916939</v>
      </c>
      <c r="K14" s="671" t="s">
        <v>456</v>
      </c>
      <c r="L14" s="672"/>
      <c r="N14" s="178"/>
      <c r="O14" s="178"/>
      <c r="P14" s="423"/>
      <c r="Q14" s="423"/>
      <c r="R14" s="178"/>
    </row>
    <row r="15" spans="1:18" ht="15.75" customHeight="1">
      <c r="A15" s="669"/>
      <c r="B15" s="670"/>
      <c r="C15" s="204" t="s">
        <v>205</v>
      </c>
      <c r="D15" s="672" t="s">
        <v>471</v>
      </c>
      <c r="E15" s="672"/>
      <c r="F15" s="672"/>
      <c r="G15" s="201">
        <v>12</v>
      </c>
      <c r="H15" s="205">
        <v>3125.1402780743629</v>
      </c>
      <c r="I15" s="206">
        <v>260.42835650619696</v>
      </c>
      <c r="J15" s="221">
        <v>-5.6779801262223373E-2</v>
      </c>
      <c r="K15" s="671" t="s">
        <v>456</v>
      </c>
      <c r="L15" s="672"/>
      <c r="N15" s="178"/>
      <c r="O15" s="178"/>
      <c r="P15" s="423"/>
      <c r="Q15" s="423"/>
      <c r="R15" s="178"/>
    </row>
    <row r="16" spans="1:18" ht="15.75" customHeight="1">
      <c r="A16" s="669"/>
      <c r="B16" s="670"/>
      <c r="C16" s="204" t="s">
        <v>210</v>
      </c>
      <c r="D16" s="672" t="s">
        <v>551</v>
      </c>
      <c r="E16" s="672"/>
      <c r="F16" s="672"/>
      <c r="G16" s="201">
        <v>12</v>
      </c>
      <c r="H16" s="205">
        <v>3252.2426521270168</v>
      </c>
      <c r="I16" s="206">
        <v>271.02022101058475</v>
      </c>
      <c r="J16" s="221">
        <v>0.10252283679136553</v>
      </c>
      <c r="K16" s="671" t="s">
        <v>456</v>
      </c>
      <c r="L16" s="672"/>
      <c r="M16" s="189"/>
      <c r="N16" s="178"/>
      <c r="O16" s="178"/>
      <c r="P16" s="423"/>
      <c r="Q16" s="423"/>
      <c r="R16" s="178"/>
    </row>
    <row r="17" spans="1:18" ht="15.75" customHeight="1">
      <c r="A17" s="669"/>
      <c r="B17" s="670"/>
      <c r="C17" s="204" t="s">
        <v>211</v>
      </c>
      <c r="D17" s="672" t="s">
        <v>617</v>
      </c>
      <c r="E17" s="672"/>
      <c r="F17" s="672"/>
      <c r="G17" s="201">
        <v>5</v>
      </c>
      <c r="H17" s="205">
        <v>2460.0856142171519</v>
      </c>
      <c r="I17" s="206">
        <v>492.0171228434304</v>
      </c>
      <c r="J17" s="221"/>
      <c r="K17" s="676" t="s">
        <v>635</v>
      </c>
      <c r="L17" s="672"/>
      <c r="M17" s="189"/>
      <c r="N17" s="178"/>
      <c r="O17" s="178"/>
      <c r="P17" s="423"/>
      <c r="Q17" s="423"/>
      <c r="R17" s="178"/>
    </row>
    <row r="18" spans="1:18" s="199" customFormat="1" ht="15.75" customHeight="1">
      <c r="A18" s="667" t="s">
        <v>188</v>
      </c>
      <c r="B18" s="667"/>
      <c r="C18" s="207" t="s">
        <v>47</v>
      </c>
      <c r="D18" s="667" t="s">
        <v>12</v>
      </c>
      <c r="E18" s="668"/>
      <c r="F18" s="668"/>
      <c r="G18" s="207" t="s">
        <v>46</v>
      </c>
      <c r="H18" s="207" t="s">
        <v>385</v>
      </c>
      <c r="I18" s="207" t="s">
        <v>386</v>
      </c>
      <c r="J18" s="160" t="s">
        <v>332</v>
      </c>
      <c r="K18" s="667" t="s">
        <v>51</v>
      </c>
      <c r="L18" s="668"/>
      <c r="M18" s="208"/>
      <c r="N18" s="178"/>
      <c r="O18" s="178"/>
      <c r="P18" s="423"/>
      <c r="Q18" s="423"/>
      <c r="R18" s="178"/>
    </row>
    <row r="19" spans="1:18" ht="15.75" customHeight="1">
      <c r="A19" s="669">
        <v>2</v>
      </c>
      <c r="B19" s="670" t="s">
        <v>155</v>
      </c>
      <c r="C19" s="200">
        <v>1</v>
      </c>
      <c r="D19" s="671" t="s">
        <v>467</v>
      </c>
      <c r="E19" s="672"/>
      <c r="F19" s="672"/>
      <c r="G19" s="200">
        <v>6</v>
      </c>
      <c r="H19" s="202">
        <v>2340.6250136555805</v>
      </c>
      <c r="I19" s="203">
        <v>390.10416894259663</v>
      </c>
      <c r="J19" s="221">
        <v>2.1889196980225734E-2</v>
      </c>
      <c r="K19" s="671" t="s">
        <v>456</v>
      </c>
      <c r="L19" s="672"/>
      <c r="M19" s="189"/>
      <c r="N19" s="178"/>
      <c r="O19" s="178"/>
      <c r="P19" s="423"/>
      <c r="Q19" s="423"/>
      <c r="R19" s="178"/>
    </row>
    <row r="20" spans="1:18" ht="15.75" customHeight="1">
      <c r="A20" s="669"/>
      <c r="B20" s="670"/>
      <c r="C20" s="200">
        <v>2</v>
      </c>
      <c r="D20" s="671" t="s">
        <v>464</v>
      </c>
      <c r="E20" s="672"/>
      <c r="F20" s="672"/>
      <c r="G20" s="200">
        <v>6</v>
      </c>
      <c r="H20" s="202">
        <v>2340.3482577837344</v>
      </c>
      <c r="I20" s="203">
        <v>390.05804296395581</v>
      </c>
      <c r="J20" s="221">
        <v>3.1010975880633396E-2</v>
      </c>
      <c r="K20" s="671" t="s">
        <v>456</v>
      </c>
      <c r="L20" s="672"/>
      <c r="M20" s="189"/>
      <c r="N20" s="178"/>
      <c r="O20" s="178"/>
      <c r="P20" s="423"/>
      <c r="Q20" s="423"/>
      <c r="R20" s="178"/>
    </row>
    <row r="21" spans="1:18" ht="15.75" customHeight="1">
      <c r="A21" s="669"/>
      <c r="B21" s="670"/>
      <c r="C21" s="200">
        <v>3</v>
      </c>
      <c r="D21" s="671" t="s">
        <v>538</v>
      </c>
      <c r="E21" s="672"/>
      <c r="F21" s="672"/>
      <c r="G21" s="200">
        <v>6</v>
      </c>
      <c r="H21" s="202">
        <v>2258.8431108831473</v>
      </c>
      <c r="I21" s="203">
        <v>376.47385181385789</v>
      </c>
      <c r="J21" s="221">
        <v>0.14911125970701278</v>
      </c>
      <c r="K21" s="671" t="s">
        <v>456</v>
      </c>
      <c r="L21" s="672"/>
      <c r="M21" s="189"/>
      <c r="N21" s="178"/>
      <c r="O21" s="178"/>
      <c r="P21" s="423"/>
      <c r="Q21" s="423"/>
      <c r="R21" s="178"/>
    </row>
    <row r="22" spans="1:18" ht="15.75" customHeight="1">
      <c r="A22" s="669"/>
      <c r="B22" s="670"/>
      <c r="C22" s="200">
        <v>4</v>
      </c>
      <c r="D22" s="671" t="s">
        <v>579</v>
      </c>
      <c r="E22" s="672"/>
      <c r="F22" s="672"/>
      <c r="G22" s="200">
        <v>6</v>
      </c>
      <c r="H22" s="202">
        <v>2258.6161131123072</v>
      </c>
      <c r="I22" s="203">
        <v>376.43601885205123</v>
      </c>
      <c r="J22" s="221">
        <v>0.28698308866802336</v>
      </c>
      <c r="K22" s="671" t="s">
        <v>456</v>
      </c>
      <c r="L22" s="672"/>
      <c r="M22" s="189"/>
      <c r="O22" s="178"/>
      <c r="P22" s="423"/>
      <c r="Q22" s="423"/>
      <c r="R22" s="178"/>
    </row>
    <row r="23" spans="1:18" ht="15.75" customHeight="1">
      <c r="A23" s="669"/>
      <c r="B23" s="670"/>
      <c r="C23" s="200">
        <v>5</v>
      </c>
      <c r="D23" s="671" t="s">
        <v>351</v>
      </c>
      <c r="E23" s="672"/>
      <c r="F23" s="672"/>
      <c r="G23" s="200">
        <v>11</v>
      </c>
      <c r="H23" s="202">
        <v>3183.4538237188617</v>
      </c>
      <c r="I23" s="203">
        <v>289.40489306535113</v>
      </c>
      <c r="J23" s="221">
        <v>0.13475161008705072</v>
      </c>
      <c r="K23" s="671" t="s">
        <v>456</v>
      </c>
      <c r="L23" s="672"/>
      <c r="M23" s="189"/>
      <c r="N23" s="178"/>
      <c r="O23" s="178"/>
      <c r="P23" s="423"/>
      <c r="Q23" s="423"/>
      <c r="R23" s="178"/>
    </row>
    <row r="24" spans="1:18" ht="15.75" customHeight="1">
      <c r="A24" s="669"/>
      <c r="B24" s="670"/>
      <c r="C24" s="204" t="s">
        <v>204</v>
      </c>
      <c r="D24" s="671" t="s">
        <v>352</v>
      </c>
      <c r="E24" s="672"/>
      <c r="F24" s="672"/>
      <c r="G24" s="200">
        <v>12</v>
      </c>
      <c r="H24" s="202">
        <v>3146.4360593420611</v>
      </c>
      <c r="I24" s="203">
        <v>262.20300494517176</v>
      </c>
      <c r="J24" s="221">
        <v>4.2129707262176908E-2</v>
      </c>
      <c r="K24" s="671" t="s">
        <v>456</v>
      </c>
      <c r="L24" s="672"/>
      <c r="M24" s="189"/>
      <c r="N24" s="178"/>
      <c r="O24" s="178"/>
      <c r="P24" s="423"/>
      <c r="Q24" s="423"/>
      <c r="R24" s="178"/>
    </row>
    <row r="25" spans="1:18" ht="15.75" customHeight="1">
      <c r="A25" s="669"/>
      <c r="B25" s="670"/>
      <c r="C25" s="204" t="s">
        <v>209</v>
      </c>
      <c r="D25" s="671" t="s">
        <v>353</v>
      </c>
      <c r="E25" s="672"/>
      <c r="F25" s="672"/>
      <c r="G25" s="200">
        <v>12</v>
      </c>
      <c r="H25" s="202">
        <v>3147.0489006986536</v>
      </c>
      <c r="I25" s="203">
        <v>262.25407505822119</v>
      </c>
      <c r="J25" s="221">
        <v>3.0562640055222801E-3</v>
      </c>
      <c r="K25" s="671" t="s">
        <v>456</v>
      </c>
      <c r="L25" s="672"/>
      <c r="M25" s="189"/>
      <c r="N25" s="178"/>
      <c r="O25" s="178"/>
      <c r="P25" s="423"/>
      <c r="Q25" s="423"/>
      <c r="R25" s="178"/>
    </row>
    <row r="26" spans="1:18" ht="15.75" customHeight="1">
      <c r="A26" s="669"/>
      <c r="B26" s="670"/>
      <c r="C26" s="204" t="s">
        <v>205</v>
      </c>
      <c r="D26" s="671" t="s">
        <v>349</v>
      </c>
      <c r="E26" s="672"/>
      <c r="F26" s="672"/>
      <c r="G26" s="200">
        <v>12</v>
      </c>
      <c r="H26" s="202">
        <v>3147.1343289887091</v>
      </c>
      <c r="I26" s="203">
        <v>262.26119408239236</v>
      </c>
      <c r="J26" s="221">
        <v>1.9772209279835806E-2</v>
      </c>
      <c r="K26" s="671" t="s">
        <v>456</v>
      </c>
      <c r="L26" s="672"/>
      <c r="M26" s="189"/>
      <c r="N26" s="178"/>
      <c r="O26" s="178"/>
      <c r="P26" s="423"/>
      <c r="Q26" s="423"/>
      <c r="R26" s="178"/>
    </row>
    <row r="27" spans="1:18" ht="15.75" customHeight="1">
      <c r="A27" s="669"/>
      <c r="B27" s="670"/>
      <c r="C27" s="204" t="s">
        <v>210</v>
      </c>
      <c r="D27" s="671" t="s">
        <v>350</v>
      </c>
      <c r="E27" s="672"/>
      <c r="F27" s="672"/>
      <c r="G27" s="200">
        <v>12</v>
      </c>
      <c r="H27" s="202">
        <v>3147.3181783382001</v>
      </c>
      <c r="I27" s="203">
        <v>262.27651486151672</v>
      </c>
      <c r="J27" s="221">
        <v>9.6322950178659994E-3</v>
      </c>
      <c r="K27" s="671" t="s">
        <v>456</v>
      </c>
      <c r="L27" s="672"/>
      <c r="M27" s="189"/>
      <c r="N27" s="178"/>
      <c r="O27" s="178"/>
      <c r="P27" s="423"/>
      <c r="Q27" s="423"/>
      <c r="R27" s="178"/>
    </row>
    <row r="28" spans="1:18" ht="15.75" customHeight="1">
      <c r="A28" s="669"/>
      <c r="B28" s="670"/>
      <c r="C28" s="204" t="s">
        <v>211</v>
      </c>
      <c r="D28" s="671" t="s">
        <v>348</v>
      </c>
      <c r="E28" s="672"/>
      <c r="F28" s="672"/>
      <c r="G28" s="200">
        <v>11</v>
      </c>
      <c r="H28" s="202">
        <v>3182.7206885116507</v>
      </c>
      <c r="I28" s="203">
        <v>289.33824441015003</v>
      </c>
      <c r="J28" s="221">
        <v>7.7712235357012105E-2</v>
      </c>
      <c r="K28" s="671" t="s">
        <v>456</v>
      </c>
      <c r="L28" s="672"/>
      <c r="M28" s="189"/>
      <c r="N28" s="178"/>
      <c r="O28" s="178"/>
      <c r="P28" s="423"/>
      <c r="Q28" s="423"/>
      <c r="R28" s="178"/>
    </row>
    <row r="29" spans="1:18" ht="15.75" customHeight="1">
      <c r="A29" s="674" t="s">
        <v>659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  <c r="M29" s="189"/>
    </row>
    <row r="30" spans="1:18" s="19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</row>
    <row r="31" spans="1:18" s="178" customFormat="1" ht="15.75" customHeight="1">
      <c r="A31" s="669" t="s">
        <v>162</v>
      </c>
      <c r="B31" s="191">
        <v>1</v>
      </c>
      <c r="C31" s="191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ht="16.350000000000001" customHeight="1">
      <c r="A32" s="669"/>
      <c r="B32" s="194" t="s">
        <v>206</v>
      </c>
      <c r="C32" s="194" t="s">
        <v>155</v>
      </c>
      <c r="D32" s="195" t="s">
        <v>207</v>
      </c>
      <c r="E32" s="195" t="s">
        <v>156</v>
      </c>
      <c r="F32" s="195" t="s">
        <v>355</v>
      </c>
      <c r="G32" s="196" t="s">
        <v>136</v>
      </c>
      <c r="H32" s="197" t="s">
        <v>208</v>
      </c>
      <c r="I32" s="196" t="s">
        <v>384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78" customFormat="1" ht="15.75" customHeight="1">
      <c r="A33" s="670" t="s">
        <v>188</v>
      </c>
      <c r="B33" s="670"/>
      <c r="C33" s="160" t="s">
        <v>47</v>
      </c>
      <c r="D33" s="670" t="s">
        <v>12</v>
      </c>
      <c r="E33" s="675"/>
      <c r="F33" s="675"/>
      <c r="G33" s="160" t="s">
        <v>46</v>
      </c>
      <c r="H33" s="160" t="s">
        <v>385</v>
      </c>
      <c r="I33" s="160" t="s">
        <v>386</v>
      </c>
      <c r="J33" s="160" t="s">
        <v>332</v>
      </c>
      <c r="K33" s="670" t="s">
        <v>51</v>
      </c>
      <c r="L33" s="675"/>
      <c r="M33" s="193"/>
      <c r="P33" s="423"/>
      <c r="Q33" s="423"/>
    </row>
    <row r="34" spans="1:18" ht="15.75" customHeight="1">
      <c r="A34" s="669">
        <v>1</v>
      </c>
      <c r="B34" s="670" t="s">
        <v>387</v>
      </c>
      <c r="C34" s="200">
        <v>1</v>
      </c>
      <c r="D34" s="671" t="s">
        <v>463</v>
      </c>
      <c r="E34" s="672"/>
      <c r="F34" s="672"/>
      <c r="G34" s="200">
        <v>3</v>
      </c>
      <c r="H34" s="202">
        <v>3180.81923260754</v>
      </c>
      <c r="I34" s="203">
        <v>1060.2730775358466</v>
      </c>
      <c r="J34" s="221">
        <f>I34-I8</f>
        <v>-5.5504832364704271E-2</v>
      </c>
      <c r="K34" s="671" t="s">
        <v>456</v>
      </c>
      <c r="L34" s="672"/>
      <c r="N34" s="178"/>
      <c r="O34" s="178"/>
      <c r="P34" s="423"/>
      <c r="Q34" s="423"/>
      <c r="R34" s="178"/>
    </row>
    <row r="35" spans="1:18" ht="15.75" customHeight="1">
      <c r="A35" s="669"/>
      <c r="B35" s="670"/>
      <c r="C35" s="200">
        <v>2</v>
      </c>
      <c r="D35" s="671" t="s">
        <v>411</v>
      </c>
      <c r="E35" s="672"/>
      <c r="F35" s="672"/>
      <c r="G35" s="200">
        <v>3</v>
      </c>
      <c r="H35" s="202">
        <v>3179.4601484757432</v>
      </c>
      <c r="I35" s="203">
        <v>1059.8200494919145</v>
      </c>
      <c r="J35" s="221">
        <f>I35-I10</f>
        <v>0.6850711788758872</v>
      </c>
      <c r="K35" s="671" t="s">
        <v>456</v>
      </c>
      <c r="L35" s="672"/>
      <c r="N35" s="178"/>
      <c r="O35" s="178"/>
      <c r="P35" s="423"/>
      <c r="Q35" s="423"/>
      <c r="R35" s="178"/>
    </row>
    <row r="36" spans="1:18" ht="15.75" customHeight="1">
      <c r="A36" s="669"/>
      <c r="B36" s="670"/>
      <c r="C36" s="200">
        <v>3</v>
      </c>
      <c r="D36" s="671" t="s">
        <v>410</v>
      </c>
      <c r="E36" s="672"/>
      <c r="F36" s="672"/>
      <c r="G36" s="200">
        <v>3</v>
      </c>
      <c r="H36" s="202">
        <v>3178.9886939782687</v>
      </c>
      <c r="I36" s="203">
        <v>1059.6628979927561</v>
      </c>
      <c r="J36" s="221">
        <f>I36-I12</f>
        <v>1.1152402652141973</v>
      </c>
      <c r="K36" s="671" t="s">
        <v>456</v>
      </c>
      <c r="L36" s="672"/>
      <c r="N36" s="178"/>
      <c r="O36" s="178"/>
      <c r="P36" s="423"/>
      <c r="Q36" s="423"/>
      <c r="R36" s="178"/>
    </row>
    <row r="37" spans="1:18" ht="15.75" customHeight="1">
      <c r="A37" s="669"/>
      <c r="B37" s="670"/>
      <c r="C37" s="200">
        <v>4</v>
      </c>
      <c r="D37" s="671" t="s">
        <v>406</v>
      </c>
      <c r="E37" s="672"/>
      <c r="F37" s="672"/>
      <c r="G37" s="200">
        <v>3</v>
      </c>
      <c r="H37" s="202">
        <v>3178.6656831799928</v>
      </c>
      <c r="I37" s="203">
        <v>1059.5552277266643</v>
      </c>
      <c r="J37" s="221">
        <f>I37-I11</f>
        <v>0.72199132154150902</v>
      </c>
      <c r="K37" s="671" t="s">
        <v>456</v>
      </c>
      <c r="L37" s="672"/>
      <c r="N37" s="178"/>
      <c r="O37" s="178"/>
      <c r="P37" s="423"/>
      <c r="Q37" s="423"/>
      <c r="R37" s="178"/>
    </row>
    <row r="38" spans="1:18" ht="15.75" customHeight="1">
      <c r="A38" s="669"/>
      <c r="B38" s="670"/>
      <c r="C38" s="200">
        <v>5</v>
      </c>
      <c r="D38" s="671" t="s">
        <v>401</v>
      </c>
      <c r="E38" s="672"/>
      <c r="F38" s="672"/>
      <c r="G38" s="200">
        <v>3</v>
      </c>
      <c r="H38" s="202">
        <v>3178.6352347623406</v>
      </c>
      <c r="I38" s="203">
        <v>1059.5450782541136</v>
      </c>
      <c r="J38" s="221">
        <f>I38-I9</f>
        <v>-6.6991827591436959E-2</v>
      </c>
      <c r="K38" s="671" t="s">
        <v>456</v>
      </c>
      <c r="L38" s="672"/>
      <c r="N38" s="178"/>
      <c r="O38" s="178"/>
      <c r="P38" s="423"/>
      <c r="Q38" s="423"/>
      <c r="R38" s="178"/>
    </row>
    <row r="39" spans="1:18" ht="15.75" customHeight="1">
      <c r="A39" s="669"/>
      <c r="B39" s="670"/>
      <c r="C39" s="204" t="s">
        <v>204</v>
      </c>
      <c r="D39" s="673" t="s">
        <v>584</v>
      </c>
      <c r="E39" s="672"/>
      <c r="F39" s="672"/>
      <c r="G39" s="201">
        <v>13</v>
      </c>
      <c r="H39" s="205">
        <v>3253.8594069663673</v>
      </c>
      <c r="I39" s="206">
        <v>250.29687745895131</v>
      </c>
      <c r="J39" s="221">
        <f>I39-I13</f>
        <v>6.2423127274998649</v>
      </c>
      <c r="K39" s="671" t="s">
        <v>555</v>
      </c>
      <c r="L39" s="672"/>
      <c r="N39" s="178"/>
      <c r="O39" s="178"/>
      <c r="P39" s="423"/>
      <c r="Q39" s="423"/>
      <c r="R39" s="178"/>
    </row>
    <row r="40" spans="1:18" ht="15.75" customHeight="1">
      <c r="A40" s="669"/>
      <c r="B40" s="670"/>
      <c r="C40" s="204" t="s">
        <v>209</v>
      </c>
      <c r="D40" s="673" t="s">
        <v>471</v>
      </c>
      <c r="E40" s="672"/>
      <c r="F40" s="672"/>
      <c r="G40" s="201">
        <v>12</v>
      </c>
      <c r="H40" s="205">
        <v>3125.4831529954322</v>
      </c>
      <c r="I40" s="206">
        <v>260.45692941628602</v>
      </c>
      <c r="J40" s="221">
        <f>I40-I15</f>
        <v>2.8572910089053494E-2</v>
      </c>
      <c r="K40" s="671" t="s">
        <v>456</v>
      </c>
      <c r="L40" s="672"/>
      <c r="O40" s="178"/>
      <c r="P40" s="423"/>
      <c r="Q40" s="423"/>
      <c r="R40" s="178"/>
    </row>
    <row r="41" spans="1:18" ht="15.75" customHeight="1">
      <c r="A41" s="669"/>
      <c r="B41" s="670"/>
      <c r="C41" s="204" t="s">
        <v>205</v>
      </c>
      <c r="D41" s="673" t="s">
        <v>468</v>
      </c>
      <c r="E41" s="672"/>
      <c r="F41" s="672"/>
      <c r="G41" s="201">
        <v>12</v>
      </c>
      <c r="H41" s="205">
        <v>3126.008562922219</v>
      </c>
      <c r="I41" s="206">
        <v>260.50071357685158</v>
      </c>
      <c r="J41" s="221">
        <f>I41-I14</f>
        <v>0.12446418735117959</v>
      </c>
      <c r="K41" s="671" t="s">
        <v>456</v>
      </c>
      <c r="L41" s="672"/>
      <c r="N41" s="178"/>
      <c r="O41" s="178"/>
      <c r="P41" s="423"/>
      <c r="Q41" s="423"/>
      <c r="R41" s="178"/>
    </row>
    <row r="42" spans="1:18" ht="15.75" customHeight="1">
      <c r="A42" s="669"/>
      <c r="B42" s="670"/>
      <c r="C42" s="204" t="s">
        <v>210</v>
      </c>
      <c r="D42" s="673" t="s">
        <v>551</v>
      </c>
      <c r="E42" s="672"/>
      <c r="F42" s="672"/>
      <c r="G42" s="201">
        <v>12</v>
      </c>
      <c r="H42" s="205">
        <v>3256.6520702542293</v>
      </c>
      <c r="I42" s="206">
        <v>271.38767252118583</v>
      </c>
      <c r="J42" s="221">
        <f>I42-I16</f>
        <v>0.36745151060108583</v>
      </c>
      <c r="K42" s="671" t="s">
        <v>456</v>
      </c>
      <c r="L42" s="672"/>
      <c r="M42" s="189"/>
      <c r="N42" s="178"/>
      <c r="O42" s="178"/>
      <c r="P42" s="423"/>
      <c r="Q42" s="423"/>
      <c r="R42" s="178"/>
    </row>
    <row r="43" spans="1:18" ht="15.75" customHeight="1">
      <c r="A43" s="669"/>
      <c r="B43" s="670"/>
      <c r="C43" s="204" t="s">
        <v>211</v>
      </c>
      <c r="D43" s="673" t="s">
        <v>617</v>
      </c>
      <c r="E43" s="672"/>
      <c r="F43" s="672"/>
      <c r="G43" s="201">
        <v>5</v>
      </c>
      <c r="H43" s="205">
        <v>2629.682070014439</v>
      </c>
      <c r="I43" s="206">
        <v>525.93641400288777</v>
      </c>
      <c r="J43" s="221">
        <f>I43-I17</f>
        <v>33.919291159457373</v>
      </c>
      <c r="K43" s="671" t="s">
        <v>555</v>
      </c>
      <c r="L43" s="672"/>
      <c r="M43" s="189"/>
      <c r="N43" s="178"/>
      <c r="O43" s="178"/>
      <c r="P43" s="423"/>
      <c r="Q43" s="423"/>
      <c r="R43" s="178"/>
    </row>
    <row r="44" spans="1:18" s="199" customFormat="1" ht="15.75" customHeight="1">
      <c r="A44" s="667" t="s">
        <v>188</v>
      </c>
      <c r="B44" s="667"/>
      <c r="C44" s="207" t="s">
        <v>47</v>
      </c>
      <c r="D44" s="667" t="s">
        <v>12</v>
      </c>
      <c r="E44" s="668"/>
      <c r="F44" s="668"/>
      <c r="G44" s="207" t="s">
        <v>46</v>
      </c>
      <c r="H44" s="207" t="s">
        <v>385</v>
      </c>
      <c r="I44" s="207" t="s">
        <v>386</v>
      </c>
      <c r="J44" s="160" t="s">
        <v>332</v>
      </c>
      <c r="K44" s="667" t="s">
        <v>51</v>
      </c>
      <c r="L44" s="668"/>
      <c r="M44" s="208"/>
      <c r="N44" s="178"/>
      <c r="O44" s="178"/>
      <c r="P44" s="423"/>
      <c r="Q44" s="423"/>
      <c r="R44" s="178"/>
    </row>
    <row r="45" spans="1:18" ht="15.75" customHeight="1">
      <c r="A45" s="669">
        <v>2</v>
      </c>
      <c r="B45" s="670" t="s">
        <v>155</v>
      </c>
      <c r="C45" s="200">
        <v>1</v>
      </c>
      <c r="D45" s="671" t="s">
        <v>464</v>
      </c>
      <c r="E45" s="672"/>
      <c r="F45" s="672"/>
      <c r="G45" s="200">
        <v>6</v>
      </c>
      <c r="H45" s="202">
        <v>2340.1058081467359</v>
      </c>
      <c r="I45" s="203">
        <v>390.01763469112262</v>
      </c>
      <c r="J45" s="221">
        <f>I45-I20</f>
        <v>-4.040827283319004E-2</v>
      </c>
      <c r="K45" s="671" t="s">
        <v>456</v>
      </c>
      <c r="L45" s="672"/>
      <c r="M45" s="189"/>
      <c r="N45" s="178"/>
      <c r="O45" s="178"/>
      <c r="P45" s="423"/>
      <c r="Q45" s="423"/>
      <c r="R45" s="178"/>
    </row>
    <row r="46" spans="1:18" ht="15.75" customHeight="1">
      <c r="A46" s="669"/>
      <c r="B46" s="670"/>
      <c r="C46" s="200">
        <v>2</v>
      </c>
      <c r="D46" s="671" t="s">
        <v>467</v>
      </c>
      <c r="E46" s="672"/>
      <c r="F46" s="672"/>
      <c r="G46" s="200">
        <v>6</v>
      </c>
      <c r="H46" s="202">
        <v>2339.6700246290989</v>
      </c>
      <c r="I46" s="203">
        <v>389.94500410484972</v>
      </c>
      <c r="J46" s="221">
        <f>I46-I19</f>
        <v>-0.15916483774691415</v>
      </c>
      <c r="K46" s="671" t="s">
        <v>456</v>
      </c>
      <c r="L46" s="672"/>
      <c r="M46" s="189"/>
      <c r="N46" s="178"/>
      <c r="O46" s="178"/>
      <c r="P46" s="423"/>
      <c r="Q46" s="423"/>
      <c r="R46" s="178"/>
    </row>
    <row r="47" spans="1:18" ht="15.75" customHeight="1">
      <c r="A47" s="669"/>
      <c r="B47" s="670"/>
      <c r="C47" s="200">
        <v>3</v>
      </c>
      <c r="D47" s="671" t="s">
        <v>579</v>
      </c>
      <c r="E47" s="672"/>
      <c r="F47" s="672"/>
      <c r="G47" s="200">
        <v>6</v>
      </c>
      <c r="H47" s="202">
        <v>2260.2733959398965</v>
      </c>
      <c r="I47" s="203">
        <v>376.71223265664946</v>
      </c>
      <c r="J47" s="221">
        <f>I47-I22</f>
        <v>0.27621380459822831</v>
      </c>
      <c r="K47" s="671" t="s">
        <v>456</v>
      </c>
      <c r="L47" s="672"/>
      <c r="M47" s="189"/>
      <c r="N47" s="178"/>
      <c r="O47" s="178"/>
      <c r="P47" s="423"/>
      <c r="Q47" s="423"/>
      <c r="R47" s="178"/>
    </row>
    <row r="48" spans="1:18" ht="15.75" customHeight="1">
      <c r="A48" s="669"/>
      <c r="B48" s="670"/>
      <c r="C48" s="200">
        <v>4</v>
      </c>
      <c r="D48" s="671" t="s">
        <v>538</v>
      </c>
      <c r="E48" s="672"/>
      <c r="F48" s="672"/>
      <c r="G48" s="200">
        <v>6</v>
      </c>
      <c r="H48" s="202">
        <v>2259.6392489555301</v>
      </c>
      <c r="I48" s="203">
        <v>376.60654149258829</v>
      </c>
      <c r="J48" s="221">
        <f>I48-I21</f>
        <v>0.13268967873040083</v>
      </c>
      <c r="K48" s="671" t="s">
        <v>456</v>
      </c>
      <c r="L48" s="672"/>
      <c r="M48" s="189"/>
      <c r="O48" s="178"/>
      <c r="P48" s="423"/>
      <c r="Q48" s="423"/>
      <c r="R48" s="178"/>
    </row>
    <row r="49" spans="1:18" ht="15.75" customHeight="1">
      <c r="A49" s="669"/>
      <c r="B49" s="670"/>
      <c r="C49" s="200">
        <v>5</v>
      </c>
      <c r="D49" s="671" t="s">
        <v>348</v>
      </c>
      <c r="E49" s="672"/>
      <c r="F49" s="672"/>
      <c r="G49" s="200">
        <v>11</v>
      </c>
      <c r="H49" s="202">
        <v>3183.0783101723177</v>
      </c>
      <c r="I49" s="203">
        <v>289.37075547021067</v>
      </c>
      <c r="J49" s="221">
        <f>I49-I28</f>
        <v>3.2511060060642194E-2</v>
      </c>
      <c r="K49" s="671" t="s">
        <v>456</v>
      </c>
      <c r="L49" s="672"/>
      <c r="M49" s="189"/>
      <c r="N49" s="178"/>
      <c r="O49" s="178"/>
      <c r="P49" s="423"/>
      <c r="Q49" s="423"/>
      <c r="R49" s="178"/>
    </row>
    <row r="50" spans="1:18" ht="15.75" customHeight="1">
      <c r="A50" s="669"/>
      <c r="B50" s="670"/>
      <c r="C50" s="204" t="s">
        <v>204</v>
      </c>
      <c r="D50" s="671" t="s">
        <v>655</v>
      </c>
      <c r="E50" s="672"/>
      <c r="F50" s="672"/>
      <c r="G50" s="200">
        <v>12</v>
      </c>
      <c r="H50" s="202">
        <v>3099.8195967013266</v>
      </c>
      <c r="I50" s="203">
        <v>258.31829972511053</v>
      </c>
      <c r="J50" s="221"/>
      <c r="K50" s="671" t="s">
        <v>635</v>
      </c>
      <c r="L50" s="672"/>
      <c r="M50" s="189"/>
      <c r="N50" s="178"/>
      <c r="O50" s="178"/>
      <c r="P50" s="423"/>
      <c r="Q50" s="423"/>
      <c r="R50" s="178"/>
    </row>
    <row r="51" spans="1:18" ht="15.75" customHeight="1">
      <c r="A51" s="669"/>
      <c r="B51" s="670"/>
      <c r="C51" s="204" t="s">
        <v>209</v>
      </c>
      <c r="D51" s="671" t="s">
        <v>654</v>
      </c>
      <c r="E51" s="672"/>
      <c r="F51" s="672"/>
      <c r="G51" s="200">
        <v>12</v>
      </c>
      <c r="H51" s="202">
        <v>3100.0297565262649</v>
      </c>
      <c r="I51" s="203">
        <v>258.33581304385541</v>
      </c>
      <c r="J51" s="221"/>
      <c r="K51" s="671" t="s">
        <v>635</v>
      </c>
      <c r="L51" s="672"/>
      <c r="M51" s="189"/>
      <c r="N51" s="178"/>
      <c r="O51" s="178"/>
      <c r="P51" s="423"/>
      <c r="Q51" s="423"/>
      <c r="R51" s="178"/>
    </row>
    <row r="52" spans="1:18" ht="15.75" customHeight="1">
      <c r="A52" s="669"/>
      <c r="B52" s="670"/>
      <c r="C52" s="204" t="s">
        <v>205</v>
      </c>
      <c r="D52" s="671" t="s">
        <v>351</v>
      </c>
      <c r="E52" s="672"/>
      <c r="F52" s="672"/>
      <c r="G52" s="200">
        <v>11</v>
      </c>
      <c r="H52" s="202">
        <v>3182.5606165082158</v>
      </c>
      <c r="I52" s="203">
        <v>289.3236924098378</v>
      </c>
      <c r="J52" s="221">
        <f>I52-I23</f>
        <v>-8.1200655513328002E-2</v>
      </c>
      <c r="K52" s="671" t="s">
        <v>456</v>
      </c>
      <c r="L52" s="672"/>
      <c r="M52" s="189"/>
      <c r="N52" s="178"/>
      <c r="O52" s="178"/>
      <c r="P52" s="423"/>
      <c r="Q52" s="423"/>
      <c r="R52" s="178"/>
    </row>
    <row r="53" spans="1:18" ht="15.75" customHeight="1">
      <c r="A53" s="669"/>
      <c r="B53" s="670"/>
      <c r="C53" s="204" t="s">
        <v>210</v>
      </c>
      <c r="D53" s="671"/>
      <c r="E53" s="672"/>
      <c r="F53" s="672"/>
      <c r="G53" s="200"/>
      <c r="H53" s="202"/>
      <c r="I53" s="203"/>
      <c r="J53" s="221"/>
      <c r="K53" s="671"/>
      <c r="L53" s="672"/>
      <c r="M53" s="189"/>
      <c r="N53" s="178"/>
      <c r="O53" s="178"/>
      <c r="P53" s="423"/>
      <c r="Q53" s="423"/>
      <c r="R53" s="178"/>
    </row>
    <row r="54" spans="1:18" ht="15.75" customHeight="1">
      <c r="A54" s="669"/>
      <c r="B54" s="670"/>
      <c r="C54" s="204" t="s">
        <v>211</v>
      </c>
      <c r="D54" s="671"/>
      <c r="E54" s="672"/>
      <c r="F54" s="672"/>
      <c r="G54" s="200"/>
      <c r="H54" s="202"/>
      <c r="I54" s="203"/>
      <c r="J54" s="221"/>
      <c r="K54" s="671"/>
      <c r="L54" s="672"/>
      <c r="M54" s="189"/>
      <c r="N54" s="178"/>
      <c r="O54" s="178"/>
      <c r="P54" s="423"/>
      <c r="Q54" s="423"/>
      <c r="R54" s="178"/>
    </row>
    <row r="55" spans="1:18" ht="15.75" customHeight="1">
      <c r="A55" s="674" t="s">
        <v>721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  <c r="M55" s="189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78" customFormat="1" ht="15.75" customHeight="1">
      <c r="A57" s="669" t="s">
        <v>162</v>
      </c>
      <c r="B57" s="191">
        <v>1</v>
      </c>
      <c r="C57" s="191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ht="16.350000000000001" customHeight="1">
      <c r="A58" s="669"/>
      <c r="B58" s="194" t="s">
        <v>206</v>
      </c>
      <c r="C58" s="194" t="s">
        <v>155</v>
      </c>
      <c r="D58" s="195" t="s">
        <v>207</v>
      </c>
      <c r="E58" s="195" t="s">
        <v>156</v>
      </c>
      <c r="F58" s="195" t="s">
        <v>355</v>
      </c>
      <c r="G58" s="196" t="s">
        <v>136</v>
      </c>
      <c r="H58" s="197" t="s">
        <v>208</v>
      </c>
      <c r="I58" s="196" t="s">
        <v>384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78" customFormat="1" ht="15.75" customHeight="1">
      <c r="A59" s="670" t="s">
        <v>188</v>
      </c>
      <c r="B59" s="670"/>
      <c r="C59" s="160" t="s">
        <v>47</v>
      </c>
      <c r="D59" s="670" t="s">
        <v>12</v>
      </c>
      <c r="E59" s="675"/>
      <c r="F59" s="675"/>
      <c r="G59" s="160" t="s">
        <v>46</v>
      </c>
      <c r="H59" s="160" t="s">
        <v>385</v>
      </c>
      <c r="I59" s="160" t="s">
        <v>386</v>
      </c>
      <c r="J59" s="160" t="s">
        <v>332</v>
      </c>
      <c r="K59" s="670" t="s">
        <v>51</v>
      </c>
      <c r="L59" s="675"/>
      <c r="M59" s="193"/>
      <c r="N59" s="189"/>
      <c r="P59" s="423"/>
      <c r="Q59" s="423"/>
    </row>
    <row r="60" spans="1:18" ht="15.75" customHeight="1">
      <c r="A60" s="669">
        <v>1</v>
      </c>
      <c r="B60" s="670" t="s">
        <v>387</v>
      </c>
      <c r="C60" s="200">
        <v>1</v>
      </c>
      <c r="D60" s="671" t="s">
        <v>411</v>
      </c>
      <c r="E60" s="672"/>
      <c r="F60" s="672"/>
      <c r="G60" s="200">
        <v>3</v>
      </c>
      <c r="H60" s="202">
        <v>3182.284062288426</v>
      </c>
      <c r="I60" s="203">
        <v>1060.761354096142</v>
      </c>
      <c r="J60" s="221">
        <f>I60-I35</f>
        <v>0.94130460422752549</v>
      </c>
      <c r="K60" s="671" t="s">
        <v>456</v>
      </c>
      <c r="L60" s="672"/>
      <c r="O60" s="178"/>
      <c r="P60" s="423"/>
      <c r="Q60" s="423"/>
      <c r="R60" s="178"/>
    </row>
    <row r="61" spans="1:18" ht="15.75" customHeight="1">
      <c r="A61" s="669"/>
      <c r="B61" s="670"/>
      <c r="C61" s="200">
        <v>2</v>
      </c>
      <c r="D61" s="671" t="s">
        <v>410</v>
      </c>
      <c r="E61" s="672"/>
      <c r="F61" s="672"/>
      <c r="G61" s="200">
        <v>3</v>
      </c>
      <c r="H61" s="202">
        <v>3179.7403161348161</v>
      </c>
      <c r="I61" s="203">
        <v>1059.9134387116057</v>
      </c>
      <c r="J61" s="221">
        <f>I61-I36</f>
        <v>0.25054071884960649</v>
      </c>
      <c r="K61" s="671" t="s">
        <v>456</v>
      </c>
      <c r="L61" s="672"/>
      <c r="N61" s="178"/>
      <c r="O61" s="178"/>
      <c r="P61" s="423"/>
      <c r="Q61" s="423"/>
      <c r="R61" s="178"/>
    </row>
    <row r="62" spans="1:18" ht="15.75" customHeight="1">
      <c r="A62" s="669"/>
      <c r="B62" s="670"/>
      <c r="C62" s="200">
        <v>3</v>
      </c>
      <c r="D62" s="671" t="s">
        <v>463</v>
      </c>
      <c r="E62" s="672"/>
      <c r="F62" s="672"/>
      <c r="G62" s="200">
        <v>3</v>
      </c>
      <c r="H62" s="202">
        <v>3178.0810714285703</v>
      </c>
      <c r="I62" s="203">
        <v>1059.3603571428571</v>
      </c>
      <c r="J62" s="221">
        <f>I62-I34</f>
        <v>-0.91272039298951313</v>
      </c>
      <c r="K62" s="671" t="s">
        <v>456</v>
      </c>
      <c r="L62" s="672"/>
      <c r="N62" s="178"/>
      <c r="O62" s="178"/>
      <c r="P62" s="423"/>
      <c r="Q62" s="423"/>
      <c r="R62" s="178"/>
    </row>
    <row r="63" spans="1:18" ht="15.75" customHeight="1">
      <c r="A63" s="669"/>
      <c r="B63" s="670"/>
      <c r="C63" s="200">
        <v>4</v>
      </c>
      <c r="D63" s="671" t="s">
        <v>406</v>
      </c>
      <c r="E63" s="672"/>
      <c r="F63" s="672"/>
      <c r="G63" s="200">
        <v>3</v>
      </c>
      <c r="H63" s="202">
        <v>3177.6335756551148</v>
      </c>
      <c r="I63" s="203">
        <v>1059.2111918850383</v>
      </c>
      <c r="J63" s="221">
        <f>I63-I37</f>
        <v>-0.34403584162600964</v>
      </c>
      <c r="K63" s="671" t="s">
        <v>456</v>
      </c>
      <c r="L63" s="672"/>
      <c r="N63" s="178"/>
      <c r="O63" s="178"/>
      <c r="P63" s="423"/>
      <c r="Q63" s="423"/>
      <c r="R63" s="178"/>
    </row>
    <row r="64" spans="1:18" ht="15.75" customHeight="1">
      <c r="A64" s="669"/>
      <c r="B64" s="670"/>
      <c r="C64" s="200">
        <v>5</v>
      </c>
      <c r="D64" s="671" t="s">
        <v>401</v>
      </c>
      <c r="E64" s="672"/>
      <c r="F64" s="672"/>
      <c r="G64" s="200">
        <v>3</v>
      </c>
      <c r="H64" s="202">
        <v>3176.5846153846169</v>
      </c>
      <c r="I64" s="203">
        <v>1058.8615384615391</v>
      </c>
      <c r="J64" s="221">
        <f>I64-I38</f>
        <v>-0.68353979257449282</v>
      </c>
      <c r="K64" s="671" t="s">
        <v>456</v>
      </c>
      <c r="L64" s="672"/>
      <c r="N64" s="178"/>
      <c r="O64" s="178"/>
      <c r="P64" s="423"/>
      <c r="Q64" s="423"/>
      <c r="R64" s="178"/>
    </row>
    <row r="65" spans="1:18" ht="15.75" customHeight="1">
      <c r="A65" s="669"/>
      <c r="B65" s="670"/>
      <c r="C65" s="204" t="s">
        <v>204</v>
      </c>
      <c r="D65" s="672" t="s">
        <v>584</v>
      </c>
      <c r="E65" s="672"/>
      <c r="F65" s="672"/>
      <c r="G65" s="201">
        <v>13</v>
      </c>
      <c r="H65" s="205">
        <v>3258.8165928223689</v>
      </c>
      <c r="I65" s="206">
        <v>250.67819944787453</v>
      </c>
      <c r="J65" s="221">
        <f>I65-I39</f>
        <v>0.38132198892321867</v>
      </c>
      <c r="K65" s="671" t="s">
        <v>456</v>
      </c>
      <c r="L65" s="672"/>
      <c r="N65" s="178"/>
      <c r="O65" s="178"/>
      <c r="P65" s="423"/>
      <c r="Q65" s="423"/>
      <c r="R65" s="178"/>
    </row>
    <row r="66" spans="1:18" ht="15.75" customHeight="1">
      <c r="A66" s="669"/>
      <c r="B66" s="670"/>
      <c r="C66" s="204" t="s">
        <v>209</v>
      </c>
      <c r="D66" s="672" t="s">
        <v>468</v>
      </c>
      <c r="E66" s="672"/>
      <c r="F66" s="672"/>
      <c r="G66" s="201">
        <v>12</v>
      </c>
      <c r="H66" s="205">
        <v>3127.8749590200227</v>
      </c>
      <c r="I66" s="206">
        <v>260.6562465850019</v>
      </c>
      <c r="J66" s="221">
        <f>I66-I41</f>
        <v>0.15553300815031434</v>
      </c>
      <c r="K66" s="671" t="s">
        <v>456</v>
      </c>
      <c r="L66" s="672"/>
      <c r="N66" s="178"/>
      <c r="O66" s="178"/>
      <c r="P66" s="423"/>
      <c r="Q66" s="423"/>
      <c r="R66" s="178"/>
    </row>
    <row r="67" spans="1:18" ht="15.75" customHeight="1">
      <c r="A67" s="669"/>
      <c r="B67" s="670"/>
      <c r="C67" s="204" t="s">
        <v>205</v>
      </c>
      <c r="D67" s="672" t="s">
        <v>471</v>
      </c>
      <c r="E67" s="672"/>
      <c r="F67" s="672"/>
      <c r="G67" s="201">
        <v>12</v>
      </c>
      <c r="H67" s="205">
        <v>3128.2037336326098</v>
      </c>
      <c r="I67" s="206">
        <v>260.68364446938409</v>
      </c>
      <c r="J67" s="221">
        <f>I67-I40</f>
        <v>0.22671505309807571</v>
      </c>
      <c r="K67" s="671" t="s">
        <v>456</v>
      </c>
      <c r="L67" s="672"/>
      <c r="N67" s="178"/>
      <c r="O67" s="178"/>
      <c r="P67" s="423"/>
      <c r="Q67" s="423"/>
      <c r="R67" s="178"/>
    </row>
    <row r="68" spans="1:18" ht="15.75" customHeight="1">
      <c r="A68" s="669"/>
      <c r="B68" s="670"/>
      <c r="C68" s="204" t="s">
        <v>210</v>
      </c>
      <c r="D68" s="672" t="s">
        <v>551</v>
      </c>
      <c r="E68" s="672"/>
      <c r="F68" s="672"/>
      <c r="G68" s="201">
        <v>12</v>
      </c>
      <c r="H68" s="205">
        <v>3254.9700726392598</v>
      </c>
      <c r="I68" s="206">
        <v>271.24750605327165</v>
      </c>
      <c r="J68" s="221">
        <f>I68-I42</f>
        <v>-0.14016646791418452</v>
      </c>
      <c r="K68" s="671" t="s">
        <v>456</v>
      </c>
      <c r="L68" s="672"/>
      <c r="M68" s="189"/>
      <c r="N68" s="178"/>
      <c r="O68" s="178"/>
      <c r="P68" s="423"/>
      <c r="Q68" s="423"/>
      <c r="R68" s="178"/>
    </row>
    <row r="69" spans="1:18" ht="15.75" customHeight="1">
      <c r="A69" s="669"/>
      <c r="B69" s="670"/>
      <c r="C69" s="204" t="s">
        <v>211</v>
      </c>
      <c r="D69" s="672" t="s">
        <v>617</v>
      </c>
      <c r="E69" s="672"/>
      <c r="F69" s="672"/>
      <c r="G69" s="201">
        <v>5</v>
      </c>
      <c r="H69" s="205">
        <v>2683.4571428571421</v>
      </c>
      <c r="I69" s="206">
        <v>536.69142857142833</v>
      </c>
      <c r="J69" s="221">
        <f>I69-I43</f>
        <v>10.75501456854056</v>
      </c>
      <c r="K69" s="671" t="s">
        <v>555</v>
      </c>
      <c r="L69" s="672"/>
      <c r="M69" s="189"/>
      <c r="N69" s="178"/>
      <c r="O69" s="178"/>
      <c r="P69" s="423"/>
      <c r="Q69" s="423"/>
      <c r="R69" s="178"/>
    </row>
    <row r="70" spans="1:18" s="199" customFormat="1" ht="15.75" customHeight="1">
      <c r="A70" s="667" t="s">
        <v>188</v>
      </c>
      <c r="B70" s="667"/>
      <c r="C70" s="207" t="s">
        <v>47</v>
      </c>
      <c r="D70" s="667" t="s">
        <v>12</v>
      </c>
      <c r="E70" s="668"/>
      <c r="F70" s="668"/>
      <c r="G70" s="207" t="s">
        <v>46</v>
      </c>
      <c r="H70" s="207" t="s">
        <v>385</v>
      </c>
      <c r="I70" s="207" t="s">
        <v>386</v>
      </c>
      <c r="J70" s="160" t="s">
        <v>332</v>
      </c>
      <c r="K70" s="667" t="s">
        <v>51</v>
      </c>
      <c r="L70" s="668"/>
      <c r="M70" s="208"/>
      <c r="N70" s="178"/>
      <c r="O70" s="178"/>
      <c r="P70" s="423"/>
      <c r="Q70" s="423"/>
      <c r="R70" s="178"/>
    </row>
    <row r="71" spans="1:18" ht="15.75" customHeight="1">
      <c r="A71" s="669">
        <v>2</v>
      </c>
      <c r="B71" s="670" t="s">
        <v>155</v>
      </c>
      <c r="C71" s="200">
        <v>1</v>
      </c>
      <c r="D71" s="671" t="s">
        <v>467</v>
      </c>
      <c r="E71" s="672"/>
      <c r="F71" s="672"/>
      <c r="G71" s="200">
        <v>6</v>
      </c>
      <c r="H71" s="202">
        <v>2340.5536378466591</v>
      </c>
      <c r="I71" s="203">
        <v>390.09227297444323</v>
      </c>
      <c r="J71" s="221">
        <f>I71-I46</f>
        <v>0.14726886959351759</v>
      </c>
      <c r="K71" s="671" t="s">
        <v>456</v>
      </c>
      <c r="L71" s="672"/>
      <c r="M71" s="189"/>
      <c r="N71" s="178"/>
      <c r="O71" s="178"/>
      <c r="P71" s="423"/>
      <c r="Q71" s="423"/>
      <c r="R71" s="178"/>
    </row>
    <row r="72" spans="1:18" ht="15.75" customHeight="1">
      <c r="A72" s="669"/>
      <c r="B72" s="670"/>
      <c r="C72" s="200">
        <v>2</v>
      </c>
      <c r="D72" s="671" t="s">
        <v>464</v>
      </c>
      <c r="E72" s="672"/>
      <c r="F72" s="672"/>
      <c r="G72" s="200">
        <v>6</v>
      </c>
      <c r="H72" s="202">
        <v>2340.0610931883798</v>
      </c>
      <c r="I72" s="203">
        <v>390.01018219806326</v>
      </c>
      <c r="J72" s="221">
        <f>I72-I45</f>
        <v>-7.4524930593611316E-3</v>
      </c>
      <c r="K72" s="671" t="s">
        <v>456</v>
      </c>
      <c r="L72" s="672"/>
      <c r="M72" s="189"/>
      <c r="N72" s="178"/>
      <c r="O72" s="178"/>
      <c r="P72" s="423"/>
      <c r="Q72" s="423"/>
      <c r="R72" s="178"/>
    </row>
    <row r="73" spans="1:18" ht="15.75" customHeight="1">
      <c r="A73" s="669"/>
      <c r="B73" s="670"/>
      <c r="C73" s="200">
        <v>3</v>
      </c>
      <c r="D73" s="671" t="s">
        <v>348</v>
      </c>
      <c r="E73" s="672"/>
      <c r="F73" s="672"/>
      <c r="G73" s="200">
        <v>11</v>
      </c>
      <c r="H73" s="202">
        <v>3183.4383101723179</v>
      </c>
      <c r="I73" s="203">
        <v>289.40348274293802</v>
      </c>
      <c r="J73" s="221">
        <f>I73-I49</f>
        <v>3.2727272727356649E-2</v>
      </c>
      <c r="K73" s="671" t="s">
        <v>456</v>
      </c>
      <c r="L73" s="672"/>
      <c r="M73" s="189"/>
      <c r="N73" s="178"/>
      <c r="O73" s="178"/>
      <c r="P73" s="423"/>
      <c r="Q73" s="423"/>
      <c r="R73" s="178"/>
    </row>
    <row r="74" spans="1:18" ht="15.75" customHeight="1">
      <c r="A74" s="669"/>
      <c r="B74" s="670"/>
      <c r="C74" s="200">
        <v>4</v>
      </c>
      <c r="D74" s="671" t="s">
        <v>655</v>
      </c>
      <c r="E74" s="672"/>
      <c r="F74" s="672"/>
      <c r="G74" s="200">
        <v>12</v>
      </c>
      <c r="H74" s="202">
        <v>3153.3472115643535</v>
      </c>
      <c r="I74" s="203">
        <v>262.77893429702948</v>
      </c>
      <c r="J74" s="221">
        <f>I74-I50</f>
        <v>4.4606345719189449</v>
      </c>
      <c r="K74" s="671" t="s">
        <v>555</v>
      </c>
      <c r="L74" s="672"/>
      <c r="M74" s="189"/>
      <c r="N74" s="178"/>
      <c r="O74" s="178"/>
      <c r="P74" s="423"/>
      <c r="Q74" s="423"/>
      <c r="R74" s="178"/>
    </row>
    <row r="75" spans="1:18" ht="15.75" customHeight="1">
      <c r="A75" s="669"/>
      <c r="B75" s="670"/>
      <c r="C75" s="200">
        <v>5</v>
      </c>
      <c r="D75" s="671" t="s">
        <v>654</v>
      </c>
      <c r="E75" s="672"/>
      <c r="F75" s="672"/>
      <c r="G75" s="200">
        <v>12</v>
      </c>
      <c r="H75" s="202">
        <v>3152.7422319839038</v>
      </c>
      <c r="I75" s="203">
        <v>262.728519331992</v>
      </c>
      <c r="J75" s="221">
        <f>I75-I51</f>
        <v>4.3927062881365941</v>
      </c>
      <c r="K75" s="671" t="s">
        <v>555</v>
      </c>
      <c r="L75" s="672"/>
      <c r="M75" s="189"/>
      <c r="N75" s="178"/>
      <c r="O75" s="178"/>
      <c r="P75" s="423"/>
      <c r="Q75" s="423"/>
      <c r="R75" s="178"/>
    </row>
    <row r="76" spans="1:18" ht="15.75" customHeight="1">
      <c r="A76" s="669"/>
      <c r="B76" s="670"/>
      <c r="C76" s="204" t="s">
        <v>204</v>
      </c>
      <c r="D76" s="671"/>
      <c r="E76" s="672"/>
      <c r="F76" s="672"/>
      <c r="G76" s="200"/>
      <c r="H76" s="202"/>
      <c r="I76" s="203"/>
      <c r="J76" s="221"/>
      <c r="K76" s="671"/>
      <c r="L76" s="672"/>
      <c r="M76" s="189"/>
      <c r="N76" s="178"/>
      <c r="O76" s="178"/>
      <c r="P76" s="423"/>
      <c r="Q76" s="423"/>
      <c r="R76" s="178"/>
    </row>
    <row r="77" spans="1:18" ht="15.75" customHeight="1">
      <c r="A77" s="669"/>
      <c r="B77" s="670"/>
      <c r="C77" s="204" t="s">
        <v>209</v>
      </c>
      <c r="D77" s="671"/>
      <c r="E77" s="672"/>
      <c r="F77" s="672"/>
      <c r="G77" s="200"/>
      <c r="H77" s="202"/>
      <c r="I77" s="203"/>
      <c r="J77" s="221"/>
      <c r="K77" s="671"/>
      <c r="L77" s="672"/>
      <c r="M77" s="189"/>
      <c r="N77" s="178"/>
      <c r="O77" s="178"/>
      <c r="P77" s="423"/>
      <c r="Q77" s="423"/>
      <c r="R77" s="178"/>
    </row>
    <row r="78" spans="1:18" ht="15.75" customHeight="1">
      <c r="A78" s="669"/>
      <c r="B78" s="670"/>
      <c r="C78" s="204" t="s">
        <v>205</v>
      </c>
      <c r="D78" s="671"/>
      <c r="E78" s="672"/>
      <c r="F78" s="672"/>
      <c r="G78" s="200"/>
      <c r="H78" s="202"/>
      <c r="I78" s="203"/>
      <c r="J78" s="221"/>
      <c r="K78" s="671"/>
      <c r="L78" s="672"/>
      <c r="M78" s="189"/>
      <c r="N78" s="178"/>
      <c r="O78" s="178"/>
      <c r="P78" s="423"/>
      <c r="Q78" s="423"/>
      <c r="R78" s="178"/>
    </row>
    <row r="79" spans="1:18" ht="15.75" customHeight="1">
      <c r="A79" s="669"/>
      <c r="B79" s="670"/>
      <c r="C79" s="204" t="s">
        <v>210</v>
      </c>
      <c r="D79" s="671"/>
      <c r="E79" s="672"/>
      <c r="F79" s="672"/>
      <c r="G79" s="200"/>
      <c r="H79" s="202"/>
      <c r="I79" s="203"/>
      <c r="J79" s="200"/>
      <c r="K79" s="671"/>
      <c r="L79" s="672"/>
      <c r="M79" s="189"/>
      <c r="N79" s="178"/>
      <c r="O79" s="178"/>
      <c r="P79" s="423"/>
      <c r="Q79" s="423"/>
      <c r="R79" s="178"/>
    </row>
    <row r="80" spans="1:18" ht="15.75" customHeight="1">
      <c r="A80" s="669"/>
      <c r="B80" s="670"/>
      <c r="C80" s="204" t="s">
        <v>211</v>
      </c>
      <c r="D80" s="671"/>
      <c r="E80" s="672"/>
      <c r="F80" s="672"/>
      <c r="G80" s="200"/>
      <c r="H80" s="202"/>
      <c r="I80" s="203"/>
      <c r="J80" s="200"/>
      <c r="K80" s="671"/>
      <c r="L80" s="672"/>
      <c r="M80" s="189"/>
      <c r="N80" s="178"/>
      <c r="O80" s="178"/>
      <c r="P80" s="423"/>
      <c r="Q80" s="423"/>
      <c r="R80" s="178"/>
    </row>
    <row r="81" spans="1:18" ht="15.75" customHeight="1">
      <c r="A81" s="674" t="s">
        <v>737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  <c r="M81" s="189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78" customFormat="1" ht="15.75" customHeight="1">
      <c r="A83" s="669" t="s">
        <v>162</v>
      </c>
      <c r="B83" s="191">
        <v>1</v>
      </c>
      <c r="C83" s="191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ht="16.350000000000001" customHeight="1">
      <c r="A84" s="669"/>
      <c r="B84" s="194" t="s">
        <v>206</v>
      </c>
      <c r="C84" s="194" t="s">
        <v>155</v>
      </c>
      <c r="D84" s="195" t="s">
        <v>207</v>
      </c>
      <c r="E84" s="195" t="s">
        <v>156</v>
      </c>
      <c r="F84" s="195" t="s">
        <v>355</v>
      </c>
      <c r="G84" s="196" t="s">
        <v>136</v>
      </c>
      <c r="H84" s="197" t="s">
        <v>208</v>
      </c>
      <c r="I84" s="196" t="s">
        <v>384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78" customFormat="1" ht="15.75" customHeight="1">
      <c r="A85" s="670" t="s">
        <v>188</v>
      </c>
      <c r="B85" s="670"/>
      <c r="C85" s="160" t="s">
        <v>47</v>
      </c>
      <c r="D85" s="670" t="s">
        <v>12</v>
      </c>
      <c r="E85" s="675"/>
      <c r="F85" s="675"/>
      <c r="G85" s="160" t="s">
        <v>46</v>
      </c>
      <c r="H85" s="160" t="s">
        <v>385</v>
      </c>
      <c r="I85" s="160" t="s">
        <v>386</v>
      </c>
      <c r="J85" s="160" t="s">
        <v>332</v>
      </c>
      <c r="K85" s="670" t="s">
        <v>51</v>
      </c>
      <c r="L85" s="675"/>
      <c r="M85" s="193"/>
      <c r="N85" s="189"/>
      <c r="P85" s="423"/>
      <c r="Q85" s="423"/>
    </row>
    <row r="86" spans="1:18" ht="15.75" customHeight="1">
      <c r="A86" s="669">
        <v>1</v>
      </c>
      <c r="B86" s="670" t="s">
        <v>387</v>
      </c>
      <c r="C86" s="200">
        <v>1</v>
      </c>
      <c r="D86" s="671" t="s">
        <v>463</v>
      </c>
      <c r="E86" s="672"/>
      <c r="F86" s="672"/>
      <c r="G86" s="200">
        <v>3</v>
      </c>
      <c r="H86" s="202">
        <v>3184.1815791752151</v>
      </c>
      <c r="I86" s="203">
        <v>1061.3938597250715</v>
      </c>
      <c r="J86" s="221">
        <f>I86-I62</f>
        <v>2.0335025822143962</v>
      </c>
      <c r="K86" s="671" t="s">
        <v>456</v>
      </c>
      <c r="L86" s="672"/>
      <c r="O86" s="178"/>
      <c r="P86" s="423"/>
      <c r="Q86" s="423"/>
      <c r="R86" s="178"/>
    </row>
    <row r="87" spans="1:18" ht="15.75" customHeight="1">
      <c r="A87" s="669"/>
      <c r="B87" s="670"/>
      <c r="C87" s="200">
        <v>2</v>
      </c>
      <c r="D87" s="671" t="s">
        <v>410</v>
      </c>
      <c r="E87" s="672"/>
      <c r="F87" s="672"/>
      <c r="G87" s="200">
        <v>3</v>
      </c>
      <c r="H87" s="202">
        <v>3181.3188975386706</v>
      </c>
      <c r="I87" s="203">
        <v>1060.4396325128905</v>
      </c>
      <c r="J87" s="221">
        <f>I87-I61</f>
        <v>0.52619380128476223</v>
      </c>
      <c r="K87" s="671" t="s">
        <v>456</v>
      </c>
      <c r="L87" s="672"/>
      <c r="N87" s="178"/>
      <c r="O87" s="178"/>
      <c r="P87" s="423"/>
      <c r="Q87" s="423"/>
      <c r="R87" s="178"/>
    </row>
    <row r="88" spans="1:18" ht="15.75" customHeight="1">
      <c r="A88" s="669"/>
      <c r="B88" s="670"/>
      <c r="C88" s="200">
        <v>3</v>
      </c>
      <c r="D88" s="671" t="s">
        <v>411</v>
      </c>
      <c r="E88" s="672"/>
      <c r="F88" s="672"/>
      <c r="G88" s="200">
        <v>3</v>
      </c>
      <c r="H88" s="202">
        <v>3181.307478436242</v>
      </c>
      <c r="I88" s="203">
        <v>1060.435826145414</v>
      </c>
      <c r="J88" s="221">
        <f>I88-I60</f>
        <v>-0.3255279507279738</v>
      </c>
      <c r="K88" s="671" t="s">
        <v>456</v>
      </c>
      <c r="L88" s="672"/>
      <c r="N88" s="178"/>
      <c r="O88" s="178"/>
      <c r="P88" s="423"/>
      <c r="Q88" s="423"/>
      <c r="R88" s="178"/>
    </row>
    <row r="89" spans="1:18" ht="15.75" customHeight="1">
      <c r="A89" s="669"/>
      <c r="B89" s="670"/>
      <c r="C89" s="200">
        <v>4</v>
      </c>
      <c r="D89" s="671" t="s">
        <v>402</v>
      </c>
      <c r="E89" s="672"/>
      <c r="F89" s="672"/>
      <c r="G89" s="200">
        <v>3</v>
      </c>
      <c r="H89" s="202">
        <v>3178.067329541751</v>
      </c>
      <c r="I89" s="203">
        <v>1059.3557765139169</v>
      </c>
      <c r="J89" s="221"/>
      <c r="K89" s="671" t="s">
        <v>456</v>
      </c>
      <c r="L89" s="672"/>
      <c r="N89" s="178"/>
      <c r="O89" s="178"/>
      <c r="P89" s="423"/>
      <c r="Q89" s="423"/>
      <c r="R89" s="178"/>
    </row>
    <row r="90" spans="1:18" ht="15.75" customHeight="1">
      <c r="A90" s="669"/>
      <c r="B90" s="670"/>
      <c r="C90" s="200">
        <v>5</v>
      </c>
      <c r="D90" s="671" t="s">
        <v>399</v>
      </c>
      <c r="E90" s="672"/>
      <c r="F90" s="672"/>
      <c r="G90" s="200">
        <v>3</v>
      </c>
      <c r="H90" s="202">
        <v>3177.9916032820506</v>
      </c>
      <c r="I90" s="203">
        <v>1059.3305344273504</v>
      </c>
      <c r="J90" s="221"/>
      <c r="K90" s="671" t="s">
        <v>456</v>
      </c>
      <c r="L90" s="672"/>
      <c r="N90" s="178"/>
      <c r="O90" s="178"/>
      <c r="P90" s="423"/>
      <c r="Q90" s="423"/>
      <c r="R90" s="178"/>
    </row>
    <row r="91" spans="1:18" ht="15.75" customHeight="1">
      <c r="A91" s="669"/>
      <c r="B91" s="670"/>
      <c r="C91" s="204" t="s">
        <v>204</v>
      </c>
      <c r="D91" s="672" t="s">
        <v>584</v>
      </c>
      <c r="E91" s="672"/>
      <c r="F91" s="672"/>
      <c r="G91" s="201">
        <v>13</v>
      </c>
      <c r="H91" s="205">
        <v>3259.7343035735289</v>
      </c>
      <c r="I91" s="206">
        <v>250.74879258257914</v>
      </c>
      <c r="J91" s="221">
        <f>I91-I65</f>
        <v>7.0593134704608929E-2</v>
      </c>
      <c r="K91" s="671" t="s">
        <v>456</v>
      </c>
      <c r="L91" s="672"/>
      <c r="N91" s="178"/>
      <c r="O91" s="178"/>
      <c r="P91" s="423"/>
      <c r="Q91" s="423"/>
      <c r="R91" s="178"/>
    </row>
    <row r="92" spans="1:18" ht="15.75" customHeight="1">
      <c r="A92" s="669"/>
      <c r="B92" s="670"/>
      <c r="C92" s="204" t="s">
        <v>209</v>
      </c>
      <c r="D92" s="672" t="s">
        <v>471</v>
      </c>
      <c r="E92" s="672"/>
      <c r="F92" s="672"/>
      <c r="G92" s="201">
        <v>12</v>
      </c>
      <c r="H92" s="205">
        <v>3124.6261742305774</v>
      </c>
      <c r="I92" s="206">
        <v>260.38551451921478</v>
      </c>
      <c r="J92" s="221">
        <f>I92-I67</f>
        <v>-0.29812995016931154</v>
      </c>
      <c r="K92" s="671" t="s">
        <v>456</v>
      </c>
      <c r="L92" s="672"/>
      <c r="N92" s="178"/>
      <c r="O92" s="178"/>
      <c r="P92" s="423"/>
      <c r="Q92" s="423"/>
      <c r="R92" s="178"/>
    </row>
    <row r="93" spans="1:18" ht="15.75" customHeight="1">
      <c r="A93" s="669"/>
      <c r="B93" s="670"/>
      <c r="C93" s="204" t="s">
        <v>205</v>
      </c>
      <c r="D93" s="672" t="s">
        <v>468</v>
      </c>
      <c r="E93" s="672"/>
      <c r="F93" s="672"/>
      <c r="G93" s="201">
        <v>12</v>
      </c>
      <c r="H93" s="205">
        <v>3125.2166570546951</v>
      </c>
      <c r="I93" s="206">
        <v>260.43472142122459</v>
      </c>
      <c r="J93" s="221">
        <f>I93-I66</f>
        <v>-0.2215251637773008</v>
      </c>
      <c r="K93" s="671" t="s">
        <v>456</v>
      </c>
      <c r="L93" s="672"/>
      <c r="N93" s="178"/>
      <c r="O93" s="178"/>
      <c r="P93" s="423"/>
      <c r="Q93" s="423"/>
      <c r="R93" s="178"/>
    </row>
    <row r="94" spans="1:18" ht="15.75" customHeight="1">
      <c r="A94" s="669"/>
      <c r="B94" s="670"/>
      <c r="C94" s="204" t="s">
        <v>210</v>
      </c>
      <c r="D94" s="672" t="s">
        <v>551</v>
      </c>
      <c r="E94" s="672"/>
      <c r="F94" s="672"/>
      <c r="G94" s="201">
        <v>12</v>
      </c>
      <c r="H94" s="205">
        <v>3258.0067281054116</v>
      </c>
      <c r="I94" s="206">
        <v>271.50056067545103</v>
      </c>
      <c r="J94" s="221">
        <f>I94-I68</f>
        <v>0.25305462217937702</v>
      </c>
      <c r="K94" s="671" t="s">
        <v>456</v>
      </c>
      <c r="L94" s="672"/>
      <c r="M94" s="189"/>
      <c r="N94" s="178"/>
      <c r="O94" s="178"/>
      <c r="P94" s="423"/>
      <c r="Q94" s="423"/>
      <c r="R94" s="178"/>
    </row>
    <row r="95" spans="1:18" ht="15.75" customHeight="1">
      <c r="A95" s="669"/>
      <c r="B95" s="670"/>
      <c r="C95" s="204" t="s">
        <v>211</v>
      </c>
      <c r="D95" s="672" t="s">
        <v>617</v>
      </c>
      <c r="E95" s="672"/>
      <c r="F95" s="672"/>
      <c r="G95" s="201">
        <v>5</v>
      </c>
      <c r="H95" s="205">
        <v>2684.9999999999986</v>
      </c>
      <c r="I95" s="206">
        <v>536.99999999999977</v>
      </c>
      <c r="J95" s="221">
        <f>I95-I69</f>
        <v>0.30857142857144026</v>
      </c>
      <c r="K95" s="671" t="s">
        <v>456</v>
      </c>
      <c r="L95" s="672"/>
      <c r="M95" s="189"/>
      <c r="N95" s="178"/>
      <c r="O95" s="178"/>
      <c r="P95" s="423"/>
      <c r="Q95" s="423"/>
      <c r="R95" s="178"/>
    </row>
    <row r="96" spans="1:18" s="199" customFormat="1" ht="15.75" customHeight="1">
      <c r="A96" s="667" t="s">
        <v>188</v>
      </c>
      <c r="B96" s="667"/>
      <c r="C96" s="207" t="s">
        <v>47</v>
      </c>
      <c r="D96" s="667" t="s">
        <v>12</v>
      </c>
      <c r="E96" s="668"/>
      <c r="F96" s="668"/>
      <c r="G96" s="207" t="s">
        <v>46</v>
      </c>
      <c r="H96" s="207" t="s">
        <v>385</v>
      </c>
      <c r="I96" s="207" t="s">
        <v>386</v>
      </c>
      <c r="J96" s="160" t="s">
        <v>332</v>
      </c>
      <c r="K96" s="667" t="s">
        <v>51</v>
      </c>
      <c r="L96" s="668"/>
      <c r="M96" s="208"/>
      <c r="N96" s="178"/>
      <c r="O96" s="178"/>
      <c r="P96" s="423"/>
      <c r="Q96" s="423"/>
      <c r="R96" s="178"/>
    </row>
    <row r="97" spans="1:18" ht="15.75" customHeight="1">
      <c r="A97" s="669">
        <v>2</v>
      </c>
      <c r="B97" s="670" t="s">
        <v>155</v>
      </c>
      <c r="C97" s="200">
        <v>1</v>
      </c>
      <c r="D97" s="671" t="s">
        <v>464</v>
      </c>
      <c r="E97" s="672"/>
      <c r="F97" s="672"/>
      <c r="G97" s="200">
        <v>6</v>
      </c>
      <c r="H97" s="202">
        <v>2340.3507060739344</v>
      </c>
      <c r="I97" s="203">
        <v>390.05845101232234</v>
      </c>
      <c r="J97" s="221">
        <f>I97-I72</f>
        <v>4.8268814259074588E-2</v>
      </c>
      <c r="K97" s="671" t="s">
        <v>456</v>
      </c>
      <c r="L97" s="672"/>
      <c r="M97" s="189"/>
      <c r="N97" s="178"/>
      <c r="O97" s="178"/>
      <c r="P97" s="423"/>
      <c r="Q97" s="423"/>
      <c r="R97" s="178"/>
    </row>
    <row r="98" spans="1:18" ht="15.75" customHeight="1">
      <c r="A98" s="669"/>
      <c r="B98" s="670"/>
      <c r="C98" s="200">
        <v>2</v>
      </c>
      <c r="D98" s="671" t="s">
        <v>467</v>
      </c>
      <c r="E98" s="672"/>
      <c r="F98" s="672"/>
      <c r="G98" s="200">
        <v>6</v>
      </c>
      <c r="H98" s="202">
        <v>2339.7373702506779</v>
      </c>
      <c r="I98" s="203">
        <v>389.95622837511303</v>
      </c>
      <c r="J98" s="221">
        <f>I98-I71</f>
        <v>-0.13604459933020507</v>
      </c>
      <c r="K98" s="671" t="s">
        <v>456</v>
      </c>
      <c r="L98" s="672"/>
      <c r="M98" s="189"/>
      <c r="N98" s="178"/>
      <c r="O98" s="178"/>
      <c r="P98" s="423"/>
      <c r="Q98" s="423"/>
      <c r="R98" s="178"/>
    </row>
    <row r="99" spans="1:18" ht="15.75" customHeight="1">
      <c r="A99" s="669"/>
      <c r="B99" s="670"/>
      <c r="C99" s="200">
        <v>3</v>
      </c>
      <c r="D99" s="671" t="s">
        <v>348</v>
      </c>
      <c r="E99" s="672"/>
      <c r="F99" s="672"/>
      <c r="G99" s="200">
        <v>11</v>
      </c>
      <c r="H99" s="202">
        <v>3182.0346784134504</v>
      </c>
      <c r="I99" s="203">
        <v>289.27587985576821</v>
      </c>
      <c r="J99" s="221">
        <f>I99-I73</f>
        <v>-0.12760288716981449</v>
      </c>
      <c r="K99" s="671" t="s">
        <v>456</v>
      </c>
      <c r="L99" s="672"/>
      <c r="M99" s="189"/>
      <c r="N99" s="178"/>
      <c r="O99" s="178"/>
      <c r="P99" s="423"/>
      <c r="Q99" s="423"/>
      <c r="R99" s="178"/>
    </row>
    <row r="100" spans="1:18" ht="15.75" customHeight="1">
      <c r="A100" s="669"/>
      <c r="B100" s="670"/>
      <c r="C100" s="200">
        <v>4</v>
      </c>
      <c r="D100" s="671" t="s">
        <v>655</v>
      </c>
      <c r="E100" s="672"/>
      <c r="F100" s="672"/>
      <c r="G100" s="200">
        <v>12</v>
      </c>
      <c r="H100" s="202">
        <v>3155.5528535945841</v>
      </c>
      <c r="I100" s="203">
        <v>262.96273779954873</v>
      </c>
      <c r="J100" s="221">
        <f>I100-I74</f>
        <v>0.18380350251925393</v>
      </c>
      <c r="K100" s="671" t="s">
        <v>456</v>
      </c>
      <c r="L100" s="672"/>
      <c r="M100" s="189"/>
      <c r="N100" s="178"/>
      <c r="O100" s="178"/>
      <c r="P100" s="423"/>
      <c r="Q100" s="423"/>
      <c r="R100" s="178"/>
    </row>
    <row r="101" spans="1:18" ht="15.75" customHeight="1">
      <c r="A101" s="669"/>
      <c r="B101" s="670"/>
      <c r="C101" s="200">
        <v>5</v>
      </c>
      <c r="D101" s="671" t="s">
        <v>654</v>
      </c>
      <c r="E101" s="672"/>
      <c r="F101" s="672"/>
      <c r="G101" s="200">
        <v>12</v>
      </c>
      <c r="H101" s="202">
        <v>3154.5053793724474</v>
      </c>
      <c r="I101" s="203">
        <v>262.87544828103734</v>
      </c>
      <c r="J101" s="221">
        <f>I101-I75</f>
        <v>0.14692894904533205</v>
      </c>
      <c r="K101" s="671" t="s">
        <v>456</v>
      </c>
      <c r="L101" s="672"/>
      <c r="M101" s="189"/>
      <c r="N101" s="178"/>
      <c r="O101" s="178"/>
      <c r="P101" s="423"/>
      <c r="Q101" s="423"/>
      <c r="R101" s="178"/>
    </row>
    <row r="102" spans="1:18" ht="15.75" customHeight="1">
      <c r="A102" s="669"/>
      <c r="B102" s="670"/>
      <c r="C102" s="204" t="s">
        <v>204</v>
      </c>
      <c r="D102" s="671"/>
      <c r="E102" s="672"/>
      <c r="F102" s="672"/>
      <c r="G102" s="200"/>
      <c r="H102" s="202"/>
      <c r="I102" s="203"/>
      <c r="J102" s="221"/>
      <c r="K102" s="671"/>
      <c r="L102" s="672"/>
      <c r="M102" s="189"/>
      <c r="N102" s="178"/>
      <c r="O102" s="178"/>
      <c r="P102" s="423"/>
      <c r="Q102" s="423"/>
      <c r="R102" s="178"/>
    </row>
    <row r="103" spans="1:18" ht="15.75" customHeight="1">
      <c r="A103" s="669"/>
      <c r="B103" s="670"/>
      <c r="C103" s="204" t="s">
        <v>209</v>
      </c>
      <c r="D103" s="671"/>
      <c r="E103" s="672"/>
      <c r="F103" s="672"/>
      <c r="G103" s="200"/>
      <c r="H103" s="202"/>
      <c r="I103" s="203"/>
      <c r="J103" s="221"/>
      <c r="K103" s="671"/>
      <c r="L103" s="672"/>
      <c r="M103" s="189"/>
      <c r="N103" s="178"/>
      <c r="O103" s="178"/>
      <c r="P103" s="423"/>
      <c r="Q103" s="423"/>
      <c r="R103" s="178"/>
    </row>
    <row r="104" spans="1:18" ht="15.75" customHeight="1">
      <c r="A104" s="669"/>
      <c r="B104" s="670"/>
      <c r="C104" s="204" t="s">
        <v>205</v>
      </c>
      <c r="D104" s="671"/>
      <c r="E104" s="672"/>
      <c r="F104" s="672"/>
      <c r="G104" s="200"/>
      <c r="H104" s="202"/>
      <c r="I104" s="203"/>
      <c r="J104" s="221"/>
      <c r="K104" s="671"/>
      <c r="L104" s="672"/>
      <c r="M104" s="189"/>
      <c r="N104" s="178"/>
      <c r="O104" s="178"/>
      <c r="P104" s="423"/>
      <c r="Q104" s="423"/>
      <c r="R104" s="178"/>
    </row>
    <row r="105" spans="1:18" ht="15.75" customHeight="1">
      <c r="A105" s="669"/>
      <c r="B105" s="670"/>
      <c r="C105" s="204" t="s">
        <v>210</v>
      </c>
      <c r="D105" s="671"/>
      <c r="E105" s="672"/>
      <c r="F105" s="672"/>
      <c r="G105" s="200"/>
      <c r="H105" s="202"/>
      <c r="I105" s="203"/>
      <c r="J105" s="200"/>
      <c r="K105" s="671"/>
      <c r="L105" s="672"/>
      <c r="M105" s="189"/>
      <c r="N105" s="178"/>
      <c r="O105" s="178"/>
      <c r="P105" s="423"/>
      <c r="Q105" s="423"/>
      <c r="R105" s="178"/>
    </row>
    <row r="106" spans="1:18" ht="15.75" customHeight="1">
      <c r="A106" s="669"/>
      <c r="B106" s="670"/>
      <c r="C106" s="204" t="s">
        <v>211</v>
      </c>
      <c r="D106" s="671"/>
      <c r="E106" s="672"/>
      <c r="F106" s="672"/>
      <c r="G106" s="200"/>
      <c r="H106" s="202"/>
      <c r="I106" s="203"/>
      <c r="J106" s="200"/>
      <c r="K106" s="671"/>
      <c r="L106" s="672"/>
      <c r="M106" s="189"/>
      <c r="N106" s="178"/>
      <c r="O106" s="178"/>
      <c r="P106" s="423"/>
      <c r="Q106" s="423"/>
      <c r="R106" s="178"/>
    </row>
    <row r="107" spans="1:18" ht="15.75" customHeight="1">
      <c r="A107" s="674" t="s">
        <v>772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  <c r="M107" s="189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78" customFormat="1" ht="15.75" customHeight="1">
      <c r="A109" s="669" t="s">
        <v>162</v>
      </c>
      <c r="B109" s="191">
        <v>1</v>
      </c>
      <c r="C109" s="191">
        <v>2</v>
      </c>
      <c r="D109" s="170">
        <v>3</v>
      </c>
      <c r="E109" s="170">
        <v>4</v>
      </c>
      <c r="F109" s="170">
        <v>5</v>
      </c>
      <c r="G109" s="170">
        <v>6</v>
      </c>
      <c r="H109" s="170">
        <v>7</v>
      </c>
      <c r="I109" s="170">
        <v>8</v>
      </c>
      <c r="J109" s="170">
        <v>9</v>
      </c>
      <c r="K109" s="192"/>
      <c r="L109" s="192"/>
      <c r="M109" s="193"/>
    </row>
    <row r="110" spans="1:18" ht="16.350000000000001" customHeight="1">
      <c r="A110" s="669"/>
      <c r="B110" s="194" t="s">
        <v>206</v>
      </c>
      <c r="C110" s="194" t="s">
        <v>155</v>
      </c>
      <c r="D110" s="195" t="s">
        <v>207</v>
      </c>
      <c r="E110" s="195" t="s">
        <v>156</v>
      </c>
      <c r="F110" s="195" t="s">
        <v>355</v>
      </c>
      <c r="G110" s="196" t="s">
        <v>136</v>
      </c>
      <c r="H110" s="197" t="s">
        <v>208</v>
      </c>
      <c r="I110" s="196" t="s">
        <v>384</v>
      </c>
      <c r="J110" s="196" t="s">
        <v>142</v>
      </c>
      <c r="K110" s="198"/>
      <c r="L110" s="198"/>
      <c r="N110" s="199"/>
      <c r="O110" s="199"/>
      <c r="P110" s="199"/>
      <c r="Q110" s="199"/>
      <c r="R110" s="199"/>
    </row>
    <row r="111" spans="1:18" s="178" customFormat="1" ht="15.75" customHeight="1">
      <c r="A111" s="670" t="s">
        <v>188</v>
      </c>
      <c r="B111" s="670"/>
      <c r="C111" s="160" t="s">
        <v>47</v>
      </c>
      <c r="D111" s="670" t="s">
        <v>12</v>
      </c>
      <c r="E111" s="675"/>
      <c r="F111" s="675"/>
      <c r="G111" s="160" t="s">
        <v>46</v>
      </c>
      <c r="H111" s="160" t="s">
        <v>385</v>
      </c>
      <c r="I111" s="160" t="s">
        <v>386</v>
      </c>
      <c r="J111" s="160" t="s">
        <v>332</v>
      </c>
      <c r="K111" s="670" t="s">
        <v>51</v>
      </c>
      <c r="L111" s="675"/>
      <c r="M111" s="193"/>
      <c r="N111" s="189"/>
      <c r="P111" s="423"/>
      <c r="Q111" s="423"/>
    </row>
    <row r="112" spans="1:18" ht="15.75" customHeight="1">
      <c r="A112" s="669">
        <v>1</v>
      </c>
      <c r="B112" s="670" t="s">
        <v>387</v>
      </c>
      <c r="C112" s="200">
        <v>1</v>
      </c>
      <c r="D112" s="671" t="s">
        <v>463</v>
      </c>
      <c r="E112" s="672"/>
      <c r="F112" s="672"/>
      <c r="G112" s="200">
        <v>3</v>
      </c>
      <c r="H112" s="202">
        <v>3197.8218985103836</v>
      </c>
      <c r="I112" s="203">
        <v>1065.9406328367945</v>
      </c>
      <c r="J112" s="221">
        <f>I112-I86</f>
        <v>4.5467731117230414</v>
      </c>
      <c r="K112" s="671"/>
      <c r="L112" s="672"/>
      <c r="O112" s="178"/>
      <c r="P112" s="423"/>
      <c r="Q112" s="423"/>
      <c r="R112" s="178"/>
    </row>
    <row r="113" spans="1:18" ht="15.75" customHeight="1">
      <c r="A113" s="669"/>
      <c r="B113" s="670"/>
      <c r="C113" s="200">
        <v>2</v>
      </c>
      <c r="D113" s="671" t="s">
        <v>411</v>
      </c>
      <c r="E113" s="672"/>
      <c r="F113" s="672"/>
      <c r="G113" s="200">
        <v>3</v>
      </c>
      <c r="H113" s="202">
        <v>3185.6387703594528</v>
      </c>
      <c r="I113" s="203">
        <v>1061.8795901198175</v>
      </c>
      <c r="J113" s="221">
        <f>I113-I88</f>
        <v>1.4437639744035096</v>
      </c>
      <c r="K113" s="671"/>
      <c r="L113" s="672"/>
      <c r="N113" s="178"/>
      <c r="O113" s="178"/>
      <c r="P113" s="423"/>
      <c r="Q113" s="423"/>
      <c r="R113" s="178"/>
    </row>
    <row r="114" spans="1:18" ht="15.75" customHeight="1">
      <c r="A114" s="669"/>
      <c r="B114" s="670"/>
      <c r="C114" s="200">
        <v>3</v>
      </c>
      <c r="D114" s="671" t="s">
        <v>753</v>
      </c>
      <c r="E114" s="672"/>
      <c r="F114" s="672"/>
      <c r="G114" s="200">
        <v>3</v>
      </c>
      <c r="H114" s="202">
        <v>3185.0187331314569</v>
      </c>
      <c r="I114" s="203">
        <v>1061.6729110438189</v>
      </c>
      <c r="J114" s="221"/>
      <c r="K114" s="671"/>
      <c r="L114" s="672"/>
      <c r="N114" s="178"/>
      <c r="O114" s="178"/>
      <c r="P114" s="423"/>
      <c r="Q114" s="423"/>
      <c r="R114" s="178"/>
    </row>
    <row r="115" spans="1:18" ht="15.75" customHeight="1">
      <c r="A115" s="669"/>
      <c r="B115" s="670"/>
      <c r="C115" s="200">
        <v>4</v>
      </c>
      <c r="D115" s="671" t="s">
        <v>401</v>
      </c>
      <c r="E115" s="672"/>
      <c r="F115" s="672"/>
      <c r="G115" s="200">
        <v>3</v>
      </c>
      <c r="H115" s="202">
        <v>3183.4373359286051</v>
      </c>
      <c r="I115" s="203">
        <v>1061.1457786428687</v>
      </c>
      <c r="J115" s="221"/>
      <c r="K115" s="671"/>
      <c r="L115" s="672"/>
      <c r="N115" s="178"/>
      <c r="O115" s="178"/>
      <c r="P115" s="423"/>
      <c r="Q115" s="423"/>
      <c r="R115" s="178"/>
    </row>
    <row r="116" spans="1:18" ht="15.75" customHeight="1">
      <c r="A116" s="669"/>
      <c r="B116" s="670"/>
      <c r="C116" s="200">
        <v>5</v>
      </c>
      <c r="D116" s="671" t="s">
        <v>399</v>
      </c>
      <c r="E116" s="672"/>
      <c r="F116" s="672"/>
      <c r="G116" s="200">
        <v>3</v>
      </c>
      <c r="H116" s="202">
        <v>3183.2040007317141</v>
      </c>
      <c r="I116" s="203">
        <v>1061.0680002439046</v>
      </c>
      <c r="J116" s="221">
        <f t="shared" ref="J116:J121" si="0">I116-I90</f>
        <v>1.7374658165542769</v>
      </c>
      <c r="K116" s="671"/>
      <c r="L116" s="672"/>
      <c r="N116" s="178"/>
      <c r="O116" s="178"/>
      <c r="P116" s="423"/>
      <c r="Q116" s="423"/>
      <c r="R116" s="178"/>
    </row>
    <row r="117" spans="1:18" ht="15.75" customHeight="1">
      <c r="A117" s="669"/>
      <c r="B117" s="670"/>
      <c r="C117" s="204" t="s">
        <v>204</v>
      </c>
      <c r="D117" s="672" t="s">
        <v>584</v>
      </c>
      <c r="E117" s="672"/>
      <c r="F117" s="672"/>
      <c r="G117" s="201">
        <v>13</v>
      </c>
      <c r="H117" s="205">
        <v>3262.7767640778516</v>
      </c>
      <c r="I117" s="206">
        <v>250.98282800598855</v>
      </c>
      <c r="J117" s="221">
        <f t="shared" si="0"/>
        <v>0.2340354234094093</v>
      </c>
      <c r="K117" s="671"/>
      <c r="L117" s="672"/>
      <c r="N117" s="178"/>
      <c r="O117" s="178"/>
      <c r="P117" s="423"/>
      <c r="Q117" s="423"/>
      <c r="R117" s="178"/>
    </row>
    <row r="118" spans="1:18" ht="15.75" customHeight="1">
      <c r="A118" s="669"/>
      <c r="B118" s="670"/>
      <c r="C118" s="204" t="s">
        <v>209</v>
      </c>
      <c r="D118" s="672" t="s">
        <v>471</v>
      </c>
      <c r="E118" s="672"/>
      <c r="F118" s="672"/>
      <c r="G118" s="201">
        <v>12</v>
      </c>
      <c r="H118" s="205">
        <v>3124.1633170877212</v>
      </c>
      <c r="I118" s="206">
        <v>260.34694309064344</v>
      </c>
      <c r="J118" s="221">
        <f t="shared" si="0"/>
        <v>-3.8571428571344768E-2</v>
      </c>
      <c r="K118" s="671"/>
      <c r="L118" s="672"/>
      <c r="N118" s="178"/>
      <c r="O118" s="178"/>
      <c r="P118" s="423"/>
      <c r="Q118" s="423"/>
      <c r="R118" s="178"/>
    </row>
    <row r="119" spans="1:18" ht="15.75" customHeight="1">
      <c r="A119" s="669"/>
      <c r="B119" s="670"/>
      <c r="C119" s="204" t="s">
        <v>205</v>
      </c>
      <c r="D119" s="672" t="s">
        <v>468</v>
      </c>
      <c r="E119" s="672"/>
      <c r="F119" s="672"/>
      <c r="G119" s="201">
        <v>12</v>
      </c>
      <c r="H119" s="205">
        <v>3126.0726869816181</v>
      </c>
      <c r="I119" s="206">
        <v>260.50605724846821</v>
      </c>
      <c r="J119" s="221">
        <f t="shared" si="0"/>
        <v>7.1335827243615313E-2</v>
      </c>
      <c r="K119" s="671"/>
      <c r="L119" s="672"/>
      <c r="N119" s="178"/>
      <c r="O119" s="178"/>
      <c r="P119" s="423"/>
      <c r="Q119" s="423"/>
      <c r="R119" s="178"/>
    </row>
    <row r="120" spans="1:18" ht="15.75" customHeight="1">
      <c r="A120" s="669"/>
      <c r="B120" s="670"/>
      <c r="C120" s="204" t="s">
        <v>210</v>
      </c>
      <c r="D120" s="672" t="s">
        <v>551</v>
      </c>
      <c r="E120" s="672"/>
      <c r="F120" s="672"/>
      <c r="G120" s="201">
        <v>12</v>
      </c>
      <c r="H120" s="205">
        <v>3262.7936581121253</v>
      </c>
      <c r="I120" s="206">
        <v>271.89947150934375</v>
      </c>
      <c r="J120" s="221">
        <f t="shared" si="0"/>
        <v>0.39891083389272808</v>
      </c>
      <c r="K120" s="671"/>
      <c r="L120" s="672"/>
      <c r="M120" s="189"/>
      <c r="N120" s="178"/>
      <c r="O120" s="178"/>
      <c r="P120" s="423"/>
      <c r="Q120" s="423"/>
      <c r="R120" s="178"/>
    </row>
    <row r="121" spans="1:18" ht="15.75" customHeight="1">
      <c r="A121" s="669"/>
      <c r="B121" s="670"/>
      <c r="C121" s="204" t="s">
        <v>211</v>
      </c>
      <c r="D121" s="672" t="s">
        <v>617</v>
      </c>
      <c r="E121" s="672"/>
      <c r="F121" s="672"/>
      <c r="G121" s="201">
        <v>5</v>
      </c>
      <c r="H121" s="205">
        <v>2688.3235860555101</v>
      </c>
      <c r="I121" s="206">
        <v>537.6647172111019</v>
      </c>
      <c r="J121" s="221">
        <f t="shared" si="0"/>
        <v>0.66471721110212911</v>
      </c>
      <c r="K121" s="671"/>
      <c r="L121" s="672"/>
      <c r="M121" s="189"/>
      <c r="N121" s="178"/>
      <c r="O121" s="178"/>
      <c r="P121" s="423"/>
      <c r="Q121" s="423"/>
      <c r="R121" s="178"/>
    </row>
    <row r="122" spans="1:18" s="199" customFormat="1" ht="15.75" customHeight="1">
      <c r="A122" s="667" t="s">
        <v>188</v>
      </c>
      <c r="B122" s="667"/>
      <c r="C122" s="207" t="s">
        <v>47</v>
      </c>
      <c r="D122" s="667" t="s">
        <v>12</v>
      </c>
      <c r="E122" s="668"/>
      <c r="F122" s="668"/>
      <c r="G122" s="207" t="s">
        <v>46</v>
      </c>
      <c r="H122" s="207" t="s">
        <v>385</v>
      </c>
      <c r="I122" s="207" t="s">
        <v>386</v>
      </c>
      <c r="J122" s="160" t="s">
        <v>332</v>
      </c>
      <c r="K122" s="667" t="s">
        <v>51</v>
      </c>
      <c r="L122" s="668"/>
      <c r="M122" s="208"/>
      <c r="N122" s="178"/>
      <c r="O122" s="178"/>
      <c r="P122" s="423"/>
      <c r="Q122" s="423"/>
      <c r="R122" s="178"/>
    </row>
    <row r="123" spans="1:18" ht="15.75" customHeight="1">
      <c r="A123" s="669">
        <v>2</v>
      </c>
      <c r="B123" s="670" t="s">
        <v>155</v>
      </c>
      <c r="C123" s="200">
        <v>1</v>
      </c>
      <c r="D123" s="671" t="s">
        <v>467</v>
      </c>
      <c r="E123" s="672"/>
      <c r="F123" s="672"/>
      <c r="G123" s="200">
        <v>6</v>
      </c>
      <c r="H123" s="202">
        <v>2343.5017458695552</v>
      </c>
      <c r="I123" s="203">
        <v>390.58362431159247</v>
      </c>
      <c r="J123" s="221">
        <f>I123-I98</f>
        <v>0.62739593647944503</v>
      </c>
      <c r="K123" s="671"/>
      <c r="L123" s="672"/>
      <c r="M123" s="189"/>
      <c r="N123" s="178"/>
      <c r="O123" s="178"/>
      <c r="P123" s="423"/>
      <c r="Q123" s="423"/>
      <c r="R123" s="178"/>
    </row>
    <row r="124" spans="1:18" ht="15.75" customHeight="1">
      <c r="A124" s="669"/>
      <c r="B124" s="670"/>
      <c r="C124" s="200">
        <v>2</v>
      </c>
      <c r="D124" s="671" t="s">
        <v>464</v>
      </c>
      <c r="E124" s="672"/>
      <c r="F124" s="672"/>
      <c r="G124" s="200">
        <v>6</v>
      </c>
      <c r="H124" s="202">
        <v>2343.4885080000886</v>
      </c>
      <c r="I124" s="203">
        <v>390.58141800001471</v>
      </c>
      <c r="J124" s="221">
        <f>I124-I97</f>
        <v>0.52296698769237082</v>
      </c>
      <c r="K124" s="671"/>
      <c r="L124" s="672"/>
      <c r="M124" s="189"/>
      <c r="N124" s="178"/>
      <c r="O124" s="178"/>
      <c r="P124" s="423"/>
      <c r="Q124" s="423"/>
      <c r="R124" s="178"/>
    </row>
    <row r="125" spans="1:18" ht="15.75" customHeight="1">
      <c r="A125" s="669"/>
      <c r="B125" s="670"/>
      <c r="C125" s="200">
        <v>3</v>
      </c>
      <c r="D125" s="671" t="s">
        <v>348</v>
      </c>
      <c r="E125" s="672"/>
      <c r="F125" s="672"/>
      <c r="G125" s="200">
        <v>11</v>
      </c>
      <c r="H125" s="202">
        <v>3182.9214592888088</v>
      </c>
      <c r="I125" s="203">
        <v>289.35649629898256</v>
      </c>
      <c r="J125" s="221">
        <f>I125-I99</f>
        <v>8.0616443214353239E-2</v>
      </c>
      <c r="K125" s="671"/>
      <c r="L125" s="672"/>
      <c r="M125" s="189"/>
      <c r="N125" s="178"/>
      <c r="O125" s="178"/>
      <c r="P125" s="423"/>
      <c r="Q125" s="423"/>
      <c r="R125" s="178"/>
    </row>
    <row r="126" spans="1:18" ht="15.75" customHeight="1">
      <c r="A126" s="669"/>
      <c r="B126" s="670"/>
      <c r="C126" s="200">
        <v>4</v>
      </c>
      <c r="D126" s="671" t="s">
        <v>654</v>
      </c>
      <c r="E126" s="672"/>
      <c r="F126" s="672"/>
      <c r="G126" s="200">
        <v>12</v>
      </c>
      <c r="H126" s="202">
        <v>3158.0217309505797</v>
      </c>
      <c r="I126" s="203">
        <v>263.16847757921494</v>
      </c>
      <c r="J126" s="221">
        <f>I126-I101</f>
        <v>0.29302929817760059</v>
      </c>
      <c r="K126" s="671"/>
      <c r="L126" s="672"/>
      <c r="M126" s="189"/>
      <c r="N126" s="178"/>
      <c r="O126" s="178"/>
      <c r="P126" s="423"/>
      <c r="Q126" s="423"/>
      <c r="R126" s="178"/>
    </row>
    <row r="127" spans="1:18" ht="15.75" customHeight="1">
      <c r="A127" s="669"/>
      <c r="B127" s="670"/>
      <c r="C127" s="200">
        <v>5</v>
      </c>
      <c r="D127" s="671" t="s">
        <v>655</v>
      </c>
      <c r="E127" s="672"/>
      <c r="F127" s="672"/>
      <c r="G127" s="200">
        <v>12</v>
      </c>
      <c r="H127" s="202">
        <v>3156.8754796761132</v>
      </c>
      <c r="I127" s="203">
        <v>263.07295663967614</v>
      </c>
      <c r="J127" s="221">
        <f>I127-I100</f>
        <v>0.11021884012740202</v>
      </c>
      <c r="K127" s="671"/>
      <c r="L127" s="672"/>
      <c r="M127" s="189"/>
      <c r="N127" s="178"/>
      <c r="O127" s="178"/>
      <c r="P127" s="423"/>
      <c r="Q127" s="423"/>
      <c r="R127" s="178"/>
    </row>
    <row r="128" spans="1:18" ht="15.75" customHeight="1">
      <c r="A128" s="669"/>
      <c r="B128" s="670"/>
      <c r="C128" s="204" t="s">
        <v>204</v>
      </c>
      <c r="D128" s="671"/>
      <c r="E128" s="672"/>
      <c r="F128" s="672"/>
      <c r="G128" s="200"/>
      <c r="H128" s="202"/>
      <c r="I128" s="203"/>
      <c r="J128" s="221"/>
      <c r="K128" s="671"/>
      <c r="L128" s="672"/>
      <c r="M128" s="189"/>
      <c r="N128" s="178"/>
      <c r="O128" s="178"/>
      <c r="P128" s="423"/>
      <c r="Q128" s="423"/>
      <c r="R128" s="178"/>
    </row>
    <row r="129" spans="1:18" ht="15.75" customHeight="1">
      <c r="A129" s="669"/>
      <c r="B129" s="670"/>
      <c r="C129" s="204" t="s">
        <v>209</v>
      </c>
      <c r="D129" s="671"/>
      <c r="E129" s="672"/>
      <c r="F129" s="672"/>
      <c r="G129" s="200"/>
      <c r="H129" s="202"/>
      <c r="I129" s="203"/>
      <c r="J129" s="221"/>
      <c r="K129" s="671"/>
      <c r="L129" s="672"/>
      <c r="M129" s="189"/>
      <c r="N129" s="178"/>
      <c r="O129" s="178"/>
      <c r="P129" s="423"/>
      <c r="Q129" s="423"/>
      <c r="R129" s="178"/>
    </row>
    <row r="130" spans="1:18" ht="15.75" customHeight="1">
      <c r="A130" s="669"/>
      <c r="B130" s="670"/>
      <c r="C130" s="204" t="s">
        <v>205</v>
      </c>
      <c r="D130" s="671"/>
      <c r="E130" s="672"/>
      <c r="F130" s="672"/>
      <c r="G130" s="200"/>
      <c r="H130" s="202"/>
      <c r="I130" s="203"/>
      <c r="J130" s="221"/>
      <c r="K130" s="671"/>
      <c r="L130" s="672"/>
      <c r="M130" s="189"/>
      <c r="N130" s="178"/>
      <c r="O130" s="178"/>
      <c r="P130" s="423"/>
      <c r="Q130" s="423"/>
      <c r="R130" s="178"/>
    </row>
    <row r="131" spans="1:18" ht="15.75" customHeight="1">
      <c r="A131" s="669"/>
      <c r="B131" s="670"/>
      <c r="C131" s="204" t="s">
        <v>210</v>
      </c>
      <c r="D131" s="671"/>
      <c r="E131" s="672"/>
      <c r="F131" s="672"/>
      <c r="G131" s="200"/>
      <c r="H131" s="202"/>
      <c r="I131" s="203"/>
      <c r="J131" s="200"/>
      <c r="K131" s="671"/>
      <c r="L131" s="672"/>
      <c r="M131" s="189"/>
      <c r="N131" s="178"/>
      <c r="O131" s="178"/>
      <c r="P131" s="423"/>
      <c r="Q131" s="423"/>
      <c r="R131" s="178"/>
    </row>
    <row r="132" spans="1:18" ht="15.75" customHeight="1">
      <c r="A132" s="669"/>
      <c r="B132" s="670"/>
      <c r="C132" s="204" t="s">
        <v>211</v>
      </c>
      <c r="D132" s="671"/>
      <c r="E132" s="672"/>
      <c r="F132" s="672"/>
      <c r="G132" s="200"/>
      <c r="H132" s="202"/>
      <c r="I132" s="203"/>
      <c r="J132" s="200"/>
      <c r="K132" s="671"/>
      <c r="L132" s="672"/>
      <c r="M132" s="189"/>
      <c r="N132" s="178"/>
      <c r="O132" s="178"/>
      <c r="P132" s="423"/>
      <c r="Q132" s="423"/>
      <c r="R132" s="178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68:F68"/>
    <mergeCell ref="K66:L66"/>
    <mergeCell ref="D67:F67"/>
    <mergeCell ref="K67:L67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52:F52"/>
    <mergeCell ref="K52:L52"/>
    <mergeCell ref="D51:F51"/>
    <mergeCell ref="K51:L51"/>
    <mergeCell ref="D53:F53"/>
    <mergeCell ref="K53:L53"/>
    <mergeCell ref="D54:F54"/>
    <mergeCell ref="K54:L54"/>
    <mergeCell ref="D12:F12"/>
    <mergeCell ref="K12:L12"/>
    <mergeCell ref="D13:F13"/>
    <mergeCell ref="K13:L13"/>
    <mergeCell ref="D14:F14"/>
    <mergeCell ref="A29:L30"/>
    <mergeCell ref="A31:A32"/>
    <mergeCell ref="A33:B33"/>
    <mergeCell ref="D27:F27"/>
    <mergeCell ref="K27:L27"/>
    <mergeCell ref="D28:F28"/>
    <mergeCell ref="K28:L28"/>
    <mergeCell ref="K16:L16"/>
    <mergeCell ref="D17:F17"/>
    <mergeCell ref="K17:L17"/>
    <mergeCell ref="D33:F33"/>
    <mergeCell ref="K33:L33"/>
    <mergeCell ref="A18:B18"/>
    <mergeCell ref="D18:F18"/>
    <mergeCell ref="K18:L18"/>
    <mergeCell ref="A19:A28"/>
    <mergeCell ref="B19:B28"/>
    <mergeCell ref="D19:F19"/>
    <mergeCell ref="K19:L19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5" manualBreakCount="5">
    <brk id="2" max="11" man="1"/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8">
    <tabColor rgb="FF92D050"/>
    <outlinePr summaryBelow="0" summaryRight="0"/>
  </sheetPr>
  <dimension ref="A1:R132"/>
  <sheetViews>
    <sheetView view="pageBreakPreview" topLeftCell="A106" zoomScale="115" zoomScaleNormal="60" zoomScaleSheetLayoutView="115" workbookViewId="0">
      <selection activeCell="J126" sqref="J126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08" t="s">
        <v>383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99"/>
    </row>
    <row r="2" spans="1:18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N2" s="190"/>
      <c r="O2" s="190"/>
      <c r="P2" s="190"/>
      <c r="Q2" s="190"/>
      <c r="R2" s="190"/>
    </row>
    <row r="3" spans="1:18" s="189" customFormat="1" ht="15.75" customHeight="1">
      <c r="A3" s="674" t="s">
        <v>619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78" customFormat="1" ht="16.350000000000001" customHeight="1">
      <c r="A5" s="669" t="s">
        <v>162</v>
      </c>
      <c r="B5" s="170">
        <v>1</v>
      </c>
      <c r="C5" s="170">
        <v>2</v>
      </c>
      <c r="D5" s="191">
        <v>3</v>
      </c>
      <c r="E5" s="191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s="189" customFormat="1" ht="16.350000000000001" customHeight="1">
      <c r="A6" s="669"/>
      <c r="B6" s="195" t="s">
        <v>206</v>
      </c>
      <c r="C6" s="195" t="s">
        <v>155</v>
      </c>
      <c r="D6" s="194" t="s">
        <v>207</v>
      </c>
      <c r="E6" s="194" t="s">
        <v>156</v>
      </c>
      <c r="F6" s="195" t="s">
        <v>355</v>
      </c>
      <c r="G6" s="196" t="s">
        <v>136</v>
      </c>
      <c r="H6" s="197" t="s">
        <v>208</v>
      </c>
      <c r="I6" s="196" t="s">
        <v>384</v>
      </c>
      <c r="J6" s="196" t="s">
        <v>142</v>
      </c>
      <c r="K6" s="198"/>
      <c r="L6" s="198"/>
      <c r="M6" s="190"/>
      <c r="N6" s="199"/>
      <c r="O6" s="199"/>
      <c r="P6" s="199"/>
      <c r="Q6" s="199"/>
      <c r="R6" s="199"/>
    </row>
    <row r="7" spans="1:18" s="178" customFormat="1" ht="15.75" customHeight="1">
      <c r="A7" s="670" t="s">
        <v>188</v>
      </c>
      <c r="B7" s="670"/>
      <c r="C7" s="160" t="s">
        <v>47</v>
      </c>
      <c r="D7" s="670" t="s">
        <v>12</v>
      </c>
      <c r="E7" s="675"/>
      <c r="F7" s="675"/>
      <c r="G7" s="160" t="s">
        <v>46</v>
      </c>
      <c r="H7" s="160" t="s">
        <v>385</v>
      </c>
      <c r="I7" s="160" t="s">
        <v>386</v>
      </c>
      <c r="J7" s="160" t="s">
        <v>332</v>
      </c>
      <c r="K7" s="670" t="s">
        <v>51</v>
      </c>
      <c r="L7" s="675"/>
      <c r="M7" s="193"/>
      <c r="N7" s="189"/>
      <c r="O7" s="199"/>
      <c r="P7" s="424"/>
      <c r="Q7" s="424"/>
      <c r="R7" s="199"/>
    </row>
    <row r="8" spans="1:18" s="189" customFormat="1" ht="15.75" customHeight="1">
      <c r="A8" s="669">
        <v>3</v>
      </c>
      <c r="B8" s="670" t="s">
        <v>388</v>
      </c>
      <c r="C8" s="200">
        <v>1</v>
      </c>
      <c r="D8" s="671" t="s">
        <v>531</v>
      </c>
      <c r="E8" s="672"/>
      <c r="F8" s="672"/>
      <c r="G8" s="200">
        <v>6</v>
      </c>
      <c r="H8" s="202">
        <v>3264.9104044486689</v>
      </c>
      <c r="I8" s="203">
        <v>544.15173407477812</v>
      </c>
      <c r="J8" s="221">
        <v>0.45053927178742015</v>
      </c>
      <c r="K8" s="671" t="s">
        <v>456</v>
      </c>
      <c r="L8" s="672"/>
      <c r="M8" s="190"/>
      <c r="O8" s="199"/>
      <c r="P8" s="424"/>
      <c r="Q8" s="424"/>
      <c r="R8" s="199"/>
    </row>
    <row r="9" spans="1:18" s="189" customFormat="1" ht="15.75" customHeight="1">
      <c r="A9" s="669"/>
      <c r="B9" s="670"/>
      <c r="C9" s="200">
        <v>2</v>
      </c>
      <c r="D9" s="671" t="s">
        <v>354</v>
      </c>
      <c r="E9" s="672"/>
      <c r="F9" s="672"/>
      <c r="G9" s="200">
        <v>21</v>
      </c>
      <c r="H9" s="202">
        <v>2482.5941384975408</v>
      </c>
      <c r="I9" s="203">
        <v>118.21876849988291</v>
      </c>
      <c r="J9" s="221">
        <v>-1.2430347094985734</v>
      </c>
      <c r="K9" s="671" t="s">
        <v>456</v>
      </c>
      <c r="L9" s="672"/>
      <c r="M9" s="190"/>
      <c r="O9" s="199"/>
      <c r="P9" s="424"/>
      <c r="Q9" s="424"/>
      <c r="R9" s="199"/>
    </row>
    <row r="10" spans="1:18" s="189" customFormat="1" ht="15.75" customHeight="1">
      <c r="A10" s="669"/>
      <c r="B10" s="670"/>
      <c r="C10" s="200">
        <v>3</v>
      </c>
      <c r="D10" s="671"/>
      <c r="E10" s="672"/>
      <c r="F10" s="672"/>
      <c r="G10" s="200"/>
      <c r="H10" s="202"/>
      <c r="I10" s="203"/>
      <c r="J10" s="200"/>
      <c r="K10" s="671"/>
      <c r="L10" s="672"/>
      <c r="M10" s="190"/>
      <c r="O10" s="199"/>
      <c r="P10" s="424"/>
      <c r="Q10" s="424"/>
      <c r="R10" s="199"/>
    </row>
    <row r="11" spans="1:18" s="189" customFormat="1" ht="15.75" customHeight="1">
      <c r="A11" s="669"/>
      <c r="B11" s="670"/>
      <c r="C11" s="200">
        <v>4</v>
      </c>
      <c r="D11" s="671"/>
      <c r="E11" s="672"/>
      <c r="F11" s="672"/>
      <c r="G11" s="200"/>
      <c r="H11" s="202"/>
      <c r="I11" s="203"/>
      <c r="J11" s="200"/>
      <c r="K11" s="671"/>
      <c r="L11" s="672"/>
      <c r="M11" s="190"/>
      <c r="O11" s="199"/>
      <c r="P11" s="424"/>
      <c r="Q11" s="424"/>
      <c r="R11" s="199"/>
    </row>
    <row r="12" spans="1:18" s="189" customFormat="1" ht="15.75" customHeight="1">
      <c r="A12" s="669"/>
      <c r="B12" s="670"/>
      <c r="C12" s="200">
        <v>5</v>
      </c>
      <c r="D12" s="671"/>
      <c r="E12" s="672"/>
      <c r="F12" s="672"/>
      <c r="G12" s="200"/>
      <c r="H12" s="202"/>
      <c r="I12" s="203"/>
      <c r="J12" s="200"/>
      <c r="K12" s="671"/>
      <c r="L12" s="672"/>
      <c r="M12" s="190"/>
      <c r="O12" s="199"/>
      <c r="P12" s="424"/>
      <c r="Q12" s="424"/>
      <c r="R12" s="199"/>
    </row>
    <row r="13" spans="1:18" s="189" customFormat="1" ht="15.75" customHeight="1">
      <c r="A13" s="669"/>
      <c r="B13" s="670"/>
      <c r="C13" s="204" t="s">
        <v>204</v>
      </c>
      <c r="D13" s="671"/>
      <c r="E13" s="672"/>
      <c r="F13" s="672"/>
      <c r="G13" s="200"/>
      <c r="H13" s="202"/>
      <c r="I13" s="203"/>
      <c r="J13" s="200"/>
      <c r="K13" s="671"/>
      <c r="L13" s="672"/>
      <c r="M13" s="190"/>
      <c r="O13" s="199"/>
      <c r="P13" s="424"/>
      <c r="Q13" s="424"/>
      <c r="R13" s="199"/>
    </row>
    <row r="14" spans="1:18" s="189" customFormat="1" ht="15.75" customHeight="1">
      <c r="A14" s="669"/>
      <c r="B14" s="670"/>
      <c r="C14" s="204" t="s">
        <v>209</v>
      </c>
      <c r="D14" s="671"/>
      <c r="E14" s="672"/>
      <c r="F14" s="672"/>
      <c r="G14" s="200"/>
      <c r="H14" s="202"/>
      <c r="I14" s="203"/>
      <c r="J14" s="200"/>
      <c r="K14" s="671"/>
      <c r="L14" s="672"/>
      <c r="M14" s="190"/>
      <c r="N14" s="178"/>
      <c r="O14" s="178"/>
      <c r="P14" s="423"/>
      <c r="Q14" s="423"/>
      <c r="R14" s="178"/>
    </row>
    <row r="15" spans="1:18" s="189" customFormat="1" ht="15.75" customHeight="1">
      <c r="A15" s="669"/>
      <c r="B15" s="670"/>
      <c r="C15" s="204" t="s">
        <v>205</v>
      </c>
      <c r="D15" s="671"/>
      <c r="E15" s="672"/>
      <c r="F15" s="672"/>
      <c r="G15" s="202"/>
      <c r="H15" s="202"/>
      <c r="I15" s="203"/>
      <c r="J15" s="200"/>
      <c r="K15" s="671"/>
      <c r="L15" s="672"/>
      <c r="M15" s="190"/>
      <c r="O15" s="199"/>
      <c r="P15" s="424"/>
      <c r="Q15" s="424"/>
      <c r="R15" s="199"/>
    </row>
    <row r="16" spans="1:18" s="189" customFormat="1" ht="15.75" customHeight="1">
      <c r="A16" s="669"/>
      <c r="B16" s="670"/>
      <c r="C16" s="204" t="s">
        <v>210</v>
      </c>
      <c r="D16" s="671"/>
      <c r="E16" s="672"/>
      <c r="F16" s="672"/>
      <c r="G16" s="200"/>
      <c r="H16" s="202"/>
      <c r="I16" s="203"/>
      <c r="J16" s="200"/>
      <c r="K16" s="671"/>
      <c r="L16" s="672"/>
      <c r="O16" s="199"/>
      <c r="P16" s="424"/>
      <c r="Q16" s="424"/>
      <c r="R16" s="199"/>
    </row>
    <row r="17" spans="1:18" s="189" customFormat="1" ht="15.75" customHeight="1">
      <c r="A17" s="669"/>
      <c r="B17" s="670"/>
      <c r="C17" s="204" t="s">
        <v>211</v>
      </c>
      <c r="D17" s="671"/>
      <c r="E17" s="672"/>
      <c r="F17" s="672"/>
      <c r="G17" s="200"/>
      <c r="H17" s="202"/>
      <c r="I17" s="203"/>
      <c r="J17" s="200"/>
      <c r="K17" s="671"/>
      <c r="L17" s="672"/>
      <c r="O17" s="199"/>
      <c r="P17" s="424"/>
      <c r="Q17" s="424"/>
      <c r="R17" s="199"/>
    </row>
    <row r="18" spans="1:18" s="199" customFormat="1" ht="15.75" customHeight="1">
      <c r="A18" s="667" t="s">
        <v>188</v>
      </c>
      <c r="B18" s="667"/>
      <c r="C18" s="207" t="s">
        <v>47</v>
      </c>
      <c r="D18" s="667" t="s">
        <v>12</v>
      </c>
      <c r="E18" s="668"/>
      <c r="F18" s="668"/>
      <c r="G18" s="207" t="s">
        <v>46</v>
      </c>
      <c r="H18" s="207" t="s">
        <v>385</v>
      </c>
      <c r="I18" s="207" t="s">
        <v>386</v>
      </c>
      <c r="J18" s="160" t="s">
        <v>332</v>
      </c>
      <c r="K18" s="667" t="s">
        <v>51</v>
      </c>
      <c r="L18" s="668"/>
      <c r="M18" s="208"/>
      <c r="N18" s="189"/>
      <c r="P18" s="424"/>
      <c r="Q18" s="424"/>
    </row>
    <row r="19" spans="1:18" s="189" customFormat="1" ht="15.75" customHeight="1">
      <c r="A19" s="669">
        <v>4</v>
      </c>
      <c r="B19" s="670" t="s">
        <v>156</v>
      </c>
      <c r="C19" s="200">
        <v>1</v>
      </c>
      <c r="D19" s="671" t="s">
        <v>508</v>
      </c>
      <c r="E19" s="672"/>
      <c r="F19" s="672"/>
      <c r="G19" s="200">
        <v>6</v>
      </c>
      <c r="H19" s="202">
        <v>2964.1246242900002</v>
      </c>
      <c r="I19" s="203">
        <v>494.02077071499991</v>
      </c>
      <c r="J19" s="221">
        <v>0.12844148477682893</v>
      </c>
      <c r="K19" s="671" t="s">
        <v>456</v>
      </c>
      <c r="L19" s="672"/>
      <c r="N19" s="199"/>
      <c r="O19" s="199"/>
      <c r="P19" s="424"/>
      <c r="Q19" s="424"/>
      <c r="R19" s="199"/>
    </row>
    <row r="20" spans="1:18" s="189" customFormat="1" ht="15.75" customHeight="1">
      <c r="A20" s="669"/>
      <c r="B20" s="670"/>
      <c r="C20" s="200">
        <v>2</v>
      </c>
      <c r="D20" s="671" t="s">
        <v>532</v>
      </c>
      <c r="E20" s="672"/>
      <c r="F20" s="672"/>
      <c r="G20" s="200">
        <v>6</v>
      </c>
      <c r="H20" s="202">
        <v>2963.6252276268456</v>
      </c>
      <c r="I20" s="203">
        <v>493.93753793780758</v>
      </c>
      <c r="J20" s="221">
        <v>1.4860379473191188E-2</v>
      </c>
      <c r="K20" s="671" t="s">
        <v>456</v>
      </c>
      <c r="L20" s="672"/>
      <c r="O20" s="199"/>
      <c r="P20" s="424"/>
      <c r="Q20" s="424"/>
      <c r="R20" s="199"/>
    </row>
    <row r="21" spans="1:18" s="189" customFormat="1" ht="15.75" customHeight="1">
      <c r="A21" s="669"/>
      <c r="B21" s="670"/>
      <c r="C21" s="200">
        <v>3</v>
      </c>
      <c r="D21" s="671"/>
      <c r="E21" s="672"/>
      <c r="F21" s="672"/>
      <c r="G21" s="200"/>
      <c r="H21" s="202"/>
      <c r="I21" s="203"/>
      <c r="J21" s="200"/>
      <c r="K21" s="671"/>
      <c r="L21" s="672"/>
      <c r="O21" s="199"/>
      <c r="P21" s="424"/>
      <c r="Q21" s="424"/>
      <c r="R21" s="199"/>
    </row>
    <row r="22" spans="1:18" s="189" customFormat="1" ht="15.75" customHeight="1">
      <c r="A22" s="669"/>
      <c r="B22" s="670"/>
      <c r="C22" s="200">
        <v>4</v>
      </c>
      <c r="D22" s="671"/>
      <c r="E22" s="672"/>
      <c r="F22" s="672"/>
      <c r="G22" s="200"/>
      <c r="H22" s="202"/>
      <c r="I22" s="203"/>
      <c r="J22" s="200"/>
      <c r="K22" s="671"/>
      <c r="L22" s="672"/>
      <c r="O22" s="199"/>
      <c r="P22" s="424"/>
      <c r="Q22" s="424"/>
      <c r="R22" s="199"/>
    </row>
    <row r="23" spans="1:18" s="189" customFormat="1" ht="15.75" customHeight="1">
      <c r="A23" s="669"/>
      <c r="B23" s="670"/>
      <c r="C23" s="200">
        <v>5</v>
      </c>
      <c r="D23" s="671"/>
      <c r="E23" s="672"/>
      <c r="F23" s="672"/>
      <c r="G23" s="200"/>
      <c r="H23" s="202"/>
      <c r="I23" s="203"/>
      <c r="J23" s="200"/>
      <c r="K23" s="671"/>
      <c r="L23" s="672"/>
      <c r="O23" s="199"/>
      <c r="P23" s="424"/>
      <c r="Q23" s="424"/>
      <c r="R23" s="199"/>
    </row>
    <row r="24" spans="1:18" s="189" customFormat="1" ht="15.75" customHeight="1">
      <c r="A24" s="669"/>
      <c r="B24" s="670"/>
      <c r="C24" s="204" t="s">
        <v>204</v>
      </c>
      <c r="D24" s="671"/>
      <c r="E24" s="672"/>
      <c r="F24" s="672"/>
      <c r="G24" s="200"/>
      <c r="H24" s="202"/>
      <c r="I24" s="203"/>
      <c r="J24" s="200"/>
      <c r="K24" s="671"/>
      <c r="L24" s="672"/>
      <c r="O24" s="199"/>
      <c r="P24" s="424"/>
      <c r="Q24" s="424"/>
      <c r="R24" s="199"/>
    </row>
    <row r="25" spans="1:18" s="189" customFormat="1" ht="15.75" customHeight="1">
      <c r="A25" s="669"/>
      <c r="B25" s="670"/>
      <c r="C25" s="204" t="s">
        <v>209</v>
      </c>
      <c r="D25" s="671"/>
      <c r="E25" s="672"/>
      <c r="F25" s="672"/>
      <c r="G25" s="200"/>
      <c r="H25" s="202"/>
      <c r="I25" s="203"/>
      <c r="J25" s="200"/>
      <c r="K25" s="671"/>
      <c r="L25" s="672"/>
      <c r="O25" s="199"/>
      <c r="P25" s="424"/>
      <c r="Q25" s="424"/>
      <c r="R25" s="199"/>
    </row>
    <row r="26" spans="1:18" s="189" customFormat="1" ht="15.75" customHeight="1">
      <c r="A26" s="669"/>
      <c r="B26" s="670"/>
      <c r="C26" s="204" t="s">
        <v>205</v>
      </c>
      <c r="D26" s="671"/>
      <c r="E26" s="672"/>
      <c r="F26" s="672"/>
      <c r="G26" s="200"/>
      <c r="H26" s="202"/>
      <c r="I26" s="203"/>
      <c r="J26" s="200"/>
      <c r="K26" s="671"/>
      <c r="L26" s="672"/>
      <c r="O26" s="199"/>
      <c r="P26" s="424"/>
      <c r="Q26" s="424"/>
      <c r="R26" s="199"/>
    </row>
    <row r="27" spans="1:18" s="189" customFormat="1" ht="15.75" customHeight="1">
      <c r="A27" s="669"/>
      <c r="B27" s="670"/>
      <c r="C27" s="204" t="s">
        <v>210</v>
      </c>
      <c r="D27" s="671"/>
      <c r="E27" s="672"/>
      <c r="F27" s="672"/>
      <c r="G27" s="200"/>
      <c r="H27" s="202"/>
      <c r="I27" s="203"/>
      <c r="J27" s="200"/>
      <c r="K27" s="671"/>
      <c r="L27" s="672"/>
      <c r="O27" s="199"/>
      <c r="P27" s="424"/>
      <c r="Q27" s="424"/>
      <c r="R27" s="199"/>
    </row>
    <row r="28" spans="1:18" s="189" customFormat="1" ht="15.75" customHeight="1">
      <c r="A28" s="669"/>
      <c r="B28" s="670"/>
      <c r="C28" s="204" t="s">
        <v>211</v>
      </c>
      <c r="D28" s="671"/>
      <c r="E28" s="672"/>
      <c r="F28" s="672"/>
      <c r="G28" s="200"/>
      <c r="H28" s="202"/>
      <c r="I28" s="203"/>
      <c r="J28" s="200"/>
      <c r="K28" s="671"/>
      <c r="L28" s="672"/>
      <c r="O28" s="199"/>
      <c r="P28" s="424"/>
      <c r="Q28" s="424"/>
      <c r="R28" s="199"/>
    </row>
    <row r="29" spans="1:18" s="189" customFormat="1" ht="15.75" customHeight="1">
      <c r="A29" s="674" t="s">
        <v>659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</row>
    <row r="30" spans="1:18" s="19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</row>
    <row r="31" spans="1:18" s="178" customFormat="1" ht="16.350000000000001" customHeight="1">
      <c r="A31" s="669" t="s">
        <v>162</v>
      </c>
      <c r="B31" s="170">
        <v>1</v>
      </c>
      <c r="C31" s="170">
        <v>2</v>
      </c>
      <c r="D31" s="191">
        <v>3</v>
      </c>
      <c r="E31" s="191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s="189" customFormat="1" ht="16.350000000000001" customHeight="1">
      <c r="A32" s="669"/>
      <c r="B32" s="195" t="s">
        <v>206</v>
      </c>
      <c r="C32" s="195" t="s">
        <v>155</v>
      </c>
      <c r="D32" s="194" t="s">
        <v>207</v>
      </c>
      <c r="E32" s="194" t="s">
        <v>156</v>
      </c>
      <c r="F32" s="195" t="s">
        <v>355</v>
      </c>
      <c r="G32" s="196" t="s">
        <v>136</v>
      </c>
      <c r="H32" s="197" t="s">
        <v>208</v>
      </c>
      <c r="I32" s="196" t="s">
        <v>384</v>
      </c>
      <c r="J32" s="196" t="s">
        <v>142</v>
      </c>
      <c r="K32" s="198"/>
      <c r="L32" s="198"/>
      <c r="M32" s="190"/>
      <c r="N32" s="199"/>
      <c r="O32" s="199"/>
      <c r="P32" s="199"/>
      <c r="Q32" s="199"/>
      <c r="R32" s="199"/>
    </row>
    <row r="33" spans="1:18" s="178" customFormat="1" ht="15.75" customHeight="1">
      <c r="A33" s="670" t="s">
        <v>188</v>
      </c>
      <c r="B33" s="670"/>
      <c r="C33" s="160" t="s">
        <v>47</v>
      </c>
      <c r="D33" s="670" t="s">
        <v>12</v>
      </c>
      <c r="E33" s="675"/>
      <c r="F33" s="675"/>
      <c r="G33" s="160" t="s">
        <v>46</v>
      </c>
      <c r="H33" s="160" t="s">
        <v>385</v>
      </c>
      <c r="I33" s="160" t="s">
        <v>386</v>
      </c>
      <c r="J33" s="160" t="s">
        <v>332</v>
      </c>
      <c r="K33" s="670" t="s">
        <v>51</v>
      </c>
      <c r="L33" s="675"/>
      <c r="M33" s="193"/>
      <c r="N33" s="189"/>
      <c r="O33" s="199"/>
      <c r="P33" s="424"/>
      <c r="Q33" s="424"/>
      <c r="R33" s="199"/>
    </row>
    <row r="34" spans="1:18" s="189" customFormat="1" ht="15.75" customHeight="1">
      <c r="A34" s="669">
        <v>3</v>
      </c>
      <c r="B34" s="670" t="s">
        <v>388</v>
      </c>
      <c r="C34" s="200">
        <v>1</v>
      </c>
      <c r="D34" s="671" t="s">
        <v>531</v>
      </c>
      <c r="E34" s="672"/>
      <c r="F34" s="672"/>
      <c r="G34" s="200">
        <v>6</v>
      </c>
      <c r="H34" s="202">
        <v>3264.9522174507902</v>
      </c>
      <c r="I34" s="203">
        <v>544.15870290846499</v>
      </c>
      <c r="J34" s="221">
        <f>I34-I8</f>
        <v>6.9688336868694023E-3</v>
      </c>
      <c r="K34" s="671" t="s">
        <v>456</v>
      </c>
      <c r="L34" s="672"/>
      <c r="M34" s="190"/>
      <c r="O34" s="199"/>
      <c r="P34" s="424"/>
      <c r="Q34" s="424"/>
      <c r="R34" s="199"/>
    </row>
    <row r="35" spans="1:18" s="189" customFormat="1" ht="15.75" customHeight="1">
      <c r="A35" s="669"/>
      <c r="B35" s="670"/>
      <c r="C35" s="200">
        <v>2</v>
      </c>
      <c r="D35" s="671" t="s">
        <v>354</v>
      </c>
      <c r="E35" s="672"/>
      <c r="F35" s="672"/>
      <c r="G35" s="200">
        <v>21</v>
      </c>
      <c r="H35" s="202">
        <v>2484.0059699484254</v>
      </c>
      <c r="I35" s="203">
        <v>118.28599856897263</v>
      </c>
      <c r="J35" s="221">
        <f>I35-I9</f>
        <v>6.7230069089717404E-2</v>
      </c>
      <c r="K35" s="671" t="s">
        <v>456</v>
      </c>
      <c r="L35" s="672"/>
      <c r="M35" s="190"/>
      <c r="O35" s="199"/>
      <c r="P35" s="424"/>
      <c r="Q35" s="424"/>
      <c r="R35" s="199"/>
    </row>
    <row r="36" spans="1:18" s="189" customFormat="1" ht="15.75" customHeight="1">
      <c r="A36" s="669"/>
      <c r="B36" s="670"/>
      <c r="C36" s="200">
        <v>3</v>
      </c>
      <c r="D36" s="671"/>
      <c r="E36" s="672"/>
      <c r="F36" s="672"/>
      <c r="G36" s="200"/>
      <c r="H36" s="202"/>
      <c r="I36" s="203"/>
      <c r="J36" s="200"/>
      <c r="K36" s="671"/>
      <c r="L36" s="672"/>
      <c r="M36" s="190"/>
      <c r="O36" s="199"/>
      <c r="P36" s="424"/>
      <c r="Q36" s="424"/>
      <c r="R36" s="199"/>
    </row>
    <row r="37" spans="1:18" s="189" customFormat="1" ht="15.75" customHeight="1">
      <c r="A37" s="669"/>
      <c r="B37" s="670"/>
      <c r="C37" s="200">
        <v>4</v>
      </c>
      <c r="D37" s="671"/>
      <c r="E37" s="672"/>
      <c r="F37" s="672"/>
      <c r="G37" s="200"/>
      <c r="H37" s="202"/>
      <c r="I37" s="203"/>
      <c r="J37" s="200"/>
      <c r="K37" s="671"/>
      <c r="L37" s="672"/>
      <c r="M37" s="190"/>
      <c r="O37" s="199"/>
      <c r="P37" s="424"/>
      <c r="Q37" s="424"/>
      <c r="R37" s="199"/>
    </row>
    <row r="38" spans="1:18" s="189" customFormat="1" ht="15.75" customHeight="1">
      <c r="A38" s="669"/>
      <c r="B38" s="670"/>
      <c r="C38" s="200">
        <v>5</v>
      </c>
      <c r="D38" s="671"/>
      <c r="E38" s="672"/>
      <c r="F38" s="672"/>
      <c r="G38" s="200"/>
      <c r="H38" s="202"/>
      <c r="I38" s="203"/>
      <c r="J38" s="200"/>
      <c r="K38" s="671"/>
      <c r="L38" s="672"/>
      <c r="M38" s="190"/>
      <c r="O38" s="199"/>
      <c r="P38" s="424"/>
      <c r="Q38" s="424"/>
      <c r="R38" s="199"/>
    </row>
    <row r="39" spans="1:18" s="189" customFormat="1" ht="15.75" customHeight="1">
      <c r="A39" s="669"/>
      <c r="B39" s="670"/>
      <c r="C39" s="204" t="s">
        <v>204</v>
      </c>
      <c r="D39" s="671"/>
      <c r="E39" s="672"/>
      <c r="F39" s="672"/>
      <c r="G39" s="200"/>
      <c r="H39" s="202"/>
      <c r="I39" s="203"/>
      <c r="J39" s="200"/>
      <c r="K39" s="671"/>
      <c r="L39" s="672"/>
      <c r="M39" s="190"/>
      <c r="O39" s="199"/>
      <c r="P39" s="424"/>
      <c r="Q39" s="424"/>
      <c r="R39" s="199"/>
    </row>
    <row r="40" spans="1:18" s="189" customFormat="1" ht="15.75" customHeight="1">
      <c r="A40" s="669"/>
      <c r="B40" s="670"/>
      <c r="C40" s="204" t="s">
        <v>209</v>
      </c>
      <c r="D40" s="671"/>
      <c r="E40" s="672"/>
      <c r="F40" s="672"/>
      <c r="G40" s="200"/>
      <c r="H40" s="202"/>
      <c r="I40" s="203"/>
      <c r="J40" s="200"/>
      <c r="K40" s="671"/>
      <c r="L40" s="672"/>
      <c r="M40" s="190"/>
      <c r="N40" s="178"/>
      <c r="O40" s="178"/>
      <c r="P40" s="423"/>
      <c r="Q40" s="423"/>
      <c r="R40" s="178"/>
    </row>
    <row r="41" spans="1:18" s="189" customFormat="1" ht="15.75" customHeight="1">
      <c r="A41" s="669"/>
      <c r="B41" s="670"/>
      <c r="C41" s="204" t="s">
        <v>205</v>
      </c>
      <c r="D41" s="671"/>
      <c r="E41" s="672"/>
      <c r="F41" s="672"/>
      <c r="G41" s="202"/>
      <c r="H41" s="202"/>
      <c r="I41" s="203"/>
      <c r="J41" s="200"/>
      <c r="K41" s="671"/>
      <c r="L41" s="672"/>
      <c r="M41" s="190"/>
      <c r="O41" s="199"/>
      <c r="P41" s="424"/>
      <c r="Q41" s="424"/>
      <c r="R41" s="199"/>
    </row>
    <row r="42" spans="1:18" s="189" customFormat="1" ht="15.75" customHeight="1">
      <c r="A42" s="669"/>
      <c r="B42" s="670"/>
      <c r="C42" s="204" t="s">
        <v>210</v>
      </c>
      <c r="D42" s="671"/>
      <c r="E42" s="672"/>
      <c r="F42" s="672"/>
      <c r="G42" s="200"/>
      <c r="H42" s="202"/>
      <c r="I42" s="203"/>
      <c r="J42" s="200"/>
      <c r="K42" s="671"/>
      <c r="L42" s="672"/>
      <c r="O42" s="199"/>
      <c r="P42" s="424"/>
      <c r="Q42" s="424"/>
      <c r="R42" s="199"/>
    </row>
    <row r="43" spans="1:18" s="189" customFormat="1" ht="15.75" customHeight="1">
      <c r="A43" s="669"/>
      <c r="B43" s="670"/>
      <c r="C43" s="204" t="s">
        <v>211</v>
      </c>
      <c r="D43" s="671"/>
      <c r="E43" s="672"/>
      <c r="F43" s="672"/>
      <c r="G43" s="200"/>
      <c r="H43" s="202"/>
      <c r="I43" s="203"/>
      <c r="J43" s="200"/>
      <c r="K43" s="671"/>
      <c r="L43" s="672"/>
      <c r="O43" s="199"/>
      <c r="P43" s="424"/>
      <c r="Q43" s="424"/>
      <c r="R43" s="199"/>
    </row>
    <row r="44" spans="1:18" s="199" customFormat="1" ht="15.75" customHeight="1">
      <c r="A44" s="667" t="s">
        <v>188</v>
      </c>
      <c r="B44" s="667"/>
      <c r="C44" s="207" t="s">
        <v>47</v>
      </c>
      <c r="D44" s="667" t="s">
        <v>12</v>
      </c>
      <c r="E44" s="668"/>
      <c r="F44" s="668"/>
      <c r="G44" s="207" t="s">
        <v>46</v>
      </c>
      <c r="H44" s="207" t="s">
        <v>385</v>
      </c>
      <c r="I44" s="207" t="s">
        <v>386</v>
      </c>
      <c r="J44" s="160" t="s">
        <v>332</v>
      </c>
      <c r="K44" s="667" t="s">
        <v>51</v>
      </c>
      <c r="L44" s="668"/>
      <c r="M44" s="208"/>
      <c r="N44" s="189"/>
      <c r="P44" s="424"/>
      <c r="Q44" s="424"/>
    </row>
    <row r="45" spans="1:18" s="189" customFormat="1" ht="15.75" customHeight="1">
      <c r="A45" s="669">
        <v>4</v>
      </c>
      <c r="B45" s="670" t="s">
        <v>156</v>
      </c>
      <c r="C45" s="200">
        <v>1</v>
      </c>
      <c r="D45" s="671" t="s">
        <v>508</v>
      </c>
      <c r="E45" s="672"/>
      <c r="F45" s="672"/>
      <c r="G45" s="200">
        <v>6</v>
      </c>
      <c r="H45" s="202">
        <v>2964.6529653090147</v>
      </c>
      <c r="I45" s="203">
        <v>494.10882755150249</v>
      </c>
      <c r="J45" s="221">
        <f>I45-I20</f>
        <v>0.1712896136949098</v>
      </c>
      <c r="K45" s="671" t="s">
        <v>456</v>
      </c>
      <c r="L45" s="672"/>
      <c r="N45" s="199"/>
      <c r="O45" s="199"/>
      <c r="P45" s="424"/>
      <c r="Q45" s="424"/>
      <c r="R45" s="199"/>
    </row>
    <row r="46" spans="1:18" s="189" customFormat="1" ht="15.75" customHeight="1">
      <c r="A46" s="669"/>
      <c r="B46" s="670"/>
      <c r="C46" s="200">
        <v>2</v>
      </c>
      <c r="D46" s="671" t="s">
        <v>532</v>
      </c>
      <c r="E46" s="672"/>
      <c r="F46" s="672"/>
      <c r="G46" s="200">
        <v>6</v>
      </c>
      <c r="H46" s="202">
        <v>2962.6326621802014</v>
      </c>
      <c r="I46" s="203">
        <v>493.77211036336683</v>
      </c>
      <c r="J46" s="221">
        <f>I46-I19</f>
        <v>-0.24866035163307743</v>
      </c>
      <c r="K46" s="671" t="s">
        <v>456</v>
      </c>
      <c r="L46" s="672"/>
      <c r="O46" s="199"/>
      <c r="P46" s="424"/>
      <c r="Q46" s="424"/>
      <c r="R46" s="199"/>
    </row>
    <row r="47" spans="1:18" s="189" customFormat="1" ht="15.75" customHeight="1">
      <c r="A47" s="669"/>
      <c r="B47" s="670"/>
      <c r="C47" s="200">
        <v>3</v>
      </c>
      <c r="D47" s="671" t="s">
        <v>658</v>
      </c>
      <c r="E47" s="672"/>
      <c r="F47" s="672"/>
      <c r="G47" s="200">
        <v>11</v>
      </c>
      <c r="H47" s="202">
        <v>2581.3882822365895</v>
      </c>
      <c r="I47" s="203">
        <v>234.67166202150818</v>
      </c>
      <c r="J47" s="200"/>
      <c r="K47" s="671" t="s">
        <v>635</v>
      </c>
      <c r="L47" s="672"/>
      <c r="O47" s="199"/>
      <c r="P47" s="424"/>
      <c r="Q47" s="424"/>
      <c r="R47" s="199"/>
    </row>
    <row r="48" spans="1:18" s="189" customFormat="1" ht="15.75" customHeight="1">
      <c r="A48" s="669"/>
      <c r="B48" s="670"/>
      <c r="C48" s="200">
        <v>4</v>
      </c>
      <c r="D48" s="671"/>
      <c r="E48" s="672"/>
      <c r="F48" s="672"/>
      <c r="G48" s="200"/>
      <c r="H48" s="202"/>
      <c r="I48" s="203"/>
      <c r="J48" s="200"/>
      <c r="K48" s="671"/>
      <c r="L48" s="672"/>
      <c r="O48" s="199"/>
      <c r="P48" s="424"/>
      <c r="Q48" s="424"/>
      <c r="R48" s="199"/>
    </row>
    <row r="49" spans="1:18" s="189" customFormat="1" ht="15.75" customHeight="1">
      <c r="A49" s="669"/>
      <c r="B49" s="670"/>
      <c r="C49" s="200">
        <v>5</v>
      </c>
      <c r="D49" s="671"/>
      <c r="E49" s="672"/>
      <c r="F49" s="672"/>
      <c r="G49" s="200"/>
      <c r="H49" s="202"/>
      <c r="I49" s="203"/>
      <c r="J49" s="200"/>
      <c r="K49" s="671"/>
      <c r="L49" s="672"/>
      <c r="O49" s="199"/>
      <c r="P49" s="424"/>
      <c r="Q49" s="424"/>
      <c r="R49" s="199"/>
    </row>
    <row r="50" spans="1:18" s="189" customFormat="1" ht="15.75" customHeight="1">
      <c r="A50" s="669"/>
      <c r="B50" s="670"/>
      <c r="C50" s="204" t="s">
        <v>204</v>
      </c>
      <c r="D50" s="671"/>
      <c r="E50" s="672"/>
      <c r="F50" s="672"/>
      <c r="G50" s="200"/>
      <c r="H50" s="202"/>
      <c r="I50" s="203"/>
      <c r="J50" s="200"/>
      <c r="K50" s="671"/>
      <c r="L50" s="672"/>
      <c r="O50" s="199"/>
      <c r="P50" s="424"/>
      <c r="Q50" s="424"/>
      <c r="R50" s="199"/>
    </row>
    <row r="51" spans="1:18" s="189" customFormat="1" ht="15.75" customHeight="1">
      <c r="A51" s="669"/>
      <c r="B51" s="670"/>
      <c r="C51" s="204" t="s">
        <v>209</v>
      </c>
      <c r="D51" s="671"/>
      <c r="E51" s="672"/>
      <c r="F51" s="672"/>
      <c r="G51" s="200"/>
      <c r="H51" s="202"/>
      <c r="I51" s="203"/>
      <c r="J51" s="200"/>
      <c r="K51" s="671"/>
      <c r="L51" s="672"/>
      <c r="O51" s="199"/>
      <c r="P51" s="424"/>
      <c r="Q51" s="424"/>
      <c r="R51" s="199"/>
    </row>
    <row r="52" spans="1:18" s="189" customFormat="1" ht="15.75" customHeight="1">
      <c r="A52" s="669"/>
      <c r="B52" s="670"/>
      <c r="C52" s="204" t="s">
        <v>205</v>
      </c>
      <c r="D52" s="671"/>
      <c r="E52" s="672"/>
      <c r="F52" s="672"/>
      <c r="G52" s="200"/>
      <c r="H52" s="202"/>
      <c r="I52" s="203"/>
      <c r="J52" s="200"/>
      <c r="K52" s="671"/>
      <c r="L52" s="672"/>
      <c r="O52" s="199"/>
      <c r="P52" s="424"/>
      <c r="Q52" s="424"/>
      <c r="R52" s="199"/>
    </row>
    <row r="53" spans="1:18" s="189" customFormat="1" ht="15.75" customHeight="1">
      <c r="A53" s="669"/>
      <c r="B53" s="670"/>
      <c r="C53" s="204" t="s">
        <v>210</v>
      </c>
      <c r="D53" s="671"/>
      <c r="E53" s="672"/>
      <c r="F53" s="672"/>
      <c r="G53" s="200"/>
      <c r="H53" s="202"/>
      <c r="I53" s="203"/>
      <c r="J53" s="200"/>
      <c r="K53" s="671"/>
      <c r="L53" s="672"/>
      <c r="O53" s="199"/>
      <c r="P53" s="424"/>
      <c r="Q53" s="424"/>
      <c r="R53" s="199"/>
    </row>
    <row r="54" spans="1:18" s="189" customFormat="1" ht="15.75" customHeight="1">
      <c r="A54" s="669"/>
      <c r="B54" s="670"/>
      <c r="C54" s="204" t="s">
        <v>211</v>
      </c>
      <c r="D54" s="671"/>
      <c r="E54" s="672"/>
      <c r="F54" s="672"/>
      <c r="G54" s="200"/>
      <c r="H54" s="202"/>
      <c r="I54" s="203"/>
      <c r="J54" s="200"/>
      <c r="K54" s="671"/>
      <c r="L54" s="672"/>
      <c r="O54" s="199"/>
      <c r="P54" s="424"/>
      <c r="Q54" s="424"/>
      <c r="R54" s="199"/>
    </row>
    <row r="55" spans="1:18" s="189" customFormat="1" ht="15.75" customHeight="1">
      <c r="A55" s="674" t="s">
        <v>721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78" customFormat="1" ht="16.350000000000001" customHeight="1">
      <c r="A57" s="669" t="s">
        <v>162</v>
      </c>
      <c r="B57" s="170">
        <v>1</v>
      </c>
      <c r="C57" s="170">
        <v>2</v>
      </c>
      <c r="D57" s="191">
        <v>3</v>
      </c>
      <c r="E57" s="191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s="189" customFormat="1" ht="16.350000000000001" customHeight="1">
      <c r="A58" s="669"/>
      <c r="B58" s="195" t="s">
        <v>206</v>
      </c>
      <c r="C58" s="195" t="s">
        <v>155</v>
      </c>
      <c r="D58" s="194" t="s">
        <v>207</v>
      </c>
      <c r="E58" s="194" t="s">
        <v>156</v>
      </c>
      <c r="F58" s="195" t="s">
        <v>355</v>
      </c>
      <c r="G58" s="196" t="s">
        <v>136</v>
      </c>
      <c r="H58" s="197" t="s">
        <v>208</v>
      </c>
      <c r="I58" s="196" t="s">
        <v>384</v>
      </c>
      <c r="J58" s="196" t="s">
        <v>142</v>
      </c>
      <c r="K58" s="198"/>
      <c r="L58" s="198"/>
      <c r="M58" s="190"/>
      <c r="N58" s="199"/>
      <c r="O58" s="199"/>
      <c r="P58" s="199"/>
      <c r="Q58" s="199"/>
      <c r="R58" s="199"/>
    </row>
    <row r="59" spans="1:18" s="178" customFormat="1" ht="15.75" customHeight="1">
      <c r="A59" s="670" t="s">
        <v>188</v>
      </c>
      <c r="B59" s="670"/>
      <c r="C59" s="160" t="s">
        <v>47</v>
      </c>
      <c r="D59" s="670" t="s">
        <v>12</v>
      </c>
      <c r="E59" s="675"/>
      <c r="F59" s="675"/>
      <c r="G59" s="160" t="s">
        <v>46</v>
      </c>
      <c r="H59" s="160" t="s">
        <v>385</v>
      </c>
      <c r="I59" s="160" t="s">
        <v>386</v>
      </c>
      <c r="J59" s="160" t="s">
        <v>332</v>
      </c>
      <c r="K59" s="670" t="s">
        <v>51</v>
      </c>
      <c r="L59" s="675"/>
      <c r="M59" s="193"/>
      <c r="N59" s="189"/>
      <c r="O59" s="199"/>
      <c r="P59" s="424"/>
      <c r="Q59" s="424"/>
      <c r="R59" s="199"/>
    </row>
    <row r="60" spans="1:18" s="189" customFormat="1" ht="15.75" customHeight="1">
      <c r="A60" s="669">
        <v>3</v>
      </c>
      <c r="B60" s="670" t="s">
        <v>388</v>
      </c>
      <c r="C60" s="200">
        <v>1</v>
      </c>
      <c r="D60" s="671" t="s">
        <v>531</v>
      </c>
      <c r="E60" s="672"/>
      <c r="F60" s="672"/>
      <c r="G60" s="200">
        <v>6</v>
      </c>
      <c r="H60" s="202">
        <v>3265.2778334461705</v>
      </c>
      <c r="I60" s="203">
        <v>544.21297224102841</v>
      </c>
      <c r="J60" s="221">
        <f>I60-I34</f>
        <v>5.4269332563421813E-2</v>
      </c>
      <c r="K60" s="671" t="s">
        <v>456</v>
      </c>
      <c r="L60" s="672"/>
      <c r="M60" s="190"/>
      <c r="O60" s="199"/>
      <c r="P60" s="424"/>
      <c r="Q60" s="424"/>
      <c r="R60" s="199"/>
    </row>
    <row r="61" spans="1:18" s="189" customFormat="1" ht="15.75" customHeight="1">
      <c r="A61" s="669"/>
      <c r="B61" s="670"/>
      <c r="C61" s="200">
        <v>2</v>
      </c>
      <c r="D61" s="671" t="s">
        <v>354</v>
      </c>
      <c r="E61" s="672"/>
      <c r="F61" s="672"/>
      <c r="G61" s="200">
        <v>21</v>
      </c>
      <c r="H61" s="202">
        <v>2484.1730769230767</v>
      </c>
      <c r="I61" s="203">
        <v>118.29395604395602</v>
      </c>
      <c r="J61" s="221">
        <f>I61-I35</f>
        <v>7.957474983385282E-3</v>
      </c>
      <c r="K61" s="671" t="s">
        <v>456</v>
      </c>
      <c r="L61" s="672"/>
      <c r="M61" s="190"/>
      <c r="O61" s="199"/>
      <c r="P61" s="424"/>
      <c r="Q61" s="424"/>
      <c r="R61" s="199"/>
    </row>
    <row r="62" spans="1:18" s="189" customFormat="1" ht="15.75" customHeight="1">
      <c r="A62" s="669"/>
      <c r="B62" s="670"/>
      <c r="C62" s="200">
        <v>3</v>
      </c>
      <c r="D62" s="671"/>
      <c r="E62" s="672"/>
      <c r="F62" s="672"/>
      <c r="G62" s="200"/>
      <c r="H62" s="202"/>
      <c r="I62" s="203"/>
      <c r="J62" s="200"/>
      <c r="K62" s="671"/>
      <c r="L62" s="672"/>
      <c r="M62" s="190"/>
      <c r="O62" s="199"/>
      <c r="P62" s="424"/>
      <c r="Q62" s="424"/>
      <c r="R62" s="199"/>
    </row>
    <row r="63" spans="1:18" s="189" customFormat="1" ht="15.75" customHeight="1">
      <c r="A63" s="669"/>
      <c r="B63" s="670"/>
      <c r="C63" s="200">
        <v>4</v>
      </c>
      <c r="D63" s="671"/>
      <c r="E63" s="672"/>
      <c r="F63" s="672"/>
      <c r="G63" s="200"/>
      <c r="H63" s="202"/>
      <c r="I63" s="203"/>
      <c r="J63" s="200"/>
      <c r="K63" s="671"/>
      <c r="L63" s="672"/>
      <c r="M63" s="190"/>
      <c r="O63" s="199"/>
      <c r="P63" s="424"/>
      <c r="Q63" s="424"/>
      <c r="R63" s="199"/>
    </row>
    <row r="64" spans="1:18" s="189" customFormat="1" ht="15.75" customHeight="1">
      <c r="A64" s="669"/>
      <c r="B64" s="670"/>
      <c r="C64" s="200">
        <v>5</v>
      </c>
      <c r="D64" s="671"/>
      <c r="E64" s="672"/>
      <c r="F64" s="672"/>
      <c r="G64" s="200"/>
      <c r="H64" s="202"/>
      <c r="I64" s="203"/>
      <c r="J64" s="200"/>
      <c r="K64" s="671"/>
      <c r="L64" s="672"/>
      <c r="M64" s="190"/>
      <c r="O64" s="199"/>
      <c r="P64" s="424"/>
      <c r="Q64" s="424"/>
      <c r="R64" s="199"/>
    </row>
    <row r="65" spans="1:18" s="189" customFormat="1" ht="15.75" customHeight="1">
      <c r="A65" s="669"/>
      <c r="B65" s="670"/>
      <c r="C65" s="204" t="s">
        <v>204</v>
      </c>
      <c r="D65" s="671"/>
      <c r="E65" s="672"/>
      <c r="F65" s="672"/>
      <c r="G65" s="200"/>
      <c r="H65" s="202"/>
      <c r="I65" s="203"/>
      <c r="J65" s="200"/>
      <c r="K65" s="671"/>
      <c r="L65" s="672"/>
      <c r="M65" s="190"/>
      <c r="O65" s="199"/>
      <c r="P65" s="424"/>
      <c r="Q65" s="424"/>
      <c r="R65" s="199"/>
    </row>
    <row r="66" spans="1:18" s="189" customFormat="1" ht="15.75" customHeight="1">
      <c r="A66" s="669"/>
      <c r="B66" s="670"/>
      <c r="C66" s="204" t="s">
        <v>209</v>
      </c>
      <c r="D66" s="671"/>
      <c r="E66" s="672"/>
      <c r="F66" s="672"/>
      <c r="G66" s="200"/>
      <c r="H66" s="202"/>
      <c r="I66" s="203"/>
      <c r="J66" s="200"/>
      <c r="K66" s="671"/>
      <c r="L66" s="672"/>
      <c r="M66" s="190"/>
      <c r="N66" s="178"/>
      <c r="O66" s="178"/>
      <c r="P66" s="423"/>
      <c r="Q66" s="423"/>
      <c r="R66" s="178"/>
    </row>
    <row r="67" spans="1:18" s="189" customFormat="1" ht="15.75" customHeight="1">
      <c r="A67" s="669"/>
      <c r="B67" s="670"/>
      <c r="C67" s="204" t="s">
        <v>205</v>
      </c>
      <c r="D67" s="671"/>
      <c r="E67" s="672"/>
      <c r="F67" s="672"/>
      <c r="G67" s="202"/>
      <c r="H67" s="202"/>
      <c r="I67" s="203"/>
      <c r="J67" s="200"/>
      <c r="K67" s="671"/>
      <c r="L67" s="672"/>
      <c r="M67" s="190"/>
      <c r="O67" s="199"/>
      <c r="P67" s="424"/>
      <c r="Q67" s="424"/>
      <c r="R67" s="199"/>
    </row>
    <row r="68" spans="1:18" s="189" customFormat="1" ht="15.75" customHeight="1">
      <c r="A68" s="669"/>
      <c r="B68" s="670"/>
      <c r="C68" s="204" t="s">
        <v>210</v>
      </c>
      <c r="D68" s="671"/>
      <c r="E68" s="672"/>
      <c r="F68" s="672"/>
      <c r="G68" s="200"/>
      <c r="H68" s="202"/>
      <c r="I68" s="203"/>
      <c r="J68" s="200"/>
      <c r="K68" s="671"/>
      <c r="L68" s="672"/>
      <c r="O68" s="199"/>
      <c r="P68" s="424"/>
      <c r="Q68" s="424"/>
      <c r="R68" s="199"/>
    </row>
    <row r="69" spans="1:18" s="189" customFormat="1" ht="15.75" customHeight="1">
      <c r="A69" s="669"/>
      <c r="B69" s="670"/>
      <c r="C69" s="204" t="s">
        <v>211</v>
      </c>
      <c r="D69" s="671"/>
      <c r="E69" s="672"/>
      <c r="F69" s="672"/>
      <c r="G69" s="200"/>
      <c r="H69" s="202"/>
      <c r="I69" s="203"/>
      <c r="J69" s="200"/>
      <c r="K69" s="671"/>
      <c r="L69" s="672"/>
      <c r="O69" s="199"/>
      <c r="P69" s="424"/>
      <c r="Q69" s="424"/>
      <c r="R69" s="199"/>
    </row>
    <row r="70" spans="1:18" s="199" customFormat="1" ht="15.75" customHeight="1">
      <c r="A70" s="667" t="s">
        <v>188</v>
      </c>
      <c r="B70" s="667"/>
      <c r="C70" s="207" t="s">
        <v>47</v>
      </c>
      <c r="D70" s="667" t="s">
        <v>12</v>
      </c>
      <c r="E70" s="668"/>
      <c r="F70" s="668"/>
      <c r="G70" s="207" t="s">
        <v>46</v>
      </c>
      <c r="H70" s="207" t="s">
        <v>385</v>
      </c>
      <c r="I70" s="207" t="s">
        <v>386</v>
      </c>
      <c r="J70" s="160" t="s">
        <v>332</v>
      </c>
      <c r="K70" s="667" t="s">
        <v>51</v>
      </c>
      <c r="L70" s="668"/>
      <c r="M70" s="208"/>
      <c r="N70" s="189"/>
      <c r="P70" s="424"/>
      <c r="Q70" s="424"/>
    </row>
    <row r="71" spans="1:18" s="189" customFormat="1" ht="15.75" customHeight="1">
      <c r="A71" s="669">
        <v>4</v>
      </c>
      <c r="B71" s="670" t="s">
        <v>156</v>
      </c>
      <c r="C71" s="200">
        <v>1</v>
      </c>
      <c r="D71" s="671" t="s">
        <v>508</v>
      </c>
      <c r="E71" s="672"/>
      <c r="F71" s="672"/>
      <c r="G71" s="200">
        <v>6</v>
      </c>
      <c r="H71" s="202">
        <v>2966.2552183599291</v>
      </c>
      <c r="I71" s="203">
        <v>494.37586972665491</v>
      </c>
      <c r="J71" s="221">
        <f>I71-I45</f>
        <v>0.2670421751524259</v>
      </c>
      <c r="K71" s="671" t="s">
        <v>456</v>
      </c>
      <c r="L71" s="672"/>
      <c r="N71" s="199"/>
      <c r="O71" s="199"/>
      <c r="P71" s="424"/>
      <c r="Q71" s="424"/>
      <c r="R71" s="199"/>
    </row>
    <row r="72" spans="1:18" s="189" customFormat="1" ht="15.75" customHeight="1">
      <c r="A72" s="669"/>
      <c r="B72" s="670"/>
      <c r="C72" s="200">
        <v>2</v>
      </c>
      <c r="D72" s="671" t="s">
        <v>532</v>
      </c>
      <c r="E72" s="672"/>
      <c r="F72" s="672"/>
      <c r="G72" s="200">
        <v>6</v>
      </c>
      <c r="H72" s="202">
        <v>2962.2556263350384</v>
      </c>
      <c r="I72" s="203">
        <v>493.70927105583974</v>
      </c>
      <c r="J72" s="221">
        <f>I72-I46</f>
        <v>-6.2839307527099209E-2</v>
      </c>
      <c r="K72" s="671" t="s">
        <v>456</v>
      </c>
      <c r="L72" s="672"/>
      <c r="O72" s="199"/>
      <c r="P72" s="424"/>
      <c r="Q72" s="424"/>
      <c r="R72" s="199"/>
    </row>
    <row r="73" spans="1:18" s="189" customFormat="1" ht="15.75" customHeight="1">
      <c r="A73" s="669"/>
      <c r="B73" s="670"/>
      <c r="C73" s="200">
        <v>3</v>
      </c>
      <c r="D73" s="671" t="s">
        <v>716</v>
      </c>
      <c r="E73" s="672"/>
      <c r="F73" s="672"/>
      <c r="G73" s="200">
        <v>6</v>
      </c>
      <c r="H73" s="202">
        <v>2158.3463902975996</v>
      </c>
      <c r="I73" s="203">
        <v>359.7243983829332</v>
      </c>
      <c r="J73" s="221"/>
      <c r="K73" s="671" t="s">
        <v>635</v>
      </c>
      <c r="L73" s="672"/>
      <c r="O73" s="199"/>
      <c r="P73" s="424"/>
      <c r="Q73" s="424"/>
      <c r="R73" s="199"/>
    </row>
    <row r="74" spans="1:18" s="189" customFormat="1" ht="15.75" customHeight="1">
      <c r="A74" s="669"/>
      <c r="B74" s="670"/>
      <c r="C74" s="200">
        <v>4</v>
      </c>
      <c r="D74" s="671" t="s">
        <v>658</v>
      </c>
      <c r="E74" s="672"/>
      <c r="F74" s="672"/>
      <c r="G74" s="200">
        <v>11</v>
      </c>
      <c r="H74" s="202">
        <v>2652.203727414897</v>
      </c>
      <c r="I74" s="203">
        <v>241.10942976499069</v>
      </c>
      <c r="J74" s="221">
        <f>I74-I47</f>
        <v>6.4377677434825102</v>
      </c>
      <c r="K74" s="671" t="s">
        <v>555</v>
      </c>
      <c r="L74" s="672"/>
      <c r="O74" s="199"/>
      <c r="P74" s="424"/>
      <c r="Q74" s="424"/>
      <c r="R74" s="199"/>
    </row>
    <row r="75" spans="1:18" s="189" customFormat="1" ht="15.75" customHeight="1">
      <c r="A75" s="669"/>
      <c r="B75" s="670"/>
      <c r="C75" s="200">
        <v>5</v>
      </c>
      <c r="D75" s="671"/>
      <c r="E75" s="672"/>
      <c r="F75" s="672"/>
      <c r="G75" s="200"/>
      <c r="H75" s="202"/>
      <c r="I75" s="203"/>
      <c r="J75" s="200"/>
      <c r="K75" s="671"/>
      <c r="L75" s="672"/>
      <c r="O75" s="199"/>
      <c r="P75" s="424"/>
      <c r="Q75" s="424"/>
      <c r="R75" s="199"/>
    </row>
    <row r="76" spans="1:18" s="189" customFormat="1" ht="15.75" customHeight="1">
      <c r="A76" s="669"/>
      <c r="B76" s="670"/>
      <c r="C76" s="204" t="s">
        <v>204</v>
      </c>
      <c r="D76" s="671"/>
      <c r="E76" s="672"/>
      <c r="F76" s="672"/>
      <c r="G76" s="200"/>
      <c r="H76" s="202"/>
      <c r="I76" s="203"/>
      <c r="J76" s="200"/>
      <c r="K76" s="671"/>
      <c r="L76" s="672"/>
      <c r="O76" s="199"/>
      <c r="P76" s="424"/>
      <c r="Q76" s="424"/>
      <c r="R76" s="199"/>
    </row>
    <row r="77" spans="1:18" s="189" customFormat="1" ht="15.75" customHeight="1">
      <c r="A77" s="669"/>
      <c r="B77" s="670"/>
      <c r="C77" s="204" t="s">
        <v>209</v>
      </c>
      <c r="D77" s="671"/>
      <c r="E77" s="672"/>
      <c r="F77" s="672"/>
      <c r="G77" s="200"/>
      <c r="H77" s="202"/>
      <c r="I77" s="203"/>
      <c r="J77" s="200"/>
      <c r="K77" s="671"/>
      <c r="L77" s="672"/>
      <c r="O77" s="199"/>
      <c r="P77" s="424"/>
      <c r="Q77" s="424"/>
      <c r="R77" s="199"/>
    </row>
    <row r="78" spans="1:18" s="189" customFormat="1" ht="15.75" customHeight="1">
      <c r="A78" s="669"/>
      <c r="B78" s="670"/>
      <c r="C78" s="204" t="s">
        <v>205</v>
      </c>
      <c r="D78" s="671"/>
      <c r="E78" s="672"/>
      <c r="F78" s="672"/>
      <c r="G78" s="200"/>
      <c r="H78" s="202"/>
      <c r="I78" s="203"/>
      <c r="J78" s="200"/>
      <c r="K78" s="671"/>
      <c r="L78" s="672"/>
      <c r="O78" s="199"/>
      <c r="P78" s="424"/>
      <c r="Q78" s="424"/>
      <c r="R78" s="199"/>
    </row>
    <row r="79" spans="1:18" s="189" customFormat="1" ht="15.75" customHeight="1">
      <c r="A79" s="669"/>
      <c r="B79" s="670"/>
      <c r="C79" s="204" t="s">
        <v>210</v>
      </c>
      <c r="D79" s="671"/>
      <c r="E79" s="672"/>
      <c r="F79" s="672"/>
      <c r="G79" s="200"/>
      <c r="H79" s="202"/>
      <c r="I79" s="203"/>
      <c r="J79" s="200"/>
      <c r="K79" s="671"/>
      <c r="L79" s="672"/>
      <c r="O79" s="199"/>
      <c r="P79" s="424"/>
      <c r="Q79" s="424"/>
      <c r="R79" s="199"/>
    </row>
    <row r="80" spans="1:18" s="189" customFormat="1" ht="15.75" customHeight="1">
      <c r="A80" s="669"/>
      <c r="B80" s="670"/>
      <c r="C80" s="204" t="s">
        <v>211</v>
      </c>
      <c r="D80" s="671"/>
      <c r="E80" s="672"/>
      <c r="F80" s="672"/>
      <c r="G80" s="200"/>
      <c r="H80" s="202"/>
      <c r="I80" s="203"/>
      <c r="J80" s="200"/>
      <c r="K80" s="671"/>
      <c r="L80" s="672"/>
      <c r="O80" s="199"/>
      <c r="P80" s="424"/>
      <c r="Q80" s="424"/>
      <c r="R80" s="199"/>
    </row>
    <row r="81" spans="1:18" s="189" customFormat="1" ht="15.75" customHeight="1">
      <c r="A81" s="674" t="s">
        <v>737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78" customFormat="1" ht="16.350000000000001" customHeight="1">
      <c r="A83" s="669" t="s">
        <v>162</v>
      </c>
      <c r="B83" s="170">
        <v>1</v>
      </c>
      <c r="C83" s="170">
        <v>2</v>
      </c>
      <c r="D83" s="191">
        <v>3</v>
      </c>
      <c r="E83" s="191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s="189" customFormat="1" ht="16.350000000000001" customHeight="1">
      <c r="A84" s="669"/>
      <c r="B84" s="195" t="s">
        <v>206</v>
      </c>
      <c r="C84" s="195" t="s">
        <v>155</v>
      </c>
      <c r="D84" s="194" t="s">
        <v>207</v>
      </c>
      <c r="E84" s="194" t="s">
        <v>156</v>
      </c>
      <c r="F84" s="195" t="s">
        <v>355</v>
      </c>
      <c r="G84" s="196" t="s">
        <v>136</v>
      </c>
      <c r="H84" s="197" t="s">
        <v>208</v>
      </c>
      <c r="I84" s="196" t="s">
        <v>384</v>
      </c>
      <c r="J84" s="196" t="s">
        <v>142</v>
      </c>
      <c r="K84" s="198"/>
      <c r="L84" s="198"/>
      <c r="M84" s="190"/>
      <c r="N84" s="199"/>
      <c r="O84" s="199"/>
      <c r="P84" s="199"/>
      <c r="Q84" s="199"/>
      <c r="R84" s="199"/>
    </row>
    <row r="85" spans="1:18" s="178" customFormat="1" ht="15.75" customHeight="1">
      <c r="A85" s="670" t="s">
        <v>188</v>
      </c>
      <c r="B85" s="670"/>
      <c r="C85" s="160" t="s">
        <v>47</v>
      </c>
      <c r="D85" s="670" t="s">
        <v>12</v>
      </c>
      <c r="E85" s="675"/>
      <c r="F85" s="675"/>
      <c r="G85" s="160" t="s">
        <v>46</v>
      </c>
      <c r="H85" s="160" t="s">
        <v>385</v>
      </c>
      <c r="I85" s="160" t="s">
        <v>386</v>
      </c>
      <c r="J85" s="160" t="s">
        <v>332</v>
      </c>
      <c r="K85" s="670" t="s">
        <v>51</v>
      </c>
      <c r="L85" s="675"/>
      <c r="M85" s="193"/>
      <c r="N85" s="189"/>
      <c r="O85" s="199"/>
      <c r="P85" s="424"/>
      <c r="Q85" s="424"/>
      <c r="R85" s="199"/>
    </row>
    <row r="86" spans="1:18" s="189" customFormat="1" ht="15.75" customHeight="1">
      <c r="A86" s="669">
        <v>3</v>
      </c>
      <c r="B86" s="670" t="s">
        <v>388</v>
      </c>
      <c r="C86" s="200">
        <v>1</v>
      </c>
      <c r="D86" s="671" t="s">
        <v>531</v>
      </c>
      <c r="E86" s="672"/>
      <c r="F86" s="672"/>
      <c r="G86" s="200">
        <v>6</v>
      </c>
      <c r="H86" s="202">
        <v>3257.9799637298843</v>
      </c>
      <c r="I86" s="203">
        <v>542.99666062164738</v>
      </c>
      <c r="J86" s="221">
        <f>I86-I60</f>
        <v>-1.2163116193810311</v>
      </c>
      <c r="K86" s="671" t="s">
        <v>456</v>
      </c>
      <c r="L86" s="672"/>
      <c r="M86" s="190"/>
      <c r="O86" s="199"/>
      <c r="P86" s="424"/>
      <c r="Q86" s="424"/>
      <c r="R86" s="199"/>
    </row>
    <row r="87" spans="1:18" s="189" customFormat="1" ht="15.75" customHeight="1">
      <c r="A87" s="669"/>
      <c r="B87" s="670"/>
      <c r="C87" s="200">
        <v>2</v>
      </c>
      <c r="D87" s="671" t="s">
        <v>354</v>
      </c>
      <c r="E87" s="672"/>
      <c r="F87" s="672"/>
      <c r="G87" s="200">
        <v>21</v>
      </c>
      <c r="H87" s="202">
        <v>2484.1730769230767</v>
      </c>
      <c r="I87" s="203">
        <v>118.29395604395606</v>
      </c>
      <c r="J87" s="221">
        <f>I87-I61</f>
        <v>0</v>
      </c>
      <c r="K87" s="671" t="s">
        <v>456</v>
      </c>
      <c r="L87" s="672"/>
      <c r="M87" s="190"/>
      <c r="O87" s="199"/>
      <c r="P87" s="424"/>
      <c r="Q87" s="424"/>
      <c r="R87" s="199"/>
    </row>
    <row r="88" spans="1:18" s="189" customFormat="1" ht="15.75" customHeight="1">
      <c r="A88" s="669"/>
      <c r="B88" s="670"/>
      <c r="C88" s="200">
        <v>3</v>
      </c>
      <c r="D88" s="671"/>
      <c r="E88" s="672"/>
      <c r="F88" s="672"/>
      <c r="G88" s="200"/>
      <c r="H88" s="202"/>
      <c r="I88" s="203"/>
      <c r="J88" s="200"/>
      <c r="K88" s="671"/>
      <c r="L88" s="672"/>
      <c r="M88" s="190"/>
      <c r="O88" s="199"/>
      <c r="P88" s="424"/>
      <c r="Q88" s="424"/>
      <c r="R88" s="199"/>
    </row>
    <row r="89" spans="1:18" s="189" customFormat="1" ht="15.75" customHeight="1">
      <c r="A89" s="669"/>
      <c r="B89" s="670"/>
      <c r="C89" s="200">
        <v>4</v>
      </c>
      <c r="D89" s="671"/>
      <c r="E89" s="672"/>
      <c r="F89" s="672"/>
      <c r="G89" s="200"/>
      <c r="H89" s="202"/>
      <c r="I89" s="203"/>
      <c r="J89" s="200"/>
      <c r="K89" s="671"/>
      <c r="L89" s="672"/>
      <c r="M89" s="190"/>
      <c r="O89" s="199"/>
      <c r="P89" s="424"/>
      <c r="Q89" s="424"/>
      <c r="R89" s="199"/>
    </row>
    <row r="90" spans="1:18" s="189" customFormat="1" ht="15.75" customHeight="1">
      <c r="A90" s="669"/>
      <c r="B90" s="670"/>
      <c r="C90" s="200">
        <v>5</v>
      </c>
      <c r="D90" s="671"/>
      <c r="E90" s="672"/>
      <c r="F90" s="672"/>
      <c r="G90" s="200"/>
      <c r="H90" s="202"/>
      <c r="I90" s="203"/>
      <c r="J90" s="200"/>
      <c r="K90" s="671"/>
      <c r="L90" s="672"/>
      <c r="M90" s="190"/>
      <c r="O90" s="199"/>
      <c r="P90" s="424"/>
      <c r="Q90" s="424"/>
      <c r="R90" s="199"/>
    </row>
    <row r="91" spans="1:18" s="189" customFormat="1" ht="15.75" customHeight="1">
      <c r="A91" s="669"/>
      <c r="B91" s="670"/>
      <c r="C91" s="204" t="s">
        <v>204</v>
      </c>
      <c r="D91" s="671"/>
      <c r="E91" s="672"/>
      <c r="F91" s="672"/>
      <c r="G91" s="200"/>
      <c r="H91" s="202"/>
      <c r="I91" s="203"/>
      <c r="J91" s="200"/>
      <c r="K91" s="671"/>
      <c r="L91" s="672"/>
      <c r="M91" s="190"/>
      <c r="O91" s="199"/>
      <c r="P91" s="424"/>
      <c r="Q91" s="424"/>
      <c r="R91" s="199"/>
    </row>
    <row r="92" spans="1:18" s="189" customFormat="1" ht="15.75" customHeight="1">
      <c r="A92" s="669"/>
      <c r="B92" s="670"/>
      <c r="C92" s="204" t="s">
        <v>209</v>
      </c>
      <c r="D92" s="671"/>
      <c r="E92" s="672"/>
      <c r="F92" s="672"/>
      <c r="G92" s="200"/>
      <c r="H92" s="202"/>
      <c r="I92" s="203"/>
      <c r="J92" s="200"/>
      <c r="K92" s="671"/>
      <c r="L92" s="672"/>
      <c r="M92" s="190"/>
      <c r="N92" s="178"/>
      <c r="O92" s="178"/>
      <c r="P92" s="423"/>
      <c r="Q92" s="423"/>
      <c r="R92" s="178"/>
    </row>
    <row r="93" spans="1:18" s="189" customFormat="1" ht="15.75" customHeight="1">
      <c r="A93" s="669"/>
      <c r="B93" s="670"/>
      <c r="C93" s="204" t="s">
        <v>205</v>
      </c>
      <c r="D93" s="671"/>
      <c r="E93" s="672"/>
      <c r="F93" s="672"/>
      <c r="G93" s="202"/>
      <c r="H93" s="202"/>
      <c r="I93" s="203"/>
      <c r="J93" s="200"/>
      <c r="K93" s="671"/>
      <c r="L93" s="672"/>
      <c r="M93" s="190"/>
      <c r="O93" s="199"/>
      <c r="P93" s="424"/>
      <c r="Q93" s="424"/>
      <c r="R93" s="199"/>
    </row>
    <row r="94" spans="1:18" s="189" customFormat="1" ht="15.75" customHeight="1">
      <c r="A94" s="669"/>
      <c r="B94" s="670"/>
      <c r="C94" s="204" t="s">
        <v>210</v>
      </c>
      <c r="D94" s="671"/>
      <c r="E94" s="672"/>
      <c r="F94" s="672"/>
      <c r="G94" s="200"/>
      <c r="H94" s="202"/>
      <c r="I94" s="203"/>
      <c r="J94" s="200"/>
      <c r="K94" s="671"/>
      <c r="L94" s="672"/>
      <c r="O94" s="199"/>
      <c r="P94" s="424"/>
      <c r="Q94" s="424"/>
      <c r="R94" s="199"/>
    </row>
    <row r="95" spans="1:18" s="189" customFormat="1" ht="15.75" customHeight="1">
      <c r="A95" s="669"/>
      <c r="B95" s="670"/>
      <c r="C95" s="204" t="s">
        <v>211</v>
      </c>
      <c r="D95" s="671"/>
      <c r="E95" s="672"/>
      <c r="F95" s="672"/>
      <c r="G95" s="200"/>
      <c r="H95" s="202"/>
      <c r="I95" s="203"/>
      <c r="J95" s="200"/>
      <c r="K95" s="671"/>
      <c r="L95" s="672"/>
      <c r="O95" s="199"/>
      <c r="P95" s="424"/>
      <c r="Q95" s="424"/>
      <c r="R95" s="199"/>
    </row>
    <row r="96" spans="1:18" s="199" customFormat="1" ht="15.75" customHeight="1">
      <c r="A96" s="667" t="s">
        <v>188</v>
      </c>
      <c r="B96" s="667"/>
      <c r="C96" s="207" t="s">
        <v>47</v>
      </c>
      <c r="D96" s="667" t="s">
        <v>12</v>
      </c>
      <c r="E96" s="668"/>
      <c r="F96" s="668"/>
      <c r="G96" s="207" t="s">
        <v>46</v>
      </c>
      <c r="H96" s="207" t="s">
        <v>385</v>
      </c>
      <c r="I96" s="207" t="s">
        <v>386</v>
      </c>
      <c r="J96" s="160" t="s">
        <v>332</v>
      </c>
      <c r="K96" s="667" t="s">
        <v>51</v>
      </c>
      <c r="L96" s="668"/>
      <c r="M96" s="208"/>
      <c r="N96" s="189"/>
      <c r="P96" s="424"/>
      <c r="Q96" s="424"/>
    </row>
    <row r="97" spans="1:18" s="189" customFormat="1" ht="15.75" customHeight="1">
      <c r="A97" s="669">
        <v>4</v>
      </c>
      <c r="B97" s="670" t="s">
        <v>156</v>
      </c>
      <c r="C97" s="200">
        <v>1</v>
      </c>
      <c r="D97" s="671" t="s">
        <v>508</v>
      </c>
      <c r="E97" s="672"/>
      <c r="F97" s="672"/>
      <c r="G97" s="200">
        <v>6</v>
      </c>
      <c r="H97" s="202">
        <v>2968.6142771404593</v>
      </c>
      <c r="I97" s="203">
        <v>494.76904619007649</v>
      </c>
      <c r="J97" s="221">
        <f>I97-I71</f>
        <v>0.39317646342158241</v>
      </c>
      <c r="K97" s="671" t="s">
        <v>456</v>
      </c>
      <c r="L97" s="672"/>
      <c r="N97" s="199"/>
      <c r="O97" s="199"/>
      <c r="P97" s="424"/>
      <c r="Q97" s="424"/>
      <c r="R97" s="199"/>
    </row>
    <row r="98" spans="1:18" s="189" customFormat="1" ht="15.75" customHeight="1">
      <c r="A98" s="669"/>
      <c r="B98" s="670"/>
      <c r="C98" s="200">
        <v>2</v>
      </c>
      <c r="D98" s="671" t="s">
        <v>716</v>
      </c>
      <c r="E98" s="672"/>
      <c r="F98" s="672"/>
      <c r="G98" s="200">
        <v>6</v>
      </c>
      <c r="H98" s="202">
        <v>2249.9023674741015</v>
      </c>
      <c r="I98" s="203">
        <v>374.98372791235028</v>
      </c>
      <c r="J98" s="221">
        <f>I98-I73</f>
        <v>15.259329529417073</v>
      </c>
      <c r="K98" s="671" t="s">
        <v>555</v>
      </c>
      <c r="L98" s="672"/>
      <c r="O98" s="199"/>
      <c r="P98" s="424"/>
      <c r="Q98" s="424"/>
      <c r="R98" s="199"/>
    </row>
    <row r="99" spans="1:18" s="189" customFormat="1" ht="15.75" customHeight="1">
      <c r="A99" s="669"/>
      <c r="B99" s="670"/>
      <c r="C99" s="200">
        <v>3</v>
      </c>
      <c r="D99" s="671" t="s">
        <v>755</v>
      </c>
      <c r="E99" s="672"/>
      <c r="F99" s="672"/>
      <c r="G99" s="200">
        <v>6</v>
      </c>
      <c r="H99" s="202">
        <v>2178.7490525314856</v>
      </c>
      <c r="I99" s="203">
        <v>363.12484208858092</v>
      </c>
      <c r="J99" s="221"/>
      <c r="K99" s="671" t="s">
        <v>635</v>
      </c>
      <c r="L99" s="672"/>
      <c r="O99" s="199"/>
      <c r="P99" s="424"/>
      <c r="Q99" s="424"/>
      <c r="R99" s="199"/>
    </row>
    <row r="100" spans="1:18" s="189" customFormat="1" ht="15.75" customHeight="1">
      <c r="A100" s="669"/>
      <c r="B100" s="670"/>
      <c r="C100" s="200">
        <v>4</v>
      </c>
      <c r="D100" s="671" t="s">
        <v>658</v>
      </c>
      <c r="E100" s="672"/>
      <c r="F100" s="672"/>
      <c r="G100" s="200">
        <v>11</v>
      </c>
      <c r="H100" s="202">
        <v>2651.5180131291818</v>
      </c>
      <c r="I100" s="203">
        <v>241.0470921026529</v>
      </c>
      <c r="J100" s="221">
        <f>I100-I74</f>
        <v>-6.2337662337796473E-2</v>
      </c>
      <c r="K100" s="671" t="s">
        <v>456</v>
      </c>
      <c r="L100" s="672"/>
      <c r="O100" s="199"/>
      <c r="P100" s="424"/>
      <c r="Q100" s="424"/>
      <c r="R100" s="199"/>
    </row>
    <row r="101" spans="1:18" s="189" customFormat="1" ht="15.75" customHeight="1">
      <c r="A101" s="669"/>
      <c r="B101" s="670"/>
      <c r="C101" s="200">
        <v>5</v>
      </c>
      <c r="D101" s="671"/>
      <c r="E101" s="672"/>
      <c r="F101" s="672"/>
      <c r="G101" s="200"/>
      <c r="H101" s="202"/>
      <c r="I101" s="203"/>
      <c r="J101" s="200"/>
      <c r="K101" s="671"/>
      <c r="L101" s="672"/>
      <c r="O101" s="199"/>
      <c r="P101" s="424"/>
      <c r="Q101" s="424"/>
      <c r="R101" s="199"/>
    </row>
    <row r="102" spans="1:18" s="189" customFormat="1" ht="15.75" customHeight="1">
      <c r="A102" s="669"/>
      <c r="B102" s="670"/>
      <c r="C102" s="204" t="s">
        <v>204</v>
      </c>
      <c r="D102" s="671"/>
      <c r="E102" s="672"/>
      <c r="F102" s="672"/>
      <c r="G102" s="200"/>
      <c r="H102" s="202"/>
      <c r="I102" s="203"/>
      <c r="J102" s="200"/>
      <c r="K102" s="671"/>
      <c r="L102" s="672"/>
      <c r="O102" s="199"/>
      <c r="P102" s="424"/>
      <c r="Q102" s="424"/>
      <c r="R102" s="199"/>
    </row>
    <row r="103" spans="1:18" s="189" customFormat="1" ht="15.75" customHeight="1">
      <c r="A103" s="669"/>
      <c r="B103" s="670"/>
      <c r="C103" s="204" t="s">
        <v>209</v>
      </c>
      <c r="D103" s="671"/>
      <c r="E103" s="672"/>
      <c r="F103" s="672"/>
      <c r="G103" s="200"/>
      <c r="H103" s="202"/>
      <c r="I103" s="203"/>
      <c r="J103" s="200"/>
      <c r="K103" s="671"/>
      <c r="L103" s="672"/>
      <c r="O103" s="199"/>
      <c r="P103" s="424"/>
      <c r="Q103" s="424"/>
      <c r="R103" s="199"/>
    </row>
    <row r="104" spans="1:18" s="189" customFormat="1" ht="15.75" customHeight="1">
      <c r="A104" s="669"/>
      <c r="B104" s="670"/>
      <c r="C104" s="204" t="s">
        <v>205</v>
      </c>
      <c r="D104" s="671"/>
      <c r="E104" s="672"/>
      <c r="F104" s="672"/>
      <c r="G104" s="200"/>
      <c r="H104" s="202"/>
      <c r="I104" s="203"/>
      <c r="J104" s="200"/>
      <c r="K104" s="671"/>
      <c r="L104" s="672"/>
      <c r="O104" s="199"/>
      <c r="P104" s="424"/>
      <c r="Q104" s="424"/>
      <c r="R104" s="199"/>
    </row>
    <row r="105" spans="1:18" s="189" customFormat="1" ht="15.75" customHeight="1">
      <c r="A105" s="669"/>
      <c r="B105" s="670"/>
      <c r="C105" s="204" t="s">
        <v>210</v>
      </c>
      <c r="D105" s="671"/>
      <c r="E105" s="672"/>
      <c r="F105" s="672"/>
      <c r="G105" s="200"/>
      <c r="H105" s="202"/>
      <c r="I105" s="203"/>
      <c r="J105" s="200"/>
      <c r="K105" s="671"/>
      <c r="L105" s="672"/>
      <c r="O105" s="199"/>
      <c r="P105" s="424"/>
      <c r="Q105" s="424"/>
      <c r="R105" s="199"/>
    </row>
    <row r="106" spans="1:18" s="189" customFormat="1" ht="15.75" customHeight="1">
      <c r="A106" s="669"/>
      <c r="B106" s="670"/>
      <c r="C106" s="204" t="s">
        <v>211</v>
      </c>
      <c r="D106" s="671"/>
      <c r="E106" s="672"/>
      <c r="F106" s="672"/>
      <c r="G106" s="200"/>
      <c r="H106" s="202"/>
      <c r="I106" s="203"/>
      <c r="J106" s="200"/>
      <c r="K106" s="671"/>
      <c r="L106" s="672"/>
      <c r="O106" s="199"/>
      <c r="P106" s="424"/>
      <c r="Q106" s="424"/>
      <c r="R106" s="199"/>
    </row>
    <row r="107" spans="1:18" s="189" customFormat="1" ht="15.75" customHeight="1">
      <c r="A107" s="674" t="s">
        <v>773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78" customFormat="1" ht="16.350000000000001" customHeight="1">
      <c r="A109" s="669" t="s">
        <v>162</v>
      </c>
      <c r="B109" s="170">
        <v>1</v>
      </c>
      <c r="C109" s="170">
        <v>2</v>
      </c>
      <c r="D109" s="191">
        <v>3</v>
      </c>
      <c r="E109" s="191">
        <v>4</v>
      </c>
      <c r="F109" s="170">
        <v>5</v>
      </c>
      <c r="G109" s="170">
        <v>6</v>
      </c>
      <c r="H109" s="170">
        <v>7</v>
      </c>
      <c r="I109" s="170">
        <v>8</v>
      </c>
      <c r="J109" s="170">
        <v>9</v>
      </c>
      <c r="K109" s="192"/>
      <c r="L109" s="192"/>
      <c r="M109" s="193"/>
    </row>
    <row r="110" spans="1:18" s="189" customFormat="1" ht="16.350000000000001" customHeight="1">
      <c r="A110" s="669"/>
      <c r="B110" s="195" t="s">
        <v>206</v>
      </c>
      <c r="C110" s="195" t="s">
        <v>155</v>
      </c>
      <c r="D110" s="194" t="s">
        <v>207</v>
      </c>
      <c r="E110" s="194" t="s">
        <v>156</v>
      </c>
      <c r="F110" s="195" t="s">
        <v>355</v>
      </c>
      <c r="G110" s="196" t="s">
        <v>136</v>
      </c>
      <c r="H110" s="197" t="s">
        <v>208</v>
      </c>
      <c r="I110" s="196" t="s">
        <v>384</v>
      </c>
      <c r="J110" s="196" t="s">
        <v>142</v>
      </c>
      <c r="K110" s="198"/>
      <c r="L110" s="198"/>
      <c r="M110" s="190"/>
      <c r="N110" s="199"/>
      <c r="O110" s="199"/>
      <c r="P110" s="199"/>
      <c r="Q110" s="199"/>
      <c r="R110" s="199"/>
    </row>
    <row r="111" spans="1:18" s="178" customFormat="1" ht="15.75" customHeight="1">
      <c r="A111" s="670" t="s">
        <v>188</v>
      </c>
      <c r="B111" s="670"/>
      <c r="C111" s="160" t="s">
        <v>47</v>
      </c>
      <c r="D111" s="670" t="s">
        <v>12</v>
      </c>
      <c r="E111" s="675"/>
      <c r="F111" s="675"/>
      <c r="G111" s="160" t="s">
        <v>46</v>
      </c>
      <c r="H111" s="160" t="s">
        <v>385</v>
      </c>
      <c r="I111" s="160" t="s">
        <v>386</v>
      </c>
      <c r="J111" s="160" t="s">
        <v>332</v>
      </c>
      <c r="K111" s="670" t="s">
        <v>51</v>
      </c>
      <c r="L111" s="675"/>
      <c r="M111" s="193"/>
      <c r="N111" s="189"/>
      <c r="O111" s="199"/>
      <c r="P111" s="424"/>
      <c r="Q111" s="424"/>
      <c r="R111" s="199"/>
    </row>
    <row r="112" spans="1:18" s="189" customFormat="1" ht="15.75" customHeight="1">
      <c r="A112" s="669">
        <v>3</v>
      </c>
      <c r="B112" s="670" t="s">
        <v>388</v>
      </c>
      <c r="C112" s="200">
        <v>1</v>
      </c>
      <c r="D112" s="671" t="s">
        <v>531</v>
      </c>
      <c r="E112" s="672"/>
      <c r="F112" s="672"/>
      <c r="G112" s="200">
        <v>6</v>
      </c>
      <c r="H112" s="202">
        <v>3256.6607949676463</v>
      </c>
      <c r="I112" s="203">
        <v>542.77679916127431</v>
      </c>
      <c r="J112" s="221">
        <f>I112-I86</f>
        <v>-0.21986146037306753</v>
      </c>
      <c r="K112" s="671"/>
      <c r="L112" s="672"/>
      <c r="M112" s="190"/>
      <c r="O112" s="199"/>
      <c r="P112" s="424"/>
      <c r="Q112" s="424"/>
      <c r="R112" s="199"/>
    </row>
    <row r="113" spans="1:18" s="189" customFormat="1" ht="15.75" customHeight="1">
      <c r="A113" s="669"/>
      <c r="B113" s="670"/>
      <c r="C113" s="200">
        <v>2</v>
      </c>
      <c r="D113" s="671" t="s">
        <v>354</v>
      </c>
      <c r="E113" s="672"/>
      <c r="F113" s="672"/>
      <c r="G113" s="200">
        <v>21.714285714285715</v>
      </c>
      <c r="H113" s="202">
        <v>2585.9313186813188</v>
      </c>
      <c r="I113" s="203">
        <v>119.07861781076066</v>
      </c>
      <c r="J113" s="221">
        <f>I113-I87</f>
        <v>0.78466176680460364</v>
      </c>
      <c r="K113" s="671"/>
      <c r="L113" s="672"/>
      <c r="M113" s="190"/>
      <c r="O113" s="199"/>
      <c r="P113" s="424"/>
      <c r="Q113" s="424"/>
      <c r="R113" s="199"/>
    </row>
    <row r="114" spans="1:18" s="189" customFormat="1" ht="15.75" customHeight="1">
      <c r="A114" s="669"/>
      <c r="B114" s="670"/>
      <c r="C114" s="200">
        <v>3</v>
      </c>
      <c r="D114" s="671"/>
      <c r="E114" s="672"/>
      <c r="F114" s="672"/>
      <c r="G114" s="200"/>
      <c r="H114" s="202"/>
      <c r="I114" s="203"/>
      <c r="J114" s="200"/>
      <c r="K114" s="671"/>
      <c r="L114" s="672"/>
      <c r="M114" s="190"/>
      <c r="O114" s="199"/>
      <c r="P114" s="424"/>
      <c r="Q114" s="424"/>
      <c r="R114" s="199"/>
    </row>
    <row r="115" spans="1:18" s="189" customFormat="1" ht="15.75" customHeight="1">
      <c r="A115" s="669"/>
      <c r="B115" s="670"/>
      <c r="C115" s="200">
        <v>4</v>
      </c>
      <c r="D115" s="671"/>
      <c r="E115" s="672"/>
      <c r="F115" s="672"/>
      <c r="G115" s="200"/>
      <c r="H115" s="202"/>
      <c r="I115" s="203"/>
      <c r="J115" s="200"/>
      <c r="K115" s="671"/>
      <c r="L115" s="672"/>
      <c r="M115" s="190"/>
      <c r="O115" s="199"/>
      <c r="P115" s="424"/>
      <c r="Q115" s="424"/>
      <c r="R115" s="199"/>
    </row>
    <row r="116" spans="1:18" s="189" customFormat="1" ht="15.75" customHeight="1">
      <c r="A116" s="669"/>
      <c r="B116" s="670"/>
      <c r="C116" s="200">
        <v>5</v>
      </c>
      <c r="D116" s="671"/>
      <c r="E116" s="672"/>
      <c r="F116" s="672"/>
      <c r="G116" s="200"/>
      <c r="H116" s="202"/>
      <c r="I116" s="203"/>
      <c r="J116" s="200"/>
      <c r="K116" s="671"/>
      <c r="L116" s="672"/>
      <c r="M116" s="190"/>
      <c r="O116" s="199"/>
      <c r="P116" s="424"/>
      <c r="Q116" s="424"/>
      <c r="R116" s="199"/>
    </row>
    <row r="117" spans="1:18" s="189" customFormat="1" ht="15.75" customHeight="1">
      <c r="A117" s="669"/>
      <c r="B117" s="670"/>
      <c r="C117" s="204" t="s">
        <v>204</v>
      </c>
      <c r="D117" s="671"/>
      <c r="E117" s="672"/>
      <c r="F117" s="672"/>
      <c r="G117" s="200"/>
      <c r="H117" s="202"/>
      <c r="I117" s="203"/>
      <c r="J117" s="200"/>
      <c r="K117" s="671"/>
      <c r="L117" s="672"/>
      <c r="M117" s="190"/>
      <c r="O117" s="199"/>
      <c r="P117" s="424"/>
      <c r="Q117" s="424"/>
      <c r="R117" s="199"/>
    </row>
    <row r="118" spans="1:18" s="189" customFormat="1" ht="15.75" customHeight="1">
      <c r="A118" s="669"/>
      <c r="B118" s="670"/>
      <c r="C118" s="204" t="s">
        <v>209</v>
      </c>
      <c r="D118" s="671"/>
      <c r="E118" s="672"/>
      <c r="F118" s="672"/>
      <c r="G118" s="200"/>
      <c r="H118" s="202"/>
      <c r="I118" s="203"/>
      <c r="J118" s="200"/>
      <c r="K118" s="671"/>
      <c r="L118" s="672"/>
      <c r="M118" s="190"/>
      <c r="N118" s="178"/>
      <c r="O118" s="178"/>
      <c r="P118" s="423"/>
      <c r="Q118" s="423"/>
      <c r="R118" s="178"/>
    </row>
    <row r="119" spans="1:18" s="189" customFormat="1" ht="15.75" customHeight="1">
      <c r="A119" s="669"/>
      <c r="B119" s="670"/>
      <c r="C119" s="204" t="s">
        <v>205</v>
      </c>
      <c r="D119" s="671"/>
      <c r="E119" s="672"/>
      <c r="F119" s="672"/>
      <c r="G119" s="202"/>
      <c r="H119" s="202"/>
      <c r="I119" s="203"/>
      <c r="J119" s="200"/>
      <c r="K119" s="671"/>
      <c r="L119" s="672"/>
      <c r="M119" s="190"/>
      <c r="O119" s="199"/>
      <c r="P119" s="424"/>
      <c r="Q119" s="424"/>
      <c r="R119" s="199"/>
    </row>
    <row r="120" spans="1:18" s="189" customFormat="1" ht="15.75" customHeight="1">
      <c r="A120" s="669"/>
      <c r="B120" s="670"/>
      <c r="C120" s="204" t="s">
        <v>210</v>
      </c>
      <c r="D120" s="671"/>
      <c r="E120" s="672"/>
      <c r="F120" s="672"/>
      <c r="G120" s="200"/>
      <c r="H120" s="202"/>
      <c r="I120" s="203"/>
      <c r="J120" s="200"/>
      <c r="K120" s="671"/>
      <c r="L120" s="672"/>
      <c r="O120" s="199"/>
      <c r="P120" s="424"/>
      <c r="Q120" s="424"/>
      <c r="R120" s="199"/>
    </row>
    <row r="121" spans="1:18" s="189" customFormat="1" ht="15.75" customHeight="1">
      <c r="A121" s="669"/>
      <c r="B121" s="670"/>
      <c r="C121" s="204" t="s">
        <v>211</v>
      </c>
      <c r="D121" s="671"/>
      <c r="E121" s="672"/>
      <c r="F121" s="672"/>
      <c r="G121" s="200"/>
      <c r="H121" s="202"/>
      <c r="I121" s="203"/>
      <c r="J121" s="200"/>
      <c r="K121" s="671"/>
      <c r="L121" s="672"/>
      <c r="O121" s="199"/>
      <c r="P121" s="424"/>
      <c r="Q121" s="424"/>
      <c r="R121" s="199"/>
    </row>
    <row r="122" spans="1:18" s="199" customFormat="1" ht="15.75" customHeight="1">
      <c r="A122" s="667" t="s">
        <v>188</v>
      </c>
      <c r="B122" s="667"/>
      <c r="C122" s="207" t="s">
        <v>47</v>
      </c>
      <c r="D122" s="667" t="s">
        <v>12</v>
      </c>
      <c r="E122" s="668"/>
      <c r="F122" s="668"/>
      <c r="G122" s="207" t="s">
        <v>46</v>
      </c>
      <c r="H122" s="207" t="s">
        <v>385</v>
      </c>
      <c r="I122" s="207" t="s">
        <v>386</v>
      </c>
      <c r="J122" s="160" t="s">
        <v>332</v>
      </c>
      <c r="K122" s="667" t="s">
        <v>51</v>
      </c>
      <c r="L122" s="668"/>
      <c r="M122" s="208"/>
      <c r="N122" s="189"/>
      <c r="P122" s="424"/>
      <c r="Q122" s="424"/>
    </row>
    <row r="123" spans="1:18" s="189" customFormat="1" ht="15.75" customHeight="1">
      <c r="A123" s="669">
        <v>4</v>
      </c>
      <c r="B123" s="670" t="s">
        <v>156</v>
      </c>
      <c r="C123" s="200">
        <v>1</v>
      </c>
      <c r="D123" s="671" t="s">
        <v>755</v>
      </c>
      <c r="E123" s="672"/>
      <c r="F123" s="672"/>
      <c r="G123" s="200">
        <v>6</v>
      </c>
      <c r="H123" s="202">
        <v>2251.061397160694</v>
      </c>
      <c r="I123" s="203">
        <v>375.17689952678239</v>
      </c>
      <c r="J123" s="221">
        <f>I123-I98</f>
        <v>0.19317161443211717</v>
      </c>
      <c r="K123" s="671"/>
      <c r="L123" s="672"/>
      <c r="N123" s="199"/>
      <c r="O123" s="199"/>
      <c r="P123" s="424"/>
      <c r="Q123" s="424"/>
      <c r="R123" s="199"/>
    </row>
    <row r="124" spans="1:18" s="189" customFormat="1" ht="15.75" customHeight="1">
      <c r="A124" s="669"/>
      <c r="B124" s="670"/>
      <c r="C124" s="200">
        <v>2</v>
      </c>
      <c r="D124" s="671" t="s">
        <v>716</v>
      </c>
      <c r="E124" s="672"/>
      <c r="F124" s="672"/>
      <c r="G124" s="200">
        <v>6</v>
      </c>
      <c r="H124" s="202">
        <v>2250.7227073064419</v>
      </c>
      <c r="I124" s="203">
        <v>375.12045121774042</v>
      </c>
      <c r="J124" s="221">
        <f>I124-I98</f>
        <v>0.13672330539014865</v>
      </c>
      <c r="K124" s="671"/>
      <c r="L124" s="672"/>
      <c r="O124" s="199"/>
      <c r="P124" s="424"/>
      <c r="Q124" s="424"/>
      <c r="R124" s="199"/>
    </row>
    <row r="125" spans="1:18" s="189" customFormat="1" ht="15.75" customHeight="1">
      <c r="A125" s="669"/>
      <c r="B125" s="670"/>
      <c r="C125" s="200">
        <v>3</v>
      </c>
      <c r="D125" s="671" t="s">
        <v>658</v>
      </c>
      <c r="E125" s="672"/>
      <c r="F125" s="672"/>
      <c r="G125" s="200">
        <v>11</v>
      </c>
      <c r="H125" s="202">
        <v>2652.1180131291808</v>
      </c>
      <c r="I125" s="203">
        <v>241.10163755719825</v>
      </c>
      <c r="J125" s="221">
        <f>I125-I100</f>
        <v>5.4545454545348093E-2</v>
      </c>
      <c r="K125" s="671"/>
      <c r="L125" s="672"/>
      <c r="O125" s="199"/>
      <c r="P125" s="424"/>
      <c r="Q125" s="424"/>
      <c r="R125" s="199"/>
    </row>
    <row r="126" spans="1:18" s="189" customFormat="1" ht="15.75" customHeight="1">
      <c r="A126" s="669"/>
      <c r="B126" s="670"/>
      <c r="C126" s="200">
        <v>4</v>
      </c>
      <c r="D126" s="671"/>
      <c r="E126" s="672"/>
      <c r="F126" s="672"/>
      <c r="G126" s="200"/>
      <c r="H126" s="202"/>
      <c r="I126" s="203"/>
      <c r="J126" s="221"/>
      <c r="K126" s="671"/>
      <c r="L126" s="672"/>
      <c r="O126" s="199"/>
      <c r="P126" s="424"/>
      <c r="Q126" s="424"/>
      <c r="R126" s="199"/>
    </row>
    <row r="127" spans="1:18" s="189" customFormat="1" ht="15.75" customHeight="1">
      <c r="A127" s="669"/>
      <c r="B127" s="670"/>
      <c r="C127" s="200">
        <v>5</v>
      </c>
      <c r="D127" s="671"/>
      <c r="E127" s="672"/>
      <c r="F127" s="672"/>
      <c r="G127" s="200"/>
      <c r="H127" s="202"/>
      <c r="I127" s="203"/>
      <c r="J127" s="200"/>
      <c r="K127" s="671"/>
      <c r="L127" s="672"/>
      <c r="O127" s="199"/>
      <c r="P127" s="424"/>
      <c r="Q127" s="424"/>
      <c r="R127" s="199"/>
    </row>
    <row r="128" spans="1:18" s="189" customFormat="1" ht="15.75" customHeight="1">
      <c r="A128" s="669"/>
      <c r="B128" s="670"/>
      <c r="C128" s="204" t="s">
        <v>204</v>
      </c>
      <c r="D128" s="671"/>
      <c r="E128" s="672"/>
      <c r="F128" s="672"/>
      <c r="G128" s="200"/>
      <c r="H128" s="202"/>
      <c r="I128" s="203"/>
      <c r="J128" s="200"/>
      <c r="K128" s="671"/>
      <c r="L128" s="672"/>
      <c r="O128" s="199"/>
      <c r="P128" s="424"/>
      <c r="Q128" s="424"/>
      <c r="R128" s="199"/>
    </row>
    <row r="129" spans="1:18" s="189" customFormat="1" ht="15.75" customHeight="1">
      <c r="A129" s="669"/>
      <c r="B129" s="670"/>
      <c r="C129" s="204" t="s">
        <v>209</v>
      </c>
      <c r="D129" s="671"/>
      <c r="E129" s="672"/>
      <c r="F129" s="672"/>
      <c r="G129" s="200"/>
      <c r="H129" s="202"/>
      <c r="I129" s="203"/>
      <c r="J129" s="200"/>
      <c r="K129" s="671"/>
      <c r="L129" s="672"/>
      <c r="O129" s="199"/>
      <c r="P129" s="424"/>
      <c r="Q129" s="424"/>
      <c r="R129" s="199"/>
    </row>
    <row r="130" spans="1:18" s="189" customFormat="1" ht="15.75" customHeight="1">
      <c r="A130" s="669"/>
      <c r="B130" s="670"/>
      <c r="C130" s="204" t="s">
        <v>205</v>
      </c>
      <c r="D130" s="671"/>
      <c r="E130" s="672"/>
      <c r="F130" s="672"/>
      <c r="G130" s="200"/>
      <c r="H130" s="202"/>
      <c r="I130" s="203"/>
      <c r="J130" s="200"/>
      <c r="K130" s="671"/>
      <c r="L130" s="672"/>
      <c r="O130" s="199"/>
      <c r="P130" s="424"/>
      <c r="Q130" s="424"/>
      <c r="R130" s="199"/>
    </row>
    <row r="131" spans="1:18" s="189" customFormat="1" ht="15.75" customHeight="1">
      <c r="A131" s="669"/>
      <c r="B131" s="670"/>
      <c r="C131" s="204" t="s">
        <v>210</v>
      </c>
      <c r="D131" s="671"/>
      <c r="E131" s="672"/>
      <c r="F131" s="672"/>
      <c r="G131" s="200"/>
      <c r="H131" s="202"/>
      <c r="I131" s="203"/>
      <c r="J131" s="200"/>
      <c r="K131" s="671"/>
      <c r="L131" s="672"/>
      <c r="O131" s="199"/>
      <c r="P131" s="424"/>
      <c r="Q131" s="424"/>
      <c r="R131" s="199"/>
    </row>
    <row r="132" spans="1:18" s="189" customFormat="1" ht="15.75" customHeight="1">
      <c r="A132" s="669"/>
      <c r="B132" s="670"/>
      <c r="C132" s="204" t="s">
        <v>211</v>
      </c>
      <c r="D132" s="671"/>
      <c r="E132" s="672"/>
      <c r="F132" s="672"/>
      <c r="G132" s="200"/>
      <c r="H132" s="202"/>
      <c r="I132" s="203"/>
      <c r="J132" s="200"/>
      <c r="K132" s="671"/>
      <c r="L132" s="672"/>
      <c r="O132" s="199"/>
      <c r="P132" s="424"/>
      <c r="Q132" s="424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51:L51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A31:A32"/>
    <mergeCell ref="D27:F27"/>
    <mergeCell ref="K27:L27"/>
    <mergeCell ref="D28:F28"/>
    <mergeCell ref="K28:L28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2:F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33:B33"/>
    <mergeCell ref="D33:F33"/>
    <mergeCell ref="K33:L33"/>
    <mergeCell ref="K8:L8"/>
    <mergeCell ref="D9:F9"/>
    <mergeCell ref="K9:L9"/>
    <mergeCell ref="A29:L30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6:L16"/>
    <mergeCell ref="D17:F17"/>
    <mergeCell ref="K17:L17"/>
    <mergeCell ref="K50:L50"/>
    <mergeCell ref="D52:F52"/>
    <mergeCell ref="K52:L52"/>
    <mergeCell ref="D53:F53"/>
    <mergeCell ref="A1:L2"/>
    <mergeCell ref="K40:L40"/>
    <mergeCell ref="D41:F41"/>
    <mergeCell ref="K41:L41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53:L53"/>
    <mergeCell ref="D54:F54"/>
    <mergeCell ref="K54:L54"/>
    <mergeCell ref="D51:F51"/>
    <mergeCell ref="D40:F40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9">
    <tabColor rgb="FF92D050"/>
    <outlinePr summaryBelow="0" summaryRight="0"/>
  </sheetPr>
  <dimension ref="A1:R132"/>
  <sheetViews>
    <sheetView view="pageBreakPreview" topLeftCell="A103" zoomScaleNormal="60" zoomScaleSheetLayoutView="100" workbookViewId="0">
      <selection activeCell="J131" sqref="J131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08" t="s">
        <v>383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99"/>
    </row>
    <row r="2" spans="1:18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N2" s="190"/>
      <c r="O2" s="190"/>
      <c r="P2" s="190"/>
      <c r="Q2" s="190"/>
      <c r="R2" s="190"/>
    </row>
    <row r="3" spans="1:18" s="189" customFormat="1" ht="15.75" customHeight="1">
      <c r="A3" s="674" t="s">
        <v>619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06" customFormat="1" ht="16.350000000000001" customHeight="1">
      <c r="A5" s="669" t="s">
        <v>162</v>
      </c>
      <c r="B5" s="170">
        <v>1</v>
      </c>
      <c r="C5" s="170">
        <v>2</v>
      </c>
      <c r="D5" s="170">
        <v>3</v>
      </c>
      <c r="E5" s="170">
        <v>4</v>
      </c>
      <c r="F5" s="191">
        <v>5</v>
      </c>
      <c r="G5" s="191">
        <v>6</v>
      </c>
      <c r="H5" s="170">
        <v>7</v>
      </c>
      <c r="I5" s="170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69"/>
      <c r="B6" s="195" t="s">
        <v>206</v>
      </c>
      <c r="C6" s="195" t="s">
        <v>155</v>
      </c>
      <c r="D6" s="195" t="s">
        <v>207</v>
      </c>
      <c r="E6" s="195" t="s">
        <v>156</v>
      </c>
      <c r="F6" s="194" t="s">
        <v>355</v>
      </c>
      <c r="G6" s="209" t="s">
        <v>136</v>
      </c>
      <c r="H6" s="197" t="s">
        <v>208</v>
      </c>
      <c r="I6" s="196" t="s">
        <v>384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70" t="s">
        <v>188</v>
      </c>
      <c r="B7" s="670"/>
      <c r="C7" s="160" t="s">
        <v>47</v>
      </c>
      <c r="D7" s="670" t="s">
        <v>12</v>
      </c>
      <c r="E7" s="675"/>
      <c r="F7" s="675"/>
      <c r="G7" s="160" t="s">
        <v>46</v>
      </c>
      <c r="H7" s="160" t="s">
        <v>385</v>
      </c>
      <c r="I7" s="160" t="s">
        <v>386</v>
      </c>
      <c r="J7" s="160" t="s">
        <v>332</v>
      </c>
      <c r="K7" s="670" t="s">
        <v>51</v>
      </c>
      <c r="L7" s="675"/>
      <c r="M7" s="127"/>
      <c r="N7" s="189"/>
      <c r="O7" s="199"/>
      <c r="P7" s="424"/>
      <c r="Q7" s="424"/>
      <c r="R7" s="199"/>
    </row>
    <row r="8" spans="1:18" ht="15.75" customHeight="1">
      <c r="A8" s="669">
        <v>5</v>
      </c>
      <c r="B8" s="670" t="s">
        <v>355</v>
      </c>
      <c r="C8" s="200">
        <v>1</v>
      </c>
      <c r="D8" s="671" t="s">
        <v>473</v>
      </c>
      <c r="E8" s="672"/>
      <c r="F8" s="672"/>
      <c r="G8" s="202">
        <v>20</v>
      </c>
      <c r="H8" s="202">
        <v>1787.6833225479334</v>
      </c>
      <c r="I8" s="203">
        <v>89.384166127396682</v>
      </c>
      <c r="J8" s="373">
        <v>3.7062005609215021E-2</v>
      </c>
      <c r="K8" s="677" t="s">
        <v>456</v>
      </c>
      <c r="L8" s="678"/>
      <c r="O8" s="425"/>
      <c r="P8" s="424"/>
      <c r="Q8" s="424"/>
      <c r="R8" s="199"/>
    </row>
    <row r="9" spans="1:18" ht="15.75" customHeight="1">
      <c r="A9" s="669"/>
      <c r="B9" s="670"/>
      <c r="C9" s="200">
        <v>2</v>
      </c>
      <c r="D9" s="671" t="s">
        <v>534</v>
      </c>
      <c r="E9" s="672"/>
      <c r="F9" s="672"/>
      <c r="G9" s="202">
        <v>20</v>
      </c>
      <c r="H9" s="202">
        <v>1786.6316446739627</v>
      </c>
      <c r="I9" s="203">
        <v>89.331582233698143</v>
      </c>
      <c r="J9" s="373">
        <v>2.9160724998760656E-2</v>
      </c>
      <c r="K9" s="677" t="s">
        <v>456</v>
      </c>
      <c r="L9" s="678"/>
      <c r="O9" s="425"/>
      <c r="P9" s="424"/>
      <c r="Q9" s="424"/>
      <c r="R9" s="199"/>
    </row>
    <row r="10" spans="1:18" ht="15.75" customHeight="1">
      <c r="A10" s="669"/>
      <c r="B10" s="670"/>
      <c r="C10" s="200">
        <v>3</v>
      </c>
      <c r="D10" s="671" t="s">
        <v>495</v>
      </c>
      <c r="E10" s="672"/>
      <c r="F10" s="672"/>
      <c r="G10" s="202">
        <v>19</v>
      </c>
      <c r="H10" s="202">
        <v>1606.138385538095</v>
      </c>
      <c r="I10" s="203">
        <v>84.533599238847117</v>
      </c>
      <c r="J10" s="373">
        <v>9.970887887476465E-3</v>
      </c>
      <c r="K10" s="677" t="s">
        <v>456</v>
      </c>
      <c r="L10" s="678"/>
      <c r="O10" s="425"/>
      <c r="P10" s="424"/>
      <c r="Q10" s="424"/>
      <c r="R10" s="199"/>
    </row>
    <row r="11" spans="1:18" ht="15.75" customHeight="1">
      <c r="A11" s="669"/>
      <c r="B11" s="670"/>
      <c r="C11" s="200">
        <v>4</v>
      </c>
      <c r="D11" s="671" t="s">
        <v>345</v>
      </c>
      <c r="E11" s="672"/>
      <c r="F11" s="672"/>
      <c r="G11" s="202">
        <v>23</v>
      </c>
      <c r="H11" s="202">
        <v>1789.618373605475</v>
      </c>
      <c r="I11" s="203">
        <v>77.809494504585857</v>
      </c>
      <c r="J11" s="373">
        <v>4.8264045693258595E-2</v>
      </c>
      <c r="K11" s="677" t="s">
        <v>456</v>
      </c>
      <c r="L11" s="678"/>
      <c r="O11" s="425"/>
      <c r="P11" s="424"/>
      <c r="Q11" s="424"/>
      <c r="R11" s="199"/>
    </row>
    <row r="12" spans="1:18" ht="15.75" customHeight="1">
      <c r="A12" s="669"/>
      <c r="B12" s="670"/>
      <c r="C12" s="200">
        <v>5</v>
      </c>
      <c r="D12" s="671" t="s">
        <v>343</v>
      </c>
      <c r="E12" s="672"/>
      <c r="F12" s="672"/>
      <c r="G12" s="202">
        <v>23</v>
      </c>
      <c r="H12" s="202">
        <v>1787.7124237029086</v>
      </c>
      <c r="I12" s="203">
        <v>77.726627117517751</v>
      </c>
      <c r="J12" s="373">
        <v>2.1719320075007431E-2</v>
      </c>
      <c r="K12" s="677" t="s">
        <v>456</v>
      </c>
      <c r="L12" s="678"/>
      <c r="O12" s="425"/>
      <c r="P12" s="424"/>
      <c r="Q12" s="424"/>
      <c r="R12" s="199"/>
    </row>
    <row r="13" spans="1:18" ht="15.75" customHeight="1">
      <c r="A13" s="669"/>
      <c r="B13" s="670"/>
      <c r="C13" s="204" t="s">
        <v>204</v>
      </c>
      <c r="D13" s="671" t="s">
        <v>344</v>
      </c>
      <c r="E13" s="672"/>
      <c r="F13" s="672"/>
      <c r="G13" s="202">
        <v>24</v>
      </c>
      <c r="H13" s="202">
        <v>1785.5616371524959</v>
      </c>
      <c r="I13" s="203">
        <v>74.398401548020658</v>
      </c>
      <c r="J13" s="373">
        <v>1.5960358681269327E-2</v>
      </c>
      <c r="K13" s="677" t="s">
        <v>456</v>
      </c>
      <c r="L13" s="678"/>
      <c r="O13" s="425"/>
      <c r="P13" s="424"/>
      <c r="Q13" s="424"/>
      <c r="R13" s="199"/>
    </row>
    <row r="14" spans="1:18" ht="15.75" customHeight="1">
      <c r="A14" s="669"/>
      <c r="B14" s="670"/>
      <c r="C14" s="204" t="s">
        <v>209</v>
      </c>
      <c r="D14" s="671" t="s">
        <v>533</v>
      </c>
      <c r="E14" s="672"/>
      <c r="F14" s="672"/>
      <c r="G14" s="202">
        <v>21</v>
      </c>
      <c r="H14" s="202">
        <v>1606.6644565081072</v>
      </c>
      <c r="I14" s="203">
        <v>76.507831262290807</v>
      </c>
      <c r="J14" s="373">
        <v>2.5940521688383456E-2</v>
      </c>
      <c r="K14" s="677" t="s">
        <v>456</v>
      </c>
      <c r="L14" s="678"/>
      <c r="N14" s="178"/>
      <c r="O14" s="426"/>
      <c r="P14" s="423"/>
      <c r="Q14" s="423"/>
      <c r="R14" s="178"/>
    </row>
    <row r="15" spans="1:18" ht="15.75" customHeight="1">
      <c r="A15" s="669"/>
      <c r="B15" s="670"/>
      <c r="C15" s="204" t="s">
        <v>205</v>
      </c>
      <c r="D15" s="671" t="s">
        <v>356</v>
      </c>
      <c r="E15" s="672"/>
      <c r="F15" s="672"/>
      <c r="G15" s="202">
        <v>23</v>
      </c>
      <c r="H15" s="202">
        <v>1787.6415234531344</v>
      </c>
      <c r="I15" s="203">
        <v>77.723544497962379</v>
      </c>
      <c r="J15" s="373">
        <v>4.9897800569226547E-2</v>
      </c>
      <c r="K15" s="677" t="s">
        <v>456</v>
      </c>
      <c r="L15" s="678"/>
      <c r="O15" s="425"/>
      <c r="P15" s="424"/>
      <c r="Q15" s="424"/>
      <c r="R15" s="199"/>
    </row>
    <row r="16" spans="1:18" ht="15.75" customHeight="1">
      <c r="A16" s="669"/>
      <c r="B16" s="670"/>
      <c r="C16" s="204" t="s">
        <v>210</v>
      </c>
      <c r="D16" s="671"/>
      <c r="E16" s="672"/>
      <c r="F16" s="672"/>
      <c r="G16" s="202"/>
      <c r="H16" s="202"/>
      <c r="I16" s="203"/>
      <c r="J16" s="200"/>
      <c r="K16" s="671"/>
      <c r="L16" s="672"/>
      <c r="M16" s="99"/>
      <c r="O16" s="425"/>
      <c r="P16" s="424"/>
      <c r="Q16" s="424"/>
      <c r="R16" s="199"/>
    </row>
    <row r="17" spans="1:18" ht="15.75" customHeight="1">
      <c r="A17" s="669"/>
      <c r="B17" s="670"/>
      <c r="C17" s="204" t="s">
        <v>211</v>
      </c>
      <c r="D17" s="671"/>
      <c r="E17" s="672"/>
      <c r="F17" s="672"/>
      <c r="G17" s="202"/>
      <c r="H17" s="202"/>
      <c r="I17" s="203"/>
      <c r="J17" s="200"/>
      <c r="K17" s="671"/>
      <c r="L17" s="672"/>
      <c r="M17" s="99"/>
      <c r="O17" s="425"/>
      <c r="P17" s="424"/>
      <c r="Q17" s="424"/>
      <c r="R17" s="199"/>
    </row>
    <row r="18" spans="1:18" s="104" customFormat="1" ht="15.75" customHeight="1">
      <c r="A18" s="667" t="s">
        <v>188</v>
      </c>
      <c r="B18" s="667"/>
      <c r="C18" s="207" t="s">
        <v>47</v>
      </c>
      <c r="D18" s="667" t="s">
        <v>12</v>
      </c>
      <c r="E18" s="668"/>
      <c r="F18" s="668"/>
      <c r="G18" s="207" t="s">
        <v>46</v>
      </c>
      <c r="H18" s="207" t="s">
        <v>385</v>
      </c>
      <c r="I18" s="207" t="s">
        <v>386</v>
      </c>
      <c r="J18" s="160" t="s">
        <v>332</v>
      </c>
      <c r="K18" s="667" t="s">
        <v>51</v>
      </c>
      <c r="L18" s="668"/>
      <c r="M18" s="128"/>
      <c r="N18" s="189"/>
      <c r="O18" s="425"/>
      <c r="P18" s="424"/>
      <c r="Q18" s="424"/>
      <c r="R18" s="199"/>
    </row>
    <row r="19" spans="1:18" ht="15.75" customHeight="1">
      <c r="A19" s="669">
        <v>6</v>
      </c>
      <c r="B19" s="670" t="s">
        <v>136</v>
      </c>
      <c r="C19" s="200">
        <v>1</v>
      </c>
      <c r="D19" s="671" t="s">
        <v>469</v>
      </c>
      <c r="E19" s="672"/>
      <c r="F19" s="672"/>
      <c r="G19" s="200">
        <v>20</v>
      </c>
      <c r="H19" s="202">
        <v>1786.5812924932718</v>
      </c>
      <c r="I19" s="203">
        <v>89.329064624663573</v>
      </c>
      <c r="J19" s="373">
        <v>3.8493592369945873E-3</v>
      </c>
      <c r="K19" s="677" t="s">
        <v>456</v>
      </c>
      <c r="L19" s="678"/>
      <c r="M19" s="99"/>
      <c r="N19" s="199"/>
      <c r="O19" s="199"/>
      <c r="P19" s="424"/>
      <c r="Q19" s="424"/>
      <c r="R19" s="199"/>
    </row>
    <row r="20" spans="1:18" ht="15.75" customHeight="1">
      <c r="A20" s="669"/>
      <c r="B20" s="670"/>
      <c r="C20" s="200">
        <v>2</v>
      </c>
      <c r="D20" s="671" t="s">
        <v>465</v>
      </c>
      <c r="E20" s="672"/>
      <c r="F20" s="672"/>
      <c r="G20" s="202">
        <v>22</v>
      </c>
      <c r="H20" s="202">
        <v>1786.9212392650302</v>
      </c>
      <c r="I20" s="203">
        <v>81.223692693865019</v>
      </c>
      <c r="J20" s="373">
        <v>3.781442174512506E-2</v>
      </c>
      <c r="K20" s="677" t="s">
        <v>456</v>
      </c>
      <c r="L20" s="678"/>
      <c r="M20" s="99"/>
      <c r="O20" s="199"/>
      <c r="P20" s="424"/>
      <c r="Q20" s="424"/>
      <c r="R20" s="199"/>
    </row>
    <row r="21" spans="1:18" ht="15.75" customHeight="1">
      <c r="A21" s="669"/>
      <c r="B21" s="670"/>
      <c r="C21" s="200">
        <v>3</v>
      </c>
      <c r="D21" s="671" t="s">
        <v>358</v>
      </c>
      <c r="E21" s="672"/>
      <c r="F21" s="672"/>
      <c r="G21" s="202">
        <v>22</v>
      </c>
      <c r="H21" s="202">
        <v>1785.620885200128</v>
      </c>
      <c r="I21" s="203">
        <v>81.164585690914919</v>
      </c>
      <c r="J21" s="373">
        <v>2.4842921442555621E-2</v>
      </c>
      <c r="K21" s="677" t="s">
        <v>456</v>
      </c>
      <c r="L21" s="678"/>
      <c r="M21" s="99"/>
      <c r="O21" s="199"/>
      <c r="P21" s="424"/>
      <c r="Q21" s="424"/>
      <c r="R21" s="199"/>
    </row>
    <row r="22" spans="1:18" ht="15.75" customHeight="1">
      <c r="A22" s="669"/>
      <c r="B22" s="670"/>
      <c r="C22" s="200">
        <v>4</v>
      </c>
      <c r="D22" s="671" t="s">
        <v>357</v>
      </c>
      <c r="E22" s="672"/>
      <c r="F22" s="672"/>
      <c r="G22" s="200">
        <v>23</v>
      </c>
      <c r="H22" s="202">
        <v>1787.9928578261026</v>
      </c>
      <c r="I22" s="203">
        <v>77.738819905482728</v>
      </c>
      <c r="J22" s="373">
        <v>2.1695860490993368E-2</v>
      </c>
      <c r="K22" s="677" t="s">
        <v>456</v>
      </c>
      <c r="L22" s="678"/>
      <c r="M22" s="99"/>
      <c r="O22" s="199"/>
      <c r="P22" s="424"/>
      <c r="Q22" s="424"/>
      <c r="R22" s="199"/>
    </row>
    <row r="23" spans="1:18" ht="15.75" customHeight="1">
      <c r="A23" s="669"/>
      <c r="B23" s="670"/>
      <c r="C23" s="200">
        <v>5</v>
      </c>
      <c r="D23" s="671" t="s">
        <v>360</v>
      </c>
      <c r="E23" s="672"/>
      <c r="F23" s="672"/>
      <c r="G23" s="202">
        <v>23</v>
      </c>
      <c r="H23" s="202">
        <v>1787.4499121608512</v>
      </c>
      <c r="I23" s="203">
        <v>77.715213572210914</v>
      </c>
      <c r="J23" s="373">
        <v>2.7288153613994837E-2</v>
      </c>
      <c r="K23" s="677" t="s">
        <v>456</v>
      </c>
      <c r="L23" s="678"/>
      <c r="M23" s="99"/>
      <c r="O23" s="199"/>
      <c r="P23" s="424"/>
      <c r="Q23" s="424"/>
      <c r="R23" s="199"/>
    </row>
    <row r="24" spans="1:18" ht="15.75" customHeight="1">
      <c r="A24" s="669"/>
      <c r="B24" s="670"/>
      <c r="C24" s="204" t="s">
        <v>204</v>
      </c>
      <c r="D24" s="671" t="s">
        <v>618</v>
      </c>
      <c r="E24" s="672"/>
      <c r="F24" s="672"/>
      <c r="G24" s="200">
        <v>26</v>
      </c>
      <c r="H24" s="202">
        <v>1728.4722467230793</v>
      </c>
      <c r="I24" s="203">
        <v>66.4797017970415</v>
      </c>
      <c r="J24" s="373"/>
      <c r="K24" s="680" t="s">
        <v>635</v>
      </c>
      <c r="L24" s="678"/>
      <c r="M24" s="99"/>
      <c r="O24" s="199"/>
      <c r="P24" s="424"/>
      <c r="Q24" s="424"/>
      <c r="R24" s="199"/>
    </row>
    <row r="25" spans="1:18" ht="15.75" customHeight="1">
      <c r="A25" s="669"/>
      <c r="B25" s="670"/>
      <c r="C25" s="204" t="s">
        <v>209</v>
      </c>
      <c r="D25" s="671" t="s">
        <v>359</v>
      </c>
      <c r="E25" s="672"/>
      <c r="F25" s="672"/>
      <c r="G25" s="200">
        <v>24</v>
      </c>
      <c r="H25" s="202">
        <v>1786.1484704633092</v>
      </c>
      <c r="I25" s="203">
        <v>74.422852935971221</v>
      </c>
      <c r="J25" s="373">
        <v>6.2437936596069221E-3</v>
      </c>
      <c r="K25" s="677" t="s">
        <v>456</v>
      </c>
      <c r="L25" s="678"/>
      <c r="M25" s="99"/>
      <c r="O25" s="199"/>
      <c r="P25" s="424"/>
      <c r="Q25" s="424"/>
      <c r="R25" s="199"/>
    </row>
    <row r="26" spans="1:18" ht="15.75" customHeight="1">
      <c r="A26" s="669"/>
      <c r="B26" s="670"/>
      <c r="C26" s="204" t="s">
        <v>205</v>
      </c>
      <c r="D26" s="671" t="s">
        <v>361</v>
      </c>
      <c r="E26" s="672"/>
      <c r="F26" s="672"/>
      <c r="G26" s="200">
        <v>24</v>
      </c>
      <c r="H26" s="202">
        <v>1787.5785261132012</v>
      </c>
      <c r="I26" s="203">
        <v>74.482438588050044</v>
      </c>
      <c r="J26" s="373">
        <v>3.5688459588527621E-2</v>
      </c>
      <c r="K26" s="677" t="s">
        <v>456</v>
      </c>
      <c r="L26" s="678"/>
      <c r="M26" s="99"/>
      <c r="O26" s="199"/>
      <c r="P26" s="424"/>
      <c r="Q26" s="424"/>
      <c r="R26" s="199"/>
    </row>
    <row r="27" spans="1:18" ht="15.75" customHeight="1">
      <c r="A27" s="669"/>
      <c r="B27" s="670"/>
      <c r="C27" s="204" t="s">
        <v>210</v>
      </c>
      <c r="D27" s="671" t="s">
        <v>462</v>
      </c>
      <c r="E27" s="672"/>
      <c r="F27" s="672"/>
      <c r="G27" s="200">
        <v>23</v>
      </c>
      <c r="H27" s="202">
        <v>1786.0387092886963</v>
      </c>
      <c r="I27" s="203">
        <v>77.653856925595505</v>
      </c>
      <c r="J27" s="373">
        <v>2.3604647891456665</v>
      </c>
      <c r="K27" s="671" t="s">
        <v>556</v>
      </c>
      <c r="L27" s="672"/>
      <c r="M27" s="99"/>
      <c r="O27" s="199"/>
      <c r="P27" s="424"/>
      <c r="Q27" s="424"/>
      <c r="R27" s="199"/>
    </row>
    <row r="28" spans="1:18" ht="15.75" customHeight="1">
      <c r="A28" s="669"/>
      <c r="B28" s="670"/>
      <c r="C28" s="204" t="s">
        <v>211</v>
      </c>
      <c r="D28" s="671"/>
      <c r="E28" s="672"/>
      <c r="F28" s="672"/>
      <c r="G28" s="200"/>
      <c r="H28" s="202"/>
      <c r="I28" s="203"/>
      <c r="J28" s="200"/>
      <c r="K28" s="671"/>
      <c r="L28" s="672"/>
      <c r="M28" s="99"/>
      <c r="O28" s="199"/>
      <c r="P28" s="424"/>
      <c r="Q28" s="424"/>
      <c r="R28" s="199"/>
    </row>
    <row r="29" spans="1:18" ht="15.75" customHeight="1">
      <c r="A29" s="674" t="s">
        <v>659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  <c r="M29" s="99"/>
    </row>
    <row r="30" spans="1:18" s="10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  <c r="N30" s="190"/>
      <c r="O30" s="190"/>
      <c r="P30" s="190"/>
      <c r="Q30" s="190"/>
      <c r="R30" s="190"/>
    </row>
    <row r="31" spans="1:18" s="106" customFormat="1" ht="16.350000000000001" customHeight="1">
      <c r="A31" s="669" t="s">
        <v>162</v>
      </c>
      <c r="B31" s="170">
        <v>1</v>
      </c>
      <c r="C31" s="170">
        <v>2</v>
      </c>
      <c r="D31" s="170">
        <v>3</v>
      </c>
      <c r="E31" s="170">
        <v>4</v>
      </c>
      <c r="F31" s="191">
        <v>5</v>
      </c>
      <c r="G31" s="191">
        <v>6</v>
      </c>
      <c r="H31" s="170">
        <v>7</v>
      </c>
      <c r="I31" s="170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69"/>
      <c r="B32" s="195" t="s">
        <v>206</v>
      </c>
      <c r="C32" s="195" t="s">
        <v>155</v>
      </c>
      <c r="D32" s="195" t="s">
        <v>207</v>
      </c>
      <c r="E32" s="195" t="s">
        <v>156</v>
      </c>
      <c r="F32" s="194" t="s">
        <v>355</v>
      </c>
      <c r="G32" s="209" t="s">
        <v>136</v>
      </c>
      <c r="H32" s="197" t="s">
        <v>208</v>
      </c>
      <c r="I32" s="196" t="s">
        <v>384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70" t="s">
        <v>188</v>
      </c>
      <c r="B33" s="670"/>
      <c r="C33" s="160" t="s">
        <v>47</v>
      </c>
      <c r="D33" s="670" t="s">
        <v>12</v>
      </c>
      <c r="E33" s="675"/>
      <c r="F33" s="675"/>
      <c r="G33" s="160" t="s">
        <v>46</v>
      </c>
      <c r="H33" s="160" t="s">
        <v>385</v>
      </c>
      <c r="I33" s="160" t="s">
        <v>386</v>
      </c>
      <c r="J33" s="160" t="s">
        <v>332</v>
      </c>
      <c r="K33" s="670" t="s">
        <v>51</v>
      </c>
      <c r="L33" s="675"/>
      <c r="M33" s="127"/>
      <c r="N33" s="189"/>
      <c r="O33" s="199"/>
      <c r="P33" s="424"/>
      <c r="Q33" s="424"/>
      <c r="R33" s="199"/>
    </row>
    <row r="34" spans="1:18" ht="15.75" customHeight="1">
      <c r="A34" s="669">
        <v>5</v>
      </c>
      <c r="B34" s="670" t="s">
        <v>355</v>
      </c>
      <c r="C34" s="200">
        <v>1</v>
      </c>
      <c r="D34" s="671" t="s">
        <v>473</v>
      </c>
      <c r="E34" s="672"/>
      <c r="F34" s="672"/>
      <c r="G34" s="202">
        <v>20</v>
      </c>
      <c r="H34" s="202">
        <v>1787.0489243034135</v>
      </c>
      <c r="I34" s="203">
        <v>89.352446215170659</v>
      </c>
      <c r="J34" s="373">
        <f t="shared" ref="J34:J41" si="0">I34-I8</f>
        <v>-3.1719912226023439E-2</v>
      </c>
      <c r="K34" s="677" t="s">
        <v>456</v>
      </c>
      <c r="L34" s="678"/>
      <c r="O34" s="425"/>
      <c r="P34" s="424"/>
      <c r="Q34" s="424"/>
      <c r="R34" s="199"/>
    </row>
    <row r="35" spans="1:18" ht="15.75" customHeight="1">
      <c r="A35" s="669"/>
      <c r="B35" s="670"/>
      <c r="C35" s="200">
        <v>2</v>
      </c>
      <c r="D35" s="671" t="s">
        <v>534</v>
      </c>
      <c r="E35" s="672"/>
      <c r="F35" s="672"/>
      <c r="G35" s="202">
        <v>20</v>
      </c>
      <c r="H35" s="202">
        <v>1786.8484834808712</v>
      </c>
      <c r="I35" s="203">
        <v>89.342424174043572</v>
      </c>
      <c r="J35" s="373">
        <f t="shared" si="0"/>
        <v>1.084194034542918E-2</v>
      </c>
      <c r="K35" s="677" t="s">
        <v>456</v>
      </c>
      <c r="L35" s="678"/>
      <c r="O35" s="425"/>
      <c r="P35" s="424"/>
      <c r="Q35" s="424"/>
      <c r="R35" s="199"/>
    </row>
    <row r="36" spans="1:18" ht="15.75" customHeight="1">
      <c r="A36" s="669"/>
      <c r="B36" s="670"/>
      <c r="C36" s="200">
        <v>3</v>
      </c>
      <c r="D36" s="671" t="s">
        <v>495</v>
      </c>
      <c r="E36" s="672"/>
      <c r="F36" s="672"/>
      <c r="G36" s="202">
        <v>19</v>
      </c>
      <c r="H36" s="202">
        <v>1606.9609559721014</v>
      </c>
      <c r="I36" s="203">
        <v>84.576892419584297</v>
      </c>
      <c r="J36" s="373">
        <f t="shared" si="0"/>
        <v>4.3293180737180137E-2</v>
      </c>
      <c r="K36" s="677" t="s">
        <v>456</v>
      </c>
      <c r="L36" s="678"/>
      <c r="O36" s="425"/>
      <c r="P36" s="424"/>
      <c r="Q36" s="424"/>
      <c r="R36" s="199"/>
    </row>
    <row r="37" spans="1:18" ht="15.75" customHeight="1">
      <c r="A37" s="669"/>
      <c r="B37" s="670"/>
      <c r="C37" s="200">
        <v>4</v>
      </c>
      <c r="D37" s="671" t="s">
        <v>345</v>
      </c>
      <c r="E37" s="672"/>
      <c r="F37" s="672"/>
      <c r="G37" s="202">
        <v>23</v>
      </c>
      <c r="H37" s="202">
        <v>1789.9258533190828</v>
      </c>
      <c r="I37" s="203">
        <v>77.822863187786197</v>
      </c>
      <c r="J37" s="373">
        <f t="shared" si="0"/>
        <v>1.336868320034057E-2</v>
      </c>
      <c r="K37" s="677" t="s">
        <v>456</v>
      </c>
      <c r="L37" s="678"/>
      <c r="O37" s="425"/>
      <c r="P37" s="424"/>
      <c r="Q37" s="424"/>
      <c r="R37" s="199"/>
    </row>
    <row r="38" spans="1:18" ht="15.75" customHeight="1">
      <c r="A38" s="669"/>
      <c r="B38" s="670"/>
      <c r="C38" s="200">
        <v>5</v>
      </c>
      <c r="D38" s="671" t="s">
        <v>343</v>
      </c>
      <c r="E38" s="672"/>
      <c r="F38" s="672"/>
      <c r="G38" s="202">
        <v>23</v>
      </c>
      <c r="H38" s="202">
        <v>1789.1262279315683</v>
      </c>
      <c r="I38" s="203">
        <v>77.788096866589939</v>
      </c>
      <c r="J38" s="373">
        <f t="shared" si="0"/>
        <v>6.1469749072188051E-2</v>
      </c>
      <c r="K38" s="677" t="s">
        <v>456</v>
      </c>
      <c r="L38" s="678"/>
      <c r="O38" s="425"/>
      <c r="P38" s="424"/>
      <c r="Q38" s="424"/>
      <c r="R38" s="199"/>
    </row>
    <row r="39" spans="1:18" ht="15.75" customHeight="1">
      <c r="A39" s="669"/>
      <c r="B39" s="670"/>
      <c r="C39" s="204" t="s">
        <v>204</v>
      </c>
      <c r="D39" s="671" t="s">
        <v>344</v>
      </c>
      <c r="E39" s="672"/>
      <c r="F39" s="672"/>
      <c r="G39" s="202">
        <v>24</v>
      </c>
      <c r="H39" s="202">
        <v>1784.4472714435858</v>
      </c>
      <c r="I39" s="203">
        <v>74.351969643482718</v>
      </c>
      <c r="J39" s="373">
        <f t="shared" si="0"/>
        <v>-4.6431904537939772E-2</v>
      </c>
      <c r="K39" s="677" t="s">
        <v>456</v>
      </c>
      <c r="L39" s="678"/>
      <c r="O39" s="425"/>
      <c r="P39" s="424"/>
      <c r="Q39" s="424"/>
      <c r="R39" s="199"/>
    </row>
    <row r="40" spans="1:18" ht="15.75" customHeight="1">
      <c r="A40" s="669"/>
      <c r="B40" s="670"/>
      <c r="C40" s="204" t="s">
        <v>209</v>
      </c>
      <c r="D40" s="671" t="s">
        <v>533</v>
      </c>
      <c r="E40" s="672"/>
      <c r="F40" s="672"/>
      <c r="G40" s="202">
        <v>21</v>
      </c>
      <c r="H40" s="202">
        <v>1606.7959111775167</v>
      </c>
      <c r="I40" s="203">
        <v>76.514091008453178</v>
      </c>
      <c r="J40" s="373">
        <f t="shared" si="0"/>
        <v>6.259746162371016E-3</v>
      </c>
      <c r="K40" s="677" t="s">
        <v>456</v>
      </c>
      <c r="L40" s="678"/>
      <c r="N40" s="178"/>
      <c r="O40" s="426"/>
      <c r="P40" s="423"/>
      <c r="Q40" s="423"/>
      <c r="R40" s="178"/>
    </row>
    <row r="41" spans="1:18" ht="15.75" customHeight="1">
      <c r="A41" s="669"/>
      <c r="B41" s="670"/>
      <c r="C41" s="204" t="s">
        <v>205</v>
      </c>
      <c r="D41" s="671" t="s">
        <v>356</v>
      </c>
      <c r="E41" s="672"/>
      <c r="F41" s="672"/>
      <c r="G41" s="202">
        <v>23</v>
      </c>
      <c r="H41" s="202">
        <v>1788.8604209252978</v>
      </c>
      <c r="I41" s="203">
        <v>77.776540040230344</v>
      </c>
      <c r="J41" s="373">
        <f t="shared" si="0"/>
        <v>5.2995542267964879E-2</v>
      </c>
      <c r="K41" s="677" t="s">
        <v>456</v>
      </c>
      <c r="L41" s="678"/>
      <c r="O41" s="425"/>
      <c r="P41" s="424"/>
      <c r="Q41" s="424"/>
      <c r="R41" s="199"/>
    </row>
    <row r="42" spans="1:18" ht="15.75" customHeight="1">
      <c r="A42" s="669"/>
      <c r="B42" s="670"/>
      <c r="C42" s="204" t="s">
        <v>210</v>
      </c>
      <c r="D42" s="671"/>
      <c r="E42" s="672"/>
      <c r="F42" s="672"/>
      <c r="G42" s="202"/>
      <c r="H42" s="202"/>
      <c r="I42" s="203"/>
      <c r="J42" s="200"/>
      <c r="K42" s="671"/>
      <c r="L42" s="672"/>
      <c r="M42" s="99"/>
      <c r="O42" s="425"/>
      <c r="P42" s="424"/>
      <c r="Q42" s="424"/>
      <c r="R42" s="199"/>
    </row>
    <row r="43" spans="1:18" ht="15.75" customHeight="1">
      <c r="A43" s="669"/>
      <c r="B43" s="670"/>
      <c r="C43" s="204" t="s">
        <v>211</v>
      </c>
      <c r="D43" s="671"/>
      <c r="E43" s="672"/>
      <c r="F43" s="672"/>
      <c r="G43" s="202"/>
      <c r="H43" s="202"/>
      <c r="I43" s="203"/>
      <c r="J43" s="200"/>
      <c r="K43" s="671"/>
      <c r="L43" s="672"/>
      <c r="M43" s="99"/>
      <c r="O43" s="425"/>
      <c r="P43" s="424"/>
      <c r="Q43" s="424"/>
      <c r="R43" s="199"/>
    </row>
    <row r="44" spans="1:18" s="104" customFormat="1" ht="15.75" customHeight="1">
      <c r="A44" s="667" t="s">
        <v>188</v>
      </c>
      <c r="B44" s="667"/>
      <c r="C44" s="207" t="s">
        <v>47</v>
      </c>
      <c r="D44" s="667" t="s">
        <v>12</v>
      </c>
      <c r="E44" s="668"/>
      <c r="F44" s="668"/>
      <c r="G44" s="207" t="s">
        <v>46</v>
      </c>
      <c r="H44" s="207" t="s">
        <v>385</v>
      </c>
      <c r="I44" s="207" t="s">
        <v>386</v>
      </c>
      <c r="J44" s="160" t="s">
        <v>332</v>
      </c>
      <c r="K44" s="667" t="s">
        <v>51</v>
      </c>
      <c r="L44" s="668"/>
      <c r="M44" s="128"/>
      <c r="N44" s="189"/>
      <c r="O44" s="425"/>
      <c r="P44" s="424"/>
      <c r="Q44" s="424"/>
      <c r="R44" s="199"/>
    </row>
    <row r="45" spans="1:18" ht="15.75" customHeight="1">
      <c r="A45" s="669">
        <v>6</v>
      </c>
      <c r="B45" s="670" t="s">
        <v>136</v>
      </c>
      <c r="C45" s="200">
        <v>1</v>
      </c>
      <c r="D45" s="671" t="s">
        <v>469</v>
      </c>
      <c r="E45" s="672"/>
      <c r="F45" s="672"/>
      <c r="G45" s="200">
        <v>20</v>
      </c>
      <c r="H45" s="202">
        <v>1786.1128226599915</v>
      </c>
      <c r="I45" s="203">
        <v>89.305641132999568</v>
      </c>
      <c r="J45" s="373">
        <f t="shared" ref="J45:J53" si="1">I45-I19</f>
        <v>-2.3423491664004814E-2</v>
      </c>
      <c r="K45" s="677" t="s">
        <v>456</v>
      </c>
      <c r="L45" s="678"/>
      <c r="M45" s="99"/>
      <c r="N45" s="199"/>
      <c r="O45" s="199"/>
      <c r="P45" s="424"/>
      <c r="Q45" s="424"/>
      <c r="R45" s="199"/>
    </row>
    <row r="46" spans="1:18" ht="15.75" customHeight="1">
      <c r="A46" s="669"/>
      <c r="B46" s="670"/>
      <c r="C46" s="200">
        <v>2</v>
      </c>
      <c r="D46" s="671" t="s">
        <v>465</v>
      </c>
      <c r="E46" s="672"/>
      <c r="F46" s="672"/>
      <c r="G46" s="202">
        <v>22</v>
      </c>
      <c r="H46" s="202">
        <v>1788.244769614457</v>
      </c>
      <c r="I46" s="203">
        <v>81.283853164293504</v>
      </c>
      <c r="J46" s="373">
        <f t="shared" si="1"/>
        <v>6.0160470428485269E-2</v>
      </c>
      <c r="K46" s="677" t="s">
        <v>456</v>
      </c>
      <c r="L46" s="678"/>
      <c r="M46" s="99"/>
      <c r="O46" s="199"/>
      <c r="P46" s="424"/>
      <c r="Q46" s="424"/>
      <c r="R46" s="199"/>
    </row>
    <row r="47" spans="1:18" ht="15.75" customHeight="1">
      <c r="A47" s="669"/>
      <c r="B47" s="670"/>
      <c r="C47" s="200">
        <v>3</v>
      </c>
      <c r="D47" s="671" t="s">
        <v>358</v>
      </c>
      <c r="E47" s="672"/>
      <c r="F47" s="672"/>
      <c r="G47" s="202">
        <v>22</v>
      </c>
      <c r="H47" s="202">
        <v>1785.9161297450648</v>
      </c>
      <c r="I47" s="203">
        <v>81.178005897502956</v>
      </c>
      <c r="J47" s="373">
        <f t="shared" si="1"/>
        <v>1.3420206588037331E-2</v>
      </c>
      <c r="K47" s="677" t="s">
        <v>456</v>
      </c>
      <c r="L47" s="678"/>
      <c r="M47" s="99"/>
      <c r="O47" s="199"/>
      <c r="P47" s="424"/>
      <c r="Q47" s="424"/>
      <c r="R47" s="199"/>
    </row>
    <row r="48" spans="1:18" ht="15.75" customHeight="1">
      <c r="A48" s="669"/>
      <c r="B48" s="670"/>
      <c r="C48" s="200">
        <v>4</v>
      </c>
      <c r="D48" s="671" t="s">
        <v>357</v>
      </c>
      <c r="E48" s="672"/>
      <c r="F48" s="672"/>
      <c r="G48" s="200">
        <v>23</v>
      </c>
      <c r="H48" s="202">
        <v>1788.4471917465064</v>
      </c>
      <c r="I48" s="203">
        <v>77.75857355419592</v>
      </c>
      <c r="J48" s="373">
        <f t="shared" si="1"/>
        <v>1.9753648713191296E-2</v>
      </c>
      <c r="K48" s="677" t="s">
        <v>456</v>
      </c>
      <c r="L48" s="678"/>
      <c r="M48" s="99"/>
      <c r="O48" s="199"/>
      <c r="P48" s="424"/>
      <c r="Q48" s="424"/>
      <c r="R48" s="199"/>
    </row>
    <row r="49" spans="1:18" ht="15.75" customHeight="1">
      <c r="A49" s="669"/>
      <c r="B49" s="670"/>
      <c r="C49" s="200">
        <v>5</v>
      </c>
      <c r="D49" s="671" t="s">
        <v>360</v>
      </c>
      <c r="E49" s="672"/>
      <c r="F49" s="672"/>
      <c r="G49" s="202">
        <v>23</v>
      </c>
      <c r="H49" s="202">
        <v>1788.3917239082814</v>
      </c>
      <c r="I49" s="203">
        <v>77.756161909055692</v>
      </c>
      <c r="J49" s="373">
        <f t="shared" si="1"/>
        <v>4.0948336844778055E-2</v>
      </c>
      <c r="K49" s="677" t="s">
        <v>456</v>
      </c>
      <c r="L49" s="678"/>
      <c r="M49" s="99"/>
      <c r="O49" s="199"/>
      <c r="P49" s="424"/>
      <c r="Q49" s="424"/>
      <c r="R49" s="199"/>
    </row>
    <row r="50" spans="1:18" ht="15.75" customHeight="1">
      <c r="A50" s="669"/>
      <c r="B50" s="670"/>
      <c r="C50" s="204" t="s">
        <v>204</v>
      </c>
      <c r="D50" s="679" t="s">
        <v>618</v>
      </c>
      <c r="E50" s="672"/>
      <c r="F50" s="672"/>
      <c r="G50" s="200">
        <v>26</v>
      </c>
      <c r="H50" s="202">
        <v>1787.8988944162677</v>
      </c>
      <c r="I50" s="203">
        <v>68.765342092933366</v>
      </c>
      <c r="J50" s="373">
        <f t="shared" si="1"/>
        <v>2.2856402958918665</v>
      </c>
      <c r="K50" s="671" t="s">
        <v>555</v>
      </c>
      <c r="L50" s="672"/>
      <c r="M50" s="99"/>
      <c r="O50" s="199"/>
      <c r="P50" s="424"/>
      <c r="Q50" s="424"/>
      <c r="R50" s="199"/>
    </row>
    <row r="51" spans="1:18" ht="15.75" customHeight="1">
      <c r="A51" s="669"/>
      <c r="B51" s="670"/>
      <c r="C51" s="204" t="s">
        <v>209</v>
      </c>
      <c r="D51" s="679" t="s">
        <v>359</v>
      </c>
      <c r="E51" s="672"/>
      <c r="F51" s="672"/>
      <c r="G51" s="200">
        <v>24</v>
      </c>
      <c r="H51" s="202">
        <v>1786.8477129593189</v>
      </c>
      <c r="I51" s="203">
        <v>74.451988039971624</v>
      </c>
      <c r="J51" s="373">
        <f t="shared" si="1"/>
        <v>2.9135104000403089E-2</v>
      </c>
      <c r="K51" s="677" t="s">
        <v>456</v>
      </c>
      <c r="L51" s="678"/>
      <c r="M51" s="99"/>
      <c r="O51" s="199"/>
      <c r="P51" s="424"/>
      <c r="Q51" s="424"/>
      <c r="R51" s="199"/>
    </row>
    <row r="52" spans="1:18" ht="15.75" customHeight="1">
      <c r="A52" s="669"/>
      <c r="B52" s="670"/>
      <c r="C52" s="204" t="s">
        <v>205</v>
      </c>
      <c r="D52" s="679" t="s">
        <v>361</v>
      </c>
      <c r="E52" s="672"/>
      <c r="F52" s="672"/>
      <c r="G52" s="200">
        <v>24</v>
      </c>
      <c r="H52" s="202">
        <v>1787.1977553145255</v>
      </c>
      <c r="I52" s="203">
        <v>74.466573138105218</v>
      </c>
      <c r="J52" s="373">
        <f t="shared" si="1"/>
        <v>-1.5865449944826082E-2</v>
      </c>
      <c r="K52" s="677" t="s">
        <v>456</v>
      </c>
      <c r="L52" s="678"/>
      <c r="M52" s="99"/>
      <c r="O52" s="199"/>
      <c r="P52" s="424"/>
      <c r="Q52" s="424"/>
      <c r="R52" s="199"/>
    </row>
    <row r="53" spans="1:18" ht="15.75" customHeight="1">
      <c r="A53" s="669"/>
      <c r="B53" s="670"/>
      <c r="C53" s="204" t="s">
        <v>210</v>
      </c>
      <c r="D53" s="679" t="s">
        <v>462</v>
      </c>
      <c r="E53" s="672"/>
      <c r="F53" s="672"/>
      <c r="G53" s="200">
        <v>23</v>
      </c>
      <c r="H53" s="202">
        <v>1787.3422351812794</v>
      </c>
      <c r="I53" s="203">
        <v>77.710531964403444</v>
      </c>
      <c r="J53" s="373">
        <f t="shared" si="1"/>
        <v>5.6675038807938449E-2</v>
      </c>
      <c r="K53" s="677" t="s">
        <v>456</v>
      </c>
      <c r="L53" s="678"/>
      <c r="M53" s="99"/>
      <c r="O53" s="199"/>
      <c r="P53" s="424"/>
      <c r="Q53" s="424"/>
      <c r="R53" s="199"/>
    </row>
    <row r="54" spans="1:18" ht="15.75" customHeight="1">
      <c r="A54" s="669"/>
      <c r="B54" s="670"/>
      <c r="C54" s="204" t="s">
        <v>211</v>
      </c>
      <c r="D54" s="671"/>
      <c r="E54" s="672"/>
      <c r="F54" s="672"/>
      <c r="G54" s="200"/>
      <c r="H54" s="202"/>
      <c r="I54" s="203"/>
      <c r="J54" s="200"/>
      <c r="K54" s="671"/>
      <c r="L54" s="672"/>
      <c r="M54" s="99"/>
      <c r="O54" s="199"/>
      <c r="P54" s="424"/>
      <c r="Q54" s="424"/>
      <c r="R54" s="199"/>
    </row>
    <row r="55" spans="1:18" s="189" customFormat="1" ht="15.75" customHeight="1">
      <c r="A55" s="674" t="s">
        <v>721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06" customFormat="1" ht="16.350000000000001" customHeight="1">
      <c r="A57" s="669" t="s">
        <v>162</v>
      </c>
      <c r="B57" s="170">
        <v>1</v>
      </c>
      <c r="C57" s="170">
        <v>2</v>
      </c>
      <c r="D57" s="170">
        <v>3</v>
      </c>
      <c r="E57" s="170">
        <v>4</v>
      </c>
      <c r="F57" s="191">
        <v>5</v>
      </c>
      <c r="G57" s="191">
        <v>6</v>
      </c>
      <c r="H57" s="170">
        <v>7</v>
      </c>
      <c r="I57" s="170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69"/>
      <c r="B58" s="195" t="s">
        <v>206</v>
      </c>
      <c r="C58" s="195" t="s">
        <v>155</v>
      </c>
      <c r="D58" s="195" t="s">
        <v>207</v>
      </c>
      <c r="E58" s="195" t="s">
        <v>156</v>
      </c>
      <c r="F58" s="194" t="s">
        <v>355</v>
      </c>
      <c r="G58" s="209" t="s">
        <v>136</v>
      </c>
      <c r="H58" s="197" t="s">
        <v>208</v>
      </c>
      <c r="I58" s="196" t="s">
        <v>384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70" t="s">
        <v>188</v>
      </c>
      <c r="B59" s="670"/>
      <c r="C59" s="160" t="s">
        <v>47</v>
      </c>
      <c r="D59" s="670" t="s">
        <v>12</v>
      </c>
      <c r="E59" s="675"/>
      <c r="F59" s="675"/>
      <c r="G59" s="160" t="s">
        <v>46</v>
      </c>
      <c r="H59" s="160" t="s">
        <v>385</v>
      </c>
      <c r="I59" s="160" t="s">
        <v>386</v>
      </c>
      <c r="J59" s="160" t="s">
        <v>332</v>
      </c>
      <c r="K59" s="670" t="s">
        <v>51</v>
      </c>
      <c r="L59" s="675"/>
      <c r="M59" s="127"/>
      <c r="N59" s="189"/>
      <c r="O59" s="199"/>
      <c r="P59" s="424"/>
      <c r="Q59" s="424"/>
      <c r="R59" s="199"/>
    </row>
    <row r="60" spans="1:18" ht="15.75" customHeight="1">
      <c r="A60" s="669">
        <v>5</v>
      </c>
      <c r="B60" s="670" t="s">
        <v>355</v>
      </c>
      <c r="C60" s="200">
        <v>1</v>
      </c>
      <c r="D60" s="671" t="s">
        <v>717</v>
      </c>
      <c r="E60" s="672"/>
      <c r="F60" s="672"/>
      <c r="G60" s="202">
        <v>16</v>
      </c>
      <c r="H60" s="202">
        <v>1630</v>
      </c>
      <c r="I60" s="203">
        <v>101.875</v>
      </c>
      <c r="J60" s="373"/>
      <c r="K60" s="671" t="s">
        <v>635</v>
      </c>
      <c r="L60" s="672"/>
      <c r="O60" s="425"/>
      <c r="P60" s="424"/>
      <c r="Q60" s="424"/>
      <c r="R60" s="199"/>
    </row>
    <row r="61" spans="1:18" ht="15.75" customHeight="1">
      <c r="A61" s="669"/>
      <c r="B61" s="670"/>
      <c r="C61" s="200">
        <v>2</v>
      </c>
      <c r="D61" s="671" t="s">
        <v>473</v>
      </c>
      <c r="E61" s="672"/>
      <c r="F61" s="672"/>
      <c r="G61" s="202">
        <v>20</v>
      </c>
      <c r="H61" s="202">
        <v>1786</v>
      </c>
      <c r="I61" s="203">
        <v>89.299999999999983</v>
      </c>
      <c r="J61" s="373">
        <f>I61-I34</f>
        <v>-5.2446215170675714E-2</v>
      </c>
      <c r="K61" s="677" t="s">
        <v>456</v>
      </c>
      <c r="L61" s="678"/>
      <c r="O61" s="425"/>
      <c r="P61" s="424"/>
      <c r="Q61" s="424"/>
      <c r="R61" s="199"/>
    </row>
    <row r="62" spans="1:18" ht="15.75" customHeight="1">
      <c r="A62" s="669"/>
      <c r="B62" s="670"/>
      <c r="C62" s="200">
        <v>3</v>
      </c>
      <c r="D62" s="671" t="s">
        <v>534</v>
      </c>
      <c r="E62" s="672"/>
      <c r="F62" s="672"/>
      <c r="G62" s="202">
        <v>20</v>
      </c>
      <c r="H62" s="202">
        <v>1785.6521522145993</v>
      </c>
      <c r="I62" s="203">
        <v>89.282607610729954</v>
      </c>
      <c r="J62" s="373">
        <f>I62-I35</f>
        <v>-5.9816563313617621E-2</v>
      </c>
      <c r="K62" s="677" t="s">
        <v>456</v>
      </c>
      <c r="L62" s="678"/>
      <c r="O62" s="425"/>
      <c r="P62" s="424"/>
      <c r="Q62" s="424"/>
      <c r="R62" s="199"/>
    </row>
    <row r="63" spans="1:18" ht="15.75" customHeight="1">
      <c r="A63" s="669"/>
      <c r="B63" s="670"/>
      <c r="C63" s="200">
        <v>4</v>
      </c>
      <c r="D63" s="671" t="s">
        <v>495</v>
      </c>
      <c r="E63" s="672"/>
      <c r="F63" s="672"/>
      <c r="G63" s="202">
        <v>19</v>
      </c>
      <c r="H63" s="202">
        <v>1606.8857142857175</v>
      </c>
      <c r="I63" s="203">
        <v>84.572932330827243</v>
      </c>
      <c r="J63" s="373">
        <f>I63-I36</f>
        <v>-3.9600887570543364E-3</v>
      </c>
      <c r="K63" s="677" t="s">
        <v>456</v>
      </c>
      <c r="L63" s="678"/>
      <c r="O63" s="425"/>
      <c r="P63" s="424"/>
      <c r="Q63" s="424"/>
      <c r="R63" s="199"/>
    </row>
    <row r="64" spans="1:18" ht="15.75" customHeight="1">
      <c r="A64" s="669"/>
      <c r="B64" s="670"/>
      <c r="C64" s="200">
        <v>5</v>
      </c>
      <c r="D64" s="671" t="s">
        <v>343</v>
      </c>
      <c r="E64" s="672"/>
      <c r="F64" s="672"/>
      <c r="G64" s="202">
        <v>23</v>
      </c>
      <c r="H64" s="202">
        <v>1790.0464587282399</v>
      </c>
      <c r="I64" s="203">
        <v>77.828106901227827</v>
      </c>
      <c r="J64" s="373">
        <f>I64-I38</f>
        <v>4.001003463788777E-2</v>
      </c>
      <c r="K64" s="677" t="s">
        <v>456</v>
      </c>
      <c r="L64" s="678"/>
      <c r="O64" s="425"/>
      <c r="P64" s="424"/>
      <c r="Q64" s="424"/>
      <c r="R64" s="199"/>
    </row>
    <row r="65" spans="1:18" ht="15.75" customHeight="1">
      <c r="A65" s="669"/>
      <c r="B65" s="670"/>
      <c r="C65" s="204" t="s">
        <v>204</v>
      </c>
      <c r="D65" s="671" t="s">
        <v>344</v>
      </c>
      <c r="E65" s="672"/>
      <c r="F65" s="672"/>
      <c r="G65" s="202">
        <v>24</v>
      </c>
      <c r="H65" s="202">
        <v>1781.8156567890328</v>
      </c>
      <c r="I65" s="203">
        <v>74.242319032876367</v>
      </c>
      <c r="J65" s="373">
        <f>I65-I39</f>
        <v>-0.10965061060635151</v>
      </c>
      <c r="K65" s="677" t="s">
        <v>456</v>
      </c>
      <c r="L65" s="678"/>
      <c r="N65" s="178"/>
      <c r="O65" s="426"/>
      <c r="P65" s="423"/>
      <c r="Q65" s="423"/>
      <c r="R65" s="178"/>
    </row>
    <row r="66" spans="1:18" ht="15.75" customHeight="1">
      <c r="A66" s="669"/>
      <c r="B66" s="670"/>
      <c r="C66" s="204" t="s">
        <v>209</v>
      </c>
      <c r="D66" s="671" t="s">
        <v>533</v>
      </c>
      <c r="E66" s="672"/>
      <c r="F66" s="672"/>
      <c r="G66" s="202">
        <v>21</v>
      </c>
      <c r="H66" s="202">
        <v>1606.6266496190656</v>
      </c>
      <c r="I66" s="203">
        <v>76.506030934241195</v>
      </c>
      <c r="J66" s="373">
        <f>I66-I40</f>
        <v>-8.0600742119827373E-3</v>
      </c>
      <c r="K66" s="677" t="s">
        <v>456</v>
      </c>
      <c r="L66" s="678"/>
      <c r="O66" s="425"/>
      <c r="P66" s="424"/>
      <c r="Q66" s="424"/>
      <c r="R66" s="199"/>
    </row>
    <row r="67" spans="1:18" ht="15.75" customHeight="1">
      <c r="A67" s="669"/>
      <c r="B67" s="670"/>
      <c r="C67" s="204" t="s">
        <v>205</v>
      </c>
      <c r="D67" s="671" t="s">
        <v>345</v>
      </c>
      <c r="E67" s="672"/>
      <c r="F67" s="672"/>
      <c r="G67" s="202">
        <v>23</v>
      </c>
      <c r="H67" s="202">
        <v>1787.5695343330704</v>
      </c>
      <c r="I67" s="203">
        <v>77.72041453622046</v>
      </c>
      <c r="J67" s="373">
        <f>I67-I37</f>
        <v>-0.10244865156573724</v>
      </c>
      <c r="K67" s="677" t="s">
        <v>456</v>
      </c>
      <c r="L67" s="678"/>
      <c r="O67" s="425"/>
      <c r="P67" s="424"/>
      <c r="Q67" s="424"/>
      <c r="R67" s="199"/>
    </row>
    <row r="68" spans="1:18" ht="15.75" customHeight="1">
      <c r="A68" s="669"/>
      <c r="B68" s="670"/>
      <c r="C68" s="204" t="s">
        <v>210</v>
      </c>
      <c r="D68" s="671" t="s">
        <v>356</v>
      </c>
      <c r="E68" s="672"/>
      <c r="F68" s="672"/>
      <c r="G68" s="202">
        <v>23</v>
      </c>
      <c r="H68" s="202">
        <v>1789.2212968471126</v>
      </c>
      <c r="I68" s="203">
        <v>77.79223029770057</v>
      </c>
      <c r="J68" s="373">
        <f>I68-I41</f>
        <v>1.5690257470225788E-2</v>
      </c>
      <c r="K68" s="677" t="s">
        <v>456</v>
      </c>
      <c r="L68" s="678"/>
      <c r="M68" s="99"/>
      <c r="O68" s="425"/>
      <c r="P68" s="424"/>
      <c r="Q68" s="424"/>
      <c r="R68" s="199"/>
    </row>
    <row r="69" spans="1:18" ht="15.75" customHeight="1">
      <c r="A69" s="669"/>
      <c r="B69" s="670"/>
      <c r="C69" s="204" t="s">
        <v>211</v>
      </c>
      <c r="D69" s="671"/>
      <c r="E69" s="672"/>
      <c r="F69" s="672"/>
      <c r="G69" s="202"/>
      <c r="H69" s="202"/>
      <c r="I69" s="203"/>
      <c r="J69" s="200"/>
      <c r="K69" s="671"/>
      <c r="L69" s="672"/>
      <c r="M69" s="99"/>
      <c r="O69" s="425"/>
      <c r="P69" s="424"/>
      <c r="Q69" s="424"/>
      <c r="R69" s="199"/>
    </row>
    <row r="70" spans="1:18" s="104" customFormat="1" ht="15.75" customHeight="1">
      <c r="A70" s="667" t="s">
        <v>188</v>
      </c>
      <c r="B70" s="667"/>
      <c r="C70" s="207" t="s">
        <v>47</v>
      </c>
      <c r="D70" s="667" t="s">
        <v>12</v>
      </c>
      <c r="E70" s="668"/>
      <c r="F70" s="668"/>
      <c r="G70" s="207" t="s">
        <v>46</v>
      </c>
      <c r="H70" s="207" t="s">
        <v>385</v>
      </c>
      <c r="I70" s="207" t="s">
        <v>386</v>
      </c>
      <c r="J70" s="160" t="s">
        <v>332</v>
      </c>
      <c r="K70" s="667" t="s">
        <v>51</v>
      </c>
      <c r="L70" s="668"/>
      <c r="M70" s="128"/>
      <c r="N70" s="189"/>
      <c r="O70" s="425"/>
      <c r="P70" s="424"/>
      <c r="Q70" s="424"/>
      <c r="R70" s="199"/>
    </row>
    <row r="71" spans="1:18" ht="15.75" customHeight="1">
      <c r="A71" s="669">
        <v>6</v>
      </c>
      <c r="B71" s="670" t="s">
        <v>136</v>
      </c>
      <c r="C71" s="200">
        <v>1</v>
      </c>
      <c r="D71" s="671" t="s">
        <v>469</v>
      </c>
      <c r="E71" s="672"/>
      <c r="F71" s="672"/>
      <c r="G71" s="200">
        <v>20</v>
      </c>
      <c r="H71" s="202">
        <v>1784.467523872554</v>
      </c>
      <c r="I71" s="203">
        <v>89.223376193627715</v>
      </c>
      <c r="J71" s="373">
        <f>I71-I45</f>
        <v>-8.2264939371853529E-2</v>
      </c>
      <c r="K71" s="677" t="s">
        <v>456</v>
      </c>
      <c r="L71" s="678"/>
      <c r="M71" s="99"/>
      <c r="N71" s="199"/>
      <c r="O71" s="199"/>
      <c r="P71" s="424"/>
      <c r="Q71" s="424"/>
      <c r="R71" s="199"/>
    </row>
    <row r="72" spans="1:18" ht="15.75" customHeight="1">
      <c r="A72" s="669"/>
      <c r="B72" s="670"/>
      <c r="C72" s="200">
        <v>2</v>
      </c>
      <c r="D72" s="671" t="s">
        <v>358</v>
      </c>
      <c r="E72" s="672"/>
      <c r="F72" s="672"/>
      <c r="G72" s="202">
        <v>21.428571428571427</v>
      </c>
      <c r="H72" s="202">
        <v>1785.8857142857144</v>
      </c>
      <c r="I72" s="203">
        <v>83.385405071119365</v>
      </c>
      <c r="J72" s="373">
        <f>I72-I47</f>
        <v>2.2073991736164089</v>
      </c>
      <c r="K72" s="671" t="s">
        <v>556</v>
      </c>
      <c r="L72" s="672"/>
      <c r="M72" s="99"/>
      <c r="O72" s="199"/>
      <c r="P72" s="424"/>
      <c r="Q72" s="424"/>
      <c r="R72" s="199"/>
    </row>
    <row r="73" spans="1:18" ht="15.75" customHeight="1">
      <c r="A73" s="669"/>
      <c r="B73" s="670"/>
      <c r="C73" s="200">
        <v>3</v>
      </c>
      <c r="D73" s="671" t="s">
        <v>465</v>
      </c>
      <c r="E73" s="672"/>
      <c r="F73" s="672"/>
      <c r="G73" s="202">
        <v>22</v>
      </c>
      <c r="H73" s="202">
        <v>1788.1183893305977</v>
      </c>
      <c r="I73" s="203">
        <v>81.278108605936282</v>
      </c>
      <c r="J73" s="373">
        <f>I73-I46</f>
        <v>-5.7445583572217629E-3</v>
      </c>
      <c r="K73" s="677" t="s">
        <v>456</v>
      </c>
      <c r="L73" s="678"/>
      <c r="M73" s="99"/>
      <c r="O73" s="199"/>
      <c r="P73" s="424"/>
      <c r="Q73" s="424"/>
      <c r="R73" s="199"/>
    </row>
    <row r="74" spans="1:18" ht="15.75" customHeight="1">
      <c r="A74" s="669"/>
      <c r="B74" s="670"/>
      <c r="C74" s="200">
        <v>4</v>
      </c>
      <c r="D74" s="671" t="s">
        <v>462</v>
      </c>
      <c r="E74" s="672"/>
      <c r="F74" s="672"/>
      <c r="G74" s="200">
        <v>23</v>
      </c>
      <c r="H74" s="202">
        <v>1789.7923250564304</v>
      </c>
      <c r="I74" s="203">
        <v>77.817057611149153</v>
      </c>
      <c r="J74" s="373">
        <f>I74-I53</f>
        <v>0.10652564674570897</v>
      </c>
      <c r="K74" s="677" t="s">
        <v>456</v>
      </c>
      <c r="L74" s="678"/>
      <c r="M74" s="99"/>
      <c r="O74" s="199"/>
      <c r="P74" s="424"/>
      <c r="Q74" s="424"/>
      <c r="R74" s="199"/>
    </row>
    <row r="75" spans="1:18" ht="15.75" customHeight="1">
      <c r="A75" s="669"/>
      <c r="B75" s="670"/>
      <c r="C75" s="200">
        <v>5</v>
      </c>
      <c r="D75" s="671" t="s">
        <v>357</v>
      </c>
      <c r="E75" s="672"/>
      <c r="F75" s="672"/>
      <c r="G75" s="202">
        <v>23</v>
      </c>
      <c r="H75" s="202">
        <v>1789.7213139801374</v>
      </c>
      <c r="I75" s="203">
        <v>77.813970173049455</v>
      </c>
      <c r="J75" s="373">
        <f>I75-I48</f>
        <v>5.5396618853535529E-2</v>
      </c>
      <c r="K75" s="677" t="s">
        <v>456</v>
      </c>
      <c r="L75" s="678"/>
      <c r="M75" s="99"/>
      <c r="O75" s="199"/>
      <c r="P75" s="424"/>
      <c r="Q75" s="424"/>
      <c r="R75" s="199"/>
    </row>
    <row r="76" spans="1:18" ht="15.75" customHeight="1">
      <c r="A76" s="669"/>
      <c r="B76" s="670"/>
      <c r="C76" s="204" t="s">
        <v>204</v>
      </c>
      <c r="D76" s="671" t="s">
        <v>618</v>
      </c>
      <c r="E76" s="672"/>
      <c r="F76" s="672"/>
      <c r="G76" s="200">
        <v>26</v>
      </c>
      <c r="H76" s="202">
        <v>1789.1947740209851</v>
      </c>
      <c r="I76" s="203">
        <v>68.815183616191732</v>
      </c>
      <c r="J76" s="373">
        <f>I76-I50</f>
        <v>4.9841523258365328E-2</v>
      </c>
      <c r="K76" s="677" t="s">
        <v>456</v>
      </c>
      <c r="L76" s="678"/>
      <c r="M76" s="99"/>
      <c r="O76" s="199"/>
      <c r="P76" s="424"/>
      <c r="Q76" s="424"/>
      <c r="R76" s="199"/>
    </row>
    <row r="77" spans="1:18" ht="15.75" customHeight="1">
      <c r="A77" s="669"/>
      <c r="B77" s="670"/>
      <c r="C77" s="204" t="s">
        <v>209</v>
      </c>
      <c r="D77" s="671" t="s">
        <v>361</v>
      </c>
      <c r="E77" s="672"/>
      <c r="F77" s="672"/>
      <c r="G77" s="200">
        <v>24</v>
      </c>
      <c r="H77" s="202">
        <v>1784.8164953622493</v>
      </c>
      <c r="I77" s="203">
        <v>74.367353973427058</v>
      </c>
      <c r="J77" s="373">
        <f>I77-I52</f>
        <v>-9.921916467816061E-2</v>
      </c>
      <c r="K77" s="677" t="s">
        <v>456</v>
      </c>
      <c r="L77" s="678"/>
      <c r="M77" s="99"/>
      <c r="O77" s="199"/>
      <c r="P77" s="424"/>
      <c r="Q77" s="424"/>
      <c r="R77" s="199"/>
    </row>
    <row r="78" spans="1:18" ht="15.75" customHeight="1">
      <c r="A78" s="669"/>
      <c r="B78" s="670"/>
      <c r="C78" s="204" t="s">
        <v>205</v>
      </c>
      <c r="D78" s="671" t="s">
        <v>359</v>
      </c>
      <c r="E78" s="672"/>
      <c r="F78" s="672"/>
      <c r="G78" s="200">
        <v>24</v>
      </c>
      <c r="H78" s="202">
        <v>1788.9426216409445</v>
      </c>
      <c r="I78" s="203">
        <v>74.53927590170602</v>
      </c>
      <c r="J78" s="373">
        <f>I78-I51</f>
        <v>8.7287861734395733E-2</v>
      </c>
      <c r="K78" s="677" t="s">
        <v>456</v>
      </c>
      <c r="L78" s="678"/>
      <c r="M78" s="99"/>
      <c r="O78" s="199"/>
      <c r="P78" s="424"/>
      <c r="Q78" s="424"/>
      <c r="R78" s="199"/>
    </row>
    <row r="79" spans="1:18" ht="15.75" customHeight="1">
      <c r="A79" s="669"/>
      <c r="B79" s="670"/>
      <c r="C79" s="204" t="s">
        <v>210</v>
      </c>
      <c r="D79" s="671" t="s">
        <v>360</v>
      </c>
      <c r="E79" s="672"/>
      <c r="F79" s="672"/>
      <c r="G79" s="200">
        <v>23</v>
      </c>
      <c r="H79" s="202">
        <v>1787.4056374119148</v>
      </c>
      <c r="I79" s="203">
        <v>77.713288583126726</v>
      </c>
      <c r="J79" s="373">
        <f>I79-I49</f>
        <v>-4.2873325928965755E-2</v>
      </c>
      <c r="K79" s="677" t="s">
        <v>456</v>
      </c>
      <c r="L79" s="678"/>
      <c r="M79" s="99"/>
      <c r="O79" s="199"/>
      <c r="P79" s="424"/>
      <c r="Q79" s="424"/>
      <c r="R79" s="199"/>
    </row>
    <row r="80" spans="1:18" ht="15.75" customHeight="1">
      <c r="A80" s="669"/>
      <c r="B80" s="670"/>
      <c r="C80" s="204" t="s">
        <v>211</v>
      </c>
      <c r="D80" s="671"/>
      <c r="E80" s="672"/>
      <c r="F80" s="672"/>
      <c r="G80" s="200"/>
      <c r="H80" s="202"/>
      <c r="I80" s="203"/>
      <c r="J80" s="200"/>
      <c r="K80" s="671"/>
      <c r="L80" s="672"/>
      <c r="M80" s="99"/>
      <c r="O80" s="199"/>
      <c r="P80" s="424"/>
      <c r="Q80" s="424"/>
      <c r="R80" s="199"/>
    </row>
    <row r="81" spans="1:18" s="189" customFormat="1" ht="15.75" customHeight="1">
      <c r="A81" s="674" t="s">
        <v>737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06" customFormat="1" ht="16.350000000000001" customHeight="1">
      <c r="A83" s="669" t="s">
        <v>162</v>
      </c>
      <c r="B83" s="170">
        <v>1</v>
      </c>
      <c r="C83" s="170">
        <v>2</v>
      </c>
      <c r="D83" s="170">
        <v>3</v>
      </c>
      <c r="E83" s="170">
        <v>4</v>
      </c>
      <c r="F83" s="191">
        <v>5</v>
      </c>
      <c r="G83" s="191">
        <v>6</v>
      </c>
      <c r="H83" s="170">
        <v>7</v>
      </c>
      <c r="I83" s="170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69"/>
      <c r="B84" s="195" t="s">
        <v>206</v>
      </c>
      <c r="C84" s="195" t="s">
        <v>155</v>
      </c>
      <c r="D84" s="195" t="s">
        <v>207</v>
      </c>
      <c r="E84" s="195" t="s">
        <v>156</v>
      </c>
      <c r="F84" s="194" t="s">
        <v>355</v>
      </c>
      <c r="G84" s="209" t="s">
        <v>136</v>
      </c>
      <c r="H84" s="197" t="s">
        <v>208</v>
      </c>
      <c r="I84" s="196" t="s">
        <v>384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70" t="s">
        <v>188</v>
      </c>
      <c r="B85" s="670"/>
      <c r="C85" s="160" t="s">
        <v>47</v>
      </c>
      <c r="D85" s="670" t="s">
        <v>12</v>
      </c>
      <c r="E85" s="675"/>
      <c r="F85" s="675"/>
      <c r="G85" s="160" t="s">
        <v>46</v>
      </c>
      <c r="H85" s="160" t="s">
        <v>385</v>
      </c>
      <c r="I85" s="160" t="s">
        <v>386</v>
      </c>
      <c r="J85" s="160" t="s">
        <v>332</v>
      </c>
      <c r="K85" s="670" t="s">
        <v>51</v>
      </c>
      <c r="L85" s="675"/>
      <c r="M85" s="127"/>
      <c r="N85" s="189"/>
      <c r="O85" s="199"/>
      <c r="P85" s="424"/>
      <c r="Q85" s="424"/>
      <c r="R85" s="199"/>
    </row>
    <row r="86" spans="1:18" ht="15.75" customHeight="1">
      <c r="A86" s="669">
        <v>5</v>
      </c>
      <c r="B86" s="670" t="s">
        <v>355</v>
      </c>
      <c r="C86" s="200">
        <v>1</v>
      </c>
      <c r="D86" s="671" t="s">
        <v>717</v>
      </c>
      <c r="E86" s="672"/>
      <c r="F86" s="672"/>
      <c r="G86" s="202">
        <v>16</v>
      </c>
      <c r="H86" s="202">
        <v>1744.4945160387674</v>
      </c>
      <c r="I86" s="203">
        <v>109.03090725242296</v>
      </c>
      <c r="J86" s="373">
        <f t="shared" ref="J86:J94" si="2">I86-I60</f>
        <v>7.1559072524229634</v>
      </c>
      <c r="K86" s="671" t="s">
        <v>635</v>
      </c>
      <c r="L86" s="672"/>
      <c r="O86" s="425"/>
      <c r="P86" s="424"/>
      <c r="Q86" s="424"/>
      <c r="R86" s="199"/>
    </row>
    <row r="87" spans="1:18" ht="15.75" customHeight="1">
      <c r="A87" s="669"/>
      <c r="B87" s="670"/>
      <c r="C87" s="200">
        <v>2</v>
      </c>
      <c r="D87" s="671" t="s">
        <v>473</v>
      </c>
      <c r="E87" s="672"/>
      <c r="F87" s="672"/>
      <c r="G87" s="202">
        <v>20</v>
      </c>
      <c r="H87" s="202">
        <v>1786</v>
      </c>
      <c r="I87" s="203">
        <v>89.3</v>
      </c>
      <c r="J87" s="373">
        <f t="shared" si="2"/>
        <v>0</v>
      </c>
      <c r="K87" s="677" t="s">
        <v>456</v>
      </c>
      <c r="L87" s="678"/>
      <c r="O87" s="425"/>
      <c r="P87" s="424"/>
      <c r="Q87" s="424"/>
      <c r="R87" s="199"/>
    </row>
    <row r="88" spans="1:18" ht="15.75" customHeight="1">
      <c r="A88" s="669"/>
      <c r="B88" s="670"/>
      <c r="C88" s="200">
        <v>3</v>
      </c>
      <c r="D88" s="671" t="s">
        <v>534</v>
      </c>
      <c r="E88" s="672"/>
      <c r="F88" s="672"/>
      <c r="G88" s="202">
        <v>20</v>
      </c>
      <c r="H88" s="202">
        <v>1785.3199872146899</v>
      </c>
      <c r="I88" s="203">
        <v>89.265999360734511</v>
      </c>
      <c r="J88" s="373">
        <f t="shared" si="2"/>
        <v>-1.6608249995442748E-2</v>
      </c>
      <c r="K88" s="677" t="s">
        <v>456</v>
      </c>
      <c r="L88" s="678"/>
      <c r="O88" s="425"/>
      <c r="P88" s="424"/>
      <c r="Q88" s="424"/>
      <c r="R88" s="199"/>
    </row>
    <row r="89" spans="1:18" ht="15.75" customHeight="1">
      <c r="A89" s="669"/>
      <c r="B89" s="670"/>
      <c r="C89" s="200">
        <v>4</v>
      </c>
      <c r="D89" s="671" t="s">
        <v>495</v>
      </c>
      <c r="E89" s="672"/>
      <c r="F89" s="672"/>
      <c r="G89" s="202">
        <v>19</v>
      </c>
      <c r="H89" s="202">
        <v>1606.48285714286</v>
      </c>
      <c r="I89" s="203">
        <v>84.551729323308408</v>
      </c>
      <c r="J89" s="373">
        <f t="shared" si="2"/>
        <v>-2.1203007518835193E-2</v>
      </c>
      <c r="K89" s="677" t="s">
        <v>456</v>
      </c>
      <c r="L89" s="678"/>
      <c r="O89" s="425"/>
      <c r="P89" s="424"/>
      <c r="Q89" s="424"/>
      <c r="R89" s="199"/>
    </row>
    <row r="90" spans="1:18" ht="15.75" customHeight="1">
      <c r="A90" s="669"/>
      <c r="B90" s="670"/>
      <c r="C90" s="200">
        <v>5</v>
      </c>
      <c r="D90" s="671" t="s">
        <v>343</v>
      </c>
      <c r="E90" s="672"/>
      <c r="F90" s="672"/>
      <c r="G90" s="202">
        <v>23</v>
      </c>
      <c r="H90" s="202">
        <v>1791.4178872996686</v>
      </c>
      <c r="I90" s="203">
        <v>77.887734230420364</v>
      </c>
      <c r="J90" s="373">
        <f t="shared" si="2"/>
        <v>5.9627329192537104E-2</v>
      </c>
      <c r="K90" s="677" t="s">
        <v>456</v>
      </c>
      <c r="L90" s="678"/>
      <c r="O90" s="425"/>
      <c r="P90" s="424"/>
      <c r="Q90" s="424"/>
      <c r="R90" s="199"/>
    </row>
    <row r="91" spans="1:18" ht="15.75" customHeight="1">
      <c r="A91" s="669"/>
      <c r="B91" s="670"/>
      <c r="C91" s="204" t="s">
        <v>204</v>
      </c>
      <c r="D91" s="671" t="s">
        <v>344</v>
      </c>
      <c r="E91" s="672"/>
      <c r="F91" s="672"/>
      <c r="G91" s="202">
        <v>24</v>
      </c>
      <c r="H91" s="202">
        <v>1781.6156567890332</v>
      </c>
      <c r="I91" s="203">
        <v>74.233985699543055</v>
      </c>
      <c r="J91" s="373">
        <f t="shared" si="2"/>
        <v>-8.3333333333115434E-3</v>
      </c>
      <c r="K91" s="677" t="s">
        <v>456</v>
      </c>
      <c r="L91" s="678"/>
      <c r="N91" s="178"/>
      <c r="O91" s="426"/>
      <c r="P91" s="423"/>
      <c r="Q91" s="423"/>
      <c r="R91" s="178"/>
    </row>
    <row r="92" spans="1:18" ht="15.75" customHeight="1">
      <c r="A92" s="669"/>
      <c r="B92" s="670"/>
      <c r="C92" s="204" t="s">
        <v>209</v>
      </c>
      <c r="D92" s="671" t="s">
        <v>533</v>
      </c>
      <c r="E92" s="672"/>
      <c r="F92" s="672"/>
      <c r="G92" s="202">
        <v>21</v>
      </c>
      <c r="H92" s="202">
        <v>1606.6523639047807</v>
      </c>
      <c r="I92" s="203">
        <v>76.507255424037183</v>
      </c>
      <c r="J92" s="373">
        <f t="shared" si="2"/>
        <v>1.2244897959874379E-3</v>
      </c>
      <c r="K92" s="677" t="s">
        <v>456</v>
      </c>
      <c r="L92" s="678"/>
      <c r="O92" s="425"/>
      <c r="P92" s="424"/>
      <c r="Q92" s="424"/>
      <c r="R92" s="199"/>
    </row>
    <row r="93" spans="1:18" ht="15.75" customHeight="1">
      <c r="A93" s="669"/>
      <c r="B93" s="670"/>
      <c r="C93" s="204" t="s">
        <v>205</v>
      </c>
      <c r="D93" s="671" t="s">
        <v>345</v>
      </c>
      <c r="E93" s="672"/>
      <c r="F93" s="672"/>
      <c r="G93" s="202">
        <v>23</v>
      </c>
      <c r="H93" s="202">
        <v>1787.0552486187842</v>
      </c>
      <c r="I93" s="203">
        <v>77.698054287773218</v>
      </c>
      <c r="J93" s="373">
        <f t="shared" si="2"/>
        <v>-2.236024844724227E-2</v>
      </c>
      <c r="K93" s="677" t="s">
        <v>456</v>
      </c>
      <c r="L93" s="678"/>
      <c r="O93" s="425"/>
      <c r="P93" s="424"/>
      <c r="Q93" s="424"/>
      <c r="R93" s="199"/>
    </row>
    <row r="94" spans="1:18" ht="15.75" customHeight="1">
      <c r="A94" s="669"/>
      <c r="B94" s="670"/>
      <c r="C94" s="204" t="s">
        <v>210</v>
      </c>
      <c r="D94" s="671" t="s">
        <v>356</v>
      </c>
      <c r="E94" s="672"/>
      <c r="F94" s="672"/>
      <c r="G94" s="202">
        <v>23</v>
      </c>
      <c r="H94" s="202">
        <v>1788.5927254185419</v>
      </c>
      <c r="I94" s="203">
        <v>77.764901105153996</v>
      </c>
      <c r="J94" s="373">
        <f t="shared" si="2"/>
        <v>-2.7329192546574177E-2</v>
      </c>
      <c r="K94" s="677" t="s">
        <v>456</v>
      </c>
      <c r="L94" s="678"/>
      <c r="M94" s="99"/>
      <c r="O94" s="425"/>
      <c r="P94" s="424"/>
      <c r="Q94" s="424"/>
      <c r="R94" s="199"/>
    </row>
    <row r="95" spans="1:18" ht="15.75" customHeight="1">
      <c r="A95" s="669"/>
      <c r="B95" s="670"/>
      <c r="C95" s="204" t="s">
        <v>211</v>
      </c>
      <c r="D95" s="671"/>
      <c r="E95" s="672"/>
      <c r="F95" s="672"/>
      <c r="G95" s="202"/>
      <c r="H95" s="202"/>
      <c r="I95" s="203"/>
      <c r="J95" s="200"/>
      <c r="K95" s="671"/>
      <c r="L95" s="672"/>
      <c r="M95" s="99"/>
      <c r="O95" s="425"/>
      <c r="P95" s="424"/>
      <c r="Q95" s="424"/>
      <c r="R95" s="199"/>
    </row>
    <row r="96" spans="1:18" s="104" customFormat="1" ht="15.75" customHeight="1">
      <c r="A96" s="667" t="s">
        <v>188</v>
      </c>
      <c r="B96" s="667"/>
      <c r="C96" s="207" t="s">
        <v>47</v>
      </c>
      <c r="D96" s="667" t="s">
        <v>12</v>
      </c>
      <c r="E96" s="668"/>
      <c r="F96" s="668"/>
      <c r="G96" s="207" t="s">
        <v>46</v>
      </c>
      <c r="H96" s="207" t="s">
        <v>385</v>
      </c>
      <c r="I96" s="207" t="s">
        <v>386</v>
      </c>
      <c r="J96" s="160" t="s">
        <v>332</v>
      </c>
      <c r="K96" s="667" t="s">
        <v>51</v>
      </c>
      <c r="L96" s="668"/>
      <c r="M96" s="128"/>
      <c r="N96" s="189"/>
      <c r="O96" s="425"/>
      <c r="P96" s="424"/>
      <c r="Q96" s="424"/>
      <c r="R96" s="199"/>
    </row>
    <row r="97" spans="1:18" ht="15.75" customHeight="1">
      <c r="A97" s="669">
        <v>6</v>
      </c>
      <c r="B97" s="670" t="s">
        <v>136</v>
      </c>
      <c r="C97" s="200">
        <v>1</v>
      </c>
      <c r="D97" s="671" t="s">
        <v>469</v>
      </c>
      <c r="E97" s="672"/>
      <c r="F97" s="672"/>
      <c r="G97" s="200">
        <v>20</v>
      </c>
      <c r="H97" s="202">
        <v>1785.8990827506448</v>
      </c>
      <c r="I97" s="203">
        <v>89.294954137532258</v>
      </c>
      <c r="J97" s="373">
        <f t="shared" ref="J97:J105" si="3">I97-I71</f>
        <v>7.1577943904543417E-2</v>
      </c>
      <c r="K97" s="677" t="s">
        <v>456</v>
      </c>
      <c r="L97" s="678"/>
      <c r="M97" s="99"/>
      <c r="N97" s="199"/>
      <c r="O97" s="199"/>
      <c r="P97" s="424"/>
      <c r="Q97" s="424"/>
      <c r="R97" s="199"/>
    </row>
    <row r="98" spans="1:18" ht="15.75" customHeight="1">
      <c r="A98" s="669"/>
      <c r="B98" s="670"/>
      <c r="C98" s="200">
        <v>2</v>
      </c>
      <c r="D98" s="671" t="s">
        <v>358</v>
      </c>
      <c r="E98" s="672"/>
      <c r="F98" s="672"/>
      <c r="G98" s="202">
        <v>21</v>
      </c>
      <c r="H98" s="202">
        <v>1786.4571428571421</v>
      </c>
      <c r="I98" s="203">
        <v>85.069387755101985</v>
      </c>
      <c r="J98" s="373">
        <f t="shared" si="3"/>
        <v>1.6839826839826202</v>
      </c>
      <c r="K98" s="677" t="s">
        <v>456</v>
      </c>
      <c r="L98" s="678"/>
      <c r="M98" s="99"/>
      <c r="O98" s="199"/>
      <c r="P98" s="424"/>
      <c r="Q98" s="424"/>
      <c r="R98" s="199"/>
    </row>
    <row r="99" spans="1:18" ht="15.75" customHeight="1">
      <c r="A99" s="669"/>
      <c r="B99" s="670"/>
      <c r="C99" s="200">
        <v>3</v>
      </c>
      <c r="D99" s="671" t="s">
        <v>465</v>
      </c>
      <c r="E99" s="672"/>
      <c r="F99" s="672"/>
      <c r="G99" s="202">
        <v>22</v>
      </c>
      <c r="H99" s="202">
        <v>1788.0898179020267</v>
      </c>
      <c r="I99" s="203">
        <v>81.276809904637588</v>
      </c>
      <c r="J99" s="373">
        <f t="shared" si="3"/>
        <v>-1.2987012986940272E-3</v>
      </c>
      <c r="K99" s="677" t="s">
        <v>456</v>
      </c>
      <c r="L99" s="678"/>
      <c r="M99" s="99"/>
      <c r="O99" s="199"/>
      <c r="P99" s="424"/>
      <c r="Q99" s="424"/>
      <c r="R99" s="199"/>
    </row>
    <row r="100" spans="1:18" ht="15.75" customHeight="1">
      <c r="A100" s="669"/>
      <c r="B100" s="670"/>
      <c r="C100" s="200">
        <v>4</v>
      </c>
      <c r="D100" s="671" t="s">
        <v>462</v>
      </c>
      <c r="E100" s="672"/>
      <c r="F100" s="672"/>
      <c r="G100" s="200">
        <v>23</v>
      </c>
      <c r="H100" s="202">
        <v>1791.478039342144</v>
      </c>
      <c r="I100" s="203">
        <v>77.890349536614977</v>
      </c>
      <c r="J100" s="373">
        <f t="shared" si="3"/>
        <v>7.3291925465824193E-2</v>
      </c>
      <c r="K100" s="677" t="s">
        <v>456</v>
      </c>
      <c r="L100" s="678"/>
      <c r="M100" s="99"/>
      <c r="O100" s="199"/>
      <c r="P100" s="424"/>
      <c r="Q100" s="424"/>
      <c r="R100" s="199"/>
    </row>
    <row r="101" spans="1:18" ht="15.75" customHeight="1">
      <c r="A101" s="669"/>
      <c r="B101" s="670"/>
      <c r="C101" s="200">
        <v>5</v>
      </c>
      <c r="D101" s="671" t="s">
        <v>357</v>
      </c>
      <c r="E101" s="672"/>
      <c r="F101" s="672"/>
      <c r="G101" s="202">
        <v>23</v>
      </c>
      <c r="H101" s="202">
        <v>1790.1213139801378</v>
      </c>
      <c r="I101" s="203">
        <v>77.831361477397309</v>
      </c>
      <c r="J101" s="373">
        <f t="shared" si="3"/>
        <v>1.739130434785352E-2</v>
      </c>
      <c r="K101" s="677" t="s">
        <v>456</v>
      </c>
      <c r="L101" s="678"/>
      <c r="M101" s="99"/>
      <c r="O101" s="199"/>
      <c r="P101" s="424"/>
      <c r="Q101" s="424"/>
      <c r="R101" s="199"/>
    </row>
    <row r="102" spans="1:18" ht="15.75" customHeight="1">
      <c r="A102" s="669"/>
      <c r="B102" s="670"/>
      <c r="C102" s="204" t="s">
        <v>204</v>
      </c>
      <c r="D102" s="671" t="s">
        <v>618</v>
      </c>
      <c r="E102" s="672"/>
      <c r="F102" s="672"/>
      <c r="G102" s="200">
        <v>26</v>
      </c>
      <c r="H102" s="202">
        <v>1790.9090597352713</v>
      </c>
      <c r="I102" s="203">
        <v>68.881117682125819</v>
      </c>
      <c r="J102" s="373">
        <f t="shared" si="3"/>
        <v>6.5934065934087016E-2</v>
      </c>
      <c r="K102" s="677" t="s">
        <v>456</v>
      </c>
      <c r="L102" s="678"/>
      <c r="M102" s="99"/>
      <c r="O102" s="199"/>
      <c r="P102" s="424"/>
      <c r="Q102" s="424"/>
      <c r="R102" s="199"/>
    </row>
    <row r="103" spans="1:18" ht="15.75" customHeight="1">
      <c r="A103" s="669"/>
      <c r="B103" s="670"/>
      <c r="C103" s="204" t="s">
        <v>209</v>
      </c>
      <c r="D103" s="671" t="s">
        <v>361</v>
      </c>
      <c r="E103" s="672"/>
      <c r="F103" s="672"/>
      <c r="G103" s="200">
        <v>24</v>
      </c>
      <c r="H103" s="202">
        <v>1786.2450667908213</v>
      </c>
      <c r="I103" s="203">
        <v>74.426877782950896</v>
      </c>
      <c r="J103" s="373">
        <f t="shared" si="3"/>
        <v>5.9523809523838622E-2</v>
      </c>
      <c r="K103" s="677" t="s">
        <v>456</v>
      </c>
      <c r="L103" s="678"/>
      <c r="M103" s="99"/>
      <c r="O103" s="199"/>
      <c r="P103" s="424"/>
      <c r="Q103" s="424"/>
      <c r="R103" s="199"/>
    </row>
    <row r="104" spans="1:18" ht="15.75" customHeight="1">
      <c r="A104" s="669"/>
      <c r="B104" s="670"/>
      <c r="C104" s="204" t="s">
        <v>205</v>
      </c>
      <c r="D104" s="671" t="s">
        <v>359</v>
      </c>
      <c r="E104" s="672"/>
      <c r="F104" s="672"/>
      <c r="G104" s="200">
        <v>24</v>
      </c>
      <c r="H104" s="202">
        <v>1791.0569073552308</v>
      </c>
      <c r="I104" s="203">
        <v>74.627371139801284</v>
      </c>
      <c r="J104" s="373">
        <f t="shared" si="3"/>
        <v>8.8095238095263539E-2</v>
      </c>
      <c r="K104" s="677" t="s">
        <v>456</v>
      </c>
      <c r="L104" s="678"/>
      <c r="M104" s="99"/>
      <c r="O104" s="199"/>
      <c r="P104" s="424"/>
      <c r="Q104" s="424"/>
      <c r="R104" s="199"/>
    </row>
    <row r="105" spans="1:18" ht="15.75" customHeight="1">
      <c r="A105" s="669"/>
      <c r="B105" s="670"/>
      <c r="C105" s="204" t="s">
        <v>210</v>
      </c>
      <c r="D105" s="671" t="s">
        <v>360</v>
      </c>
      <c r="E105" s="672"/>
      <c r="F105" s="672"/>
      <c r="G105" s="200">
        <v>23</v>
      </c>
      <c r="H105" s="202">
        <v>1786.605637411915</v>
      </c>
      <c r="I105" s="203">
        <v>77.67850597443109</v>
      </c>
      <c r="J105" s="373">
        <f t="shared" si="3"/>
        <v>-3.4782608695635986E-2</v>
      </c>
      <c r="K105" s="677" t="s">
        <v>456</v>
      </c>
      <c r="L105" s="678"/>
      <c r="M105" s="99"/>
      <c r="O105" s="199"/>
      <c r="P105" s="424"/>
      <c r="Q105" s="424"/>
      <c r="R105" s="199"/>
    </row>
    <row r="106" spans="1:18" ht="15.75" customHeight="1">
      <c r="A106" s="669"/>
      <c r="B106" s="670"/>
      <c r="C106" s="204" t="s">
        <v>211</v>
      </c>
      <c r="D106" s="671"/>
      <c r="E106" s="672"/>
      <c r="F106" s="672"/>
      <c r="G106" s="200"/>
      <c r="H106" s="202"/>
      <c r="I106" s="203"/>
      <c r="J106" s="200"/>
      <c r="K106" s="671"/>
      <c r="L106" s="672"/>
      <c r="M106" s="99"/>
      <c r="O106" s="199"/>
      <c r="P106" s="424"/>
      <c r="Q106" s="424"/>
      <c r="R106" s="199"/>
    </row>
    <row r="107" spans="1:18" s="189" customFormat="1" ht="15.75" customHeight="1">
      <c r="A107" s="674" t="s">
        <v>773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06" customFormat="1" ht="16.350000000000001" customHeight="1">
      <c r="A109" s="669" t="s">
        <v>162</v>
      </c>
      <c r="B109" s="170">
        <v>1</v>
      </c>
      <c r="C109" s="170">
        <v>2</v>
      </c>
      <c r="D109" s="170">
        <v>3</v>
      </c>
      <c r="E109" s="170">
        <v>4</v>
      </c>
      <c r="F109" s="191">
        <v>5</v>
      </c>
      <c r="G109" s="191">
        <v>6</v>
      </c>
      <c r="H109" s="170">
        <v>7</v>
      </c>
      <c r="I109" s="170">
        <v>8</v>
      </c>
      <c r="J109" s="170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69"/>
      <c r="B110" s="195" t="s">
        <v>206</v>
      </c>
      <c r="C110" s="195" t="s">
        <v>155</v>
      </c>
      <c r="D110" s="195" t="s">
        <v>207</v>
      </c>
      <c r="E110" s="195" t="s">
        <v>156</v>
      </c>
      <c r="F110" s="194" t="s">
        <v>355</v>
      </c>
      <c r="G110" s="209" t="s">
        <v>136</v>
      </c>
      <c r="H110" s="197" t="s">
        <v>208</v>
      </c>
      <c r="I110" s="196" t="s">
        <v>384</v>
      </c>
      <c r="J110" s="196" t="s">
        <v>142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70" t="s">
        <v>188</v>
      </c>
      <c r="B111" s="670"/>
      <c r="C111" s="160" t="s">
        <v>47</v>
      </c>
      <c r="D111" s="670" t="s">
        <v>12</v>
      </c>
      <c r="E111" s="675"/>
      <c r="F111" s="675"/>
      <c r="G111" s="160" t="s">
        <v>46</v>
      </c>
      <c r="H111" s="160" t="s">
        <v>385</v>
      </c>
      <c r="I111" s="160" t="s">
        <v>386</v>
      </c>
      <c r="J111" s="160" t="s">
        <v>332</v>
      </c>
      <c r="K111" s="670" t="s">
        <v>51</v>
      </c>
      <c r="L111" s="675"/>
      <c r="M111" s="127"/>
      <c r="N111" s="189"/>
      <c r="O111" s="199"/>
      <c r="P111" s="424"/>
      <c r="Q111" s="424"/>
      <c r="R111" s="199"/>
    </row>
    <row r="112" spans="1:18" ht="15.75" customHeight="1">
      <c r="A112" s="669">
        <v>5</v>
      </c>
      <c r="B112" s="670" t="s">
        <v>355</v>
      </c>
      <c r="C112" s="200">
        <v>1</v>
      </c>
      <c r="D112" s="671" t="s">
        <v>717</v>
      </c>
      <c r="E112" s="672"/>
      <c r="F112" s="672"/>
      <c r="G112" s="202">
        <v>16</v>
      </c>
      <c r="H112" s="202">
        <v>1788.2251123726844</v>
      </c>
      <c r="I112" s="203">
        <v>111.76406952329278</v>
      </c>
      <c r="J112" s="373">
        <f>I112-I86</f>
        <v>2.733162270869812</v>
      </c>
      <c r="K112" s="671"/>
      <c r="L112" s="672"/>
      <c r="O112" s="425"/>
      <c r="P112" s="424"/>
      <c r="Q112" s="424"/>
      <c r="R112" s="199"/>
    </row>
    <row r="113" spans="1:18" ht="15.75" customHeight="1">
      <c r="A113" s="669"/>
      <c r="B113" s="670"/>
      <c r="C113" s="200">
        <v>2</v>
      </c>
      <c r="D113" s="671" t="s">
        <v>534</v>
      </c>
      <c r="E113" s="672"/>
      <c r="F113" s="672"/>
      <c r="G113" s="202">
        <v>20</v>
      </c>
      <c r="H113" s="202">
        <v>1788.4208852000145</v>
      </c>
      <c r="I113" s="203">
        <v>89.421044260000727</v>
      </c>
      <c r="J113" s="373">
        <f>I113-I88</f>
        <v>0.15504489926621545</v>
      </c>
      <c r="K113" s="677"/>
      <c r="L113" s="678"/>
      <c r="O113" s="425"/>
      <c r="P113" s="424"/>
      <c r="Q113" s="424"/>
      <c r="R113" s="199"/>
    </row>
    <row r="114" spans="1:18" ht="15.75" customHeight="1">
      <c r="A114" s="669"/>
      <c r="B114" s="670"/>
      <c r="C114" s="200">
        <v>3</v>
      </c>
      <c r="D114" s="671" t="s">
        <v>473</v>
      </c>
      <c r="E114" s="672"/>
      <c r="F114" s="672"/>
      <c r="G114" s="202">
        <v>20</v>
      </c>
      <c r="H114" s="202">
        <v>1786</v>
      </c>
      <c r="I114" s="203">
        <v>89.299999999999983</v>
      </c>
      <c r="J114" s="373">
        <f>I114-I87</f>
        <v>0</v>
      </c>
      <c r="K114" s="677"/>
      <c r="L114" s="678"/>
      <c r="O114" s="425"/>
      <c r="P114" s="424"/>
      <c r="Q114" s="424"/>
      <c r="R114" s="199"/>
    </row>
    <row r="115" spans="1:18" ht="15.75" customHeight="1">
      <c r="A115" s="669"/>
      <c r="B115" s="670"/>
      <c r="C115" s="200">
        <v>4</v>
      </c>
      <c r="D115" s="671" t="s">
        <v>343</v>
      </c>
      <c r="E115" s="672"/>
      <c r="F115" s="672"/>
      <c r="G115" s="202">
        <v>22.714285714285715</v>
      </c>
      <c r="H115" s="202">
        <v>1800.0874232634017</v>
      </c>
      <c r="I115" s="203">
        <v>79.274089999818287</v>
      </c>
      <c r="J115" s="373">
        <f>I115-I90</f>
        <v>1.3863557693979232</v>
      </c>
      <c r="K115" s="677"/>
      <c r="L115" s="678"/>
      <c r="O115" s="425"/>
      <c r="P115" s="424"/>
      <c r="Q115" s="424"/>
      <c r="R115" s="199"/>
    </row>
    <row r="116" spans="1:18" ht="15.75" customHeight="1">
      <c r="A116" s="669"/>
      <c r="B116" s="670"/>
      <c r="C116" s="200">
        <v>5</v>
      </c>
      <c r="D116" s="671" t="s">
        <v>356</v>
      </c>
      <c r="E116" s="672"/>
      <c r="F116" s="672"/>
      <c r="G116" s="202">
        <v>22.714285714285715</v>
      </c>
      <c r="H116" s="202">
        <v>1798.5902299960592</v>
      </c>
      <c r="I116" s="203">
        <v>79.208446277876973</v>
      </c>
      <c r="J116" s="373">
        <f>I116-I94</f>
        <v>1.4435451727229776</v>
      </c>
      <c r="K116" s="677"/>
      <c r="L116" s="678"/>
      <c r="O116" s="425"/>
      <c r="P116" s="424"/>
      <c r="Q116" s="424"/>
      <c r="R116" s="199"/>
    </row>
    <row r="117" spans="1:18" ht="15.75" customHeight="1">
      <c r="A117" s="669"/>
      <c r="B117" s="670"/>
      <c r="C117" s="204" t="s">
        <v>204</v>
      </c>
      <c r="D117" s="671" t="s">
        <v>344</v>
      </c>
      <c r="E117" s="672"/>
      <c r="F117" s="672"/>
      <c r="G117" s="202">
        <v>24</v>
      </c>
      <c r="H117" s="202">
        <v>1785.6013990749088</v>
      </c>
      <c r="I117" s="203">
        <v>74.400058294787883</v>
      </c>
      <c r="J117" s="373">
        <f>I117-I91</f>
        <v>0.16607259524482743</v>
      </c>
      <c r="K117" s="677"/>
      <c r="L117" s="678"/>
      <c r="N117" s="178"/>
      <c r="O117" s="426"/>
      <c r="P117" s="423"/>
      <c r="Q117" s="423"/>
      <c r="R117" s="178"/>
    </row>
    <row r="118" spans="1:18" ht="15.75" customHeight="1">
      <c r="A118" s="669"/>
      <c r="B118" s="670"/>
      <c r="C118" s="204" t="s">
        <v>209</v>
      </c>
      <c r="D118" s="671" t="s">
        <v>533</v>
      </c>
      <c r="E118" s="672"/>
      <c r="F118" s="672"/>
      <c r="G118" s="202">
        <v>21</v>
      </c>
      <c r="H118" s="202">
        <v>1605.7342925930138</v>
      </c>
      <c r="I118" s="203">
        <v>76.46353774252448</v>
      </c>
      <c r="J118" s="373">
        <f>I118-I92</f>
        <v>-4.3717681512703166E-2</v>
      </c>
      <c r="K118" s="677"/>
      <c r="L118" s="678"/>
      <c r="O118" s="425"/>
      <c r="P118" s="424"/>
      <c r="Q118" s="424"/>
      <c r="R118" s="199"/>
    </row>
    <row r="119" spans="1:18" ht="15.75" customHeight="1">
      <c r="A119" s="669"/>
      <c r="B119" s="670"/>
      <c r="C119" s="204" t="s">
        <v>205</v>
      </c>
      <c r="D119" s="671" t="s">
        <v>345</v>
      </c>
      <c r="E119" s="672"/>
      <c r="F119" s="672"/>
      <c r="G119" s="202">
        <v>22.714285714285715</v>
      </c>
      <c r="H119" s="202">
        <v>1797.4877735524144</v>
      </c>
      <c r="I119" s="203">
        <v>79.160184182860135</v>
      </c>
      <c r="J119" s="373">
        <f>I119-I93</f>
        <v>1.4621298950869175</v>
      </c>
      <c r="K119" s="677"/>
      <c r="L119" s="678"/>
      <c r="O119" s="425"/>
      <c r="P119" s="424"/>
      <c r="Q119" s="424"/>
      <c r="R119" s="199"/>
    </row>
    <row r="120" spans="1:18" ht="15.75" customHeight="1">
      <c r="A120" s="669"/>
      <c r="B120" s="670"/>
      <c r="C120" s="204" t="s">
        <v>210</v>
      </c>
      <c r="D120" s="671"/>
      <c r="E120" s="672"/>
      <c r="F120" s="672"/>
      <c r="G120" s="202"/>
      <c r="H120" s="202"/>
      <c r="I120" s="203"/>
      <c r="J120" s="373"/>
      <c r="K120" s="677"/>
      <c r="L120" s="678"/>
      <c r="M120" s="99"/>
      <c r="O120" s="425"/>
      <c r="P120" s="424"/>
      <c r="Q120" s="424"/>
      <c r="R120" s="199"/>
    </row>
    <row r="121" spans="1:18" ht="15.75" customHeight="1">
      <c r="A121" s="669"/>
      <c r="B121" s="670"/>
      <c r="C121" s="204" t="s">
        <v>211</v>
      </c>
      <c r="D121" s="671"/>
      <c r="E121" s="672"/>
      <c r="F121" s="672"/>
      <c r="G121" s="202"/>
      <c r="H121" s="202"/>
      <c r="I121" s="203"/>
      <c r="J121" s="200"/>
      <c r="K121" s="671"/>
      <c r="L121" s="672"/>
      <c r="M121" s="99"/>
      <c r="O121" s="425"/>
      <c r="P121" s="424"/>
      <c r="Q121" s="424"/>
      <c r="R121" s="199"/>
    </row>
    <row r="122" spans="1:18" s="104" customFormat="1" ht="15.75" customHeight="1">
      <c r="A122" s="667" t="s">
        <v>188</v>
      </c>
      <c r="B122" s="667"/>
      <c r="C122" s="207" t="s">
        <v>47</v>
      </c>
      <c r="D122" s="667" t="s">
        <v>12</v>
      </c>
      <c r="E122" s="668"/>
      <c r="F122" s="668"/>
      <c r="G122" s="207" t="s">
        <v>46</v>
      </c>
      <c r="H122" s="207" t="s">
        <v>385</v>
      </c>
      <c r="I122" s="207" t="s">
        <v>386</v>
      </c>
      <c r="J122" s="160" t="s">
        <v>332</v>
      </c>
      <c r="K122" s="667" t="s">
        <v>51</v>
      </c>
      <c r="L122" s="668"/>
      <c r="M122" s="128"/>
      <c r="N122" s="189"/>
      <c r="O122" s="425"/>
      <c r="P122" s="424"/>
      <c r="Q122" s="424"/>
      <c r="R122" s="199"/>
    </row>
    <row r="123" spans="1:18" ht="15.75" customHeight="1">
      <c r="A123" s="669">
        <v>6</v>
      </c>
      <c r="B123" s="670" t="s">
        <v>136</v>
      </c>
      <c r="C123" s="200">
        <v>1</v>
      </c>
      <c r="D123" s="671" t="s">
        <v>469</v>
      </c>
      <c r="E123" s="672"/>
      <c r="F123" s="672"/>
      <c r="G123" s="200">
        <v>20</v>
      </c>
      <c r="H123" s="202">
        <v>1787.4351228030155</v>
      </c>
      <c r="I123" s="203">
        <v>89.371756140150765</v>
      </c>
      <c r="J123" s="373">
        <f>I123-I97</f>
        <v>7.6802002618507004E-2</v>
      </c>
      <c r="K123" s="677"/>
      <c r="L123" s="678"/>
      <c r="M123" s="99"/>
      <c r="N123" s="199"/>
      <c r="O123" s="199"/>
      <c r="P123" s="424"/>
      <c r="Q123" s="424"/>
      <c r="R123" s="199"/>
    </row>
    <row r="124" spans="1:18" ht="15.75" customHeight="1">
      <c r="A124" s="669"/>
      <c r="B124" s="670"/>
      <c r="C124" s="200">
        <v>2</v>
      </c>
      <c r="D124" s="671" t="s">
        <v>358</v>
      </c>
      <c r="E124" s="672"/>
      <c r="F124" s="672"/>
      <c r="G124" s="202">
        <v>21</v>
      </c>
      <c r="H124" s="202">
        <v>1787.0571428571423</v>
      </c>
      <c r="I124" s="203">
        <v>85.097959183673439</v>
      </c>
      <c r="J124" s="373">
        <f>I124-I98</f>
        <v>2.8571428571453339E-2</v>
      </c>
      <c r="K124" s="677"/>
      <c r="L124" s="678"/>
      <c r="M124" s="99"/>
      <c r="O124" s="199"/>
      <c r="P124" s="424"/>
      <c r="Q124" s="424"/>
      <c r="R124" s="199"/>
    </row>
    <row r="125" spans="1:18" ht="15.75" customHeight="1">
      <c r="A125" s="669"/>
      <c r="B125" s="670"/>
      <c r="C125" s="200">
        <v>3</v>
      </c>
      <c r="D125" s="671" t="s">
        <v>465</v>
      </c>
      <c r="E125" s="672"/>
      <c r="F125" s="672"/>
      <c r="G125" s="202">
        <v>22</v>
      </c>
      <c r="H125" s="202">
        <v>1786.8898179020273</v>
      </c>
      <c r="I125" s="203">
        <v>81.22226445009214</v>
      </c>
      <c r="J125" s="373">
        <f>I125-I99</f>
        <v>-5.4545454545447569E-2</v>
      </c>
      <c r="K125" s="677"/>
      <c r="L125" s="678"/>
      <c r="M125" s="99"/>
      <c r="O125" s="199"/>
      <c r="P125" s="424"/>
      <c r="Q125" s="424"/>
      <c r="R125" s="199"/>
    </row>
    <row r="126" spans="1:18" ht="15.75" customHeight="1">
      <c r="A126" s="669"/>
      <c r="B126" s="670"/>
      <c r="C126" s="200">
        <v>4</v>
      </c>
      <c r="D126" s="671" t="s">
        <v>462</v>
      </c>
      <c r="E126" s="672"/>
      <c r="F126" s="672"/>
      <c r="G126" s="200">
        <v>23</v>
      </c>
      <c r="H126" s="202">
        <v>1790.5066107707155</v>
      </c>
      <c r="I126" s="203">
        <v>77.848113511770222</v>
      </c>
      <c r="J126" s="373">
        <f>I126-I100</f>
        <v>-4.2236024844754638E-2</v>
      </c>
      <c r="K126" s="677"/>
      <c r="L126" s="678"/>
      <c r="M126" s="99"/>
      <c r="O126" s="199"/>
      <c r="P126" s="424"/>
      <c r="Q126" s="424"/>
      <c r="R126" s="199"/>
    </row>
    <row r="127" spans="1:18" ht="15.75" customHeight="1">
      <c r="A127" s="669"/>
      <c r="B127" s="670"/>
      <c r="C127" s="200">
        <v>5</v>
      </c>
      <c r="D127" s="671" t="s">
        <v>357</v>
      </c>
      <c r="E127" s="672"/>
      <c r="F127" s="672"/>
      <c r="G127" s="202">
        <v>23</v>
      </c>
      <c r="H127" s="202">
        <v>1789.2355996944241</v>
      </c>
      <c r="I127" s="203">
        <v>77.792852160627135</v>
      </c>
      <c r="J127" s="373">
        <f t="shared" ref="J127:J131" si="4">I127-I101</f>
        <v>-3.8509316770173996E-2</v>
      </c>
      <c r="K127" s="677"/>
      <c r="L127" s="678"/>
      <c r="M127" s="99"/>
      <c r="O127" s="199"/>
      <c r="P127" s="424"/>
      <c r="Q127" s="424"/>
      <c r="R127" s="199"/>
    </row>
    <row r="128" spans="1:18" ht="15.75" customHeight="1">
      <c r="A128" s="669"/>
      <c r="B128" s="670"/>
      <c r="C128" s="204" t="s">
        <v>204</v>
      </c>
      <c r="D128" s="671" t="s">
        <v>618</v>
      </c>
      <c r="E128" s="672"/>
      <c r="F128" s="672"/>
      <c r="G128" s="200">
        <v>26</v>
      </c>
      <c r="H128" s="202">
        <v>1790.5376311638433</v>
      </c>
      <c r="I128" s="203">
        <v>68.866831967840128</v>
      </c>
      <c r="J128" s="373">
        <f>I128-I102</f>
        <v>-1.4285714285691142E-2</v>
      </c>
      <c r="K128" s="677"/>
      <c r="L128" s="678"/>
      <c r="M128" s="99"/>
      <c r="O128" s="199"/>
      <c r="P128" s="424"/>
      <c r="Q128" s="424"/>
      <c r="R128" s="199"/>
    </row>
    <row r="129" spans="1:18" ht="15.75" customHeight="1">
      <c r="A129" s="669"/>
      <c r="B129" s="670"/>
      <c r="C129" s="204" t="s">
        <v>209</v>
      </c>
      <c r="D129" s="671" t="s">
        <v>361</v>
      </c>
      <c r="E129" s="672"/>
      <c r="F129" s="672"/>
      <c r="G129" s="200">
        <v>24</v>
      </c>
      <c r="H129" s="202">
        <v>1787.730781076536</v>
      </c>
      <c r="I129" s="203">
        <v>74.488782544855681</v>
      </c>
      <c r="J129" s="373">
        <f>I129-I103</f>
        <v>6.1904761904784777E-2</v>
      </c>
      <c r="K129" s="677"/>
      <c r="L129" s="678"/>
      <c r="M129" s="99"/>
      <c r="O129" s="199"/>
      <c r="P129" s="424"/>
      <c r="Q129" s="424"/>
      <c r="R129" s="199"/>
    </row>
    <row r="130" spans="1:18" ht="15.75" customHeight="1">
      <c r="A130" s="669"/>
      <c r="B130" s="670"/>
      <c r="C130" s="204" t="s">
        <v>205</v>
      </c>
      <c r="D130" s="671" t="s">
        <v>359</v>
      </c>
      <c r="E130" s="672"/>
      <c r="F130" s="672"/>
      <c r="G130" s="200">
        <v>24</v>
      </c>
      <c r="H130" s="202">
        <v>1790.9140502123737</v>
      </c>
      <c r="I130" s="203">
        <v>74.621418758848904</v>
      </c>
      <c r="J130" s="373">
        <f>I130-I104</f>
        <v>-5.952380952379599E-3</v>
      </c>
      <c r="K130" s="677"/>
      <c r="L130" s="678"/>
      <c r="M130" s="99"/>
      <c r="O130" s="199"/>
      <c r="P130" s="424"/>
      <c r="Q130" s="424"/>
      <c r="R130" s="199"/>
    </row>
    <row r="131" spans="1:18" ht="15.75" customHeight="1">
      <c r="A131" s="669"/>
      <c r="B131" s="670"/>
      <c r="C131" s="204" t="s">
        <v>210</v>
      </c>
      <c r="D131" s="671" t="s">
        <v>360</v>
      </c>
      <c r="E131" s="672"/>
      <c r="F131" s="672"/>
      <c r="G131" s="200">
        <v>23</v>
      </c>
      <c r="H131" s="202">
        <v>1787.1670773791141</v>
      </c>
      <c r="I131" s="203">
        <v>77.702916407787569</v>
      </c>
      <c r="J131" s="373">
        <f t="shared" si="4"/>
        <v>2.4410433356479189E-2</v>
      </c>
      <c r="K131" s="677"/>
      <c r="L131" s="678"/>
      <c r="M131" s="99"/>
      <c r="O131" s="199"/>
      <c r="P131" s="424"/>
      <c r="Q131" s="424"/>
      <c r="R131" s="199"/>
    </row>
    <row r="132" spans="1:18" ht="15.75" customHeight="1">
      <c r="A132" s="669"/>
      <c r="B132" s="670"/>
      <c r="C132" s="204" t="s">
        <v>211</v>
      </c>
      <c r="D132" s="671"/>
      <c r="E132" s="672"/>
      <c r="F132" s="672"/>
      <c r="G132" s="200"/>
      <c r="H132" s="202"/>
      <c r="I132" s="203"/>
      <c r="J132" s="200"/>
      <c r="K132" s="671"/>
      <c r="L132" s="672"/>
      <c r="M132" s="99"/>
      <c r="O132" s="199"/>
      <c r="P132" s="424"/>
      <c r="Q132" s="424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80:L80"/>
    <mergeCell ref="K68:L68"/>
    <mergeCell ref="D69:F69"/>
    <mergeCell ref="K69:L69"/>
    <mergeCell ref="K67:L67"/>
    <mergeCell ref="D68:F68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D24:F24"/>
    <mergeCell ref="K24:L24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39:F39"/>
    <mergeCell ref="K39:L39"/>
    <mergeCell ref="K42:L42"/>
    <mergeCell ref="D43:F43"/>
    <mergeCell ref="K43:L43"/>
    <mergeCell ref="D51:F51"/>
    <mergeCell ref="K51:L51"/>
    <mergeCell ref="D52:F52"/>
    <mergeCell ref="K52:L52"/>
    <mergeCell ref="D42:F42"/>
    <mergeCell ref="A31:A32"/>
    <mergeCell ref="A33:B33"/>
    <mergeCell ref="D33:F33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K33:L33"/>
    <mergeCell ref="A29:L30"/>
    <mergeCell ref="A18:B18"/>
    <mergeCell ref="D18:F18"/>
    <mergeCell ref="K18:L18"/>
    <mergeCell ref="A19:A28"/>
    <mergeCell ref="B19:B28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D40:F40"/>
    <mergeCell ref="K40:L40"/>
    <mergeCell ref="D41:F41"/>
    <mergeCell ref="K41:L41"/>
    <mergeCell ref="K38:L38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20">
    <tabColor rgb="FF92D050"/>
    <outlinePr summaryBelow="0" summaryRight="0"/>
  </sheetPr>
  <dimension ref="A1:R132"/>
  <sheetViews>
    <sheetView view="pageBreakPreview" topLeftCell="A101" zoomScale="115" zoomScaleNormal="60" zoomScaleSheetLayoutView="115" workbookViewId="0">
      <selection activeCell="J128" sqref="J128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08" t="s">
        <v>383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99"/>
    </row>
    <row r="2" spans="1:18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N2" s="190"/>
      <c r="O2" s="190"/>
      <c r="P2" s="190"/>
      <c r="Q2" s="190"/>
      <c r="R2" s="190"/>
    </row>
    <row r="3" spans="1:18" s="189" customFormat="1" ht="15.75" customHeight="1">
      <c r="A3" s="674" t="s">
        <v>619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06" customFormat="1" ht="16.350000000000001" customHeight="1">
      <c r="A5" s="685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91">
        <v>7</v>
      </c>
      <c r="I5" s="191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87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4" t="s">
        <v>208</v>
      </c>
      <c r="I6" s="209" t="s">
        <v>384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91" t="s">
        <v>188</v>
      </c>
      <c r="B7" s="692"/>
      <c r="C7" s="160" t="s">
        <v>47</v>
      </c>
      <c r="D7" s="691" t="s">
        <v>12</v>
      </c>
      <c r="E7" s="693"/>
      <c r="F7" s="692"/>
      <c r="G7" s="160" t="s">
        <v>46</v>
      </c>
      <c r="H7" s="160" t="s">
        <v>385</v>
      </c>
      <c r="I7" s="160" t="s">
        <v>386</v>
      </c>
      <c r="J7" s="160" t="s">
        <v>332</v>
      </c>
      <c r="K7" s="691" t="s">
        <v>51</v>
      </c>
      <c r="L7" s="692"/>
      <c r="M7" s="127"/>
      <c r="N7" s="189"/>
      <c r="O7" s="199"/>
      <c r="P7" s="424"/>
      <c r="Q7" s="424"/>
      <c r="R7" s="199"/>
    </row>
    <row r="8" spans="1:18" ht="15.75" customHeight="1">
      <c r="A8" s="685">
        <v>7</v>
      </c>
      <c r="B8" s="688" t="s">
        <v>389</v>
      </c>
      <c r="C8" s="200">
        <v>1</v>
      </c>
      <c r="D8" s="679"/>
      <c r="E8" s="672"/>
      <c r="F8" s="672"/>
      <c r="G8" s="200"/>
      <c r="H8" s="202"/>
      <c r="I8" s="203"/>
      <c r="J8" s="200"/>
      <c r="K8" s="677"/>
      <c r="L8" s="678"/>
      <c r="O8" s="199"/>
      <c r="P8" s="424"/>
      <c r="Q8" s="424"/>
      <c r="R8" s="199"/>
    </row>
    <row r="9" spans="1:18" ht="15.75" customHeight="1">
      <c r="A9" s="686"/>
      <c r="B9" s="689"/>
      <c r="C9" s="200">
        <v>2</v>
      </c>
      <c r="D9" s="679"/>
      <c r="E9" s="672"/>
      <c r="F9" s="672"/>
      <c r="G9" s="200"/>
      <c r="H9" s="202"/>
      <c r="I9" s="203"/>
      <c r="J9" s="200"/>
      <c r="K9" s="677"/>
      <c r="L9" s="678"/>
      <c r="O9" s="199"/>
      <c r="P9" s="424"/>
      <c r="Q9" s="424"/>
      <c r="R9" s="199"/>
    </row>
    <row r="10" spans="1:18" ht="15.75" customHeight="1">
      <c r="A10" s="686"/>
      <c r="B10" s="689"/>
      <c r="C10" s="200">
        <v>3</v>
      </c>
      <c r="D10" s="677"/>
      <c r="E10" s="681"/>
      <c r="F10" s="678"/>
      <c r="G10" s="200"/>
      <c r="H10" s="202"/>
      <c r="I10" s="203"/>
      <c r="J10" s="200"/>
      <c r="K10" s="677"/>
      <c r="L10" s="678"/>
      <c r="N10" s="427"/>
      <c r="O10" s="199"/>
      <c r="P10" s="424"/>
      <c r="Q10" s="424"/>
      <c r="R10" s="199"/>
    </row>
    <row r="11" spans="1:18" ht="15.75" customHeight="1">
      <c r="A11" s="686"/>
      <c r="B11" s="689"/>
      <c r="C11" s="200">
        <v>4</v>
      </c>
      <c r="D11" s="677"/>
      <c r="E11" s="681"/>
      <c r="F11" s="678"/>
      <c r="G11" s="200"/>
      <c r="H11" s="202"/>
      <c r="I11" s="203"/>
      <c r="J11" s="200"/>
      <c r="K11" s="677"/>
      <c r="L11" s="678"/>
      <c r="O11" s="199"/>
      <c r="P11" s="424"/>
      <c r="Q11" s="424"/>
      <c r="R11" s="199"/>
    </row>
    <row r="12" spans="1:18" ht="15.75" customHeight="1">
      <c r="A12" s="686"/>
      <c r="B12" s="689"/>
      <c r="C12" s="200">
        <v>5</v>
      </c>
      <c r="D12" s="677"/>
      <c r="E12" s="681"/>
      <c r="F12" s="678"/>
      <c r="G12" s="200"/>
      <c r="H12" s="202"/>
      <c r="I12" s="203"/>
      <c r="J12" s="200"/>
      <c r="K12" s="677"/>
      <c r="L12" s="678"/>
      <c r="N12" s="178"/>
      <c r="O12" s="199"/>
      <c r="P12" s="424"/>
      <c r="Q12" s="424"/>
      <c r="R12" s="199"/>
    </row>
    <row r="13" spans="1:18" ht="15.75" customHeight="1">
      <c r="A13" s="686"/>
      <c r="B13" s="689"/>
      <c r="C13" s="204" t="s">
        <v>204</v>
      </c>
      <c r="D13" s="677"/>
      <c r="E13" s="681"/>
      <c r="F13" s="678"/>
      <c r="G13" s="200"/>
      <c r="H13" s="202"/>
      <c r="I13" s="203"/>
      <c r="J13" s="200"/>
      <c r="K13" s="677"/>
      <c r="L13" s="678"/>
      <c r="N13" s="427"/>
      <c r="O13" s="199"/>
      <c r="P13" s="424"/>
      <c r="Q13" s="424"/>
      <c r="R13" s="199"/>
    </row>
    <row r="14" spans="1:18" ht="15.75" customHeight="1">
      <c r="A14" s="686"/>
      <c r="B14" s="689"/>
      <c r="C14" s="204" t="s">
        <v>209</v>
      </c>
      <c r="D14" s="677"/>
      <c r="E14" s="681"/>
      <c r="F14" s="678"/>
      <c r="G14" s="200"/>
      <c r="H14" s="202"/>
      <c r="I14" s="203"/>
      <c r="J14" s="200"/>
      <c r="K14" s="677"/>
      <c r="L14" s="678"/>
      <c r="O14" s="199"/>
      <c r="P14" s="424"/>
      <c r="Q14" s="424"/>
      <c r="R14" s="199"/>
    </row>
    <row r="15" spans="1:18" ht="15.75" customHeight="1">
      <c r="A15" s="686"/>
      <c r="B15" s="689"/>
      <c r="C15" s="204" t="s">
        <v>205</v>
      </c>
      <c r="D15" s="677"/>
      <c r="E15" s="681"/>
      <c r="F15" s="678"/>
      <c r="G15" s="200"/>
      <c r="H15" s="202"/>
      <c r="I15" s="203"/>
      <c r="J15" s="200"/>
      <c r="K15" s="677"/>
      <c r="L15" s="678"/>
      <c r="O15" s="199"/>
      <c r="P15" s="424"/>
      <c r="Q15" s="424"/>
      <c r="R15" s="199"/>
    </row>
    <row r="16" spans="1:18" ht="15.75" customHeight="1">
      <c r="A16" s="686"/>
      <c r="B16" s="689"/>
      <c r="C16" s="204" t="s">
        <v>210</v>
      </c>
      <c r="D16" s="677"/>
      <c r="E16" s="681"/>
      <c r="F16" s="678"/>
      <c r="G16" s="200"/>
      <c r="H16" s="202"/>
      <c r="I16" s="203"/>
      <c r="J16" s="200"/>
      <c r="K16" s="677"/>
      <c r="L16" s="678"/>
      <c r="M16" s="99"/>
      <c r="O16" s="199"/>
      <c r="P16" s="424"/>
      <c r="Q16" s="424"/>
      <c r="R16" s="199"/>
    </row>
    <row r="17" spans="1:18" ht="15.75" customHeight="1">
      <c r="A17" s="687"/>
      <c r="B17" s="690"/>
      <c r="C17" s="204" t="s">
        <v>211</v>
      </c>
      <c r="D17" s="677"/>
      <c r="E17" s="681"/>
      <c r="F17" s="678"/>
      <c r="G17" s="200"/>
      <c r="H17" s="202"/>
      <c r="I17" s="203"/>
      <c r="J17" s="200"/>
      <c r="K17" s="677"/>
      <c r="L17" s="678"/>
      <c r="M17" s="99"/>
      <c r="N17" s="199"/>
      <c r="O17" s="199"/>
      <c r="P17" s="424"/>
      <c r="Q17" s="424"/>
      <c r="R17" s="199"/>
    </row>
    <row r="18" spans="1:18" s="104" customFormat="1" ht="15.75" customHeight="1">
      <c r="A18" s="682" t="s">
        <v>188</v>
      </c>
      <c r="B18" s="683"/>
      <c r="C18" s="207" t="s">
        <v>47</v>
      </c>
      <c r="D18" s="682" t="s">
        <v>12</v>
      </c>
      <c r="E18" s="684"/>
      <c r="F18" s="683"/>
      <c r="G18" s="207" t="s">
        <v>46</v>
      </c>
      <c r="H18" s="207" t="s">
        <v>385</v>
      </c>
      <c r="I18" s="207" t="s">
        <v>386</v>
      </c>
      <c r="J18" s="160" t="s">
        <v>332</v>
      </c>
      <c r="K18" s="682" t="s">
        <v>51</v>
      </c>
      <c r="L18" s="683"/>
      <c r="M18" s="128"/>
      <c r="N18" s="189"/>
      <c r="O18" s="199"/>
      <c r="P18" s="424"/>
      <c r="Q18" s="424"/>
      <c r="R18" s="199"/>
    </row>
    <row r="19" spans="1:18" ht="15.75" customHeight="1">
      <c r="A19" s="685">
        <v>8</v>
      </c>
      <c r="B19" s="688" t="s">
        <v>390</v>
      </c>
      <c r="C19" s="200">
        <v>1</v>
      </c>
      <c r="D19" s="677"/>
      <c r="E19" s="681"/>
      <c r="F19" s="678"/>
      <c r="G19" s="200"/>
      <c r="H19" s="202"/>
      <c r="I19" s="203"/>
      <c r="J19" s="200"/>
      <c r="K19" s="677"/>
      <c r="L19" s="678"/>
      <c r="M19" s="99"/>
      <c r="O19" s="199"/>
      <c r="P19" s="424"/>
      <c r="Q19" s="424"/>
      <c r="R19" s="199"/>
    </row>
    <row r="20" spans="1:18" ht="15.75" customHeight="1">
      <c r="A20" s="686"/>
      <c r="B20" s="689"/>
      <c r="C20" s="200">
        <v>2</v>
      </c>
      <c r="D20" s="677"/>
      <c r="E20" s="681"/>
      <c r="F20" s="678"/>
      <c r="G20" s="200"/>
      <c r="H20" s="202"/>
      <c r="I20" s="203"/>
      <c r="J20" s="200"/>
      <c r="K20" s="677"/>
      <c r="L20" s="678"/>
      <c r="M20" s="99"/>
      <c r="O20" s="178"/>
      <c r="P20" s="423"/>
      <c r="Q20" s="423"/>
      <c r="R20" s="178"/>
    </row>
    <row r="21" spans="1:18" ht="15.75" customHeight="1">
      <c r="A21" s="686"/>
      <c r="B21" s="689"/>
      <c r="C21" s="200">
        <v>3</v>
      </c>
      <c r="D21" s="677"/>
      <c r="E21" s="681"/>
      <c r="F21" s="678"/>
      <c r="G21" s="200"/>
      <c r="H21" s="202"/>
      <c r="I21" s="203"/>
      <c r="J21" s="200"/>
      <c r="K21" s="677"/>
      <c r="L21" s="678"/>
      <c r="M21" s="99"/>
      <c r="O21" s="199"/>
      <c r="P21" s="424"/>
      <c r="Q21" s="424"/>
      <c r="R21" s="199"/>
    </row>
    <row r="22" spans="1:18" ht="15.75" customHeight="1">
      <c r="A22" s="686"/>
      <c r="B22" s="689"/>
      <c r="C22" s="200">
        <v>4</v>
      </c>
      <c r="D22" s="677"/>
      <c r="E22" s="681"/>
      <c r="F22" s="678"/>
      <c r="G22" s="200"/>
      <c r="H22" s="202"/>
      <c r="I22" s="203"/>
      <c r="J22" s="200"/>
      <c r="K22" s="677"/>
      <c r="L22" s="678"/>
      <c r="M22" s="99"/>
      <c r="O22" s="199"/>
      <c r="P22" s="424"/>
      <c r="Q22" s="424"/>
      <c r="R22" s="199"/>
    </row>
    <row r="23" spans="1:18" ht="15.75" customHeight="1">
      <c r="A23" s="686"/>
      <c r="B23" s="689"/>
      <c r="C23" s="200">
        <v>5</v>
      </c>
      <c r="D23" s="677"/>
      <c r="E23" s="681"/>
      <c r="F23" s="678"/>
      <c r="G23" s="200"/>
      <c r="H23" s="202"/>
      <c r="I23" s="203"/>
      <c r="J23" s="200"/>
      <c r="K23" s="677"/>
      <c r="L23" s="678"/>
      <c r="M23" s="99"/>
      <c r="O23" s="199"/>
      <c r="P23" s="424"/>
      <c r="Q23" s="424"/>
      <c r="R23" s="199"/>
    </row>
    <row r="24" spans="1:18" ht="15.75" customHeight="1">
      <c r="A24" s="686"/>
      <c r="B24" s="689"/>
      <c r="C24" s="204" t="s">
        <v>204</v>
      </c>
      <c r="D24" s="677"/>
      <c r="E24" s="681"/>
      <c r="F24" s="678"/>
      <c r="G24" s="200"/>
      <c r="H24" s="202"/>
      <c r="I24" s="203"/>
      <c r="J24" s="200"/>
      <c r="K24" s="677"/>
      <c r="L24" s="678"/>
      <c r="M24" s="99"/>
      <c r="O24" s="199"/>
      <c r="P24" s="424"/>
      <c r="Q24" s="424"/>
      <c r="R24" s="199"/>
    </row>
    <row r="25" spans="1:18" ht="15.75" customHeight="1">
      <c r="A25" s="686"/>
      <c r="B25" s="689"/>
      <c r="C25" s="204" t="s">
        <v>209</v>
      </c>
      <c r="D25" s="677"/>
      <c r="E25" s="681"/>
      <c r="F25" s="678"/>
      <c r="G25" s="200"/>
      <c r="H25" s="202"/>
      <c r="I25" s="203"/>
      <c r="J25" s="200"/>
      <c r="K25" s="677"/>
      <c r="L25" s="678"/>
      <c r="M25" s="99"/>
      <c r="O25" s="199"/>
      <c r="P25" s="424"/>
      <c r="Q25" s="424"/>
      <c r="R25" s="199"/>
    </row>
    <row r="26" spans="1:18" ht="15.75" customHeight="1">
      <c r="A26" s="686"/>
      <c r="B26" s="689"/>
      <c r="C26" s="204" t="s">
        <v>205</v>
      </c>
      <c r="D26" s="677"/>
      <c r="E26" s="681"/>
      <c r="F26" s="678"/>
      <c r="G26" s="200"/>
      <c r="H26" s="202"/>
      <c r="I26" s="203"/>
      <c r="J26" s="200"/>
      <c r="K26" s="677"/>
      <c r="L26" s="678"/>
      <c r="M26" s="99"/>
      <c r="O26" s="199"/>
      <c r="P26" s="424"/>
      <c r="Q26" s="424"/>
      <c r="R26" s="199"/>
    </row>
    <row r="27" spans="1:18" ht="15.75" customHeight="1">
      <c r="A27" s="686"/>
      <c r="B27" s="689"/>
      <c r="C27" s="204" t="s">
        <v>210</v>
      </c>
      <c r="D27" s="677"/>
      <c r="E27" s="681"/>
      <c r="F27" s="678"/>
      <c r="G27" s="200"/>
      <c r="H27" s="202"/>
      <c r="I27" s="203"/>
      <c r="J27" s="200"/>
      <c r="K27" s="677"/>
      <c r="L27" s="678"/>
      <c r="M27" s="99"/>
      <c r="O27" s="199"/>
      <c r="P27" s="424"/>
      <c r="Q27" s="424"/>
      <c r="R27" s="199"/>
    </row>
    <row r="28" spans="1:18" ht="15.75" customHeight="1">
      <c r="A28" s="687"/>
      <c r="B28" s="690"/>
      <c r="C28" s="204" t="s">
        <v>211</v>
      </c>
      <c r="D28" s="677"/>
      <c r="E28" s="681"/>
      <c r="F28" s="678"/>
      <c r="G28" s="200"/>
      <c r="H28" s="202"/>
      <c r="I28" s="203"/>
      <c r="J28" s="200"/>
      <c r="K28" s="677"/>
      <c r="L28" s="678"/>
      <c r="M28" s="99"/>
      <c r="O28" s="199"/>
      <c r="P28" s="424"/>
      <c r="Q28" s="424"/>
      <c r="R28" s="199"/>
    </row>
    <row r="29" spans="1:18" s="189" customFormat="1" ht="15.75" customHeight="1">
      <c r="A29" s="674" t="s">
        <v>659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</row>
    <row r="30" spans="1:18" s="19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</row>
    <row r="31" spans="1:18" s="106" customFormat="1" ht="16.350000000000001" customHeight="1">
      <c r="A31" s="685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91">
        <v>7</v>
      </c>
      <c r="I31" s="191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87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4" t="s">
        <v>208</v>
      </c>
      <c r="I32" s="209" t="s">
        <v>384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91" t="s">
        <v>188</v>
      </c>
      <c r="B33" s="692"/>
      <c r="C33" s="160" t="s">
        <v>47</v>
      </c>
      <c r="D33" s="691" t="s">
        <v>12</v>
      </c>
      <c r="E33" s="693"/>
      <c r="F33" s="692"/>
      <c r="G33" s="160" t="s">
        <v>46</v>
      </c>
      <c r="H33" s="160" t="s">
        <v>385</v>
      </c>
      <c r="I33" s="160" t="s">
        <v>386</v>
      </c>
      <c r="J33" s="160" t="s">
        <v>332</v>
      </c>
      <c r="K33" s="691" t="s">
        <v>51</v>
      </c>
      <c r="L33" s="692"/>
      <c r="M33" s="127"/>
      <c r="N33" s="189"/>
      <c r="O33" s="199"/>
      <c r="P33" s="424"/>
      <c r="Q33" s="424"/>
      <c r="R33" s="199"/>
    </row>
    <row r="34" spans="1:18" ht="15.75" customHeight="1">
      <c r="A34" s="685">
        <v>7</v>
      </c>
      <c r="B34" s="688" t="s">
        <v>389</v>
      </c>
      <c r="C34" s="200">
        <v>1</v>
      </c>
      <c r="D34" s="679"/>
      <c r="E34" s="672"/>
      <c r="F34" s="672"/>
      <c r="G34" s="200"/>
      <c r="H34" s="202"/>
      <c r="I34" s="203"/>
      <c r="J34" s="200"/>
      <c r="K34" s="677"/>
      <c r="L34" s="678"/>
      <c r="O34" s="199"/>
      <c r="P34" s="424"/>
      <c r="Q34" s="424"/>
      <c r="R34" s="199"/>
    </row>
    <row r="35" spans="1:18" ht="15.75" customHeight="1">
      <c r="A35" s="686"/>
      <c r="B35" s="689"/>
      <c r="C35" s="200">
        <v>2</v>
      </c>
      <c r="D35" s="679"/>
      <c r="E35" s="672"/>
      <c r="F35" s="672"/>
      <c r="G35" s="200"/>
      <c r="H35" s="202"/>
      <c r="I35" s="203"/>
      <c r="J35" s="200"/>
      <c r="K35" s="677"/>
      <c r="L35" s="678"/>
      <c r="O35" s="199"/>
      <c r="P35" s="424"/>
      <c r="Q35" s="424"/>
      <c r="R35" s="199"/>
    </row>
    <row r="36" spans="1:18" ht="15.75" customHeight="1">
      <c r="A36" s="686"/>
      <c r="B36" s="689"/>
      <c r="C36" s="200">
        <v>3</v>
      </c>
      <c r="D36" s="677"/>
      <c r="E36" s="681"/>
      <c r="F36" s="678"/>
      <c r="G36" s="200"/>
      <c r="H36" s="202"/>
      <c r="I36" s="203"/>
      <c r="J36" s="200"/>
      <c r="K36" s="677"/>
      <c r="L36" s="678"/>
      <c r="N36" s="427"/>
      <c r="O36" s="199"/>
      <c r="P36" s="424"/>
      <c r="Q36" s="424"/>
      <c r="R36" s="199"/>
    </row>
    <row r="37" spans="1:18" ht="15.75" customHeight="1">
      <c r="A37" s="686"/>
      <c r="B37" s="689"/>
      <c r="C37" s="200">
        <v>4</v>
      </c>
      <c r="D37" s="677"/>
      <c r="E37" s="681"/>
      <c r="F37" s="678"/>
      <c r="G37" s="200"/>
      <c r="H37" s="202"/>
      <c r="I37" s="203"/>
      <c r="J37" s="200"/>
      <c r="K37" s="677"/>
      <c r="L37" s="678"/>
      <c r="O37" s="199"/>
      <c r="P37" s="424"/>
      <c r="Q37" s="424"/>
      <c r="R37" s="199"/>
    </row>
    <row r="38" spans="1:18" ht="15.75" customHeight="1">
      <c r="A38" s="686"/>
      <c r="B38" s="689"/>
      <c r="C38" s="200">
        <v>5</v>
      </c>
      <c r="D38" s="677"/>
      <c r="E38" s="681"/>
      <c r="F38" s="678"/>
      <c r="G38" s="200"/>
      <c r="H38" s="202"/>
      <c r="I38" s="203"/>
      <c r="J38" s="200"/>
      <c r="K38" s="677"/>
      <c r="L38" s="678"/>
      <c r="N38" s="178"/>
      <c r="O38" s="199"/>
      <c r="P38" s="424"/>
      <c r="Q38" s="424"/>
      <c r="R38" s="199"/>
    </row>
    <row r="39" spans="1:18" ht="15.75" customHeight="1">
      <c r="A39" s="686"/>
      <c r="B39" s="689"/>
      <c r="C39" s="204" t="s">
        <v>204</v>
      </c>
      <c r="D39" s="677"/>
      <c r="E39" s="681"/>
      <c r="F39" s="678"/>
      <c r="G39" s="200"/>
      <c r="H39" s="202"/>
      <c r="I39" s="203"/>
      <c r="J39" s="200"/>
      <c r="K39" s="677"/>
      <c r="L39" s="678"/>
      <c r="N39" s="427"/>
      <c r="O39" s="199"/>
      <c r="P39" s="424"/>
      <c r="Q39" s="424"/>
      <c r="R39" s="199"/>
    </row>
    <row r="40" spans="1:18" ht="15.75" customHeight="1">
      <c r="A40" s="686"/>
      <c r="B40" s="689"/>
      <c r="C40" s="204" t="s">
        <v>209</v>
      </c>
      <c r="D40" s="677"/>
      <c r="E40" s="681"/>
      <c r="F40" s="678"/>
      <c r="G40" s="200"/>
      <c r="H40" s="202"/>
      <c r="I40" s="203"/>
      <c r="J40" s="200"/>
      <c r="K40" s="677"/>
      <c r="L40" s="678"/>
      <c r="O40" s="199"/>
      <c r="P40" s="424"/>
      <c r="Q40" s="424"/>
      <c r="R40" s="199"/>
    </row>
    <row r="41" spans="1:18" ht="15.75" customHeight="1">
      <c r="A41" s="686"/>
      <c r="B41" s="689"/>
      <c r="C41" s="204" t="s">
        <v>205</v>
      </c>
      <c r="D41" s="677"/>
      <c r="E41" s="681"/>
      <c r="F41" s="678"/>
      <c r="G41" s="200"/>
      <c r="H41" s="202"/>
      <c r="I41" s="203"/>
      <c r="J41" s="200"/>
      <c r="K41" s="677"/>
      <c r="L41" s="678"/>
      <c r="O41" s="199"/>
      <c r="P41" s="424"/>
      <c r="Q41" s="424"/>
      <c r="R41" s="199"/>
    </row>
    <row r="42" spans="1:18" ht="15.75" customHeight="1">
      <c r="A42" s="686"/>
      <c r="B42" s="689"/>
      <c r="C42" s="204" t="s">
        <v>210</v>
      </c>
      <c r="D42" s="677"/>
      <c r="E42" s="681"/>
      <c r="F42" s="678"/>
      <c r="G42" s="200"/>
      <c r="H42" s="202"/>
      <c r="I42" s="203"/>
      <c r="J42" s="200"/>
      <c r="K42" s="677"/>
      <c r="L42" s="678"/>
      <c r="M42" s="99"/>
      <c r="O42" s="199"/>
      <c r="P42" s="424"/>
      <c r="Q42" s="424"/>
      <c r="R42" s="199"/>
    </row>
    <row r="43" spans="1:18" ht="15.75" customHeight="1">
      <c r="A43" s="687"/>
      <c r="B43" s="690"/>
      <c r="C43" s="204" t="s">
        <v>211</v>
      </c>
      <c r="D43" s="677"/>
      <c r="E43" s="681"/>
      <c r="F43" s="678"/>
      <c r="G43" s="200"/>
      <c r="H43" s="202"/>
      <c r="I43" s="203"/>
      <c r="J43" s="200"/>
      <c r="K43" s="677"/>
      <c r="L43" s="678"/>
      <c r="M43" s="99"/>
      <c r="N43" s="199"/>
      <c r="O43" s="199"/>
      <c r="P43" s="424"/>
      <c r="Q43" s="424"/>
      <c r="R43" s="199"/>
    </row>
    <row r="44" spans="1:18" s="104" customFormat="1" ht="15.75" customHeight="1">
      <c r="A44" s="682" t="s">
        <v>188</v>
      </c>
      <c r="B44" s="683"/>
      <c r="C44" s="207" t="s">
        <v>47</v>
      </c>
      <c r="D44" s="682" t="s">
        <v>12</v>
      </c>
      <c r="E44" s="684"/>
      <c r="F44" s="683"/>
      <c r="G44" s="207" t="s">
        <v>46</v>
      </c>
      <c r="H44" s="207" t="s">
        <v>385</v>
      </c>
      <c r="I44" s="207" t="s">
        <v>386</v>
      </c>
      <c r="J44" s="160" t="s">
        <v>332</v>
      </c>
      <c r="K44" s="682" t="s">
        <v>51</v>
      </c>
      <c r="L44" s="683"/>
      <c r="M44" s="128"/>
      <c r="N44" s="189"/>
      <c r="O44" s="199"/>
      <c r="P44" s="424"/>
      <c r="Q44" s="424"/>
      <c r="R44" s="199"/>
    </row>
    <row r="45" spans="1:18" ht="15.75" customHeight="1">
      <c r="A45" s="685">
        <v>8</v>
      </c>
      <c r="B45" s="688" t="s">
        <v>390</v>
      </c>
      <c r="C45" s="200">
        <v>1</v>
      </c>
      <c r="D45" s="677"/>
      <c r="E45" s="681"/>
      <c r="F45" s="678"/>
      <c r="G45" s="200"/>
      <c r="H45" s="202"/>
      <c r="I45" s="203"/>
      <c r="J45" s="200"/>
      <c r="K45" s="677"/>
      <c r="L45" s="678"/>
      <c r="M45" s="99"/>
      <c r="O45" s="199"/>
      <c r="P45" s="424"/>
      <c r="Q45" s="424"/>
      <c r="R45" s="199"/>
    </row>
    <row r="46" spans="1:18" ht="15.75" customHeight="1">
      <c r="A46" s="686"/>
      <c r="B46" s="689"/>
      <c r="C46" s="200">
        <v>2</v>
      </c>
      <c r="D46" s="677"/>
      <c r="E46" s="681"/>
      <c r="F46" s="678"/>
      <c r="G46" s="200"/>
      <c r="H46" s="202"/>
      <c r="I46" s="203"/>
      <c r="J46" s="200"/>
      <c r="K46" s="677"/>
      <c r="L46" s="678"/>
      <c r="M46" s="99"/>
      <c r="O46" s="178"/>
      <c r="P46" s="423"/>
      <c r="Q46" s="423"/>
      <c r="R46" s="178"/>
    </row>
    <row r="47" spans="1:18" ht="15.75" customHeight="1">
      <c r="A47" s="686"/>
      <c r="B47" s="689"/>
      <c r="C47" s="200">
        <v>3</v>
      </c>
      <c r="D47" s="677"/>
      <c r="E47" s="681"/>
      <c r="F47" s="678"/>
      <c r="G47" s="200"/>
      <c r="H47" s="202"/>
      <c r="I47" s="203"/>
      <c r="J47" s="200"/>
      <c r="K47" s="677"/>
      <c r="L47" s="678"/>
      <c r="M47" s="99"/>
      <c r="O47" s="199"/>
      <c r="P47" s="424"/>
      <c r="Q47" s="424"/>
      <c r="R47" s="199"/>
    </row>
    <row r="48" spans="1:18" ht="15.75" customHeight="1">
      <c r="A48" s="686"/>
      <c r="B48" s="689"/>
      <c r="C48" s="200">
        <v>4</v>
      </c>
      <c r="D48" s="677"/>
      <c r="E48" s="681"/>
      <c r="F48" s="678"/>
      <c r="G48" s="200"/>
      <c r="H48" s="202"/>
      <c r="I48" s="203"/>
      <c r="J48" s="200"/>
      <c r="K48" s="677"/>
      <c r="L48" s="678"/>
      <c r="M48" s="99"/>
      <c r="O48" s="199"/>
      <c r="P48" s="424"/>
      <c r="Q48" s="424"/>
      <c r="R48" s="199"/>
    </row>
    <row r="49" spans="1:18" ht="15.75" customHeight="1">
      <c r="A49" s="686"/>
      <c r="B49" s="689"/>
      <c r="C49" s="200">
        <v>5</v>
      </c>
      <c r="D49" s="677"/>
      <c r="E49" s="681"/>
      <c r="F49" s="678"/>
      <c r="G49" s="200"/>
      <c r="H49" s="202"/>
      <c r="I49" s="203"/>
      <c r="J49" s="200"/>
      <c r="K49" s="677"/>
      <c r="L49" s="678"/>
      <c r="M49" s="99"/>
      <c r="O49" s="199"/>
      <c r="P49" s="424"/>
      <c r="Q49" s="424"/>
      <c r="R49" s="199"/>
    </row>
    <row r="50" spans="1:18" ht="15.75" customHeight="1">
      <c r="A50" s="686"/>
      <c r="B50" s="689"/>
      <c r="C50" s="204" t="s">
        <v>204</v>
      </c>
      <c r="D50" s="677"/>
      <c r="E50" s="681"/>
      <c r="F50" s="678"/>
      <c r="G50" s="200"/>
      <c r="H50" s="202"/>
      <c r="I50" s="203"/>
      <c r="J50" s="200"/>
      <c r="K50" s="677"/>
      <c r="L50" s="678"/>
      <c r="M50" s="99"/>
      <c r="O50" s="199"/>
      <c r="P50" s="424"/>
      <c r="Q50" s="424"/>
      <c r="R50" s="199"/>
    </row>
    <row r="51" spans="1:18" ht="15.75" customHeight="1">
      <c r="A51" s="686"/>
      <c r="B51" s="689"/>
      <c r="C51" s="204" t="s">
        <v>209</v>
      </c>
      <c r="D51" s="677"/>
      <c r="E51" s="681"/>
      <c r="F51" s="678"/>
      <c r="G51" s="200"/>
      <c r="H51" s="202"/>
      <c r="I51" s="203"/>
      <c r="J51" s="200"/>
      <c r="K51" s="677"/>
      <c r="L51" s="678"/>
      <c r="M51" s="99"/>
      <c r="O51" s="199"/>
      <c r="P51" s="424"/>
      <c r="Q51" s="424"/>
      <c r="R51" s="199"/>
    </row>
    <row r="52" spans="1:18" ht="15.75" customHeight="1">
      <c r="A52" s="686"/>
      <c r="B52" s="689"/>
      <c r="C52" s="204" t="s">
        <v>205</v>
      </c>
      <c r="D52" s="677"/>
      <c r="E52" s="681"/>
      <c r="F52" s="678"/>
      <c r="G52" s="200"/>
      <c r="H52" s="202"/>
      <c r="I52" s="203"/>
      <c r="J52" s="200"/>
      <c r="K52" s="677"/>
      <c r="L52" s="678"/>
      <c r="M52" s="99"/>
      <c r="O52" s="199"/>
      <c r="P52" s="424"/>
      <c r="Q52" s="424"/>
      <c r="R52" s="199"/>
    </row>
    <row r="53" spans="1:18" ht="15.75" customHeight="1">
      <c r="A53" s="686"/>
      <c r="B53" s="689"/>
      <c r="C53" s="204" t="s">
        <v>210</v>
      </c>
      <c r="D53" s="677"/>
      <c r="E53" s="681"/>
      <c r="F53" s="678"/>
      <c r="G53" s="200"/>
      <c r="H53" s="202"/>
      <c r="I53" s="203"/>
      <c r="J53" s="200"/>
      <c r="K53" s="677"/>
      <c r="L53" s="678"/>
      <c r="M53" s="99"/>
      <c r="O53" s="199"/>
      <c r="P53" s="424"/>
      <c r="Q53" s="424"/>
      <c r="R53" s="199"/>
    </row>
    <row r="54" spans="1:18" ht="15.75" customHeight="1">
      <c r="A54" s="687"/>
      <c r="B54" s="690"/>
      <c r="C54" s="204" t="s">
        <v>211</v>
      </c>
      <c r="D54" s="677"/>
      <c r="E54" s="681"/>
      <c r="F54" s="678"/>
      <c r="G54" s="200"/>
      <c r="H54" s="202"/>
      <c r="I54" s="203"/>
      <c r="J54" s="200"/>
      <c r="K54" s="677"/>
      <c r="L54" s="678"/>
      <c r="M54" s="99"/>
      <c r="O54" s="199"/>
      <c r="P54" s="424"/>
      <c r="Q54" s="424"/>
      <c r="R54" s="199"/>
    </row>
    <row r="55" spans="1:18" s="189" customFormat="1" ht="15.75" customHeight="1">
      <c r="A55" s="674" t="s">
        <v>721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06" customFormat="1" ht="16.350000000000001" customHeight="1">
      <c r="A57" s="685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91">
        <v>7</v>
      </c>
      <c r="I57" s="191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87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4" t="s">
        <v>208</v>
      </c>
      <c r="I58" s="209" t="s">
        <v>384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91" t="s">
        <v>188</v>
      </c>
      <c r="B59" s="692"/>
      <c r="C59" s="160" t="s">
        <v>47</v>
      </c>
      <c r="D59" s="691" t="s">
        <v>12</v>
      </c>
      <c r="E59" s="693"/>
      <c r="F59" s="692"/>
      <c r="G59" s="160" t="s">
        <v>46</v>
      </c>
      <c r="H59" s="160" t="s">
        <v>385</v>
      </c>
      <c r="I59" s="160" t="s">
        <v>386</v>
      </c>
      <c r="J59" s="160" t="s">
        <v>332</v>
      </c>
      <c r="K59" s="691" t="s">
        <v>51</v>
      </c>
      <c r="L59" s="692"/>
      <c r="M59" s="127"/>
      <c r="N59" s="189"/>
      <c r="O59" s="199"/>
      <c r="P59" s="424"/>
      <c r="Q59" s="424"/>
      <c r="R59" s="199"/>
    </row>
    <row r="60" spans="1:18" ht="15.75" customHeight="1">
      <c r="A60" s="685">
        <v>7</v>
      </c>
      <c r="B60" s="688" t="s">
        <v>389</v>
      </c>
      <c r="C60" s="200">
        <v>1</v>
      </c>
      <c r="D60" s="679"/>
      <c r="E60" s="672"/>
      <c r="F60" s="672"/>
      <c r="G60" s="200"/>
      <c r="H60" s="202"/>
      <c r="I60" s="203"/>
      <c r="J60" s="200"/>
      <c r="K60" s="677"/>
      <c r="L60" s="678"/>
      <c r="O60" s="199"/>
      <c r="P60" s="424"/>
      <c r="Q60" s="424"/>
      <c r="R60" s="199"/>
    </row>
    <row r="61" spans="1:18" ht="15.75" customHeight="1">
      <c r="A61" s="686"/>
      <c r="B61" s="689"/>
      <c r="C61" s="200">
        <v>2</v>
      </c>
      <c r="D61" s="679"/>
      <c r="E61" s="672"/>
      <c r="F61" s="672"/>
      <c r="G61" s="200"/>
      <c r="H61" s="202"/>
      <c r="I61" s="203"/>
      <c r="J61" s="200"/>
      <c r="K61" s="677"/>
      <c r="L61" s="678"/>
      <c r="O61" s="199"/>
      <c r="P61" s="424"/>
      <c r="Q61" s="424"/>
      <c r="R61" s="199"/>
    </row>
    <row r="62" spans="1:18" ht="15.75" customHeight="1">
      <c r="A62" s="686"/>
      <c r="B62" s="689"/>
      <c r="C62" s="200">
        <v>3</v>
      </c>
      <c r="D62" s="679"/>
      <c r="E62" s="672"/>
      <c r="F62" s="672"/>
      <c r="G62" s="200"/>
      <c r="H62" s="202"/>
      <c r="I62" s="203"/>
      <c r="J62" s="200"/>
      <c r="K62" s="677"/>
      <c r="L62" s="678"/>
      <c r="N62" s="427"/>
      <c r="O62" s="199"/>
      <c r="P62" s="424"/>
      <c r="Q62" s="424"/>
      <c r="R62" s="199"/>
    </row>
    <row r="63" spans="1:18" ht="15.75" customHeight="1">
      <c r="A63" s="686"/>
      <c r="B63" s="689"/>
      <c r="C63" s="200">
        <v>4</v>
      </c>
      <c r="D63" s="677"/>
      <c r="E63" s="681"/>
      <c r="F63" s="678"/>
      <c r="G63" s="200"/>
      <c r="H63" s="202"/>
      <c r="I63" s="203"/>
      <c r="J63" s="200"/>
      <c r="K63" s="677"/>
      <c r="L63" s="678"/>
      <c r="O63" s="199"/>
      <c r="P63" s="424"/>
      <c r="Q63" s="424"/>
      <c r="R63" s="199"/>
    </row>
    <row r="64" spans="1:18" ht="15.75" customHeight="1">
      <c r="A64" s="686"/>
      <c r="B64" s="689"/>
      <c r="C64" s="200">
        <v>5</v>
      </c>
      <c r="D64" s="677"/>
      <c r="E64" s="681"/>
      <c r="F64" s="678"/>
      <c r="G64" s="200"/>
      <c r="H64" s="202"/>
      <c r="I64" s="203"/>
      <c r="J64" s="200"/>
      <c r="K64" s="677"/>
      <c r="L64" s="678"/>
      <c r="N64" s="178"/>
      <c r="O64" s="199"/>
      <c r="P64" s="424"/>
      <c r="Q64" s="424"/>
      <c r="R64" s="199"/>
    </row>
    <row r="65" spans="1:18" ht="15.75" customHeight="1">
      <c r="A65" s="686"/>
      <c r="B65" s="689"/>
      <c r="C65" s="204" t="s">
        <v>204</v>
      </c>
      <c r="D65" s="677"/>
      <c r="E65" s="681"/>
      <c r="F65" s="678"/>
      <c r="G65" s="200"/>
      <c r="H65" s="202"/>
      <c r="I65" s="203"/>
      <c r="J65" s="200"/>
      <c r="K65" s="677"/>
      <c r="L65" s="678"/>
      <c r="N65" s="427"/>
      <c r="O65" s="199"/>
      <c r="P65" s="424"/>
      <c r="Q65" s="424"/>
      <c r="R65" s="199"/>
    </row>
    <row r="66" spans="1:18" ht="15.75" customHeight="1">
      <c r="A66" s="686"/>
      <c r="B66" s="689"/>
      <c r="C66" s="204" t="s">
        <v>209</v>
      </c>
      <c r="D66" s="677"/>
      <c r="E66" s="681"/>
      <c r="F66" s="678"/>
      <c r="G66" s="200"/>
      <c r="H66" s="202"/>
      <c r="I66" s="203"/>
      <c r="J66" s="200"/>
      <c r="K66" s="677"/>
      <c r="L66" s="678"/>
      <c r="O66" s="199"/>
      <c r="P66" s="424"/>
      <c r="Q66" s="424"/>
      <c r="R66" s="199"/>
    </row>
    <row r="67" spans="1:18" ht="15.75" customHeight="1">
      <c r="A67" s="686"/>
      <c r="B67" s="689"/>
      <c r="C67" s="204" t="s">
        <v>205</v>
      </c>
      <c r="D67" s="677"/>
      <c r="E67" s="681"/>
      <c r="F67" s="678"/>
      <c r="G67" s="200"/>
      <c r="H67" s="202"/>
      <c r="I67" s="203"/>
      <c r="J67" s="200"/>
      <c r="K67" s="677"/>
      <c r="L67" s="678"/>
      <c r="O67" s="199"/>
      <c r="P67" s="424"/>
      <c r="Q67" s="424"/>
      <c r="R67" s="199"/>
    </row>
    <row r="68" spans="1:18" ht="15.75" customHeight="1">
      <c r="A68" s="686"/>
      <c r="B68" s="689"/>
      <c r="C68" s="204" t="s">
        <v>210</v>
      </c>
      <c r="D68" s="677"/>
      <c r="E68" s="681"/>
      <c r="F68" s="678"/>
      <c r="G68" s="200"/>
      <c r="H68" s="202"/>
      <c r="I68" s="203"/>
      <c r="J68" s="200"/>
      <c r="K68" s="677"/>
      <c r="L68" s="678"/>
      <c r="M68" s="99"/>
      <c r="O68" s="199"/>
      <c r="P68" s="424"/>
      <c r="Q68" s="424"/>
      <c r="R68" s="199"/>
    </row>
    <row r="69" spans="1:18" ht="15.75" customHeight="1">
      <c r="A69" s="687"/>
      <c r="B69" s="690"/>
      <c r="C69" s="204" t="s">
        <v>211</v>
      </c>
      <c r="D69" s="677"/>
      <c r="E69" s="681"/>
      <c r="F69" s="678"/>
      <c r="G69" s="200"/>
      <c r="H69" s="202"/>
      <c r="I69" s="203"/>
      <c r="J69" s="200"/>
      <c r="K69" s="677"/>
      <c r="L69" s="678"/>
      <c r="M69" s="99"/>
      <c r="N69" s="199"/>
      <c r="O69" s="199"/>
      <c r="P69" s="424"/>
      <c r="Q69" s="424"/>
      <c r="R69" s="199"/>
    </row>
    <row r="70" spans="1:18" s="104" customFormat="1" ht="15.75" customHeight="1">
      <c r="A70" s="682" t="s">
        <v>188</v>
      </c>
      <c r="B70" s="683"/>
      <c r="C70" s="207" t="s">
        <v>47</v>
      </c>
      <c r="D70" s="682" t="s">
        <v>12</v>
      </c>
      <c r="E70" s="684"/>
      <c r="F70" s="683"/>
      <c r="G70" s="207" t="s">
        <v>46</v>
      </c>
      <c r="H70" s="207" t="s">
        <v>385</v>
      </c>
      <c r="I70" s="207" t="s">
        <v>386</v>
      </c>
      <c r="J70" s="160" t="s">
        <v>332</v>
      </c>
      <c r="K70" s="682" t="s">
        <v>51</v>
      </c>
      <c r="L70" s="683"/>
      <c r="M70" s="128"/>
      <c r="N70" s="189"/>
      <c r="O70" s="199"/>
      <c r="P70" s="424"/>
      <c r="Q70" s="424"/>
      <c r="R70" s="199"/>
    </row>
    <row r="71" spans="1:18" ht="15.75" customHeight="1">
      <c r="A71" s="685">
        <v>8</v>
      </c>
      <c r="B71" s="688" t="s">
        <v>390</v>
      </c>
      <c r="C71" s="200">
        <v>1</v>
      </c>
      <c r="D71" s="679" t="s">
        <v>720</v>
      </c>
      <c r="E71" s="672"/>
      <c r="F71" s="672"/>
      <c r="G71" s="200">
        <v>19</v>
      </c>
      <c r="H71" s="202">
        <v>3110.6352141598227</v>
      </c>
      <c r="I71" s="203">
        <v>163.717642850517</v>
      </c>
      <c r="J71" s="200"/>
      <c r="K71" s="671" t="s">
        <v>635</v>
      </c>
      <c r="L71" s="672"/>
      <c r="M71" s="99"/>
      <c r="O71" s="199"/>
      <c r="P71" s="424"/>
      <c r="Q71" s="424"/>
      <c r="R71" s="199"/>
    </row>
    <row r="72" spans="1:18" ht="15.75" customHeight="1">
      <c r="A72" s="686"/>
      <c r="B72" s="689"/>
      <c r="C72" s="200">
        <v>2</v>
      </c>
      <c r="D72" s="679" t="s">
        <v>718</v>
      </c>
      <c r="E72" s="672"/>
      <c r="F72" s="672"/>
      <c r="G72" s="200">
        <v>20</v>
      </c>
      <c r="H72" s="202">
        <v>3160.3464189668584</v>
      </c>
      <c r="I72" s="203">
        <v>158.01732094834293</v>
      </c>
      <c r="J72" s="200"/>
      <c r="K72" s="671" t="s">
        <v>635</v>
      </c>
      <c r="L72" s="672"/>
      <c r="M72" s="99"/>
      <c r="O72" s="178"/>
      <c r="P72" s="423"/>
      <c r="Q72" s="423"/>
      <c r="R72" s="178"/>
    </row>
    <row r="73" spans="1:18" ht="15.75" customHeight="1">
      <c r="A73" s="686"/>
      <c r="B73" s="689"/>
      <c r="C73" s="200">
        <v>3</v>
      </c>
      <c r="D73" s="679" t="s">
        <v>719</v>
      </c>
      <c r="E73" s="672"/>
      <c r="F73" s="672"/>
      <c r="G73" s="200">
        <v>21</v>
      </c>
      <c r="H73" s="202">
        <v>3160.1115863333475</v>
      </c>
      <c r="I73" s="203">
        <v>150.48150411111178</v>
      </c>
      <c r="J73" s="200"/>
      <c r="K73" s="671" t="s">
        <v>635</v>
      </c>
      <c r="L73" s="672"/>
      <c r="M73" s="99"/>
      <c r="O73" s="199"/>
      <c r="P73" s="424"/>
      <c r="Q73" s="424"/>
      <c r="R73" s="199"/>
    </row>
    <row r="74" spans="1:18" ht="15.75" customHeight="1">
      <c r="A74" s="686"/>
      <c r="B74" s="689"/>
      <c r="C74" s="200">
        <v>4</v>
      </c>
      <c r="D74" s="677"/>
      <c r="E74" s="681"/>
      <c r="F74" s="678"/>
      <c r="G74" s="200"/>
      <c r="H74" s="202"/>
      <c r="I74" s="203"/>
      <c r="J74" s="200"/>
      <c r="K74" s="677"/>
      <c r="L74" s="678"/>
      <c r="M74" s="99"/>
      <c r="O74" s="199"/>
      <c r="P74" s="424"/>
      <c r="Q74" s="424"/>
      <c r="R74" s="199"/>
    </row>
    <row r="75" spans="1:18" ht="15.75" customHeight="1">
      <c r="A75" s="686"/>
      <c r="B75" s="689"/>
      <c r="C75" s="200">
        <v>5</v>
      </c>
      <c r="D75" s="677"/>
      <c r="E75" s="681"/>
      <c r="F75" s="678"/>
      <c r="G75" s="200"/>
      <c r="H75" s="202"/>
      <c r="I75" s="203"/>
      <c r="J75" s="200"/>
      <c r="K75" s="677"/>
      <c r="L75" s="678"/>
      <c r="M75" s="99"/>
      <c r="O75" s="199"/>
      <c r="P75" s="424"/>
      <c r="Q75" s="424"/>
      <c r="R75" s="199"/>
    </row>
    <row r="76" spans="1:18" ht="15.75" customHeight="1">
      <c r="A76" s="686"/>
      <c r="B76" s="689"/>
      <c r="C76" s="204" t="s">
        <v>204</v>
      </c>
      <c r="D76" s="677"/>
      <c r="E76" s="681"/>
      <c r="F76" s="678"/>
      <c r="G76" s="200"/>
      <c r="H76" s="202"/>
      <c r="I76" s="203"/>
      <c r="J76" s="200"/>
      <c r="K76" s="677"/>
      <c r="L76" s="678"/>
      <c r="M76" s="99"/>
      <c r="O76" s="199"/>
      <c r="P76" s="424"/>
      <c r="Q76" s="424"/>
      <c r="R76" s="199"/>
    </row>
    <row r="77" spans="1:18" ht="15.75" customHeight="1">
      <c r="A77" s="686"/>
      <c r="B77" s="689"/>
      <c r="C77" s="204" t="s">
        <v>209</v>
      </c>
      <c r="D77" s="677"/>
      <c r="E77" s="681"/>
      <c r="F77" s="678"/>
      <c r="G77" s="200"/>
      <c r="H77" s="202"/>
      <c r="I77" s="203"/>
      <c r="J77" s="200"/>
      <c r="K77" s="677"/>
      <c r="L77" s="678"/>
      <c r="M77" s="99"/>
      <c r="O77" s="199"/>
      <c r="P77" s="424"/>
      <c r="Q77" s="424"/>
      <c r="R77" s="199"/>
    </row>
    <row r="78" spans="1:18" ht="15.75" customHeight="1">
      <c r="A78" s="686"/>
      <c r="B78" s="689"/>
      <c r="C78" s="204" t="s">
        <v>205</v>
      </c>
      <c r="D78" s="677"/>
      <c r="E78" s="681"/>
      <c r="F78" s="678"/>
      <c r="G78" s="200"/>
      <c r="H78" s="202"/>
      <c r="I78" s="203"/>
      <c r="J78" s="200"/>
      <c r="K78" s="677"/>
      <c r="L78" s="678"/>
      <c r="M78" s="99"/>
      <c r="O78" s="199"/>
      <c r="P78" s="424"/>
      <c r="Q78" s="424"/>
      <c r="R78" s="199"/>
    </row>
    <row r="79" spans="1:18" ht="15.75" customHeight="1">
      <c r="A79" s="686"/>
      <c r="B79" s="689"/>
      <c r="C79" s="204" t="s">
        <v>210</v>
      </c>
      <c r="D79" s="677"/>
      <c r="E79" s="681"/>
      <c r="F79" s="678"/>
      <c r="G79" s="200"/>
      <c r="H79" s="202"/>
      <c r="I79" s="203"/>
      <c r="J79" s="200"/>
      <c r="K79" s="677"/>
      <c r="L79" s="678"/>
      <c r="M79" s="99"/>
      <c r="O79" s="199"/>
      <c r="P79" s="424"/>
      <c r="Q79" s="424"/>
      <c r="R79" s="199"/>
    </row>
    <row r="80" spans="1:18" ht="15.75" customHeight="1">
      <c r="A80" s="687"/>
      <c r="B80" s="690"/>
      <c r="C80" s="204" t="s">
        <v>211</v>
      </c>
      <c r="D80" s="677"/>
      <c r="E80" s="681"/>
      <c r="F80" s="678"/>
      <c r="G80" s="200"/>
      <c r="H80" s="202"/>
      <c r="I80" s="203"/>
      <c r="J80" s="200"/>
      <c r="K80" s="677"/>
      <c r="L80" s="678"/>
      <c r="M80" s="99"/>
      <c r="O80" s="199"/>
      <c r="P80" s="424"/>
      <c r="Q80" s="424"/>
      <c r="R80" s="199"/>
    </row>
    <row r="81" spans="1:18" s="189" customFormat="1" ht="15.75" customHeight="1">
      <c r="A81" s="674" t="s">
        <v>737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06" customFormat="1" ht="16.350000000000001" customHeight="1">
      <c r="A83" s="685" t="s">
        <v>162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91">
        <v>7</v>
      </c>
      <c r="I83" s="191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87"/>
      <c r="B84" s="195" t="s">
        <v>206</v>
      </c>
      <c r="C84" s="195" t="s">
        <v>155</v>
      </c>
      <c r="D84" s="195" t="s">
        <v>207</v>
      </c>
      <c r="E84" s="195" t="s">
        <v>156</v>
      </c>
      <c r="F84" s="195" t="s">
        <v>138</v>
      </c>
      <c r="G84" s="196" t="s">
        <v>136</v>
      </c>
      <c r="H84" s="194" t="s">
        <v>208</v>
      </c>
      <c r="I84" s="209" t="s">
        <v>384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91" t="s">
        <v>188</v>
      </c>
      <c r="B85" s="692"/>
      <c r="C85" s="160" t="s">
        <v>47</v>
      </c>
      <c r="D85" s="691" t="s">
        <v>12</v>
      </c>
      <c r="E85" s="693"/>
      <c r="F85" s="692"/>
      <c r="G85" s="160" t="s">
        <v>46</v>
      </c>
      <c r="H85" s="160" t="s">
        <v>385</v>
      </c>
      <c r="I85" s="160" t="s">
        <v>386</v>
      </c>
      <c r="J85" s="160" t="s">
        <v>332</v>
      </c>
      <c r="K85" s="691" t="s">
        <v>51</v>
      </c>
      <c r="L85" s="692"/>
      <c r="M85" s="127"/>
      <c r="N85" s="189"/>
      <c r="O85" s="199"/>
      <c r="P85" s="424"/>
      <c r="Q85" s="424"/>
      <c r="R85" s="199"/>
    </row>
    <row r="86" spans="1:18" ht="15.75" customHeight="1">
      <c r="A86" s="685">
        <v>7</v>
      </c>
      <c r="B86" s="688" t="s">
        <v>389</v>
      </c>
      <c r="C86" s="200">
        <v>1</v>
      </c>
      <c r="D86" s="679"/>
      <c r="E86" s="672"/>
      <c r="F86" s="672"/>
      <c r="G86" s="200"/>
      <c r="H86" s="202"/>
      <c r="I86" s="203"/>
      <c r="J86" s="200"/>
      <c r="K86" s="677"/>
      <c r="L86" s="678"/>
      <c r="O86" s="199"/>
      <c r="P86" s="424"/>
      <c r="Q86" s="424"/>
      <c r="R86" s="199"/>
    </row>
    <row r="87" spans="1:18" ht="15.75" customHeight="1">
      <c r="A87" s="686"/>
      <c r="B87" s="689"/>
      <c r="C87" s="200">
        <v>2</v>
      </c>
      <c r="D87" s="679"/>
      <c r="E87" s="672"/>
      <c r="F87" s="672"/>
      <c r="G87" s="200"/>
      <c r="H87" s="202"/>
      <c r="I87" s="203"/>
      <c r="J87" s="200"/>
      <c r="K87" s="677"/>
      <c r="L87" s="678"/>
      <c r="O87" s="199"/>
      <c r="P87" s="424"/>
      <c r="Q87" s="424"/>
      <c r="R87" s="199"/>
    </row>
    <row r="88" spans="1:18" ht="15.75" customHeight="1">
      <c r="A88" s="686"/>
      <c r="B88" s="689"/>
      <c r="C88" s="200">
        <v>3</v>
      </c>
      <c r="D88" s="677"/>
      <c r="E88" s="681"/>
      <c r="F88" s="678"/>
      <c r="G88" s="200"/>
      <c r="H88" s="202"/>
      <c r="I88" s="203"/>
      <c r="J88" s="200"/>
      <c r="K88" s="677"/>
      <c r="L88" s="678"/>
      <c r="N88" s="427"/>
      <c r="O88" s="199"/>
      <c r="P88" s="424"/>
      <c r="Q88" s="424"/>
      <c r="R88" s="199"/>
    </row>
    <row r="89" spans="1:18" ht="15.75" customHeight="1">
      <c r="A89" s="686"/>
      <c r="B89" s="689"/>
      <c r="C89" s="200">
        <v>4</v>
      </c>
      <c r="D89" s="677"/>
      <c r="E89" s="681"/>
      <c r="F89" s="678"/>
      <c r="G89" s="200"/>
      <c r="H89" s="202"/>
      <c r="I89" s="203"/>
      <c r="J89" s="200"/>
      <c r="K89" s="677"/>
      <c r="L89" s="678"/>
      <c r="O89" s="199"/>
      <c r="P89" s="424"/>
      <c r="Q89" s="424"/>
      <c r="R89" s="199"/>
    </row>
    <row r="90" spans="1:18" ht="15.75" customHeight="1">
      <c r="A90" s="686"/>
      <c r="B90" s="689"/>
      <c r="C90" s="200">
        <v>5</v>
      </c>
      <c r="D90" s="677"/>
      <c r="E90" s="681"/>
      <c r="F90" s="678"/>
      <c r="G90" s="200"/>
      <c r="H90" s="202"/>
      <c r="I90" s="203"/>
      <c r="J90" s="200"/>
      <c r="K90" s="677"/>
      <c r="L90" s="678"/>
      <c r="N90" s="178"/>
      <c r="O90" s="199"/>
      <c r="P90" s="424"/>
      <c r="Q90" s="424"/>
      <c r="R90" s="199"/>
    </row>
    <row r="91" spans="1:18" ht="15.75" customHeight="1">
      <c r="A91" s="686"/>
      <c r="B91" s="689"/>
      <c r="C91" s="204" t="s">
        <v>204</v>
      </c>
      <c r="D91" s="677"/>
      <c r="E91" s="681"/>
      <c r="F91" s="678"/>
      <c r="G91" s="200"/>
      <c r="H91" s="202"/>
      <c r="I91" s="203"/>
      <c r="J91" s="200"/>
      <c r="K91" s="677"/>
      <c r="L91" s="678"/>
      <c r="N91" s="427"/>
      <c r="O91" s="199"/>
      <c r="P91" s="424"/>
      <c r="Q91" s="424"/>
      <c r="R91" s="199"/>
    </row>
    <row r="92" spans="1:18" ht="15.75" customHeight="1">
      <c r="A92" s="686"/>
      <c r="B92" s="689"/>
      <c r="C92" s="204" t="s">
        <v>209</v>
      </c>
      <c r="D92" s="677"/>
      <c r="E92" s="681"/>
      <c r="F92" s="678"/>
      <c r="G92" s="200"/>
      <c r="H92" s="202"/>
      <c r="I92" s="203"/>
      <c r="J92" s="200"/>
      <c r="K92" s="677"/>
      <c r="L92" s="678"/>
      <c r="O92" s="199"/>
      <c r="P92" s="424"/>
      <c r="Q92" s="424"/>
      <c r="R92" s="199"/>
    </row>
    <row r="93" spans="1:18" ht="15.75" customHeight="1">
      <c r="A93" s="686"/>
      <c r="B93" s="689"/>
      <c r="C93" s="204" t="s">
        <v>205</v>
      </c>
      <c r="D93" s="677"/>
      <c r="E93" s="681"/>
      <c r="F93" s="678"/>
      <c r="G93" s="200"/>
      <c r="H93" s="202"/>
      <c r="I93" s="203"/>
      <c r="J93" s="200"/>
      <c r="K93" s="677"/>
      <c r="L93" s="678"/>
      <c r="O93" s="199"/>
      <c r="P93" s="424"/>
      <c r="Q93" s="424"/>
      <c r="R93" s="199"/>
    </row>
    <row r="94" spans="1:18" ht="15.75" customHeight="1">
      <c r="A94" s="686"/>
      <c r="B94" s="689"/>
      <c r="C94" s="204" t="s">
        <v>210</v>
      </c>
      <c r="D94" s="677"/>
      <c r="E94" s="681"/>
      <c r="F94" s="678"/>
      <c r="G94" s="200"/>
      <c r="H94" s="202"/>
      <c r="I94" s="203"/>
      <c r="J94" s="200"/>
      <c r="K94" s="677"/>
      <c r="L94" s="678"/>
      <c r="M94" s="99"/>
      <c r="O94" s="199"/>
      <c r="P94" s="424"/>
      <c r="Q94" s="424"/>
      <c r="R94" s="199"/>
    </row>
    <row r="95" spans="1:18" ht="15.75" customHeight="1">
      <c r="A95" s="687"/>
      <c r="B95" s="690"/>
      <c r="C95" s="204" t="s">
        <v>211</v>
      </c>
      <c r="D95" s="677"/>
      <c r="E95" s="681"/>
      <c r="F95" s="678"/>
      <c r="G95" s="200"/>
      <c r="H95" s="202"/>
      <c r="I95" s="203"/>
      <c r="J95" s="200"/>
      <c r="K95" s="677"/>
      <c r="L95" s="678"/>
      <c r="M95" s="99"/>
      <c r="N95" s="199"/>
      <c r="O95" s="199"/>
      <c r="P95" s="424"/>
      <c r="Q95" s="424"/>
      <c r="R95" s="199"/>
    </row>
    <row r="96" spans="1:18" s="104" customFormat="1" ht="15.75" customHeight="1">
      <c r="A96" s="682" t="s">
        <v>188</v>
      </c>
      <c r="B96" s="683"/>
      <c r="C96" s="207" t="s">
        <v>47</v>
      </c>
      <c r="D96" s="682" t="s">
        <v>12</v>
      </c>
      <c r="E96" s="684"/>
      <c r="F96" s="683"/>
      <c r="G96" s="207" t="s">
        <v>46</v>
      </c>
      <c r="H96" s="207" t="s">
        <v>385</v>
      </c>
      <c r="I96" s="207" t="s">
        <v>386</v>
      </c>
      <c r="J96" s="160" t="s">
        <v>332</v>
      </c>
      <c r="K96" s="682" t="s">
        <v>51</v>
      </c>
      <c r="L96" s="683"/>
      <c r="M96" s="128"/>
      <c r="N96" s="189"/>
      <c r="O96" s="199"/>
      <c r="P96" s="424"/>
      <c r="Q96" s="424"/>
      <c r="R96" s="199"/>
    </row>
    <row r="97" spans="1:18" ht="15.75" customHeight="1">
      <c r="A97" s="685">
        <v>8</v>
      </c>
      <c r="B97" s="688" t="s">
        <v>390</v>
      </c>
      <c r="C97" s="200">
        <v>1</v>
      </c>
      <c r="D97" s="677" t="s">
        <v>720</v>
      </c>
      <c r="E97" s="681"/>
      <c r="F97" s="678"/>
      <c r="G97" s="200">
        <v>19</v>
      </c>
      <c r="H97" s="202">
        <v>3170.3351421481252</v>
      </c>
      <c r="I97" s="203">
        <v>166.85974432358555</v>
      </c>
      <c r="J97" s="373">
        <f>I97-I71</f>
        <v>3.1421014730685499</v>
      </c>
      <c r="K97" s="671" t="s">
        <v>555</v>
      </c>
      <c r="L97" s="672"/>
      <c r="M97" s="99"/>
      <c r="O97" s="199"/>
      <c r="P97" s="424"/>
      <c r="Q97" s="424"/>
      <c r="R97" s="199"/>
    </row>
    <row r="98" spans="1:18" ht="15.75" customHeight="1">
      <c r="A98" s="686"/>
      <c r="B98" s="689"/>
      <c r="C98" s="200">
        <v>2</v>
      </c>
      <c r="D98" s="677" t="s">
        <v>756</v>
      </c>
      <c r="E98" s="681"/>
      <c r="F98" s="678"/>
      <c r="G98" s="200">
        <v>19</v>
      </c>
      <c r="H98" s="202">
        <v>3105.2330861564074</v>
      </c>
      <c r="I98" s="203">
        <v>163.43332032402142</v>
      </c>
      <c r="J98" s="373"/>
      <c r="K98" s="671" t="s">
        <v>635</v>
      </c>
      <c r="L98" s="672"/>
      <c r="M98" s="99"/>
      <c r="O98" s="178"/>
      <c r="P98" s="423"/>
      <c r="Q98" s="423"/>
      <c r="R98" s="178"/>
    </row>
    <row r="99" spans="1:18" ht="15.75" customHeight="1">
      <c r="A99" s="686"/>
      <c r="B99" s="689"/>
      <c r="C99" s="200">
        <v>3</v>
      </c>
      <c r="D99" s="677" t="s">
        <v>718</v>
      </c>
      <c r="E99" s="681"/>
      <c r="F99" s="678"/>
      <c r="G99" s="200">
        <v>20</v>
      </c>
      <c r="H99" s="202">
        <v>3257.0630088274306</v>
      </c>
      <c r="I99" s="203">
        <v>162.85315044137153</v>
      </c>
      <c r="J99" s="373">
        <f>I99-I72</f>
        <v>4.8358294930285979</v>
      </c>
      <c r="K99" s="671" t="s">
        <v>555</v>
      </c>
      <c r="L99" s="672"/>
      <c r="M99" s="99"/>
      <c r="O99" s="199"/>
      <c r="P99" s="424"/>
      <c r="Q99" s="424"/>
      <c r="R99" s="199"/>
    </row>
    <row r="100" spans="1:18" ht="15.75" customHeight="1">
      <c r="A100" s="686"/>
      <c r="B100" s="689"/>
      <c r="C100" s="200">
        <v>4</v>
      </c>
      <c r="D100" s="677" t="s">
        <v>719</v>
      </c>
      <c r="E100" s="681"/>
      <c r="F100" s="678"/>
      <c r="G100" s="200">
        <v>21</v>
      </c>
      <c r="H100" s="202">
        <v>3258.5725023829978</v>
      </c>
      <c r="I100" s="203">
        <v>155.1701191610951</v>
      </c>
      <c r="J100" s="373">
        <f>I100-I73</f>
        <v>4.6886150499833263</v>
      </c>
      <c r="K100" s="671" t="s">
        <v>555</v>
      </c>
      <c r="L100" s="672"/>
      <c r="M100" s="99"/>
      <c r="O100" s="199"/>
      <c r="P100" s="424"/>
      <c r="Q100" s="424"/>
      <c r="R100" s="199"/>
    </row>
    <row r="101" spans="1:18" ht="15.75" customHeight="1">
      <c r="A101" s="686"/>
      <c r="B101" s="689"/>
      <c r="C101" s="200">
        <v>5</v>
      </c>
      <c r="D101" s="677"/>
      <c r="E101" s="681"/>
      <c r="F101" s="678"/>
      <c r="G101" s="200"/>
      <c r="H101" s="202"/>
      <c r="I101" s="203"/>
      <c r="J101" s="200"/>
      <c r="K101" s="677"/>
      <c r="L101" s="678"/>
      <c r="M101" s="99"/>
      <c r="O101" s="199"/>
      <c r="P101" s="424"/>
      <c r="Q101" s="424"/>
      <c r="R101" s="199"/>
    </row>
    <row r="102" spans="1:18" ht="15.75" customHeight="1">
      <c r="A102" s="686"/>
      <c r="B102" s="689"/>
      <c r="C102" s="204" t="s">
        <v>204</v>
      </c>
      <c r="D102" s="677"/>
      <c r="E102" s="681"/>
      <c r="F102" s="678"/>
      <c r="G102" s="200"/>
      <c r="H102" s="202"/>
      <c r="I102" s="203"/>
      <c r="J102" s="200"/>
      <c r="K102" s="677"/>
      <c r="L102" s="678"/>
      <c r="M102" s="99"/>
      <c r="O102" s="199"/>
      <c r="P102" s="424"/>
      <c r="Q102" s="424"/>
      <c r="R102" s="199"/>
    </row>
    <row r="103" spans="1:18" ht="15.75" customHeight="1">
      <c r="A103" s="686"/>
      <c r="B103" s="689"/>
      <c r="C103" s="204" t="s">
        <v>209</v>
      </c>
      <c r="D103" s="677"/>
      <c r="E103" s="681"/>
      <c r="F103" s="678"/>
      <c r="G103" s="200"/>
      <c r="H103" s="202"/>
      <c r="I103" s="203"/>
      <c r="J103" s="200"/>
      <c r="K103" s="677"/>
      <c r="L103" s="678"/>
      <c r="M103" s="99"/>
      <c r="O103" s="199"/>
      <c r="P103" s="424"/>
      <c r="Q103" s="424"/>
      <c r="R103" s="199"/>
    </row>
    <row r="104" spans="1:18" ht="15.75" customHeight="1">
      <c r="A104" s="686"/>
      <c r="B104" s="689"/>
      <c r="C104" s="204" t="s">
        <v>205</v>
      </c>
      <c r="D104" s="677"/>
      <c r="E104" s="681"/>
      <c r="F104" s="678"/>
      <c r="G104" s="200"/>
      <c r="H104" s="202"/>
      <c r="I104" s="203"/>
      <c r="J104" s="200"/>
      <c r="K104" s="677"/>
      <c r="L104" s="678"/>
      <c r="M104" s="99"/>
      <c r="O104" s="199"/>
      <c r="P104" s="424"/>
      <c r="Q104" s="424"/>
      <c r="R104" s="199"/>
    </row>
    <row r="105" spans="1:18" ht="15.75" customHeight="1">
      <c r="A105" s="686"/>
      <c r="B105" s="689"/>
      <c r="C105" s="204" t="s">
        <v>210</v>
      </c>
      <c r="D105" s="677"/>
      <c r="E105" s="681"/>
      <c r="F105" s="678"/>
      <c r="G105" s="200"/>
      <c r="H105" s="202"/>
      <c r="I105" s="203"/>
      <c r="J105" s="200"/>
      <c r="K105" s="677"/>
      <c r="L105" s="678"/>
      <c r="M105" s="99"/>
      <c r="O105" s="199"/>
      <c r="P105" s="424"/>
      <c r="Q105" s="424"/>
      <c r="R105" s="199"/>
    </row>
    <row r="106" spans="1:18" ht="15.75" customHeight="1">
      <c r="A106" s="687"/>
      <c r="B106" s="690"/>
      <c r="C106" s="204" t="s">
        <v>211</v>
      </c>
      <c r="D106" s="677"/>
      <c r="E106" s="681"/>
      <c r="F106" s="678"/>
      <c r="G106" s="200"/>
      <c r="H106" s="202"/>
      <c r="I106" s="203"/>
      <c r="J106" s="200"/>
      <c r="K106" s="677"/>
      <c r="L106" s="678"/>
      <c r="M106" s="99"/>
      <c r="O106" s="199"/>
      <c r="P106" s="424"/>
      <c r="Q106" s="424"/>
      <c r="R106" s="199"/>
    </row>
    <row r="107" spans="1:18" s="189" customFormat="1" ht="15.75" customHeight="1">
      <c r="A107" s="674" t="s">
        <v>773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06" customFormat="1" ht="16.350000000000001" customHeight="1">
      <c r="A109" s="685" t="s">
        <v>162</v>
      </c>
      <c r="B109" s="170">
        <v>1</v>
      </c>
      <c r="C109" s="170">
        <v>2</v>
      </c>
      <c r="D109" s="170">
        <v>3</v>
      </c>
      <c r="E109" s="170">
        <v>4</v>
      </c>
      <c r="F109" s="170">
        <v>5</v>
      </c>
      <c r="G109" s="170">
        <v>6</v>
      </c>
      <c r="H109" s="191">
        <v>7</v>
      </c>
      <c r="I109" s="191">
        <v>8</v>
      </c>
      <c r="J109" s="170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87"/>
      <c r="B110" s="195" t="s">
        <v>206</v>
      </c>
      <c r="C110" s="195" t="s">
        <v>155</v>
      </c>
      <c r="D110" s="195" t="s">
        <v>207</v>
      </c>
      <c r="E110" s="195" t="s">
        <v>156</v>
      </c>
      <c r="F110" s="195" t="s">
        <v>138</v>
      </c>
      <c r="G110" s="196" t="s">
        <v>136</v>
      </c>
      <c r="H110" s="194" t="s">
        <v>208</v>
      </c>
      <c r="I110" s="209" t="s">
        <v>384</v>
      </c>
      <c r="J110" s="196" t="s">
        <v>142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91" t="s">
        <v>188</v>
      </c>
      <c r="B111" s="692"/>
      <c r="C111" s="160" t="s">
        <v>47</v>
      </c>
      <c r="D111" s="691" t="s">
        <v>12</v>
      </c>
      <c r="E111" s="693"/>
      <c r="F111" s="692"/>
      <c r="G111" s="160" t="s">
        <v>46</v>
      </c>
      <c r="H111" s="160" t="s">
        <v>385</v>
      </c>
      <c r="I111" s="160" t="s">
        <v>386</v>
      </c>
      <c r="J111" s="160" t="s">
        <v>332</v>
      </c>
      <c r="K111" s="691" t="s">
        <v>51</v>
      </c>
      <c r="L111" s="692"/>
      <c r="M111" s="127"/>
      <c r="N111" s="189"/>
      <c r="O111" s="199"/>
      <c r="P111" s="424"/>
      <c r="Q111" s="424"/>
      <c r="R111" s="199"/>
    </row>
    <row r="112" spans="1:18" ht="15.75" customHeight="1">
      <c r="A112" s="685">
        <v>7</v>
      </c>
      <c r="B112" s="688" t="s">
        <v>389</v>
      </c>
      <c r="C112" s="200">
        <v>1</v>
      </c>
      <c r="D112" s="679"/>
      <c r="E112" s="672"/>
      <c r="F112" s="672"/>
      <c r="G112" s="200"/>
      <c r="H112" s="202"/>
      <c r="I112" s="203"/>
      <c r="J112" s="200"/>
      <c r="K112" s="677"/>
      <c r="L112" s="678"/>
      <c r="O112" s="199"/>
      <c r="P112" s="424"/>
      <c r="Q112" s="424"/>
      <c r="R112" s="199"/>
    </row>
    <row r="113" spans="1:18" ht="15.75" customHeight="1">
      <c r="A113" s="686"/>
      <c r="B113" s="689"/>
      <c r="C113" s="200">
        <v>2</v>
      </c>
      <c r="D113" s="679"/>
      <c r="E113" s="672"/>
      <c r="F113" s="672"/>
      <c r="G113" s="200"/>
      <c r="H113" s="202"/>
      <c r="I113" s="203"/>
      <c r="J113" s="200"/>
      <c r="K113" s="677"/>
      <c r="L113" s="678"/>
      <c r="O113" s="199"/>
      <c r="P113" s="424"/>
      <c r="Q113" s="424"/>
      <c r="R113" s="199"/>
    </row>
    <row r="114" spans="1:18" ht="15.75" customHeight="1">
      <c r="A114" s="686"/>
      <c r="B114" s="689"/>
      <c r="C114" s="200">
        <v>3</v>
      </c>
      <c r="D114" s="677"/>
      <c r="E114" s="681"/>
      <c r="F114" s="678"/>
      <c r="G114" s="200"/>
      <c r="H114" s="202"/>
      <c r="I114" s="203"/>
      <c r="J114" s="200"/>
      <c r="K114" s="677"/>
      <c r="L114" s="678"/>
      <c r="N114" s="427"/>
      <c r="O114" s="199"/>
      <c r="P114" s="424"/>
      <c r="Q114" s="424"/>
      <c r="R114" s="199"/>
    </row>
    <row r="115" spans="1:18" ht="15.75" customHeight="1">
      <c r="A115" s="686"/>
      <c r="B115" s="689"/>
      <c r="C115" s="200">
        <v>4</v>
      </c>
      <c r="D115" s="677"/>
      <c r="E115" s="681"/>
      <c r="F115" s="678"/>
      <c r="G115" s="200"/>
      <c r="H115" s="202"/>
      <c r="I115" s="203"/>
      <c r="J115" s="200"/>
      <c r="K115" s="677"/>
      <c r="L115" s="678"/>
      <c r="O115" s="199"/>
      <c r="P115" s="424"/>
      <c r="Q115" s="424"/>
      <c r="R115" s="199"/>
    </row>
    <row r="116" spans="1:18" ht="15.75" customHeight="1">
      <c r="A116" s="686"/>
      <c r="B116" s="689"/>
      <c r="C116" s="200">
        <v>5</v>
      </c>
      <c r="D116" s="677"/>
      <c r="E116" s="681"/>
      <c r="F116" s="678"/>
      <c r="G116" s="200"/>
      <c r="H116" s="202"/>
      <c r="I116" s="203"/>
      <c r="J116" s="200"/>
      <c r="K116" s="677"/>
      <c r="L116" s="678"/>
      <c r="N116" s="178"/>
      <c r="O116" s="199"/>
      <c r="P116" s="424"/>
      <c r="Q116" s="424"/>
      <c r="R116" s="199"/>
    </row>
    <row r="117" spans="1:18" ht="15.75" customHeight="1">
      <c r="A117" s="686"/>
      <c r="B117" s="689"/>
      <c r="C117" s="204" t="s">
        <v>204</v>
      </c>
      <c r="D117" s="677"/>
      <c r="E117" s="681"/>
      <c r="F117" s="678"/>
      <c r="G117" s="200"/>
      <c r="H117" s="202"/>
      <c r="I117" s="203"/>
      <c r="J117" s="200"/>
      <c r="K117" s="677"/>
      <c r="L117" s="678"/>
      <c r="N117" s="427"/>
      <c r="O117" s="199"/>
      <c r="P117" s="424"/>
      <c r="Q117" s="424"/>
      <c r="R117" s="199"/>
    </row>
    <row r="118" spans="1:18" ht="15.75" customHeight="1">
      <c r="A118" s="686"/>
      <c r="B118" s="689"/>
      <c r="C118" s="204" t="s">
        <v>209</v>
      </c>
      <c r="D118" s="677"/>
      <c r="E118" s="681"/>
      <c r="F118" s="678"/>
      <c r="G118" s="200"/>
      <c r="H118" s="202"/>
      <c r="I118" s="203"/>
      <c r="J118" s="200"/>
      <c r="K118" s="677"/>
      <c r="L118" s="678"/>
      <c r="O118" s="199"/>
      <c r="P118" s="424"/>
      <c r="Q118" s="424"/>
      <c r="R118" s="199"/>
    </row>
    <row r="119" spans="1:18" ht="15.75" customHeight="1">
      <c r="A119" s="686"/>
      <c r="B119" s="689"/>
      <c r="C119" s="204" t="s">
        <v>205</v>
      </c>
      <c r="D119" s="677"/>
      <c r="E119" s="681"/>
      <c r="F119" s="678"/>
      <c r="G119" s="200"/>
      <c r="H119" s="202"/>
      <c r="I119" s="203"/>
      <c r="J119" s="200"/>
      <c r="K119" s="677"/>
      <c r="L119" s="678"/>
      <c r="O119" s="199"/>
      <c r="P119" s="424"/>
      <c r="Q119" s="424"/>
      <c r="R119" s="199"/>
    </row>
    <row r="120" spans="1:18" ht="15.75" customHeight="1">
      <c r="A120" s="686"/>
      <c r="B120" s="689"/>
      <c r="C120" s="204" t="s">
        <v>210</v>
      </c>
      <c r="D120" s="677"/>
      <c r="E120" s="681"/>
      <c r="F120" s="678"/>
      <c r="G120" s="200"/>
      <c r="H120" s="202"/>
      <c r="I120" s="203"/>
      <c r="J120" s="200"/>
      <c r="K120" s="677"/>
      <c r="L120" s="678"/>
      <c r="M120" s="99"/>
      <c r="O120" s="199"/>
      <c r="P120" s="424"/>
      <c r="Q120" s="424"/>
      <c r="R120" s="199"/>
    </row>
    <row r="121" spans="1:18" ht="15.75" customHeight="1">
      <c r="A121" s="687"/>
      <c r="B121" s="690"/>
      <c r="C121" s="204" t="s">
        <v>211</v>
      </c>
      <c r="D121" s="677"/>
      <c r="E121" s="681"/>
      <c r="F121" s="678"/>
      <c r="G121" s="200"/>
      <c r="H121" s="202"/>
      <c r="I121" s="203"/>
      <c r="J121" s="200"/>
      <c r="K121" s="677"/>
      <c r="L121" s="678"/>
      <c r="M121" s="99"/>
      <c r="N121" s="199"/>
      <c r="O121" s="199"/>
      <c r="P121" s="424"/>
      <c r="Q121" s="424"/>
      <c r="R121" s="199"/>
    </row>
    <row r="122" spans="1:18" s="104" customFormat="1" ht="15.75" customHeight="1">
      <c r="A122" s="682" t="s">
        <v>188</v>
      </c>
      <c r="B122" s="683"/>
      <c r="C122" s="207" t="s">
        <v>47</v>
      </c>
      <c r="D122" s="682" t="s">
        <v>12</v>
      </c>
      <c r="E122" s="684"/>
      <c r="F122" s="683"/>
      <c r="G122" s="207" t="s">
        <v>46</v>
      </c>
      <c r="H122" s="207" t="s">
        <v>385</v>
      </c>
      <c r="I122" s="207" t="s">
        <v>386</v>
      </c>
      <c r="J122" s="160" t="s">
        <v>332</v>
      </c>
      <c r="K122" s="682" t="s">
        <v>51</v>
      </c>
      <c r="L122" s="683"/>
      <c r="M122" s="128"/>
      <c r="N122" s="189"/>
      <c r="O122" s="199"/>
      <c r="P122" s="424"/>
      <c r="Q122" s="424"/>
      <c r="R122" s="199"/>
    </row>
    <row r="123" spans="1:18" ht="15.75" customHeight="1">
      <c r="A123" s="685">
        <v>8</v>
      </c>
      <c r="B123" s="688" t="s">
        <v>390</v>
      </c>
      <c r="C123" s="200">
        <v>1</v>
      </c>
      <c r="D123" s="677" t="s">
        <v>720</v>
      </c>
      <c r="E123" s="681"/>
      <c r="F123" s="678"/>
      <c r="G123" s="200">
        <v>19</v>
      </c>
      <c r="H123" s="202">
        <v>3172.184337094784</v>
      </c>
      <c r="I123" s="203">
        <v>166.95707037340972</v>
      </c>
      <c r="J123" s="373">
        <f>I123-I97</f>
        <v>9.7326049824175698E-2</v>
      </c>
      <c r="K123" s="671"/>
      <c r="L123" s="672"/>
      <c r="M123" s="99"/>
      <c r="O123" s="199"/>
      <c r="P123" s="424"/>
      <c r="Q123" s="424"/>
      <c r="R123" s="199"/>
    </row>
    <row r="124" spans="1:18" ht="15.75" customHeight="1">
      <c r="A124" s="686"/>
      <c r="B124" s="689"/>
      <c r="C124" s="200">
        <v>2</v>
      </c>
      <c r="D124" s="677" t="s">
        <v>756</v>
      </c>
      <c r="E124" s="681"/>
      <c r="F124" s="678"/>
      <c r="G124" s="200">
        <v>19</v>
      </c>
      <c r="H124" s="202">
        <v>3170.9267633689415</v>
      </c>
      <c r="I124" s="203">
        <v>166.89088228257586</v>
      </c>
      <c r="J124" s="373">
        <f>I124-I98</f>
        <v>3.4575619585544359</v>
      </c>
      <c r="K124" s="671"/>
      <c r="L124" s="672"/>
      <c r="M124" s="99"/>
      <c r="O124" s="178"/>
      <c r="P124" s="423"/>
      <c r="Q124" s="423"/>
      <c r="R124" s="178"/>
    </row>
    <row r="125" spans="1:18" ht="15.75" customHeight="1">
      <c r="A125" s="686"/>
      <c r="B125" s="689"/>
      <c r="C125" s="200">
        <v>3</v>
      </c>
      <c r="D125" s="677" t="s">
        <v>785</v>
      </c>
      <c r="E125" s="681"/>
      <c r="F125" s="678"/>
      <c r="G125" s="200">
        <v>19</v>
      </c>
      <c r="H125" s="202">
        <v>3106.4853322042131</v>
      </c>
      <c r="I125" s="203">
        <v>163.49922801074803</v>
      </c>
      <c r="J125" s="373"/>
      <c r="K125" s="671"/>
      <c r="L125" s="672"/>
      <c r="M125" s="99"/>
      <c r="O125" s="199"/>
      <c r="P125" s="424"/>
      <c r="Q125" s="424"/>
      <c r="R125" s="199"/>
    </row>
    <row r="126" spans="1:18" ht="15.75" customHeight="1">
      <c r="A126" s="686"/>
      <c r="B126" s="689"/>
      <c r="C126" s="200">
        <v>4</v>
      </c>
      <c r="D126" s="677" t="s">
        <v>718</v>
      </c>
      <c r="E126" s="681"/>
      <c r="F126" s="678"/>
      <c r="G126" s="200">
        <v>20</v>
      </c>
      <c r="H126" s="202">
        <v>3257.0218312293314</v>
      </c>
      <c r="I126" s="203">
        <v>162.85109156146657</v>
      </c>
      <c r="J126" s="373">
        <f>I126-I99</f>
        <v>-2.0588799049505724E-3</v>
      </c>
      <c r="K126" s="671"/>
      <c r="L126" s="672"/>
      <c r="M126" s="99"/>
      <c r="O126" s="199"/>
      <c r="P126" s="424"/>
      <c r="Q126" s="424"/>
      <c r="R126" s="199"/>
    </row>
    <row r="127" spans="1:18" ht="15.75" customHeight="1">
      <c r="A127" s="686"/>
      <c r="B127" s="689"/>
      <c r="C127" s="200">
        <v>5</v>
      </c>
      <c r="D127" s="677" t="s">
        <v>719</v>
      </c>
      <c r="E127" s="681"/>
      <c r="F127" s="678"/>
      <c r="G127" s="200">
        <v>21</v>
      </c>
      <c r="H127" s="202">
        <v>3258.2142282390128</v>
      </c>
      <c r="I127" s="203">
        <v>155.15305848757203</v>
      </c>
      <c r="J127" s="373">
        <f>I127-I100</f>
        <v>-1.7060673523076275E-2</v>
      </c>
      <c r="K127" s="677"/>
      <c r="L127" s="678"/>
      <c r="M127" s="99"/>
      <c r="O127" s="199"/>
      <c r="P127" s="424"/>
      <c r="Q127" s="424"/>
      <c r="R127" s="199"/>
    </row>
    <row r="128" spans="1:18" ht="15.75" customHeight="1">
      <c r="A128" s="686"/>
      <c r="B128" s="689"/>
      <c r="C128" s="204" t="s">
        <v>204</v>
      </c>
      <c r="D128" s="677"/>
      <c r="E128" s="681"/>
      <c r="F128" s="678"/>
      <c r="G128" s="200"/>
      <c r="H128" s="202"/>
      <c r="I128" s="203"/>
      <c r="J128" s="200"/>
      <c r="K128" s="677"/>
      <c r="L128" s="678"/>
      <c r="M128" s="99"/>
      <c r="O128" s="199"/>
      <c r="P128" s="424"/>
      <c r="Q128" s="424"/>
      <c r="R128" s="199"/>
    </row>
    <row r="129" spans="1:18" ht="15.75" customHeight="1">
      <c r="A129" s="686"/>
      <c r="B129" s="689"/>
      <c r="C129" s="204" t="s">
        <v>209</v>
      </c>
      <c r="D129" s="677"/>
      <c r="E129" s="681"/>
      <c r="F129" s="678"/>
      <c r="G129" s="200"/>
      <c r="H129" s="202"/>
      <c r="I129" s="203"/>
      <c r="J129" s="200"/>
      <c r="K129" s="677"/>
      <c r="L129" s="678"/>
      <c r="M129" s="99"/>
      <c r="O129" s="199"/>
      <c r="P129" s="424"/>
      <c r="Q129" s="424"/>
      <c r="R129" s="199"/>
    </row>
    <row r="130" spans="1:18" ht="15.75" customHeight="1">
      <c r="A130" s="686"/>
      <c r="B130" s="689"/>
      <c r="C130" s="204" t="s">
        <v>205</v>
      </c>
      <c r="D130" s="677"/>
      <c r="E130" s="681"/>
      <c r="F130" s="678"/>
      <c r="G130" s="200"/>
      <c r="H130" s="202"/>
      <c r="I130" s="203"/>
      <c r="J130" s="200"/>
      <c r="K130" s="677"/>
      <c r="L130" s="678"/>
      <c r="M130" s="99"/>
      <c r="O130" s="199"/>
      <c r="P130" s="424"/>
      <c r="Q130" s="424"/>
      <c r="R130" s="199"/>
    </row>
    <row r="131" spans="1:18" ht="15.75" customHeight="1">
      <c r="A131" s="686"/>
      <c r="B131" s="689"/>
      <c r="C131" s="204" t="s">
        <v>210</v>
      </c>
      <c r="D131" s="677"/>
      <c r="E131" s="681"/>
      <c r="F131" s="678"/>
      <c r="G131" s="200"/>
      <c r="H131" s="202"/>
      <c r="I131" s="203"/>
      <c r="J131" s="200"/>
      <c r="K131" s="677"/>
      <c r="L131" s="678"/>
      <c r="M131" s="99"/>
      <c r="O131" s="199"/>
      <c r="P131" s="424"/>
      <c r="Q131" s="424"/>
      <c r="R131" s="199"/>
    </row>
    <row r="132" spans="1:18" ht="15.75" customHeight="1">
      <c r="A132" s="687"/>
      <c r="B132" s="690"/>
      <c r="C132" s="204" t="s">
        <v>211</v>
      </c>
      <c r="D132" s="677"/>
      <c r="E132" s="681"/>
      <c r="F132" s="678"/>
      <c r="G132" s="200"/>
      <c r="H132" s="202"/>
      <c r="I132" s="203"/>
      <c r="J132" s="200"/>
      <c r="K132" s="677"/>
      <c r="L132" s="678"/>
      <c r="M132" s="99"/>
      <c r="O132" s="199"/>
      <c r="P132" s="424"/>
      <c r="Q132" s="424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15:F15"/>
    <mergeCell ref="K15:L15"/>
    <mergeCell ref="D16:F16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工作表21">
    <tabColor rgb="FF92D050"/>
    <outlinePr summaryBelow="0" summaryRight="0"/>
  </sheetPr>
  <dimension ref="A1:R132"/>
  <sheetViews>
    <sheetView view="pageBreakPreview" topLeftCell="A101" zoomScale="115" zoomScaleNormal="60" zoomScaleSheetLayoutView="115" workbookViewId="0">
      <selection activeCell="K116" sqref="K116:L116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08" t="s">
        <v>383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99"/>
    </row>
    <row r="2" spans="1:18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N2" s="190"/>
      <c r="O2" s="190"/>
      <c r="P2" s="190"/>
      <c r="Q2" s="190"/>
      <c r="R2" s="190"/>
    </row>
    <row r="3" spans="1:18" s="189" customFormat="1" ht="15.75" customHeight="1">
      <c r="A3" s="674" t="s">
        <v>619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06" customFormat="1" ht="16.350000000000001" customHeight="1">
      <c r="A5" s="685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91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87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7" t="s">
        <v>208</v>
      </c>
      <c r="I6" s="196" t="s">
        <v>384</v>
      </c>
      <c r="J6" s="209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91" t="s">
        <v>188</v>
      </c>
      <c r="B7" s="692"/>
      <c r="C7" s="160" t="s">
        <v>47</v>
      </c>
      <c r="D7" s="691" t="s">
        <v>12</v>
      </c>
      <c r="E7" s="693"/>
      <c r="F7" s="692"/>
      <c r="G7" s="160" t="s">
        <v>46</v>
      </c>
      <c r="H7" s="160" t="s">
        <v>385</v>
      </c>
      <c r="I7" s="160" t="s">
        <v>386</v>
      </c>
      <c r="J7" s="160" t="s">
        <v>332</v>
      </c>
      <c r="K7" s="691" t="s">
        <v>51</v>
      </c>
      <c r="L7" s="692"/>
      <c r="M7" s="127"/>
      <c r="N7" s="189"/>
      <c r="O7" s="199"/>
      <c r="P7" s="424"/>
      <c r="Q7" s="424"/>
      <c r="R7" s="199"/>
    </row>
    <row r="8" spans="1:18" ht="15.75" customHeight="1">
      <c r="A8" s="685">
        <f>J5</f>
        <v>9</v>
      </c>
      <c r="B8" s="688" t="str">
        <f>J6</f>
        <v>微波小吃</v>
      </c>
      <c r="C8" s="200">
        <v>1</v>
      </c>
      <c r="D8" s="677" t="s">
        <v>362</v>
      </c>
      <c r="E8" s="681"/>
      <c r="F8" s="678"/>
      <c r="G8" s="200">
        <v>13</v>
      </c>
      <c r="H8" s="202">
        <v>1079.6277720595806</v>
      </c>
      <c r="I8" s="203">
        <v>83.048290158429268</v>
      </c>
      <c r="J8" s="373">
        <v>1.7124993128021515E-3</v>
      </c>
      <c r="K8" s="694" t="s">
        <v>456</v>
      </c>
      <c r="L8" s="695"/>
      <c r="O8" s="199"/>
      <c r="P8" s="424"/>
      <c r="Q8" s="424"/>
      <c r="R8" s="199"/>
    </row>
    <row r="9" spans="1:18" ht="15.75" customHeight="1">
      <c r="A9" s="686"/>
      <c r="B9" s="689"/>
      <c r="C9" s="200">
        <v>2</v>
      </c>
      <c r="D9" s="677"/>
      <c r="E9" s="681"/>
      <c r="F9" s="678"/>
      <c r="G9" s="200"/>
      <c r="H9" s="202"/>
      <c r="I9" s="203"/>
      <c r="J9" s="200"/>
      <c r="K9" s="677"/>
      <c r="L9" s="678"/>
      <c r="O9" s="199"/>
      <c r="P9" s="424"/>
      <c r="Q9" s="424"/>
      <c r="R9" s="199"/>
    </row>
    <row r="10" spans="1:18" ht="15.75" customHeight="1">
      <c r="A10" s="686"/>
      <c r="B10" s="689"/>
      <c r="C10" s="200">
        <v>3</v>
      </c>
      <c r="D10" s="677"/>
      <c r="E10" s="681"/>
      <c r="F10" s="678"/>
      <c r="G10" s="200"/>
      <c r="H10" s="202"/>
      <c r="I10" s="203"/>
      <c r="J10" s="200"/>
      <c r="K10" s="677"/>
      <c r="L10" s="678"/>
      <c r="O10" s="199"/>
      <c r="P10" s="424"/>
      <c r="Q10" s="424"/>
      <c r="R10" s="199"/>
    </row>
    <row r="11" spans="1:18" ht="15.75" customHeight="1">
      <c r="A11" s="686"/>
      <c r="B11" s="689"/>
      <c r="C11" s="200">
        <v>4</v>
      </c>
      <c r="D11" s="677"/>
      <c r="E11" s="681"/>
      <c r="F11" s="678"/>
      <c r="G11" s="202"/>
      <c r="H11" s="202"/>
      <c r="I11" s="203"/>
      <c r="J11" s="200"/>
      <c r="K11" s="677"/>
      <c r="L11" s="678"/>
      <c r="O11" s="199"/>
      <c r="P11" s="424"/>
      <c r="Q11" s="424"/>
      <c r="R11" s="199"/>
    </row>
    <row r="12" spans="1:18" ht="15.75" customHeight="1">
      <c r="A12" s="686"/>
      <c r="B12" s="689"/>
      <c r="C12" s="200">
        <v>5</v>
      </c>
      <c r="D12" s="677"/>
      <c r="E12" s="681"/>
      <c r="F12" s="678"/>
      <c r="G12" s="200"/>
      <c r="H12" s="202"/>
      <c r="I12" s="203"/>
      <c r="J12" s="200"/>
      <c r="K12" s="677"/>
      <c r="L12" s="678"/>
      <c r="O12" s="199"/>
      <c r="P12" s="424"/>
      <c r="Q12" s="424"/>
      <c r="R12" s="199"/>
    </row>
    <row r="13" spans="1:18" ht="15.75" customHeight="1">
      <c r="A13" s="686"/>
      <c r="B13" s="689"/>
      <c r="C13" s="204" t="s">
        <v>204</v>
      </c>
      <c r="D13" s="677"/>
      <c r="E13" s="681"/>
      <c r="F13" s="678"/>
      <c r="G13" s="200"/>
      <c r="H13" s="202"/>
      <c r="I13" s="203"/>
      <c r="J13" s="200"/>
      <c r="K13" s="677"/>
      <c r="L13" s="678"/>
      <c r="O13" s="199"/>
      <c r="P13" s="424"/>
      <c r="Q13" s="424"/>
      <c r="R13" s="199"/>
    </row>
    <row r="14" spans="1:18" ht="15.75" customHeight="1">
      <c r="A14" s="686"/>
      <c r="B14" s="689"/>
      <c r="C14" s="204" t="s">
        <v>209</v>
      </c>
      <c r="D14" s="677"/>
      <c r="E14" s="681"/>
      <c r="F14" s="678"/>
      <c r="G14" s="200"/>
      <c r="H14" s="202"/>
      <c r="I14" s="203"/>
      <c r="J14" s="200"/>
      <c r="K14" s="677"/>
      <c r="L14" s="678"/>
      <c r="N14" s="178"/>
      <c r="O14" s="178"/>
      <c r="P14" s="423"/>
      <c r="Q14" s="423"/>
      <c r="R14" s="178"/>
    </row>
    <row r="15" spans="1:18" ht="15.75" customHeight="1">
      <c r="A15" s="686"/>
      <c r="B15" s="689"/>
      <c r="C15" s="204" t="s">
        <v>205</v>
      </c>
      <c r="D15" s="677"/>
      <c r="E15" s="681"/>
      <c r="F15" s="678"/>
      <c r="G15" s="200"/>
      <c r="H15" s="202"/>
      <c r="I15" s="203"/>
      <c r="J15" s="200"/>
      <c r="K15" s="677"/>
      <c r="L15" s="678"/>
      <c r="O15" s="199"/>
      <c r="P15" s="424"/>
      <c r="Q15" s="424"/>
      <c r="R15" s="199"/>
    </row>
    <row r="16" spans="1:18" ht="15.75" customHeight="1">
      <c r="A16" s="686"/>
      <c r="B16" s="689"/>
      <c r="C16" s="204" t="s">
        <v>210</v>
      </c>
      <c r="D16" s="677"/>
      <c r="E16" s="681"/>
      <c r="F16" s="678"/>
      <c r="G16" s="200"/>
      <c r="H16" s="202"/>
      <c r="I16" s="203"/>
      <c r="J16" s="200"/>
      <c r="K16" s="677"/>
      <c r="L16" s="678"/>
      <c r="M16" s="99"/>
      <c r="O16" s="199"/>
      <c r="P16" s="424"/>
      <c r="Q16" s="424"/>
      <c r="R16" s="199"/>
    </row>
    <row r="17" spans="1:18" ht="15.75" customHeight="1">
      <c r="A17" s="687"/>
      <c r="B17" s="690"/>
      <c r="C17" s="204" t="s">
        <v>211</v>
      </c>
      <c r="D17" s="677"/>
      <c r="E17" s="681"/>
      <c r="F17" s="678"/>
      <c r="G17" s="200"/>
      <c r="H17" s="202"/>
      <c r="I17" s="203"/>
      <c r="J17" s="200"/>
      <c r="K17" s="677"/>
      <c r="L17" s="678"/>
      <c r="M17" s="99"/>
      <c r="O17" s="199"/>
      <c r="P17" s="424"/>
      <c r="Q17" s="424"/>
      <c r="R17" s="199"/>
    </row>
    <row r="18" spans="1:18" s="104" customFormat="1" ht="15.75" customHeight="1">
      <c r="A18" s="682" t="s">
        <v>188</v>
      </c>
      <c r="B18" s="683"/>
      <c r="C18" s="207" t="s">
        <v>47</v>
      </c>
      <c r="D18" s="682" t="s">
        <v>12</v>
      </c>
      <c r="E18" s="684"/>
      <c r="F18" s="683"/>
      <c r="G18" s="207" t="s">
        <v>46</v>
      </c>
      <c r="H18" s="207" t="s">
        <v>385</v>
      </c>
      <c r="I18" s="207" t="s">
        <v>386</v>
      </c>
      <c r="J18" s="160" t="s">
        <v>332</v>
      </c>
      <c r="K18" s="682" t="s">
        <v>51</v>
      </c>
      <c r="L18" s="683"/>
      <c r="M18" s="128"/>
      <c r="N18" s="189"/>
      <c r="O18" s="199"/>
      <c r="P18" s="424"/>
      <c r="Q18" s="424"/>
      <c r="R18" s="199"/>
    </row>
    <row r="19" spans="1:18" ht="15.75" customHeight="1">
      <c r="A19" s="685"/>
      <c r="B19" s="688"/>
      <c r="C19" s="200">
        <v>1</v>
      </c>
      <c r="D19" s="677"/>
      <c r="E19" s="681"/>
      <c r="F19" s="678"/>
      <c r="G19" s="200"/>
      <c r="H19" s="202"/>
      <c r="I19" s="203"/>
      <c r="J19" s="200"/>
      <c r="K19" s="677"/>
      <c r="L19" s="678"/>
      <c r="M19" s="99"/>
      <c r="N19" s="199"/>
      <c r="O19" s="199"/>
      <c r="P19" s="424"/>
      <c r="Q19" s="424"/>
      <c r="R19" s="199"/>
    </row>
    <row r="20" spans="1:18" ht="15.75" customHeight="1">
      <c r="A20" s="686"/>
      <c r="B20" s="689"/>
      <c r="C20" s="200">
        <v>2</v>
      </c>
      <c r="D20" s="677"/>
      <c r="E20" s="681"/>
      <c r="F20" s="678"/>
      <c r="G20" s="200"/>
      <c r="H20" s="202"/>
      <c r="I20" s="203"/>
      <c r="J20" s="200"/>
      <c r="K20" s="677"/>
      <c r="L20" s="678"/>
      <c r="M20" s="99"/>
      <c r="O20" s="199"/>
      <c r="P20" s="424"/>
      <c r="Q20" s="424"/>
      <c r="R20" s="199"/>
    </row>
    <row r="21" spans="1:18" ht="15.75" customHeight="1">
      <c r="A21" s="686"/>
      <c r="B21" s="689"/>
      <c r="C21" s="200">
        <v>3</v>
      </c>
      <c r="D21" s="677"/>
      <c r="E21" s="681"/>
      <c r="F21" s="678"/>
      <c r="G21" s="200"/>
      <c r="H21" s="202"/>
      <c r="I21" s="203"/>
      <c r="J21" s="200"/>
      <c r="K21" s="677"/>
      <c r="L21" s="678"/>
      <c r="M21" s="99"/>
      <c r="O21" s="199"/>
      <c r="P21" s="424"/>
      <c r="Q21" s="424"/>
      <c r="R21" s="199"/>
    </row>
    <row r="22" spans="1:18" ht="15.75" customHeight="1">
      <c r="A22" s="686"/>
      <c r="B22" s="689"/>
      <c r="C22" s="200">
        <v>4</v>
      </c>
      <c r="D22" s="677"/>
      <c r="E22" s="681"/>
      <c r="F22" s="678"/>
      <c r="G22" s="200"/>
      <c r="H22" s="202"/>
      <c r="I22" s="203"/>
      <c r="J22" s="200"/>
      <c r="K22" s="677"/>
      <c r="L22" s="678"/>
      <c r="M22" s="99"/>
      <c r="O22" s="199"/>
      <c r="P22" s="424"/>
      <c r="Q22" s="424"/>
      <c r="R22" s="199"/>
    </row>
    <row r="23" spans="1:18" ht="15.75" customHeight="1">
      <c r="A23" s="686"/>
      <c r="B23" s="689"/>
      <c r="C23" s="200">
        <v>5</v>
      </c>
      <c r="D23" s="677"/>
      <c r="E23" s="681"/>
      <c r="F23" s="678"/>
      <c r="G23" s="200"/>
      <c r="H23" s="202"/>
      <c r="I23" s="203"/>
      <c r="J23" s="200"/>
      <c r="K23" s="677"/>
      <c r="L23" s="678"/>
      <c r="M23" s="99"/>
      <c r="O23" s="199"/>
      <c r="P23" s="424"/>
      <c r="Q23" s="424"/>
      <c r="R23" s="199"/>
    </row>
    <row r="24" spans="1:18" ht="15.75" customHeight="1">
      <c r="A24" s="686"/>
      <c r="B24" s="689"/>
      <c r="C24" s="204" t="s">
        <v>204</v>
      </c>
      <c r="D24" s="677"/>
      <c r="E24" s="681"/>
      <c r="F24" s="678"/>
      <c r="G24" s="200"/>
      <c r="H24" s="202"/>
      <c r="I24" s="203"/>
      <c r="J24" s="200"/>
      <c r="K24" s="677"/>
      <c r="L24" s="678"/>
      <c r="M24" s="99"/>
      <c r="O24" s="199"/>
      <c r="P24" s="424"/>
      <c r="Q24" s="424"/>
      <c r="R24" s="199"/>
    </row>
    <row r="25" spans="1:18" ht="15.75" customHeight="1">
      <c r="A25" s="686"/>
      <c r="B25" s="689"/>
      <c r="C25" s="204" t="s">
        <v>209</v>
      </c>
      <c r="D25" s="677"/>
      <c r="E25" s="681"/>
      <c r="F25" s="678"/>
      <c r="G25" s="200"/>
      <c r="H25" s="202"/>
      <c r="I25" s="203"/>
      <c r="J25" s="200"/>
      <c r="K25" s="677"/>
      <c r="L25" s="678"/>
      <c r="M25" s="99"/>
      <c r="O25" s="199"/>
      <c r="P25" s="424"/>
      <c r="Q25" s="424"/>
      <c r="R25" s="199"/>
    </row>
    <row r="26" spans="1:18" ht="15.75" customHeight="1">
      <c r="A26" s="686"/>
      <c r="B26" s="689"/>
      <c r="C26" s="204" t="s">
        <v>205</v>
      </c>
      <c r="D26" s="677"/>
      <c r="E26" s="681"/>
      <c r="F26" s="678"/>
      <c r="G26" s="200"/>
      <c r="H26" s="202"/>
      <c r="I26" s="203"/>
      <c r="J26" s="200"/>
      <c r="K26" s="677"/>
      <c r="L26" s="678"/>
      <c r="M26" s="99"/>
      <c r="O26" s="199"/>
      <c r="P26" s="424"/>
      <c r="Q26" s="424"/>
      <c r="R26" s="199"/>
    </row>
    <row r="27" spans="1:18" ht="15.75" customHeight="1">
      <c r="A27" s="686"/>
      <c r="B27" s="689"/>
      <c r="C27" s="204" t="s">
        <v>210</v>
      </c>
      <c r="D27" s="677"/>
      <c r="E27" s="681"/>
      <c r="F27" s="678"/>
      <c r="G27" s="200"/>
      <c r="H27" s="202"/>
      <c r="I27" s="203"/>
      <c r="J27" s="200"/>
      <c r="K27" s="677"/>
      <c r="L27" s="678"/>
      <c r="M27" s="99"/>
      <c r="O27" s="199"/>
      <c r="P27" s="424"/>
      <c r="Q27" s="424"/>
      <c r="R27" s="199"/>
    </row>
    <row r="28" spans="1:18" ht="15.75" customHeight="1">
      <c r="A28" s="687"/>
      <c r="B28" s="690"/>
      <c r="C28" s="204" t="s">
        <v>211</v>
      </c>
      <c r="D28" s="677"/>
      <c r="E28" s="681"/>
      <c r="F28" s="678"/>
      <c r="G28" s="200"/>
      <c r="H28" s="202"/>
      <c r="I28" s="203"/>
      <c r="J28" s="200"/>
      <c r="K28" s="677"/>
      <c r="L28" s="678"/>
      <c r="M28" s="99"/>
      <c r="O28" s="199"/>
      <c r="P28" s="424"/>
      <c r="Q28" s="424"/>
      <c r="R28" s="199"/>
    </row>
    <row r="29" spans="1:18" ht="15.75" customHeight="1">
      <c r="A29" s="674" t="s">
        <v>659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  <c r="M29" s="99"/>
    </row>
    <row r="30" spans="1:18" s="10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  <c r="N30" s="190"/>
      <c r="O30" s="190"/>
      <c r="P30" s="190"/>
      <c r="Q30" s="190"/>
      <c r="R30" s="190"/>
    </row>
    <row r="31" spans="1:18" s="106" customFormat="1" ht="16.350000000000001" customHeight="1">
      <c r="A31" s="685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91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87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7" t="s">
        <v>208</v>
      </c>
      <c r="I32" s="196" t="s">
        <v>384</v>
      </c>
      <c r="J32" s="209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91" t="s">
        <v>188</v>
      </c>
      <c r="B33" s="692"/>
      <c r="C33" s="160" t="s">
        <v>47</v>
      </c>
      <c r="D33" s="691" t="s">
        <v>12</v>
      </c>
      <c r="E33" s="693"/>
      <c r="F33" s="692"/>
      <c r="G33" s="160" t="s">
        <v>46</v>
      </c>
      <c r="H33" s="160" t="s">
        <v>385</v>
      </c>
      <c r="I33" s="160" t="s">
        <v>386</v>
      </c>
      <c r="J33" s="160" t="s">
        <v>332</v>
      </c>
      <c r="K33" s="691" t="s">
        <v>51</v>
      </c>
      <c r="L33" s="692"/>
      <c r="M33" s="127"/>
      <c r="N33" s="189"/>
      <c r="O33" s="199"/>
      <c r="P33" s="424"/>
      <c r="Q33" s="424"/>
      <c r="R33" s="199"/>
    </row>
    <row r="34" spans="1:18" ht="15.75" customHeight="1">
      <c r="A34" s="685">
        <f>J31</f>
        <v>9</v>
      </c>
      <c r="B34" s="688" t="str">
        <f>J32</f>
        <v>微波小吃</v>
      </c>
      <c r="C34" s="200">
        <v>1</v>
      </c>
      <c r="D34" s="677" t="s">
        <v>362</v>
      </c>
      <c r="E34" s="681"/>
      <c r="F34" s="678"/>
      <c r="G34" s="200">
        <v>13</v>
      </c>
      <c r="H34" s="202">
        <v>1079.5009384804985</v>
      </c>
      <c r="I34" s="203">
        <v>83.038533729269133</v>
      </c>
      <c r="J34" s="373">
        <f>I34-I8</f>
        <v>-9.7564291601344166E-3</v>
      </c>
      <c r="K34" s="694" t="s">
        <v>456</v>
      </c>
      <c r="L34" s="695"/>
      <c r="O34" s="199"/>
      <c r="P34" s="424"/>
      <c r="Q34" s="424"/>
      <c r="R34" s="199"/>
    </row>
    <row r="35" spans="1:18" ht="15.75" customHeight="1">
      <c r="A35" s="686"/>
      <c r="B35" s="689"/>
      <c r="C35" s="200">
        <v>2</v>
      </c>
      <c r="D35" s="677"/>
      <c r="E35" s="681"/>
      <c r="F35" s="678"/>
      <c r="G35" s="200"/>
      <c r="H35" s="202"/>
      <c r="I35" s="203"/>
      <c r="J35" s="200"/>
      <c r="K35" s="677"/>
      <c r="L35" s="678"/>
      <c r="O35" s="199"/>
      <c r="P35" s="424"/>
      <c r="Q35" s="424"/>
      <c r="R35" s="199"/>
    </row>
    <row r="36" spans="1:18" ht="15.75" customHeight="1">
      <c r="A36" s="686"/>
      <c r="B36" s="689"/>
      <c r="C36" s="200">
        <v>3</v>
      </c>
      <c r="D36" s="677"/>
      <c r="E36" s="681"/>
      <c r="F36" s="678"/>
      <c r="G36" s="200"/>
      <c r="H36" s="202"/>
      <c r="I36" s="203"/>
      <c r="J36" s="200"/>
      <c r="K36" s="677"/>
      <c r="L36" s="678"/>
      <c r="O36" s="199"/>
      <c r="P36" s="424"/>
      <c r="Q36" s="424"/>
      <c r="R36" s="199"/>
    </row>
    <row r="37" spans="1:18" ht="15.75" customHeight="1">
      <c r="A37" s="686"/>
      <c r="B37" s="689"/>
      <c r="C37" s="200">
        <v>4</v>
      </c>
      <c r="D37" s="677"/>
      <c r="E37" s="681"/>
      <c r="F37" s="678"/>
      <c r="G37" s="202"/>
      <c r="H37" s="202"/>
      <c r="I37" s="203"/>
      <c r="J37" s="200"/>
      <c r="K37" s="677"/>
      <c r="L37" s="678"/>
      <c r="O37" s="199"/>
      <c r="P37" s="424"/>
      <c r="Q37" s="424"/>
      <c r="R37" s="199"/>
    </row>
    <row r="38" spans="1:18" ht="15.75" customHeight="1">
      <c r="A38" s="686"/>
      <c r="B38" s="689"/>
      <c r="C38" s="200">
        <v>5</v>
      </c>
      <c r="D38" s="677"/>
      <c r="E38" s="681"/>
      <c r="F38" s="678"/>
      <c r="G38" s="200"/>
      <c r="H38" s="202"/>
      <c r="I38" s="203"/>
      <c r="J38" s="200"/>
      <c r="K38" s="677"/>
      <c r="L38" s="678"/>
      <c r="O38" s="199"/>
      <c r="P38" s="424"/>
      <c r="Q38" s="424"/>
      <c r="R38" s="199"/>
    </row>
    <row r="39" spans="1:18" ht="15.75" customHeight="1">
      <c r="A39" s="686"/>
      <c r="B39" s="689"/>
      <c r="C39" s="204" t="s">
        <v>204</v>
      </c>
      <c r="D39" s="677"/>
      <c r="E39" s="681"/>
      <c r="F39" s="678"/>
      <c r="G39" s="200"/>
      <c r="H39" s="202"/>
      <c r="I39" s="203"/>
      <c r="J39" s="200"/>
      <c r="K39" s="677"/>
      <c r="L39" s="678"/>
      <c r="O39" s="199"/>
      <c r="P39" s="424"/>
      <c r="Q39" s="424"/>
      <c r="R39" s="199"/>
    </row>
    <row r="40" spans="1:18" ht="15.75" customHeight="1">
      <c r="A40" s="686"/>
      <c r="B40" s="689"/>
      <c r="C40" s="204" t="s">
        <v>209</v>
      </c>
      <c r="D40" s="677"/>
      <c r="E40" s="681"/>
      <c r="F40" s="678"/>
      <c r="G40" s="200"/>
      <c r="H40" s="202"/>
      <c r="I40" s="203"/>
      <c r="J40" s="200"/>
      <c r="K40" s="677"/>
      <c r="L40" s="678"/>
      <c r="N40" s="178"/>
      <c r="O40" s="178"/>
      <c r="P40" s="423"/>
      <c r="Q40" s="423"/>
      <c r="R40" s="178"/>
    </row>
    <row r="41" spans="1:18" ht="15.75" customHeight="1">
      <c r="A41" s="686"/>
      <c r="B41" s="689"/>
      <c r="C41" s="204" t="s">
        <v>205</v>
      </c>
      <c r="D41" s="677"/>
      <c r="E41" s="681"/>
      <c r="F41" s="678"/>
      <c r="G41" s="200"/>
      <c r="H41" s="202"/>
      <c r="I41" s="203"/>
      <c r="J41" s="200"/>
      <c r="K41" s="677"/>
      <c r="L41" s="678"/>
      <c r="O41" s="199"/>
      <c r="P41" s="424"/>
      <c r="Q41" s="424"/>
      <c r="R41" s="199"/>
    </row>
    <row r="42" spans="1:18" ht="15.75" customHeight="1">
      <c r="A42" s="686"/>
      <c r="B42" s="689"/>
      <c r="C42" s="204" t="s">
        <v>210</v>
      </c>
      <c r="D42" s="677"/>
      <c r="E42" s="681"/>
      <c r="F42" s="678"/>
      <c r="G42" s="200"/>
      <c r="H42" s="202"/>
      <c r="I42" s="203"/>
      <c r="J42" s="200"/>
      <c r="K42" s="677"/>
      <c r="L42" s="678"/>
      <c r="M42" s="99"/>
      <c r="O42" s="199"/>
      <c r="P42" s="424"/>
      <c r="Q42" s="424"/>
      <c r="R42" s="199"/>
    </row>
    <row r="43" spans="1:18" ht="15.75" customHeight="1">
      <c r="A43" s="687"/>
      <c r="B43" s="690"/>
      <c r="C43" s="204" t="s">
        <v>211</v>
      </c>
      <c r="D43" s="677"/>
      <c r="E43" s="681"/>
      <c r="F43" s="678"/>
      <c r="G43" s="200"/>
      <c r="H43" s="202"/>
      <c r="I43" s="203"/>
      <c r="J43" s="200"/>
      <c r="K43" s="677"/>
      <c r="L43" s="678"/>
      <c r="M43" s="99"/>
      <c r="O43" s="199"/>
      <c r="P43" s="424"/>
      <c r="Q43" s="424"/>
      <c r="R43" s="199"/>
    </row>
    <row r="44" spans="1:18" s="104" customFormat="1" ht="15.75" customHeight="1">
      <c r="A44" s="682" t="s">
        <v>188</v>
      </c>
      <c r="B44" s="683"/>
      <c r="C44" s="207" t="s">
        <v>47</v>
      </c>
      <c r="D44" s="682" t="s">
        <v>12</v>
      </c>
      <c r="E44" s="684"/>
      <c r="F44" s="683"/>
      <c r="G44" s="207" t="s">
        <v>46</v>
      </c>
      <c r="H44" s="207" t="s">
        <v>385</v>
      </c>
      <c r="I44" s="207" t="s">
        <v>386</v>
      </c>
      <c r="J44" s="160" t="s">
        <v>332</v>
      </c>
      <c r="K44" s="682" t="s">
        <v>51</v>
      </c>
      <c r="L44" s="683"/>
      <c r="M44" s="128"/>
      <c r="N44" s="189"/>
      <c r="O44" s="199"/>
      <c r="P44" s="424"/>
      <c r="Q44" s="424"/>
      <c r="R44" s="199"/>
    </row>
    <row r="45" spans="1:18" ht="15.75" customHeight="1">
      <c r="A45" s="685"/>
      <c r="B45" s="688"/>
      <c r="C45" s="200">
        <v>1</v>
      </c>
      <c r="D45" s="677"/>
      <c r="E45" s="681"/>
      <c r="F45" s="678"/>
      <c r="G45" s="200"/>
      <c r="H45" s="202"/>
      <c r="I45" s="203"/>
      <c r="J45" s="200"/>
      <c r="K45" s="677"/>
      <c r="L45" s="678"/>
      <c r="M45" s="99"/>
      <c r="N45" s="199"/>
      <c r="O45" s="199"/>
      <c r="P45" s="424"/>
      <c r="Q45" s="424"/>
      <c r="R45" s="199"/>
    </row>
    <row r="46" spans="1:18" ht="15.75" customHeight="1">
      <c r="A46" s="686"/>
      <c r="B46" s="689"/>
      <c r="C46" s="200">
        <v>2</v>
      </c>
      <c r="D46" s="677"/>
      <c r="E46" s="681"/>
      <c r="F46" s="678"/>
      <c r="G46" s="200"/>
      <c r="H46" s="202"/>
      <c r="I46" s="203"/>
      <c r="J46" s="200"/>
      <c r="K46" s="677"/>
      <c r="L46" s="678"/>
      <c r="M46" s="99"/>
      <c r="O46" s="199"/>
      <c r="P46" s="424"/>
      <c r="Q46" s="424"/>
      <c r="R46" s="199"/>
    </row>
    <row r="47" spans="1:18" ht="15.75" customHeight="1">
      <c r="A47" s="686"/>
      <c r="B47" s="689"/>
      <c r="C47" s="200">
        <v>3</v>
      </c>
      <c r="D47" s="677"/>
      <c r="E47" s="681"/>
      <c r="F47" s="678"/>
      <c r="G47" s="200"/>
      <c r="H47" s="202"/>
      <c r="I47" s="203"/>
      <c r="J47" s="200"/>
      <c r="K47" s="677"/>
      <c r="L47" s="678"/>
      <c r="M47" s="99"/>
      <c r="O47" s="199"/>
      <c r="P47" s="424"/>
      <c r="Q47" s="424"/>
      <c r="R47" s="199"/>
    </row>
    <row r="48" spans="1:18" ht="15.75" customHeight="1">
      <c r="A48" s="686"/>
      <c r="B48" s="689"/>
      <c r="C48" s="200">
        <v>4</v>
      </c>
      <c r="D48" s="677"/>
      <c r="E48" s="681"/>
      <c r="F48" s="678"/>
      <c r="G48" s="200"/>
      <c r="H48" s="202"/>
      <c r="I48" s="203"/>
      <c r="J48" s="200"/>
      <c r="K48" s="677"/>
      <c r="L48" s="678"/>
      <c r="M48" s="99"/>
      <c r="O48" s="199"/>
      <c r="P48" s="424"/>
      <c r="Q48" s="424"/>
      <c r="R48" s="199"/>
    </row>
    <row r="49" spans="1:18" ht="15.75" customHeight="1">
      <c r="A49" s="686"/>
      <c r="B49" s="689"/>
      <c r="C49" s="200">
        <v>5</v>
      </c>
      <c r="D49" s="677"/>
      <c r="E49" s="681"/>
      <c r="F49" s="678"/>
      <c r="G49" s="200"/>
      <c r="H49" s="202"/>
      <c r="I49" s="203"/>
      <c r="J49" s="200"/>
      <c r="K49" s="677"/>
      <c r="L49" s="678"/>
      <c r="M49" s="99"/>
      <c r="O49" s="199"/>
      <c r="P49" s="424"/>
      <c r="Q49" s="424"/>
      <c r="R49" s="199"/>
    </row>
    <row r="50" spans="1:18" ht="15.75" customHeight="1">
      <c r="A50" s="686"/>
      <c r="B50" s="689"/>
      <c r="C50" s="204" t="s">
        <v>204</v>
      </c>
      <c r="D50" s="677"/>
      <c r="E50" s="681"/>
      <c r="F50" s="678"/>
      <c r="G50" s="200"/>
      <c r="H50" s="202"/>
      <c r="I50" s="203"/>
      <c r="J50" s="200"/>
      <c r="K50" s="677"/>
      <c r="L50" s="678"/>
      <c r="M50" s="99"/>
      <c r="O50" s="199"/>
      <c r="P50" s="424"/>
      <c r="Q50" s="424"/>
      <c r="R50" s="199"/>
    </row>
    <row r="51" spans="1:18" ht="15.75" customHeight="1">
      <c r="A51" s="686"/>
      <c r="B51" s="689"/>
      <c r="C51" s="204" t="s">
        <v>209</v>
      </c>
      <c r="D51" s="677"/>
      <c r="E51" s="681"/>
      <c r="F51" s="678"/>
      <c r="G51" s="200"/>
      <c r="H51" s="202"/>
      <c r="I51" s="203"/>
      <c r="J51" s="200"/>
      <c r="K51" s="677"/>
      <c r="L51" s="678"/>
      <c r="M51" s="99"/>
      <c r="O51" s="199"/>
      <c r="P51" s="424"/>
      <c r="Q51" s="424"/>
      <c r="R51" s="199"/>
    </row>
    <row r="52" spans="1:18" ht="15.75" customHeight="1">
      <c r="A52" s="686"/>
      <c r="B52" s="689"/>
      <c r="C52" s="204" t="s">
        <v>205</v>
      </c>
      <c r="D52" s="677"/>
      <c r="E52" s="681"/>
      <c r="F52" s="678"/>
      <c r="G52" s="200"/>
      <c r="H52" s="202"/>
      <c r="I52" s="203"/>
      <c r="J52" s="200"/>
      <c r="K52" s="677"/>
      <c r="L52" s="678"/>
      <c r="M52" s="99"/>
      <c r="O52" s="199"/>
      <c r="P52" s="424"/>
      <c r="Q52" s="424"/>
      <c r="R52" s="199"/>
    </row>
    <row r="53" spans="1:18" ht="15.75" customHeight="1">
      <c r="A53" s="686"/>
      <c r="B53" s="689"/>
      <c r="C53" s="204" t="s">
        <v>210</v>
      </c>
      <c r="D53" s="677"/>
      <c r="E53" s="681"/>
      <c r="F53" s="678"/>
      <c r="G53" s="200"/>
      <c r="H53" s="202"/>
      <c r="I53" s="203"/>
      <c r="J53" s="200"/>
      <c r="K53" s="677"/>
      <c r="L53" s="678"/>
      <c r="M53" s="99"/>
      <c r="O53" s="199"/>
      <c r="P53" s="424"/>
      <c r="Q53" s="424"/>
      <c r="R53" s="199"/>
    </row>
    <row r="54" spans="1:18" ht="15.75" customHeight="1">
      <c r="A54" s="687"/>
      <c r="B54" s="690"/>
      <c r="C54" s="204" t="s">
        <v>211</v>
      </c>
      <c r="D54" s="677"/>
      <c r="E54" s="681"/>
      <c r="F54" s="678"/>
      <c r="G54" s="200"/>
      <c r="H54" s="202"/>
      <c r="I54" s="203"/>
      <c r="J54" s="200"/>
      <c r="K54" s="677"/>
      <c r="L54" s="678"/>
      <c r="M54" s="99"/>
      <c r="O54" s="199"/>
      <c r="P54" s="424"/>
      <c r="Q54" s="424"/>
      <c r="R54" s="199"/>
    </row>
    <row r="55" spans="1:18" s="189" customFormat="1" ht="15.75" customHeight="1">
      <c r="A55" s="674" t="s">
        <v>721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06" customFormat="1" ht="16.350000000000001" customHeight="1">
      <c r="A57" s="685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91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87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7" t="s">
        <v>208</v>
      </c>
      <c r="I58" s="196" t="s">
        <v>384</v>
      </c>
      <c r="J58" s="209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91" t="s">
        <v>188</v>
      </c>
      <c r="B59" s="692"/>
      <c r="C59" s="160" t="s">
        <v>47</v>
      </c>
      <c r="D59" s="691" t="s">
        <v>12</v>
      </c>
      <c r="E59" s="693"/>
      <c r="F59" s="692"/>
      <c r="G59" s="160" t="s">
        <v>46</v>
      </c>
      <c r="H59" s="160" t="s">
        <v>385</v>
      </c>
      <c r="I59" s="160" t="s">
        <v>386</v>
      </c>
      <c r="J59" s="160" t="s">
        <v>332</v>
      </c>
      <c r="K59" s="691" t="s">
        <v>51</v>
      </c>
      <c r="L59" s="692"/>
      <c r="M59" s="127"/>
      <c r="N59" s="189"/>
      <c r="O59" s="199"/>
      <c r="P59" s="424"/>
      <c r="Q59" s="424"/>
      <c r="R59" s="199"/>
    </row>
    <row r="60" spans="1:18" ht="15.75" customHeight="1">
      <c r="A60" s="685">
        <f>J57</f>
        <v>9</v>
      </c>
      <c r="B60" s="688" t="str">
        <f>J58</f>
        <v>微波小吃</v>
      </c>
      <c r="C60" s="200">
        <v>1</v>
      </c>
      <c r="D60" s="677" t="s">
        <v>362</v>
      </c>
      <c r="E60" s="681"/>
      <c r="F60" s="678"/>
      <c r="G60" s="200">
        <v>13</v>
      </c>
      <c r="H60" s="202">
        <v>1079.8476241000383</v>
      </c>
      <c r="I60" s="203">
        <v>83.065201853849089</v>
      </c>
      <c r="J60" s="373">
        <f>I60-I34</f>
        <v>2.6668124579956043E-2</v>
      </c>
      <c r="K60" s="694" t="s">
        <v>456</v>
      </c>
      <c r="L60" s="695"/>
      <c r="O60" s="199"/>
      <c r="P60" s="424"/>
      <c r="Q60" s="424"/>
      <c r="R60" s="199"/>
    </row>
    <row r="61" spans="1:18" ht="15.75" customHeight="1">
      <c r="A61" s="686"/>
      <c r="B61" s="689"/>
      <c r="C61" s="200">
        <v>2</v>
      </c>
      <c r="D61" s="677"/>
      <c r="E61" s="681"/>
      <c r="F61" s="678"/>
      <c r="G61" s="200"/>
      <c r="H61" s="202"/>
      <c r="I61" s="203"/>
      <c r="J61" s="200"/>
      <c r="K61" s="677"/>
      <c r="L61" s="678"/>
      <c r="O61" s="199"/>
      <c r="P61" s="424"/>
      <c r="Q61" s="424"/>
      <c r="R61" s="199"/>
    </row>
    <row r="62" spans="1:18" ht="15.75" customHeight="1">
      <c r="A62" s="686"/>
      <c r="B62" s="689"/>
      <c r="C62" s="200">
        <v>3</v>
      </c>
      <c r="D62" s="677"/>
      <c r="E62" s="681"/>
      <c r="F62" s="678"/>
      <c r="G62" s="200"/>
      <c r="H62" s="202"/>
      <c r="I62" s="203"/>
      <c r="J62" s="200"/>
      <c r="K62" s="677"/>
      <c r="L62" s="678"/>
      <c r="O62" s="199"/>
      <c r="P62" s="424"/>
      <c r="Q62" s="424"/>
      <c r="R62" s="199"/>
    </row>
    <row r="63" spans="1:18" ht="15.75" customHeight="1">
      <c r="A63" s="686"/>
      <c r="B63" s="689"/>
      <c r="C63" s="200">
        <v>4</v>
      </c>
      <c r="D63" s="677"/>
      <c r="E63" s="681"/>
      <c r="F63" s="678"/>
      <c r="G63" s="202"/>
      <c r="H63" s="202"/>
      <c r="I63" s="203"/>
      <c r="J63" s="200"/>
      <c r="K63" s="677"/>
      <c r="L63" s="678"/>
      <c r="O63" s="199"/>
      <c r="P63" s="424"/>
      <c r="Q63" s="424"/>
      <c r="R63" s="199"/>
    </row>
    <row r="64" spans="1:18" ht="15.75" customHeight="1">
      <c r="A64" s="686"/>
      <c r="B64" s="689"/>
      <c r="C64" s="200">
        <v>5</v>
      </c>
      <c r="D64" s="677"/>
      <c r="E64" s="681"/>
      <c r="F64" s="678"/>
      <c r="G64" s="200"/>
      <c r="H64" s="202"/>
      <c r="I64" s="203"/>
      <c r="J64" s="200"/>
      <c r="K64" s="677"/>
      <c r="L64" s="678"/>
      <c r="O64" s="199"/>
      <c r="P64" s="424"/>
      <c r="Q64" s="424"/>
      <c r="R64" s="199"/>
    </row>
    <row r="65" spans="1:18" ht="15.75" customHeight="1">
      <c r="A65" s="686"/>
      <c r="B65" s="689"/>
      <c r="C65" s="204" t="s">
        <v>204</v>
      </c>
      <c r="D65" s="677"/>
      <c r="E65" s="681"/>
      <c r="F65" s="678"/>
      <c r="G65" s="200"/>
      <c r="H65" s="202"/>
      <c r="I65" s="203"/>
      <c r="J65" s="200"/>
      <c r="K65" s="677"/>
      <c r="L65" s="678"/>
      <c r="O65" s="199"/>
      <c r="P65" s="424"/>
      <c r="Q65" s="424"/>
      <c r="R65" s="199"/>
    </row>
    <row r="66" spans="1:18" ht="15.75" customHeight="1">
      <c r="A66" s="686"/>
      <c r="B66" s="689"/>
      <c r="C66" s="204" t="s">
        <v>209</v>
      </c>
      <c r="D66" s="677"/>
      <c r="E66" s="681"/>
      <c r="F66" s="678"/>
      <c r="G66" s="200"/>
      <c r="H66" s="202"/>
      <c r="I66" s="203"/>
      <c r="J66" s="200"/>
      <c r="K66" s="677"/>
      <c r="L66" s="678"/>
      <c r="N66" s="178"/>
      <c r="O66" s="178"/>
      <c r="P66" s="423"/>
      <c r="Q66" s="423"/>
      <c r="R66" s="178"/>
    </row>
    <row r="67" spans="1:18" ht="15.75" customHeight="1">
      <c r="A67" s="686"/>
      <c r="B67" s="689"/>
      <c r="C67" s="204" t="s">
        <v>205</v>
      </c>
      <c r="D67" s="677"/>
      <c r="E67" s="681"/>
      <c r="F67" s="678"/>
      <c r="G67" s="200"/>
      <c r="H67" s="202"/>
      <c r="I67" s="203"/>
      <c r="J67" s="200"/>
      <c r="K67" s="677"/>
      <c r="L67" s="678"/>
      <c r="O67" s="199"/>
      <c r="P67" s="424"/>
      <c r="Q67" s="424"/>
      <c r="R67" s="199"/>
    </row>
    <row r="68" spans="1:18" ht="15.75" customHeight="1">
      <c r="A68" s="686"/>
      <c r="B68" s="689"/>
      <c r="C68" s="204" t="s">
        <v>210</v>
      </c>
      <c r="D68" s="677"/>
      <c r="E68" s="681"/>
      <c r="F68" s="678"/>
      <c r="G68" s="200"/>
      <c r="H68" s="202"/>
      <c r="I68" s="203"/>
      <c r="J68" s="200"/>
      <c r="K68" s="677"/>
      <c r="L68" s="678"/>
      <c r="M68" s="99"/>
      <c r="O68" s="199"/>
      <c r="P68" s="424"/>
      <c r="Q68" s="424"/>
      <c r="R68" s="199"/>
    </row>
    <row r="69" spans="1:18" ht="15.75" customHeight="1">
      <c r="A69" s="687"/>
      <c r="B69" s="690"/>
      <c r="C69" s="204" t="s">
        <v>211</v>
      </c>
      <c r="D69" s="677"/>
      <c r="E69" s="681"/>
      <c r="F69" s="678"/>
      <c r="G69" s="200"/>
      <c r="H69" s="202"/>
      <c r="I69" s="203"/>
      <c r="J69" s="200"/>
      <c r="K69" s="677"/>
      <c r="L69" s="678"/>
      <c r="M69" s="99"/>
      <c r="O69" s="199"/>
      <c r="P69" s="424"/>
      <c r="Q69" s="424"/>
      <c r="R69" s="199"/>
    </row>
    <row r="70" spans="1:18" s="104" customFormat="1" ht="15.75" customHeight="1">
      <c r="A70" s="682" t="s">
        <v>188</v>
      </c>
      <c r="B70" s="683"/>
      <c r="C70" s="207" t="s">
        <v>47</v>
      </c>
      <c r="D70" s="682" t="s">
        <v>12</v>
      </c>
      <c r="E70" s="684"/>
      <c r="F70" s="683"/>
      <c r="G70" s="207" t="s">
        <v>46</v>
      </c>
      <c r="H70" s="207" t="s">
        <v>385</v>
      </c>
      <c r="I70" s="207" t="s">
        <v>386</v>
      </c>
      <c r="J70" s="160" t="s">
        <v>332</v>
      </c>
      <c r="K70" s="682" t="s">
        <v>51</v>
      </c>
      <c r="L70" s="683"/>
      <c r="M70" s="128"/>
      <c r="N70" s="189"/>
      <c r="O70" s="199"/>
      <c r="P70" s="424"/>
      <c r="Q70" s="424"/>
      <c r="R70" s="199"/>
    </row>
    <row r="71" spans="1:18" ht="15.75" customHeight="1">
      <c r="A71" s="685"/>
      <c r="B71" s="688"/>
      <c r="C71" s="200">
        <v>1</v>
      </c>
      <c r="D71" s="677"/>
      <c r="E71" s="681"/>
      <c r="F71" s="678"/>
      <c r="G71" s="200"/>
      <c r="H71" s="202"/>
      <c r="I71" s="203"/>
      <c r="J71" s="200"/>
      <c r="K71" s="677"/>
      <c r="L71" s="678"/>
      <c r="M71" s="99"/>
      <c r="N71" s="199"/>
      <c r="O71" s="199"/>
      <c r="P71" s="424"/>
      <c r="Q71" s="424"/>
      <c r="R71" s="199"/>
    </row>
    <row r="72" spans="1:18" ht="15.75" customHeight="1">
      <c r="A72" s="686"/>
      <c r="B72" s="689"/>
      <c r="C72" s="200">
        <v>2</v>
      </c>
      <c r="D72" s="677"/>
      <c r="E72" s="681"/>
      <c r="F72" s="678"/>
      <c r="G72" s="200"/>
      <c r="H72" s="202"/>
      <c r="I72" s="203"/>
      <c r="J72" s="200"/>
      <c r="K72" s="677"/>
      <c r="L72" s="678"/>
      <c r="M72" s="99"/>
      <c r="O72" s="199"/>
      <c r="P72" s="424"/>
      <c r="Q72" s="424"/>
      <c r="R72" s="199"/>
    </row>
    <row r="73" spans="1:18" ht="15.75" customHeight="1">
      <c r="A73" s="686"/>
      <c r="B73" s="689"/>
      <c r="C73" s="200">
        <v>3</v>
      </c>
      <c r="D73" s="677"/>
      <c r="E73" s="681"/>
      <c r="F73" s="678"/>
      <c r="G73" s="200"/>
      <c r="H73" s="202"/>
      <c r="I73" s="203"/>
      <c r="J73" s="200"/>
      <c r="K73" s="677"/>
      <c r="L73" s="678"/>
      <c r="M73" s="99"/>
      <c r="O73" s="199"/>
      <c r="P73" s="424"/>
      <c r="Q73" s="424"/>
      <c r="R73" s="199"/>
    </row>
    <row r="74" spans="1:18" ht="15.75" customHeight="1">
      <c r="A74" s="686"/>
      <c r="B74" s="689"/>
      <c r="C74" s="200">
        <v>4</v>
      </c>
      <c r="D74" s="677"/>
      <c r="E74" s="681"/>
      <c r="F74" s="678"/>
      <c r="G74" s="200"/>
      <c r="H74" s="202"/>
      <c r="I74" s="203"/>
      <c r="J74" s="200"/>
      <c r="K74" s="677"/>
      <c r="L74" s="678"/>
      <c r="M74" s="99"/>
      <c r="O74" s="199"/>
      <c r="P74" s="424"/>
      <c r="Q74" s="424"/>
      <c r="R74" s="199"/>
    </row>
    <row r="75" spans="1:18" ht="15.75" customHeight="1">
      <c r="A75" s="686"/>
      <c r="B75" s="689"/>
      <c r="C75" s="200">
        <v>5</v>
      </c>
      <c r="D75" s="677"/>
      <c r="E75" s="681"/>
      <c r="F75" s="678"/>
      <c r="G75" s="200"/>
      <c r="H75" s="202"/>
      <c r="I75" s="203"/>
      <c r="J75" s="200"/>
      <c r="K75" s="677"/>
      <c r="L75" s="678"/>
      <c r="M75" s="99"/>
      <c r="O75" s="199"/>
      <c r="P75" s="424"/>
      <c r="Q75" s="424"/>
      <c r="R75" s="199"/>
    </row>
    <row r="76" spans="1:18" ht="15.75" customHeight="1">
      <c r="A76" s="686"/>
      <c r="B76" s="689"/>
      <c r="C76" s="204" t="s">
        <v>204</v>
      </c>
      <c r="D76" s="677"/>
      <c r="E76" s="681"/>
      <c r="F76" s="678"/>
      <c r="G76" s="200"/>
      <c r="H76" s="202"/>
      <c r="I76" s="203"/>
      <c r="J76" s="200"/>
      <c r="K76" s="677"/>
      <c r="L76" s="678"/>
      <c r="M76" s="99"/>
      <c r="O76" s="199"/>
      <c r="P76" s="424"/>
      <c r="Q76" s="424"/>
      <c r="R76" s="199"/>
    </row>
    <row r="77" spans="1:18" ht="15.75" customHeight="1">
      <c r="A77" s="686"/>
      <c r="B77" s="689"/>
      <c r="C77" s="204" t="s">
        <v>209</v>
      </c>
      <c r="D77" s="677"/>
      <c r="E77" s="681"/>
      <c r="F77" s="678"/>
      <c r="G77" s="200"/>
      <c r="H77" s="202"/>
      <c r="I77" s="203"/>
      <c r="J77" s="200"/>
      <c r="K77" s="677"/>
      <c r="L77" s="678"/>
      <c r="M77" s="99"/>
      <c r="O77" s="199"/>
      <c r="P77" s="424"/>
      <c r="Q77" s="424"/>
      <c r="R77" s="199"/>
    </row>
    <row r="78" spans="1:18" ht="15.75" customHeight="1">
      <c r="A78" s="686"/>
      <c r="B78" s="689"/>
      <c r="C78" s="204" t="s">
        <v>205</v>
      </c>
      <c r="D78" s="677"/>
      <c r="E78" s="681"/>
      <c r="F78" s="678"/>
      <c r="G78" s="200"/>
      <c r="H78" s="202"/>
      <c r="I78" s="203"/>
      <c r="J78" s="200"/>
      <c r="K78" s="677"/>
      <c r="L78" s="678"/>
      <c r="M78" s="99"/>
      <c r="O78" s="199"/>
      <c r="P78" s="424"/>
      <c r="Q78" s="424"/>
      <c r="R78" s="199"/>
    </row>
    <row r="79" spans="1:18" ht="15.75" customHeight="1">
      <c r="A79" s="686"/>
      <c r="B79" s="689"/>
      <c r="C79" s="204" t="s">
        <v>210</v>
      </c>
      <c r="D79" s="677"/>
      <c r="E79" s="681"/>
      <c r="F79" s="678"/>
      <c r="G79" s="200"/>
      <c r="H79" s="202"/>
      <c r="I79" s="203"/>
      <c r="J79" s="200"/>
      <c r="K79" s="677"/>
      <c r="L79" s="678"/>
      <c r="M79" s="99"/>
      <c r="O79" s="199"/>
      <c r="P79" s="424"/>
      <c r="Q79" s="424"/>
      <c r="R79" s="199"/>
    </row>
    <row r="80" spans="1:18" ht="15.75" customHeight="1">
      <c r="A80" s="687"/>
      <c r="B80" s="690"/>
      <c r="C80" s="204" t="s">
        <v>211</v>
      </c>
      <c r="D80" s="677"/>
      <c r="E80" s="681"/>
      <c r="F80" s="678"/>
      <c r="G80" s="200"/>
      <c r="H80" s="202"/>
      <c r="I80" s="203"/>
      <c r="J80" s="200"/>
      <c r="K80" s="677"/>
      <c r="L80" s="678"/>
      <c r="M80" s="99"/>
      <c r="O80" s="199"/>
      <c r="P80" s="424"/>
      <c r="Q80" s="424"/>
      <c r="R80" s="199"/>
    </row>
    <row r="81" spans="1:18" s="189" customFormat="1" ht="15.75" customHeight="1">
      <c r="A81" s="674" t="s">
        <v>737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06" customFormat="1" ht="16.350000000000001" customHeight="1">
      <c r="A83" s="685" t="s">
        <v>162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91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87"/>
      <c r="B84" s="195" t="s">
        <v>206</v>
      </c>
      <c r="C84" s="195" t="s">
        <v>155</v>
      </c>
      <c r="D84" s="195" t="s">
        <v>207</v>
      </c>
      <c r="E84" s="195" t="s">
        <v>156</v>
      </c>
      <c r="F84" s="195" t="s">
        <v>138</v>
      </c>
      <c r="G84" s="196" t="s">
        <v>136</v>
      </c>
      <c r="H84" s="197" t="s">
        <v>208</v>
      </c>
      <c r="I84" s="196" t="s">
        <v>384</v>
      </c>
      <c r="J84" s="209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91" t="s">
        <v>188</v>
      </c>
      <c r="B85" s="692"/>
      <c r="C85" s="160" t="s">
        <v>47</v>
      </c>
      <c r="D85" s="691" t="s">
        <v>12</v>
      </c>
      <c r="E85" s="693"/>
      <c r="F85" s="692"/>
      <c r="G85" s="160" t="s">
        <v>46</v>
      </c>
      <c r="H85" s="160" t="s">
        <v>385</v>
      </c>
      <c r="I85" s="160" t="s">
        <v>386</v>
      </c>
      <c r="J85" s="160" t="s">
        <v>332</v>
      </c>
      <c r="K85" s="691" t="s">
        <v>51</v>
      </c>
      <c r="L85" s="692"/>
      <c r="M85" s="127"/>
      <c r="N85" s="189"/>
      <c r="O85" s="199"/>
      <c r="P85" s="424"/>
      <c r="Q85" s="424"/>
      <c r="R85" s="199"/>
    </row>
    <row r="86" spans="1:18" ht="15.75" customHeight="1">
      <c r="A86" s="685">
        <f>J83</f>
        <v>9</v>
      </c>
      <c r="B86" s="688" t="str">
        <f>J84</f>
        <v>微波小吃</v>
      </c>
      <c r="C86" s="200">
        <v>1</v>
      </c>
      <c r="D86" s="677" t="s">
        <v>362</v>
      </c>
      <c r="E86" s="681"/>
      <c r="F86" s="678"/>
      <c r="G86" s="200">
        <v>13</v>
      </c>
      <c r="H86" s="202">
        <v>1080.3790526714668</v>
      </c>
      <c r="I86" s="203">
        <v>83.106080974728215</v>
      </c>
      <c r="J86" s="373">
        <f>I86-I60</f>
        <v>4.0879120879125708E-2</v>
      </c>
      <c r="K86" s="694" t="s">
        <v>456</v>
      </c>
      <c r="L86" s="695"/>
      <c r="O86" s="199"/>
      <c r="P86" s="424"/>
      <c r="Q86" s="424"/>
      <c r="R86" s="199"/>
    </row>
    <row r="87" spans="1:18" ht="15.75" customHeight="1">
      <c r="A87" s="686"/>
      <c r="B87" s="689"/>
      <c r="C87" s="200">
        <v>2</v>
      </c>
      <c r="D87" s="677"/>
      <c r="E87" s="681"/>
      <c r="F87" s="678"/>
      <c r="G87" s="200"/>
      <c r="H87" s="202"/>
      <c r="I87" s="203"/>
      <c r="J87" s="200"/>
      <c r="K87" s="677"/>
      <c r="L87" s="678"/>
      <c r="O87" s="199"/>
      <c r="P87" s="424"/>
      <c r="Q87" s="424"/>
      <c r="R87" s="199"/>
    </row>
    <row r="88" spans="1:18" ht="15.75" customHeight="1">
      <c r="A88" s="686"/>
      <c r="B88" s="689"/>
      <c r="C88" s="200">
        <v>3</v>
      </c>
      <c r="D88" s="677"/>
      <c r="E88" s="681"/>
      <c r="F88" s="678"/>
      <c r="G88" s="200"/>
      <c r="H88" s="202"/>
      <c r="I88" s="203"/>
      <c r="J88" s="200"/>
      <c r="K88" s="677"/>
      <c r="L88" s="678"/>
      <c r="O88" s="199"/>
      <c r="P88" s="424"/>
      <c r="Q88" s="424"/>
      <c r="R88" s="199"/>
    </row>
    <row r="89" spans="1:18" ht="15.75" customHeight="1">
      <c r="A89" s="686"/>
      <c r="B89" s="689"/>
      <c r="C89" s="200">
        <v>4</v>
      </c>
      <c r="D89" s="677"/>
      <c r="E89" s="681"/>
      <c r="F89" s="678"/>
      <c r="G89" s="202"/>
      <c r="H89" s="202"/>
      <c r="I89" s="203"/>
      <c r="J89" s="200"/>
      <c r="K89" s="677"/>
      <c r="L89" s="678"/>
      <c r="O89" s="199"/>
      <c r="P89" s="424"/>
      <c r="Q89" s="424"/>
      <c r="R89" s="199"/>
    </row>
    <row r="90" spans="1:18" ht="15.75" customHeight="1">
      <c r="A90" s="686"/>
      <c r="B90" s="689"/>
      <c r="C90" s="200">
        <v>5</v>
      </c>
      <c r="D90" s="677"/>
      <c r="E90" s="681"/>
      <c r="F90" s="678"/>
      <c r="G90" s="200"/>
      <c r="H90" s="202"/>
      <c r="I90" s="203"/>
      <c r="J90" s="200"/>
      <c r="K90" s="677"/>
      <c r="L90" s="678"/>
      <c r="O90" s="199"/>
      <c r="P90" s="424"/>
      <c r="Q90" s="424"/>
      <c r="R90" s="199"/>
    </row>
    <row r="91" spans="1:18" ht="15.75" customHeight="1">
      <c r="A91" s="686"/>
      <c r="B91" s="689"/>
      <c r="C91" s="204" t="s">
        <v>204</v>
      </c>
      <c r="D91" s="677"/>
      <c r="E91" s="681"/>
      <c r="F91" s="678"/>
      <c r="G91" s="200"/>
      <c r="H91" s="202"/>
      <c r="I91" s="203"/>
      <c r="J91" s="200"/>
      <c r="K91" s="677"/>
      <c r="L91" s="678"/>
      <c r="O91" s="199"/>
      <c r="P91" s="424"/>
      <c r="Q91" s="424"/>
      <c r="R91" s="199"/>
    </row>
    <row r="92" spans="1:18" ht="15.75" customHeight="1">
      <c r="A92" s="686"/>
      <c r="B92" s="689"/>
      <c r="C92" s="204" t="s">
        <v>209</v>
      </c>
      <c r="D92" s="677"/>
      <c r="E92" s="681"/>
      <c r="F92" s="678"/>
      <c r="G92" s="200"/>
      <c r="H92" s="202"/>
      <c r="I92" s="203"/>
      <c r="J92" s="200"/>
      <c r="K92" s="677"/>
      <c r="L92" s="678"/>
      <c r="N92" s="178"/>
      <c r="O92" s="178"/>
      <c r="P92" s="423"/>
      <c r="Q92" s="423"/>
      <c r="R92" s="178"/>
    </row>
    <row r="93" spans="1:18" ht="15.75" customHeight="1">
      <c r="A93" s="686"/>
      <c r="B93" s="689"/>
      <c r="C93" s="204" t="s">
        <v>205</v>
      </c>
      <c r="D93" s="677"/>
      <c r="E93" s="681"/>
      <c r="F93" s="678"/>
      <c r="G93" s="200"/>
      <c r="H93" s="202"/>
      <c r="I93" s="203"/>
      <c r="J93" s="200"/>
      <c r="K93" s="677"/>
      <c r="L93" s="678"/>
      <c r="O93" s="199"/>
      <c r="P93" s="424"/>
      <c r="Q93" s="424"/>
      <c r="R93" s="199"/>
    </row>
    <row r="94" spans="1:18" ht="15.75" customHeight="1">
      <c r="A94" s="686"/>
      <c r="B94" s="689"/>
      <c r="C94" s="204" t="s">
        <v>210</v>
      </c>
      <c r="D94" s="677"/>
      <c r="E94" s="681"/>
      <c r="F94" s="678"/>
      <c r="G94" s="200"/>
      <c r="H94" s="202"/>
      <c r="I94" s="203"/>
      <c r="J94" s="200"/>
      <c r="K94" s="677"/>
      <c r="L94" s="678"/>
      <c r="M94" s="99"/>
      <c r="O94" s="199"/>
      <c r="P94" s="424"/>
      <c r="Q94" s="424"/>
      <c r="R94" s="199"/>
    </row>
    <row r="95" spans="1:18" ht="15.75" customHeight="1">
      <c r="A95" s="687"/>
      <c r="B95" s="690"/>
      <c r="C95" s="204" t="s">
        <v>211</v>
      </c>
      <c r="D95" s="677"/>
      <c r="E95" s="681"/>
      <c r="F95" s="678"/>
      <c r="G95" s="200"/>
      <c r="H95" s="202"/>
      <c r="I95" s="203"/>
      <c r="J95" s="200"/>
      <c r="K95" s="677"/>
      <c r="L95" s="678"/>
      <c r="M95" s="99"/>
      <c r="O95" s="199"/>
      <c r="P95" s="424"/>
      <c r="Q95" s="424"/>
      <c r="R95" s="199"/>
    </row>
    <row r="96" spans="1:18" s="104" customFormat="1" ht="15.75" customHeight="1">
      <c r="A96" s="682" t="s">
        <v>188</v>
      </c>
      <c r="B96" s="683"/>
      <c r="C96" s="207" t="s">
        <v>47</v>
      </c>
      <c r="D96" s="682" t="s">
        <v>12</v>
      </c>
      <c r="E96" s="684"/>
      <c r="F96" s="683"/>
      <c r="G96" s="207" t="s">
        <v>46</v>
      </c>
      <c r="H96" s="207" t="s">
        <v>385</v>
      </c>
      <c r="I96" s="207" t="s">
        <v>386</v>
      </c>
      <c r="J96" s="160" t="s">
        <v>332</v>
      </c>
      <c r="K96" s="682" t="s">
        <v>51</v>
      </c>
      <c r="L96" s="683"/>
      <c r="M96" s="128"/>
      <c r="N96" s="189"/>
      <c r="O96" s="199"/>
      <c r="P96" s="424"/>
      <c r="Q96" s="424"/>
      <c r="R96" s="199"/>
    </row>
    <row r="97" spans="1:18" ht="15.75" customHeight="1">
      <c r="A97" s="685"/>
      <c r="B97" s="688"/>
      <c r="C97" s="200">
        <v>1</v>
      </c>
      <c r="D97" s="677"/>
      <c r="E97" s="681"/>
      <c r="F97" s="678"/>
      <c r="G97" s="200"/>
      <c r="H97" s="202"/>
      <c r="I97" s="203"/>
      <c r="J97" s="200"/>
      <c r="K97" s="677"/>
      <c r="L97" s="678"/>
      <c r="M97" s="99"/>
      <c r="N97" s="199"/>
      <c r="O97" s="199"/>
      <c r="P97" s="424"/>
      <c r="Q97" s="424"/>
      <c r="R97" s="199"/>
    </row>
    <row r="98" spans="1:18" ht="15.75" customHeight="1">
      <c r="A98" s="686"/>
      <c r="B98" s="689"/>
      <c r="C98" s="200">
        <v>2</v>
      </c>
      <c r="D98" s="677"/>
      <c r="E98" s="681"/>
      <c r="F98" s="678"/>
      <c r="G98" s="200"/>
      <c r="H98" s="202"/>
      <c r="I98" s="203"/>
      <c r="J98" s="200"/>
      <c r="K98" s="677"/>
      <c r="L98" s="678"/>
      <c r="M98" s="99"/>
      <c r="O98" s="199"/>
      <c r="P98" s="424"/>
      <c r="Q98" s="424"/>
      <c r="R98" s="199"/>
    </row>
    <row r="99" spans="1:18" ht="15.75" customHeight="1">
      <c r="A99" s="686"/>
      <c r="B99" s="689"/>
      <c r="C99" s="200">
        <v>3</v>
      </c>
      <c r="D99" s="677"/>
      <c r="E99" s="681"/>
      <c r="F99" s="678"/>
      <c r="G99" s="200"/>
      <c r="H99" s="202"/>
      <c r="I99" s="203"/>
      <c r="J99" s="200"/>
      <c r="K99" s="677"/>
      <c r="L99" s="678"/>
      <c r="M99" s="99"/>
      <c r="O99" s="199"/>
      <c r="P99" s="424"/>
      <c r="Q99" s="424"/>
      <c r="R99" s="199"/>
    </row>
    <row r="100" spans="1:18" ht="15.75" customHeight="1">
      <c r="A100" s="686"/>
      <c r="B100" s="689"/>
      <c r="C100" s="200">
        <v>4</v>
      </c>
      <c r="D100" s="677"/>
      <c r="E100" s="681"/>
      <c r="F100" s="678"/>
      <c r="G100" s="200"/>
      <c r="H100" s="202"/>
      <c r="I100" s="203"/>
      <c r="J100" s="200"/>
      <c r="K100" s="677"/>
      <c r="L100" s="678"/>
      <c r="M100" s="99"/>
      <c r="O100" s="199"/>
      <c r="P100" s="424"/>
      <c r="Q100" s="424"/>
      <c r="R100" s="199"/>
    </row>
    <row r="101" spans="1:18" ht="15.75" customHeight="1">
      <c r="A101" s="686"/>
      <c r="B101" s="689"/>
      <c r="C101" s="200">
        <v>5</v>
      </c>
      <c r="D101" s="677"/>
      <c r="E101" s="681"/>
      <c r="F101" s="678"/>
      <c r="G101" s="200"/>
      <c r="H101" s="202"/>
      <c r="I101" s="203"/>
      <c r="J101" s="200"/>
      <c r="K101" s="677"/>
      <c r="L101" s="678"/>
      <c r="M101" s="99"/>
      <c r="O101" s="199"/>
      <c r="P101" s="424"/>
      <c r="Q101" s="424"/>
      <c r="R101" s="199"/>
    </row>
    <row r="102" spans="1:18" ht="15.75" customHeight="1">
      <c r="A102" s="686"/>
      <c r="B102" s="689"/>
      <c r="C102" s="204" t="s">
        <v>204</v>
      </c>
      <c r="D102" s="677"/>
      <c r="E102" s="681"/>
      <c r="F102" s="678"/>
      <c r="G102" s="200"/>
      <c r="H102" s="202"/>
      <c r="I102" s="203"/>
      <c r="J102" s="200"/>
      <c r="K102" s="677"/>
      <c r="L102" s="678"/>
      <c r="M102" s="99"/>
      <c r="O102" s="199"/>
      <c r="P102" s="424"/>
      <c r="Q102" s="424"/>
      <c r="R102" s="199"/>
    </row>
    <row r="103" spans="1:18" ht="15.75" customHeight="1">
      <c r="A103" s="686"/>
      <c r="B103" s="689"/>
      <c r="C103" s="204" t="s">
        <v>209</v>
      </c>
      <c r="D103" s="677"/>
      <c r="E103" s="681"/>
      <c r="F103" s="678"/>
      <c r="G103" s="200"/>
      <c r="H103" s="202"/>
      <c r="I103" s="203"/>
      <c r="J103" s="200"/>
      <c r="K103" s="677"/>
      <c r="L103" s="678"/>
      <c r="M103" s="99"/>
      <c r="O103" s="199"/>
      <c r="P103" s="424"/>
      <c r="Q103" s="424"/>
      <c r="R103" s="199"/>
    </row>
    <row r="104" spans="1:18" ht="15.75" customHeight="1">
      <c r="A104" s="686"/>
      <c r="B104" s="689"/>
      <c r="C104" s="204" t="s">
        <v>205</v>
      </c>
      <c r="D104" s="677"/>
      <c r="E104" s="681"/>
      <c r="F104" s="678"/>
      <c r="G104" s="200"/>
      <c r="H104" s="202"/>
      <c r="I104" s="203"/>
      <c r="J104" s="200"/>
      <c r="K104" s="677"/>
      <c r="L104" s="678"/>
      <c r="M104" s="99"/>
      <c r="O104" s="199"/>
      <c r="P104" s="424"/>
      <c r="Q104" s="424"/>
      <c r="R104" s="199"/>
    </row>
    <row r="105" spans="1:18" ht="15.75" customHeight="1">
      <c r="A105" s="686"/>
      <c r="B105" s="689"/>
      <c r="C105" s="204" t="s">
        <v>210</v>
      </c>
      <c r="D105" s="677"/>
      <c r="E105" s="681"/>
      <c r="F105" s="678"/>
      <c r="G105" s="200"/>
      <c r="H105" s="202"/>
      <c r="I105" s="203"/>
      <c r="J105" s="200"/>
      <c r="K105" s="677"/>
      <c r="L105" s="678"/>
      <c r="M105" s="99"/>
      <c r="O105" s="199"/>
      <c r="P105" s="424"/>
      <c r="Q105" s="424"/>
      <c r="R105" s="199"/>
    </row>
    <row r="106" spans="1:18" ht="15.75" customHeight="1">
      <c r="A106" s="687"/>
      <c r="B106" s="690"/>
      <c r="C106" s="204" t="s">
        <v>211</v>
      </c>
      <c r="D106" s="677"/>
      <c r="E106" s="681"/>
      <c r="F106" s="678"/>
      <c r="G106" s="200"/>
      <c r="H106" s="202"/>
      <c r="I106" s="203"/>
      <c r="J106" s="200"/>
      <c r="K106" s="677"/>
      <c r="L106" s="678"/>
      <c r="M106" s="99"/>
      <c r="O106" s="199"/>
      <c r="P106" s="424"/>
      <c r="Q106" s="424"/>
      <c r="R106" s="199"/>
    </row>
    <row r="107" spans="1:18" s="189" customFormat="1" ht="15.75" customHeight="1">
      <c r="A107" s="674" t="s">
        <v>773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06" customFormat="1" ht="16.350000000000001" customHeight="1">
      <c r="A109" s="685" t="s">
        <v>162</v>
      </c>
      <c r="B109" s="170">
        <v>1</v>
      </c>
      <c r="C109" s="170">
        <v>2</v>
      </c>
      <c r="D109" s="170">
        <v>3</v>
      </c>
      <c r="E109" s="170">
        <v>4</v>
      </c>
      <c r="F109" s="170">
        <v>5</v>
      </c>
      <c r="G109" s="170">
        <v>6</v>
      </c>
      <c r="H109" s="170">
        <v>7</v>
      </c>
      <c r="I109" s="170">
        <v>8</v>
      </c>
      <c r="J109" s="191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87"/>
      <c r="B110" s="195" t="s">
        <v>206</v>
      </c>
      <c r="C110" s="195" t="s">
        <v>155</v>
      </c>
      <c r="D110" s="195" t="s">
        <v>207</v>
      </c>
      <c r="E110" s="195" t="s">
        <v>156</v>
      </c>
      <c r="F110" s="195" t="s">
        <v>138</v>
      </c>
      <c r="G110" s="196" t="s">
        <v>136</v>
      </c>
      <c r="H110" s="197" t="s">
        <v>208</v>
      </c>
      <c r="I110" s="196" t="s">
        <v>384</v>
      </c>
      <c r="J110" s="209" t="s">
        <v>142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91" t="s">
        <v>188</v>
      </c>
      <c r="B111" s="692"/>
      <c r="C111" s="160" t="s">
        <v>47</v>
      </c>
      <c r="D111" s="691" t="s">
        <v>12</v>
      </c>
      <c r="E111" s="693"/>
      <c r="F111" s="692"/>
      <c r="G111" s="160" t="s">
        <v>46</v>
      </c>
      <c r="H111" s="160" t="s">
        <v>385</v>
      </c>
      <c r="I111" s="160" t="s">
        <v>386</v>
      </c>
      <c r="J111" s="160" t="s">
        <v>332</v>
      </c>
      <c r="K111" s="691" t="s">
        <v>51</v>
      </c>
      <c r="L111" s="692"/>
      <c r="M111" s="127"/>
      <c r="N111" s="189"/>
      <c r="O111" s="199"/>
      <c r="P111" s="424"/>
      <c r="Q111" s="424"/>
      <c r="R111" s="199"/>
    </row>
    <row r="112" spans="1:18" ht="15.75" customHeight="1">
      <c r="A112" s="685">
        <f>J109</f>
        <v>9</v>
      </c>
      <c r="B112" s="688" t="str">
        <f>J110</f>
        <v>微波小吃</v>
      </c>
      <c r="C112" s="200">
        <v>1</v>
      </c>
      <c r="D112" s="677" t="s">
        <v>362</v>
      </c>
      <c r="E112" s="681"/>
      <c r="F112" s="678"/>
      <c r="G112" s="200">
        <v>13</v>
      </c>
      <c r="H112" s="202">
        <v>1080.3104812428951</v>
      </c>
      <c r="I112" s="203">
        <v>83.100806249453484</v>
      </c>
      <c r="J112" s="373">
        <f>I112-I86</f>
        <v>-5.2747252747309403E-3</v>
      </c>
      <c r="K112" s="694"/>
      <c r="L112" s="695"/>
      <c r="O112" s="199"/>
      <c r="P112" s="424"/>
      <c r="Q112" s="424"/>
      <c r="R112" s="199"/>
    </row>
    <row r="113" spans="1:18" ht="15.75" customHeight="1">
      <c r="A113" s="686"/>
      <c r="B113" s="689"/>
      <c r="C113" s="200">
        <v>2</v>
      </c>
      <c r="D113" s="677"/>
      <c r="E113" s="681"/>
      <c r="F113" s="678"/>
      <c r="G113" s="200"/>
      <c r="H113" s="202"/>
      <c r="I113" s="203"/>
      <c r="J113" s="200"/>
      <c r="K113" s="677"/>
      <c r="L113" s="678"/>
      <c r="O113" s="199"/>
      <c r="P113" s="424"/>
      <c r="Q113" s="424"/>
      <c r="R113" s="199"/>
    </row>
    <row r="114" spans="1:18" ht="15.75" customHeight="1">
      <c r="A114" s="686"/>
      <c r="B114" s="689"/>
      <c r="C114" s="200">
        <v>3</v>
      </c>
      <c r="D114" s="677"/>
      <c r="E114" s="681"/>
      <c r="F114" s="678"/>
      <c r="G114" s="200"/>
      <c r="H114" s="202"/>
      <c r="I114" s="203"/>
      <c r="J114" s="200"/>
      <c r="K114" s="677"/>
      <c r="L114" s="678"/>
      <c r="O114" s="199"/>
      <c r="P114" s="424"/>
      <c r="Q114" s="424"/>
      <c r="R114" s="199"/>
    </row>
    <row r="115" spans="1:18" ht="15.75" customHeight="1">
      <c r="A115" s="686"/>
      <c r="B115" s="689"/>
      <c r="C115" s="200">
        <v>4</v>
      </c>
      <c r="D115" s="677"/>
      <c r="E115" s="681"/>
      <c r="F115" s="678"/>
      <c r="G115" s="202"/>
      <c r="H115" s="202"/>
      <c r="I115" s="203"/>
      <c r="J115" s="200"/>
      <c r="K115" s="677"/>
      <c r="L115" s="678"/>
      <c r="O115" s="199"/>
      <c r="P115" s="424"/>
      <c r="Q115" s="424"/>
      <c r="R115" s="199"/>
    </row>
    <row r="116" spans="1:18" ht="15.75" customHeight="1">
      <c r="A116" s="686"/>
      <c r="B116" s="689"/>
      <c r="C116" s="200">
        <v>5</v>
      </c>
      <c r="D116" s="677"/>
      <c r="E116" s="681"/>
      <c r="F116" s="678"/>
      <c r="G116" s="200"/>
      <c r="H116" s="202"/>
      <c r="I116" s="203"/>
      <c r="J116" s="200"/>
      <c r="K116" s="677"/>
      <c r="L116" s="678"/>
      <c r="O116" s="199"/>
      <c r="P116" s="424"/>
      <c r="Q116" s="424"/>
      <c r="R116" s="199"/>
    </row>
    <row r="117" spans="1:18" ht="15.75" customHeight="1">
      <c r="A117" s="686"/>
      <c r="B117" s="689"/>
      <c r="C117" s="204" t="s">
        <v>204</v>
      </c>
      <c r="D117" s="677"/>
      <c r="E117" s="681"/>
      <c r="F117" s="678"/>
      <c r="G117" s="200"/>
      <c r="H117" s="202"/>
      <c r="I117" s="203"/>
      <c r="J117" s="200"/>
      <c r="K117" s="677"/>
      <c r="L117" s="678"/>
      <c r="O117" s="199"/>
      <c r="P117" s="424"/>
      <c r="Q117" s="424"/>
      <c r="R117" s="199"/>
    </row>
    <row r="118" spans="1:18" ht="15.75" customHeight="1">
      <c r="A118" s="686"/>
      <c r="B118" s="689"/>
      <c r="C118" s="204" t="s">
        <v>209</v>
      </c>
      <c r="D118" s="677"/>
      <c r="E118" s="681"/>
      <c r="F118" s="678"/>
      <c r="G118" s="200"/>
      <c r="H118" s="202"/>
      <c r="I118" s="203"/>
      <c r="J118" s="200"/>
      <c r="K118" s="677"/>
      <c r="L118" s="678"/>
      <c r="N118" s="178"/>
      <c r="O118" s="178"/>
      <c r="P118" s="423"/>
      <c r="Q118" s="423"/>
      <c r="R118" s="178"/>
    </row>
    <row r="119" spans="1:18" ht="15.75" customHeight="1">
      <c r="A119" s="686"/>
      <c r="B119" s="689"/>
      <c r="C119" s="204" t="s">
        <v>205</v>
      </c>
      <c r="D119" s="677"/>
      <c r="E119" s="681"/>
      <c r="F119" s="678"/>
      <c r="G119" s="200"/>
      <c r="H119" s="202"/>
      <c r="I119" s="203"/>
      <c r="J119" s="200"/>
      <c r="K119" s="677"/>
      <c r="L119" s="678"/>
      <c r="O119" s="199"/>
      <c r="P119" s="424"/>
      <c r="Q119" s="424"/>
      <c r="R119" s="199"/>
    </row>
    <row r="120" spans="1:18" ht="15.75" customHeight="1">
      <c r="A120" s="686"/>
      <c r="B120" s="689"/>
      <c r="C120" s="204" t="s">
        <v>210</v>
      </c>
      <c r="D120" s="677"/>
      <c r="E120" s="681"/>
      <c r="F120" s="678"/>
      <c r="G120" s="200"/>
      <c r="H120" s="202"/>
      <c r="I120" s="203"/>
      <c r="J120" s="200"/>
      <c r="K120" s="677"/>
      <c r="L120" s="678"/>
      <c r="M120" s="99"/>
      <c r="O120" s="199"/>
      <c r="P120" s="424"/>
      <c r="Q120" s="424"/>
      <c r="R120" s="199"/>
    </row>
    <row r="121" spans="1:18" ht="15.75" customHeight="1">
      <c r="A121" s="687"/>
      <c r="B121" s="690"/>
      <c r="C121" s="204" t="s">
        <v>211</v>
      </c>
      <c r="D121" s="677"/>
      <c r="E121" s="681"/>
      <c r="F121" s="678"/>
      <c r="G121" s="200"/>
      <c r="H121" s="202"/>
      <c r="I121" s="203"/>
      <c r="J121" s="200"/>
      <c r="K121" s="677"/>
      <c r="L121" s="678"/>
      <c r="M121" s="99"/>
      <c r="O121" s="199"/>
      <c r="P121" s="424"/>
      <c r="Q121" s="424"/>
      <c r="R121" s="199"/>
    </row>
    <row r="122" spans="1:18" s="104" customFormat="1" ht="15.75" customHeight="1">
      <c r="A122" s="682" t="s">
        <v>188</v>
      </c>
      <c r="B122" s="683"/>
      <c r="C122" s="207" t="s">
        <v>47</v>
      </c>
      <c r="D122" s="682" t="s">
        <v>12</v>
      </c>
      <c r="E122" s="684"/>
      <c r="F122" s="683"/>
      <c r="G122" s="207" t="s">
        <v>46</v>
      </c>
      <c r="H122" s="207" t="s">
        <v>385</v>
      </c>
      <c r="I122" s="207" t="s">
        <v>386</v>
      </c>
      <c r="J122" s="160" t="s">
        <v>332</v>
      </c>
      <c r="K122" s="682" t="s">
        <v>51</v>
      </c>
      <c r="L122" s="683"/>
      <c r="M122" s="128"/>
      <c r="N122" s="189"/>
      <c r="O122" s="199"/>
      <c r="P122" s="424"/>
      <c r="Q122" s="424"/>
      <c r="R122" s="199"/>
    </row>
    <row r="123" spans="1:18" ht="15.75" customHeight="1">
      <c r="A123" s="685"/>
      <c r="B123" s="688"/>
      <c r="C123" s="200">
        <v>1</v>
      </c>
      <c r="D123" s="677"/>
      <c r="E123" s="681"/>
      <c r="F123" s="678"/>
      <c r="G123" s="200"/>
      <c r="H123" s="202"/>
      <c r="I123" s="203"/>
      <c r="J123" s="200"/>
      <c r="K123" s="677"/>
      <c r="L123" s="678"/>
      <c r="M123" s="99"/>
      <c r="N123" s="199"/>
      <c r="O123" s="199"/>
      <c r="P123" s="424"/>
      <c r="Q123" s="424"/>
      <c r="R123" s="199"/>
    </row>
    <row r="124" spans="1:18" ht="15.75" customHeight="1">
      <c r="A124" s="686"/>
      <c r="B124" s="689"/>
      <c r="C124" s="200">
        <v>2</v>
      </c>
      <c r="D124" s="677"/>
      <c r="E124" s="681"/>
      <c r="F124" s="678"/>
      <c r="G124" s="200"/>
      <c r="H124" s="202"/>
      <c r="I124" s="203"/>
      <c r="J124" s="200"/>
      <c r="K124" s="677"/>
      <c r="L124" s="678"/>
      <c r="M124" s="99"/>
      <c r="O124" s="199"/>
      <c r="P124" s="424"/>
      <c r="Q124" s="424"/>
      <c r="R124" s="199"/>
    </row>
    <row r="125" spans="1:18" ht="15.75" customHeight="1">
      <c r="A125" s="686"/>
      <c r="B125" s="689"/>
      <c r="C125" s="200">
        <v>3</v>
      </c>
      <c r="D125" s="677"/>
      <c r="E125" s="681"/>
      <c r="F125" s="678"/>
      <c r="G125" s="200"/>
      <c r="H125" s="202"/>
      <c r="I125" s="203"/>
      <c r="J125" s="200"/>
      <c r="K125" s="677"/>
      <c r="L125" s="678"/>
      <c r="M125" s="99"/>
      <c r="O125" s="199"/>
      <c r="P125" s="424"/>
      <c r="Q125" s="424"/>
      <c r="R125" s="199"/>
    </row>
    <row r="126" spans="1:18" ht="15.75" customHeight="1">
      <c r="A126" s="686"/>
      <c r="B126" s="689"/>
      <c r="C126" s="200">
        <v>4</v>
      </c>
      <c r="D126" s="677"/>
      <c r="E126" s="681"/>
      <c r="F126" s="678"/>
      <c r="G126" s="200"/>
      <c r="H126" s="202"/>
      <c r="I126" s="203"/>
      <c r="J126" s="200"/>
      <c r="K126" s="677"/>
      <c r="L126" s="678"/>
      <c r="M126" s="99"/>
      <c r="O126" s="199"/>
      <c r="P126" s="424"/>
      <c r="Q126" s="424"/>
      <c r="R126" s="199"/>
    </row>
    <row r="127" spans="1:18" ht="15.75" customHeight="1">
      <c r="A127" s="686"/>
      <c r="B127" s="689"/>
      <c r="C127" s="200">
        <v>5</v>
      </c>
      <c r="D127" s="677"/>
      <c r="E127" s="681"/>
      <c r="F127" s="678"/>
      <c r="G127" s="200"/>
      <c r="H127" s="202"/>
      <c r="I127" s="203"/>
      <c r="J127" s="200"/>
      <c r="K127" s="677"/>
      <c r="L127" s="678"/>
      <c r="M127" s="99"/>
      <c r="O127" s="199"/>
      <c r="P127" s="424"/>
      <c r="Q127" s="424"/>
      <c r="R127" s="199"/>
    </row>
    <row r="128" spans="1:18" ht="15.75" customHeight="1">
      <c r="A128" s="686"/>
      <c r="B128" s="689"/>
      <c r="C128" s="204" t="s">
        <v>204</v>
      </c>
      <c r="D128" s="677"/>
      <c r="E128" s="681"/>
      <c r="F128" s="678"/>
      <c r="G128" s="200"/>
      <c r="H128" s="202"/>
      <c r="I128" s="203"/>
      <c r="J128" s="200"/>
      <c r="K128" s="677"/>
      <c r="L128" s="678"/>
      <c r="M128" s="99"/>
      <c r="O128" s="199"/>
      <c r="P128" s="424"/>
      <c r="Q128" s="424"/>
      <c r="R128" s="199"/>
    </row>
    <row r="129" spans="1:18" ht="15.75" customHeight="1">
      <c r="A129" s="686"/>
      <c r="B129" s="689"/>
      <c r="C129" s="204" t="s">
        <v>209</v>
      </c>
      <c r="D129" s="677"/>
      <c r="E129" s="681"/>
      <c r="F129" s="678"/>
      <c r="G129" s="200"/>
      <c r="H129" s="202"/>
      <c r="I129" s="203"/>
      <c r="J129" s="200"/>
      <c r="K129" s="677"/>
      <c r="L129" s="678"/>
      <c r="M129" s="99"/>
      <c r="O129" s="199"/>
      <c r="P129" s="424"/>
      <c r="Q129" s="424"/>
      <c r="R129" s="199"/>
    </row>
    <row r="130" spans="1:18" ht="15.75" customHeight="1">
      <c r="A130" s="686"/>
      <c r="B130" s="689"/>
      <c r="C130" s="204" t="s">
        <v>205</v>
      </c>
      <c r="D130" s="677"/>
      <c r="E130" s="681"/>
      <c r="F130" s="678"/>
      <c r="G130" s="200"/>
      <c r="H130" s="202"/>
      <c r="I130" s="203"/>
      <c r="J130" s="200"/>
      <c r="K130" s="677"/>
      <c r="L130" s="678"/>
      <c r="M130" s="99"/>
      <c r="O130" s="199"/>
      <c r="P130" s="424"/>
      <c r="Q130" s="424"/>
      <c r="R130" s="199"/>
    </row>
    <row r="131" spans="1:18" ht="15.75" customHeight="1">
      <c r="A131" s="686"/>
      <c r="B131" s="689"/>
      <c r="C131" s="204" t="s">
        <v>210</v>
      </c>
      <c r="D131" s="677"/>
      <c r="E131" s="681"/>
      <c r="F131" s="678"/>
      <c r="G131" s="200"/>
      <c r="H131" s="202"/>
      <c r="I131" s="203"/>
      <c r="J131" s="200"/>
      <c r="K131" s="677"/>
      <c r="L131" s="678"/>
      <c r="M131" s="99"/>
      <c r="O131" s="199"/>
      <c r="P131" s="424"/>
      <c r="Q131" s="424"/>
      <c r="R131" s="199"/>
    </row>
    <row r="132" spans="1:18" ht="15.75" customHeight="1">
      <c r="A132" s="687"/>
      <c r="B132" s="690"/>
      <c r="C132" s="204" t="s">
        <v>211</v>
      </c>
      <c r="D132" s="677"/>
      <c r="E132" s="681"/>
      <c r="F132" s="678"/>
      <c r="G132" s="200"/>
      <c r="H132" s="202"/>
      <c r="I132" s="203"/>
      <c r="J132" s="200"/>
      <c r="K132" s="677"/>
      <c r="L132" s="678"/>
      <c r="M132" s="99"/>
      <c r="O132" s="199"/>
      <c r="P132" s="424"/>
      <c r="Q132" s="424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28:F28"/>
    <mergeCell ref="K28:L28"/>
    <mergeCell ref="K16:L16"/>
    <mergeCell ref="D17:F17"/>
    <mergeCell ref="K17:L17"/>
    <mergeCell ref="K40:L40"/>
    <mergeCell ref="D41:F41"/>
    <mergeCell ref="K41:L41"/>
    <mergeCell ref="D40:F40"/>
    <mergeCell ref="D42:F42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5" sqref="B5"/>
    </sheetView>
  </sheetViews>
  <sheetFormatPr defaultColWidth="12.5703125" defaultRowHeight="15.75" customHeight="1"/>
  <cols>
    <col min="1" max="1" width="18" style="136" bestFit="1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698" t="s">
        <v>372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</row>
    <row r="2" spans="1:13" s="137" customFormat="1" ht="15.75" customHeight="1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</row>
    <row r="3" spans="1:13" ht="15.75" customHeight="1">
      <c r="A3" s="699" t="s">
        <v>238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</row>
    <row r="4" spans="1:13" s="137" customFormat="1" ht="15.75" customHeight="1">
      <c r="A4" s="699"/>
      <c r="B4" s="699"/>
      <c r="C4" s="699"/>
      <c r="D4" s="699"/>
      <c r="E4" s="699"/>
      <c r="F4" s="699"/>
      <c r="G4" s="699"/>
      <c r="H4" s="699"/>
      <c r="I4" s="699"/>
      <c r="J4" s="699"/>
      <c r="K4" s="699"/>
      <c r="L4" s="699"/>
      <c r="M4" s="699"/>
    </row>
    <row r="5" spans="1:13" ht="15.75" customHeight="1">
      <c r="A5" s="226" t="s">
        <v>446</v>
      </c>
      <c r="B5" s="138">
        <f>'生產管理報表(月)'!B6</f>
        <v>160648.31477000003</v>
      </c>
    </row>
    <row r="6" spans="1:13" ht="15.75" customHeight="1">
      <c r="A6" s="700" t="s">
        <v>239</v>
      </c>
      <c r="B6" s="701" t="s">
        <v>10</v>
      </c>
      <c r="C6" s="701"/>
      <c r="D6" s="702"/>
      <c r="E6" s="700" t="s">
        <v>197</v>
      </c>
      <c r="F6" s="704">
        <v>1</v>
      </c>
      <c r="G6" s="704"/>
      <c r="H6" s="704">
        <v>2</v>
      </c>
      <c r="I6" s="704"/>
      <c r="J6" s="704">
        <v>3</v>
      </c>
      <c r="K6" s="704"/>
      <c r="L6" s="704">
        <v>4</v>
      </c>
      <c r="M6" s="704"/>
    </row>
    <row r="7" spans="1:13" ht="31.35" customHeight="1">
      <c r="A7" s="700"/>
      <c r="B7" s="701"/>
      <c r="C7" s="701"/>
      <c r="D7" s="703"/>
      <c r="E7" s="700"/>
      <c r="F7" s="696" t="s">
        <v>487</v>
      </c>
      <c r="G7" s="696"/>
      <c r="H7" s="696" t="s">
        <v>240</v>
      </c>
      <c r="I7" s="696"/>
      <c r="J7" s="696" t="s">
        <v>166</v>
      </c>
      <c r="K7" s="696"/>
      <c r="L7" s="696" t="s">
        <v>458</v>
      </c>
      <c r="M7" s="696"/>
    </row>
    <row r="8" spans="1:13" ht="15.75" customHeight="1">
      <c r="A8" s="700"/>
      <c r="B8" s="155" t="s">
        <v>11</v>
      </c>
      <c r="C8" s="155" t="s">
        <v>241</v>
      </c>
      <c r="D8" s="703"/>
      <c r="E8" s="700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50000000000001" customHeight="1">
      <c r="A9" s="139" t="s">
        <v>242</v>
      </c>
      <c r="B9" s="140">
        <f>日別報廢率總表!AI3</f>
        <v>323176.05859999999</v>
      </c>
      <c r="C9" s="141">
        <f>B9/($B$5*1000)</f>
        <v>2.0116990275477879E-3</v>
      </c>
      <c r="D9" s="703"/>
      <c r="E9" s="139" t="s">
        <v>242</v>
      </c>
      <c r="F9" s="142">
        <f>'報廢20大－原因別分析'!AB143</f>
        <v>67445.406500000012</v>
      </c>
      <c r="G9" s="379">
        <f>'報廢20大－原因別分析'!AB144</f>
        <v>0.75</v>
      </c>
      <c r="H9" s="142">
        <f>'報廢20大－原因別分析'!AC143</f>
        <v>0</v>
      </c>
      <c r="I9" s="379">
        <f>'報廢20大－原因別分析'!AC144</f>
        <v>0</v>
      </c>
      <c r="J9" s="142">
        <f>'報廢20大－原因別分析'!AD143</f>
        <v>23845.399999999998</v>
      </c>
      <c r="K9" s="379">
        <f>'報廢20大－原因別分析'!AD144</f>
        <v>0.1875</v>
      </c>
      <c r="L9" s="142">
        <f>'報廢20大－原因別分析'!AE143</f>
        <v>0</v>
      </c>
      <c r="M9" s="379">
        <f>'報廢20大－原因別分析'!AE144</f>
        <v>0</v>
      </c>
    </row>
    <row r="10" spans="1:13" ht="19.350000000000001" customHeight="1">
      <c r="A10" s="144" t="s">
        <v>243</v>
      </c>
      <c r="B10" s="145">
        <f>日別報廢率總表!AL3</f>
        <v>691147.1679</v>
      </c>
      <c r="C10" s="141">
        <f>B10/($B$5*1000)</f>
        <v>4.3022372745678307E-3</v>
      </c>
      <c r="D10" s="703"/>
      <c r="E10" s="144" t="s">
        <v>243</v>
      </c>
      <c r="F10" s="142">
        <f>'超用20大－原因別分析'!AB143</f>
        <v>0</v>
      </c>
      <c r="G10" s="379">
        <f>'超用20大－原因別分析'!AB144</f>
        <v>0</v>
      </c>
      <c r="H10" s="142">
        <f>'超用20大－原因別分析'!AC143</f>
        <v>0</v>
      </c>
      <c r="I10" s="379">
        <f>'超用20大－原因別分析'!AC144</f>
        <v>0</v>
      </c>
      <c r="J10" s="142">
        <f>'超用20大－原因別分析'!AD143</f>
        <v>0</v>
      </c>
      <c r="K10" s="379">
        <f>'超用20大－原因別分析'!AD144</f>
        <v>0</v>
      </c>
      <c r="L10" s="142">
        <f>'超用20大－原因別分析'!AE143</f>
        <v>233952.23119999998</v>
      </c>
      <c r="M10" s="379">
        <f>'超用20大－原因別分析'!AE144</f>
        <v>0.78749999999999998</v>
      </c>
    </row>
    <row r="11" spans="1:13" ht="15.75" customHeight="1">
      <c r="D11" s="703"/>
      <c r="E11" s="700" t="s">
        <v>197</v>
      </c>
      <c r="F11" s="704">
        <v>5</v>
      </c>
      <c r="G11" s="704"/>
      <c r="H11" s="704">
        <v>6</v>
      </c>
      <c r="I11" s="704"/>
      <c r="J11" s="704">
        <v>7</v>
      </c>
      <c r="K11" s="704"/>
      <c r="L11" s="705">
        <v>8</v>
      </c>
      <c r="M11" s="705"/>
    </row>
    <row r="12" spans="1:13" ht="31.35" customHeight="1">
      <c r="D12" s="703"/>
      <c r="E12" s="700"/>
      <c r="F12" s="696" t="s">
        <v>189</v>
      </c>
      <c r="G12" s="696"/>
      <c r="H12" s="696" t="s">
        <v>167</v>
      </c>
      <c r="I12" s="696"/>
      <c r="J12" s="696" t="s">
        <v>190</v>
      </c>
      <c r="K12" s="696"/>
      <c r="L12" s="697"/>
      <c r="M12" s="697"/>
    </row>
    <row r="13" spans="1:13" ht="15.75" customHeight="1">
      <c r="D13" s="703"/>
      <c r="E13" s="700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50000000000001" customHeight="1">
      <c r="D14" s="703"/>
      <c r="E14" s="139" t="s">
        <v>242</v>
      </c>
      <c r="F14" s="142">
        <f>'報廢20大－原因別分析'!AF143</f>
        <v>1103.7</v>
      </c>
      <c r="G14" s="379">
        <f>'報廢20大－原因別分析'!AF144</f>
        <v>1.2500000000000001E-2</v>
      </c>
      <c r="H14" s="142">
        <f>'報廢20大－原因別分析'!AG143</f>
        <v>7632.2999999999993</v>
      </c>
      <c r="I14" s="379">
        <f>'報廢20大－原因別分析'!AG144</f>
        <v>0.05</v>
      </c>
      <c r="J14" s="142">
        <f>'報廢20大－原因別分析'!AH143</f>
        <v>0</v>
      </c>
      <c r="K14" s="379">
        <f>'報廢20大－原因別分析'!AH144</f>
        <v>0</v>
      </c>
      <c r="L14" s="142"/>
      <c r="M14" s="143"/>
    </row>
    <row r="15" spans="1:13" ht="19.350000000000001" customHeight="1">
      <c r="D15" s="703"/>
      <c r="E15" s="144" t="s">
        <v>243</v>
      </c>
      <c r="F15" s="142">
        <f>'超用20大－原因別分析'!AF143</f>
        <v>75705.305000000022</v>
      </c>
      <c r="G15" s="379">
        <f>'超用20大－原因別分析'!AF144</f>
        <v>0.05</v>
      </c>
      <c r="H15" s="142">
        <f>'超用20大－原因別分析'!AG143</f>
        <v>75384.780400000091</v>
      </c>
      <c r="I15" s="379">
        <f>'超用20大－原因別分析'!AG144</f>
        <v>0.16250000000000001</v>
      </c>
      <c r="J15" s="142">
        <f>'超用20大－原因別分析'!AH143</f>
        <v>0</v>
      </c>
      <c r="K15" s="379">
        <f>'超用20大－原因別分析'!AH144</f>
        <v>0</v>
      </c>
      <c r="L15" s="142"/>
      <c r="M15" s="143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 codeName="工作表23">
    <tabColor rgb="FFFF0000"/>
    <outlinePr summaryBelow="0" summaryRight="0"/>
  </sheetPr>
  <dimension ref="A1:BV30"/>
  <sheetViews>
    <sheetView view="pageBreakPreview" topLeftCell="A22" zoomScaleNormal="60" zoomScaleSheetLayoutView="100" workbookViewId="0">
      <selection activeCell="L36" sqref="L36"/>
    </sheetView>
  </sheetViews>
  <sheetFormatPr defaultColWidth="12.5703125" defaultRowHeight="15.75" customHeight="1"/>
  <cols>
    <col min="1" max="1" width="5.42578125" style="136" customWidth="1"/>
    <col min="2" max="2" width="11.42578125" style="239" customWidth="1"/>
    <col min="3" max="3" width="4" style="240" customWidth="1"/>
    <col min="4" max="15" width="9.5703125" style="136" customWidth="1"/>
    <col min="16" max="16" width="55.42578125" style="136" customWidth="1"/>
    <col min="17" max="20" width="12.5703125" style="238"/>
    <col min="21" max="21" width="24.42578125" style="136" bestFit="1" customWidth="1"/>
    <col min="22" max="22" width="19.42578125" style="136" bestFit="1" customWidth="1"/>
    <col min="23" max="23" width="23" style="136" bestFit="1" customWidth="1"/>
    <col min="24" max="24" width="11.7109375" style="136" bestFit="1" customWidth="1"/>
    <col min="25" max="25" width="15.85546875" style="136" bestFit="1" customWidth="1"/>
    <col min="26" max="26" width="23.5703125" style="136" bestFit="1" customWidth="1"/>
    <col min="27" max="27" width="23" style="136" bestFit="1" customWidth="1"/>
    <col min="28" max="28" width="11.7109375" style="136" bestFit="1" customWidth="1"/>
    <col min="29" max="29" width="20.5703125" style="136" bestFit="1" customWidth="1"/>
    <col min="30" max="30" width="15" style="136" bestFit="1" customWidth="1"/>
    <col min="31" max="31" width="23" style="136" bestFit="1" customWidth="1"/>
    <col min="32" max="32" width="11.7109375" style="136" bestFit="1" customWidth="1"/>
    <col min="33" max="33" width="15.85546875" style="136" bestFit="1" customWidth="1"/>
    <col min="34" max="34" width="15" style="136" bestFit="1" customWidth="1"/>
    <col min="35" max="35" width="23" style="136" bestFit="1" customWidth="1"/>
    <col min="36" max="36" width="15" style="136" bestFit="1" customWidth="1"/>
    <col min="37" max="37" width="23" style="136" bestFit="1" customWidth="1"/>
    <col min="38" max="38" width="11.7109375" style="136" bestFit="1" customWidth="1"/>
    <col min="39" max="39" width="13.85546875" style="136" bestFit="1" customWidth="1"/>
    <col min="40" max="40" width="27.85546875" style="136" bestFit="1" customWidth="1"/>
    <col min="41" max="41" width="23" style="136" bestFit="1" customWidth="1"/>
    <col min="42" max="42" width="8" style="136" bestFit="1" customWidth="1"/>
    <col min="43" max="43" width="30.7109375" style="136" bestFit="1" customWidth="1"/>
    <col min="44" max="44" width="25.7109375" style="136" bestFit="1" customWidth="1"/>
    <col min="45" max="45" width="23" style="136" bestFit="1" customWidth="1"/>
    <col min="46" max="46" width="15" style="136" bestFit="1" customWidth="1"/>
    <col min="47" max="47" width="23" style="136" bestFit="1" customWidth="1"/>
    <col min="48" max="48" width="11.7109375" style="136" bestFit="1" customWidth="1"/>
    <col min="49" max="49" width="20.140625" style="136" bestFit="1" customWidth="1"/>
    <col min="50" max="50" width="23.5703125" style="136" bestFit="1" customWidth="1"/>
    <col min="51" max="51" width="23" style="136" bestFit="1" customWidth="1"/>
    <col min="52" max="52" width="11.7109375" style="136" bestFit="1" customWidth="1"/>
    <col min="53" max="53" width="21.42578125" style="136" bestFit="1" customWidth="1"/>
    <col min="54" max="54" width="15" style="136" bestFit="1" customWidth="1"/>
    <col min="55" max="55" width="23" style="136" bestFit="1" customWidth="1"/>
    <col min="56" max="56" width="11.7109375" style="136" bestFit="1" customWidth="1"/>
    <col min="57" max="57" width="13.85546875" style="136" bestFit="1" customWidth="1"/>
    <col min="58" max="58" width="22" style="136" bestFit="1" customWidth="1"/>
    <col min="59" max="59" width="23" style="136" bestFit="1" customWidth="1"/>
    <col min="60" max="60" width="15" style="136" bestFit="1" customWidth="1"/>
    <col min="61" max="61" width="23" style="136" bestFit="1" customWidth="1"/>
    <col min="62" max="62" width="11.7109375" style="136" bestFit="1" customWidth="1"/>
    <col min="63" max="63" width="24.7109375" style="136" bestFit="1" customWidth="1"/>
    <col min="64" max="64" width="18.7109375" style="136" bestFit="1" customWidth="1"/>
    <col min="65" max="65" width="23" style="136" bestFit="1" customWidth="1"/>
    <col min="66" max="66" width="15" style="136" bestFit="1" customWidth="1"/>
    <col min="67" max="67" width="23" style="136" bestFit="1" customWidth="1"/>
    <col min="68" max="68" width="15" style="136" bestFit="1" customWidth="1"/>
    <col min="69" max="69" width="23" style="136" bestFit="1" customWidth="1"/>
    <col min="70" max="70" width="15" style="136" bestFit="1" customWidth="1"/>
    <col min="71" max="71" width="21.85546875" style="136" bestFit="1" customWidth="1"/>
    <col min="72" max="72" width="10.5703125" style="136" bestFit="1" customWidth="1"/>
    <col min="73" max="73" width="21.42578125" style="136" bestFit="1" customWidth="1"/>
    <col min="74" max="74" width="5.42578125" style="136" bestFit="1" customWidth="1"/>
    <col min="75" max="16384" width="12.5703125" style="136"/>
  </cols>
  <sheetData>
    <row r="1" spans="1:74" ht="15.75" customHeight="1">
      <c r="A1" s="698" t="s">
        <v>372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</row>
    <row r="2" spans="1:74" s="137" customFormat="1" ht="15.75" customHeight="1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</row>
    <row r="3" spans="1:74" ht="15.75" customHeight="1">
      <c r="A3" s="699" t="s">
        <v>459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</row>
    <row r="4" spans="1:74" s="137" customFormat="1" ht="15.75" customHeight="1">
      <c r="A4" s="710"/>
      <c r="B4" s="710"/>
      <c r="C4" s="710"/>
      <c r="D4" s="710"/>
      <c r="E4" s="710"/>
      <c r="F4" s="710"/>
      <c r="G4" s="710"/>
      <c r="H4" s="710"/>
      <c r="I4" s="710"/>
      <c r="J4" s="710"/>
      <c r="K4" s="710"/>
      <c r="L4" s="710"/>
      <c r="M4" s="710"/>
    </row>
    <row r="5" spans="1:74" ht="15.75" customHeight="1">
      <c r="A5" s="701" t="s">
        <v>191</v>
      </c>
      <c r="B5" s="711">
        <v>1</v>
      </c>
      <c r="C5" s="711"/>
      <c r="D5" s="711">
        <v>2</v>
      </c>
      <c r="E5" s="711"/>
      <c r="F5" s="711">
        <v>3</v>
      </c>
      <c r="G5" s="711"/>
      <c r="H5" s="704">
        <v>4</v>
      </c>
      <c r="I5" s="704"/>
      <c r="J5" s="704">
        <v>5</v>
      </c>
      <c r="K5" s="704"/>
      <c r="L5" s="704">
        <v>6</v>
      </c>
      <c r="M5" s="704"/>
      <c r="N5" s="704">
        <v>7</v>
      </c>
      <c r="O5" s="704"/>
      <c r="P5" s="375">
        <v>8</v>
      </c>
    </row>
    <row r="6" spans="1:74" ht="15.75" customHeight="1">
      <c r="A6" s="701"/>
      <c r="B6" s="712" t="s">
        <v>487</v>
      </c>
      <c r="C6" s="712"/>
      <c r="D6" s="712" t="s">
        <v>212</v>
      </c>
      <c r="E6" s="712"/>
      <c r="F6" s="712" t="s">
        <v>166</v>
      </c>
      <c r="G6" s="712"/>
      <c r="H6" s="701" t="s">
        <v>457</v>
      </c>
      <c r="I6" s="701"/>
      <c r="J6" s="701" t="s">
        <v>189</v>
      </c>
      <c r="K6" s="701"/>
      <c r="L6" s="701" t="s">
        <v>167</v>
      </c>
      <c r="M6" s="701"/>
      <c r="N6" s="701" t="s">
        <v>190</v>
      </c>
      <c r="O6" s="701"/>
      <c r="P6" s="376" t="s">
        <v>217</v>
      </c>
    </row>
    <row r="8" spans="1:74" s="242" customFormat="1" ht="15.75" customHeight="1">
      <c r="A8" s="704" t="s">
        <v>191</v>
      </c>
      <c r="B8" s="704"/>
      <c r="C8" s="241" t="s">
        <v>47</v>
      </c>
      <c r="D8" s="713" t="s">
        <v>12</v>
      </c>
      <c r="E8" s="713"/>
      <c r="F8" s="713"/>
      <c r="G8" s="714" t="s">
        <v>53</v>
      </c>
      <c r="H8" s="715"/>
      <c r="I8" s="716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709" t="s">
        <v>51</v>
      </c>
      <c r="P8" s="709"/>
    </row>
    <row r="9" spans="1:74" ht="54.95" customHeight="1">
      <c r="A9" s="704">
        <v>1</v>
      </c>
      <c r="B9" s="719" t="s">
        <v>488</v>
      </c>
      <c r="C9" s="243">
        <v>1</v>
      </c>
      <c r="D9" s="244" t="s">
        <v>336</v>
      </c>
      <c r="E9" s="245"/>
      <c r="F9" s="246"/>
      <c r="G9" s="313" t="s">
        <v>336</v>
      </c>
      <c r="H9" s="312"/>
      <c r="I9" s="313"/>
      <c r="J9" s="243">
        <v>141.66999999999999</v>
      </c>
      <c r="K9" s="249">
        <v>1.3688886645631311E-2</v>
      </c>
      <c r="L9" s="243">
        <v>33.89</v>
      </c>
      <c r="M9" s="330">
        <f>L9*J9</f>
        <v>4801.1962999999996</v>
      </c>
      <c r="N9" s="250"/>
      <c r="O9" s="717" t="s">
        <v>786</v>
      </c>
      <c r="P9" s="717"/>
    </row>
    <row r="10" spans="1:74" ht="54.95" customHeight="1">
      <c r="A10" s="704"/>
      <c r="B10" s="719"/>
      <c r="C10" s="243">
        <v>2</v>
      </c>
      <c r="D10" s="244" t="s">
        <v>365</v>
      </c>
      <c r="E10" s="245"/>
      <c r="F10" s="246"/>
      <c r="G10" s="367" t="s">
        <v>365</v>
      </c>
      <c r="H10" s="312"/>
      <c r="I10" s="313"/>
      <c r="J10" s="243">
        <v>183.65</v>
      </c>
      <c r="K10" s="249">
        <v>2.079118224282318E-2</v>
      </c>
      <c r="L10" s="243">
        <v>18.66</v>
      </c>
      <c r="M10" s="330">
        <f t="shared" ref="M10:M13" si="0">L10*J10</f>
        <v>3426.9090000000001</v>
      </c>
      <c r="N10" s="250"/>
      <c r="O10" s="717" t="s">
        <v>787</v>
      </c>
      <c r="P10" s="717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</row>
    <row r="11" spans="1:74" ht="54.95" customHeight="1">
      <c r="A11" s="704"/>
      <c r="B11" s="719"/>
      <c r="C11" s="243">
        <v>3</v>
      </c>
      <c r="D11" s="244" t="s">
        <v>366</v>
      </c>
      <c r="E11" s="245"/>
      <c r="F11" s="246"/>
      <c r="G11" s="313" t="s">
        <v>366</v>
      </c>
      <c r="H11" s="312"/>
      <c r="I11" s="313"/>
      <c r="J11" s="243">
        <v>253.92000000000002</v>
      </c>
      <c r="K11" s="249">
        <v>1.8096654837040496E-2</v>
      </c>
      <c r="L11" s="243">
        <v>17.95</v>
      </c>
      <c r="M11" s="330">
        <f t="shared" si="0"/>
        <v>4557.8640000000005</v>
      </c>
      <c r="N11" s="250"/>
      <c r="O11" s="718" t="s">
        <v>789</v>
      </c>
      <c r="P11" s="718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</row>
    <row r="12" spans="1:74" ht="54.95" customHeight="1">
      <c r="A12" s="704"/>
      <c r="B12" s="719"/>
      <c r="C12" s="243">
        <v>4</v>
      </c>
      <c r="D12" s="244" t="s">
        <v>367</v>
      </c>
      <c r="E12" s="245"/>
      <c r="F12" s="246"/>
      <c r="G12" s="367" t="s">
        <v>367</v>
      </c>
      <c r="H12" s="312"/>
      <c r="I12" s="313"/>
      <c r="J12" s="243">
        <v>152.75</v>
      </c>
      <c r="K12" s="249">
        <v>6.168430621388222E-3</v>
      </c>
      <c r="L12" s="243">
        <v>6.65</v>
      </c>
      <c r="M12" s="330">
        <f t="shared" si="0"/>
        <v>1015.7875</v>
      </c>
      <c r="N12" s="250"/>
      <c r="O12" s="718" t="s">
        <v>790</v>
      </c>
      <c r="P12" s="71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</row>
    <row r="13" spans="1:74" ht="54.95" customHeight="1" thickBot="1">
      <c r="A13" s="704"/>
      <c r="B13" s="719"/>
      <c r="C13" s="243">
        <v>5</v>
      </c>
      <c r="D13" s="251" t="s">
        <v>502</v>
      </c>
      <c r="E13" s="252"/>
      <c r="F13" s="253"/>
      <c r="G13" s="383" t="s">
        <v>502</v>
      </c>
      <c r="H13" s="382"/>
      <c r="I13" s="383"/>
      <c r="J13" s="254">
        <v>153.19000000000003</v>
      </c>
      <c r="K13" s="255">
        <v>2.6060060757587433E-2</v>
      </c>
      <c r="L13" s="254">
        <v>22.86</v>
      </c>
      <c r="M13" s="331">
        <f t="shared" si="0"/>
        <v>3501.9234000000006</v>
      </c>
      <c r="N13" s="250"/>
      <c r="O13" s="718" t="s">
        <v>788</v>
      </c>
      <c r="P13" s="71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</row>
    <row r="14" spans="1:74" ht="15.75" customHeight="1" thickTop="1">
      <c r="A14" s="704"/>
      <c r="B14" s="719"/>
      <c r="C14" s="720"/>
      <c r="D14" s="721"/>
      <c r="E14" s="721"/>
      <c r="F14" s="721"/>
      <c r="G14" s="721"/>
      <c r="H14" s="721"/>
      <c r="I14" s="722"/>
      <c r="J14" s="256" t="s">
        <v>58</v>
      </c>
      <c r="K14" s="350">
        <f>M14/'生產管理報表 7-1(月)'!$B$9</f>
        <v>5.3542580706502876E-2</v>
      </c>
      <c r="L14" s="256" t="s">
        <v>59</v>
      </c>
      <c r="M14" s="377">
        <f>SUM(M9:M13)</f>
        <v>17303.680200000003</v>
      </c>
      <c r="N14" s="707"/>
      <c r="O14" s="707"/>
      <c r="P14" s="707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</row>
    <row r="15" spans="1:74" ht="15.75" customHeight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</row>
    <row r="16" spans="1:74" ht="15.75" customHeight="1">
      <c r="A16" s="704" t="s">
        <v>191</v>
      </c>
      <c r="B16" s="704"/>
      <c r="C16" s="259" t="s">
        <v>47</v>
      </c>
      <c r="D16" s="724" t="s">
        <v>12</v>
      </c>
      <c r="E16" s="725"/>
      <c r="F16" s="726"/>
      <c r="G16" s="714" t="s">
        <v>53</v>
      </c>
      <c r="H16" s="715"/>
      <c r="I16" s="716"/>
      <c r="J16" s="261" t="s">
        <v>54</v>
      </c>
      <c r="K16" s="261" t="s">
        <v>55</v>
      </c>
      <c r="L16" s="261" t="s">
        <v>56</v>
      </c>
      <c r="M16" s="261" t="s">
        <v>11</v>
      </c>
      <c r="N16" s="241" t="s">
        <v>333</v>
      </c>
      <c r="O16" s="709" t="s">
        <v>51</v>
      </c>
      <c r="P16" s="709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</row>
    <row r="17" spans="1:35" ht="20.100000000000001" customHeight="1">
      <c r="A17" s="704">
        <v>2</v>
      </c>
      <c r="B17" s="719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50"/>
      <c r="O17" s="723"/>
      <c r="P17" s="723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</row>
    <row r="18" spans="1:35" ht="20.100000000000001" customHeight="1">
      <c r="A18" s="704"/>
      <c r="B18" s="719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50"/>
      <c r="O18" s="723"/>
      <c r="P18" s="723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</row>
    <row r="19" spans="1:35" ht="20.100000000000001" customHeight="1">
      <c r="A19" s="704"/>
      <c r="B19" s="719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50"/>
      <c r="O19" s="708"/>
      <c r="P19" s="70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</row>
    <row r="20" spans="1:35" ht="20.100000000000001" customHeight="1">
      <c r="A20" s="704"/>
      <c r="B20" s="719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50"/>
      <c r="O20" s="708"/>
      <c r="P20" s="708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</row>
    <row r="21" spans="1:35" ht="20.100000000000001" customHeight="1" thickBot="1">
      <c r="A21" s="704"/>
      <c r="B21" s="719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50"/>
      <c r="O21" s="708"/>
      <c r="P21" s="70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</row>
    <row r="22" spans="1:35" ht="15.75" customHeight="1" thickTop="1">
      <c r="A22" s="704"/>
      <c r="B22" s="719"/>
      <c r="C22" s="720"/>
      <c r="D22" s="721"/>
      <c r="E22" s="721"/>
      <c r="F22" s="721"/>
      <c r="G22" s="721"/>
      <c r="H22" s="721"/>
      <c r="I22" s="722"/>
      <c r="J22" s="256" t="s">
        <v>58</v>
      </c>
      <c r="K22" s="350">
        <f>M22/'生產管理報表 7-1(月)'!$B$9</f>
        <v>0</v>
      </c>
      <c r="L22" s="256" t="s">
        <v>59</v>
      </c>
      <c r="M22" s="257">
        <f>SUM(M17:M21)</f>
        <v>0</v>
      </c>
      <c r="N22" s="707"/>
      <c r="O22" s="707"/>
      <c r="P22" s="707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</row>
    <row r="23" spans="1:35" ht="15.75" customHeight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</row>
    <row r="24" spans="1:35" ht="15.75" customHeight="1">
      <c r="A24" s="704" t="s">
        <v>191</v>
      </c>
      <c r="B24" s="704"/>
      <c r="C24" s="259" t="s">
        <v>47</v>
      </c>
      <c r="D24" s="724" t="s">
        <v>12</v>
      </c>
      <c r="E24" s="725"/>
      <c r="F24" s="726"/>
      <c r="G24" s="714" t="s">
        <v>53</v>
      </c>
      <c r="H24" s="715"/>
      <c r="I24" s="716"/>
      <c r="J24" s="260" t="s">
        <v>54</v>
      </c>
      <c r="K24" s="261" t="s">
        <v>55</v>
      </c>
      <c r="L24" s="261" t="s">
        <v>56</v>
      </c>
      <c r="M24" s="261" t="s">
        <v>11</v>
      </c>
      <c r="N24" s="241" t="s">
        <v>333</v>
      </c>
      <c r="O24" s="709" t="s">
        <v>51</v>
      </c>
      <c r="P24" s="709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</row>
    <row r="25" spans="1:35" ht="50.1" customHeight="1">
      <c r="A25" s="704">
        <v>3</v>
      </c>
      <c r="B25" s="719" t="s">
        <v>447</v>
      </c>
      <c r="C25" s="263">
        <v>1</v>
      </c>
      <c r="D25" s="244" t="s">
        <v>342</v>
      </c>
      <c r="E25" s="245"/>
      <c r="F25" s="246"/>
      <c r="G25" s="383" t="s">
        <v>480</v>
      </c>
      <c r="H25" s="382"/>
      <c r="I25" s="383"/>
      <c r="J25" s="264">
        <v>1.17</v>
      </c>
      <c r="K25" s="265">
        <v>3.9663546496851521E-3</v>
      </c>
      <c r="L25" s="264">
        <v>5251</v>
      </c>
      <c r="M25" s="333">
        <f t="shared" ref="M25:M29" si="2">L25*J25</f>
        <v>6143.67</v>
      </c>
      <c r="N25" s="250"/>
      <c r="O25" s="723" t="s">
        <v>791</v>
      </c>
      <c r="P25" s="723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</row>
    <row r="26" spans="1:35" ht="50.1" customHeight="1">
      <c r="A26" s="704"/>
      <c r="B26" s="719"/>
      <c r="C26" s="263">
        <v>2</v>
      </c>
      <c r="D26" s="244" t="s">
        <v>342</v>
      </c>
      <c r="E26" s="245"/>
      <c r="F26" s="246"/>
      <c r="G26" s="383" t="s">
        <v>481</v>
      </c>
      <c r="H26" s="382"/>
      <c r="I26" s="383"/>
      <c r="J26" s="264">
        <v>2.4499999999999997</v>
      </c>
      <c r="K26" s="265">
        <v>4.4416679476033229E-3</v>
      </c>
      <c r="L26" s="264">
        <v>2696</v>
      </c>
      <c r="M26" s="333">
        <f t="shared" si="2"/>
        <v>6605.1999999999989</v>
      </c>
      <c r="N26" s="250"/>
      <c r="O26" s="723" t="s">
        <v>792</v>
      </c>
      <c r="P26" s="723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</row>
    <row r="27" spans="1:35" ht="66" customHeight="1">
      <c r="A27" s="704"/>
      <c r="B27" s="719"/>
      <c r="C27" s="263">
        <v>3</v>
      </c>
      <c r="D27" s="244" t="s">
        <v>618</v>
      </c>
      <c r="E27" s="245"/>
      <c r="F27" s="246"/>
      <c r="G27" s="383" t="s">
        <v>623</v>
      </c>
      <c r="H27" s="382"/>
      <c r="I27" s="383"/>
      <c r="J27" s="264">
        <v>16.099999999999998</v>
      </c>
      <c r="K27" s="265">
        <v>5.7671179783190816E-3</v>
      </c>
      <c r="L27" s="264">
        <v>349</v>
      </c>
      <c r="M27" s="333">
        <f t="shared" si="2"/>
        <v>5618.9</v>
      </c>
      <c r="N27" s="250"/>
      <c r="O27" s="706" t="s">
        <v>793</v>
      </c>
      <c r="P27" s="706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</row>
    <row r="28" spans="1:35" ht="50.1" customHeight="1">
      <c r="A28" s="704"/>
      <c r="B28" s="719"/>
      <c r="C28" s="263">
        <v>4</v>
      </c>
      <c r="D28" s="244" t="s">
        <v>342</v>
      </c>
      <c r="E28" s="245"/>
      <c r="F28" s="246"/>
      <c r="G28" s="253" t="s">
        <v>670</v>
      </c>
      <c r="H28" s="252"/>
      <c r="I28" s="253"/>
      <c r="J28" s="264">
        <v>1.1599999999999999</v>
      </c>
      <c r="K28" s="265">
        <v>9.804144444279763E-3</v>
      </c>
      <c r="L28" s="264">
        <v>3775</v>
      </c>
      <c r="M28" s="333">
        <f t="shared" si="2"/>
        <v>4379</v>
      </c>
      <c r="N28" s="250"/>
      <c r="O28" s="706" t="s">
        <v>794</v>
      </c>
      <c r="P28" s="706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</row>
    <row r="29" spans="1:35" ht="50.1" customHeight="1" thickBot="1">
      <c r="A29" s="704"/>
      <c r="B29" s="719"/>
      <c r="C29" s="269">
        <v>5</v>
      </c>
      <c r="D29" s="251" t="s">
        <v>361</v>
      </c>
      <c r="E29" s="252"/>
      <c r="F29" s="253"/>
      <c r="G29" s="383" t="s">
        <v>586</v>
      </c>
      <c r="H29" s="382"/>
      <c r="I29" s="383"/>
      <c r="J29" s="270">
        <v>122.06999999999996</v>
      </c>
      <c r="K29" s="271">
        <v>1.276921767259726E-2</v>
      </c>
      <c r="L29" s="270">
        <v>9</v>
      </c>
      <c r="M29" s="333">
        <f t="shared" si="2"/>
        <v>1098.6299999999997</v>
      </c>
      <c r="N29" s="250"/>
      <c r="O29" s="706" t="s">
        <v>795</v>
      </c>
      <c r="P29" s="706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</row>
    <row r="30" spans="1:35" ht="15.75" customHeight="1" thickTop="1">
      <c r="A30" s="704"/>
      <c r="B30" s="719"/>
      <c r="C30" s="720"/>
      <c r="D30" s="721"/>
      <c r="E30" s="721"/>
      <c r="F30" s="721"/>
      <c r="G30" s="721"/>
      <c r="H30" s="721"/>
      <c r="I30" s="722"/>
      <c r="J30" s="281" t="s">
        <v>58</v>
      </c>
      <c r="K30" s="350">
        <f>M30/'生產管理報表 7-1(月)'!$B$9</f>
        <v>7.3784549831130336E-2</v>
      </c>
      <c r="L30" s="281" t="s">
        <v>59</v>
      </c>
      <c r="M30" s="334">
        <f>SUM(M25:M29)</f>
        <v>23845.399999999998</v>
      </c>
      <c r="N30" s="707"/>
      <c r="O30" s="707"/>
      <c r="P30" s="707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 codeName="工作表24"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K38" sqref="K38"/>
    </sheetView>
  </sheetViews>
  <sheetFormatPr defaultColWidth="12.5703125" defaultRowHeight="15.75" customHeight="1"/>
  <cols>
    <col min="1" max="1" width="5.42578125" style="296" customWidth="1"/>
    <col min="2" max="2" width="11.42578125" style="304" customWidth="1"/>
    <col min="3" max="3" width="4" style="305" customWidth="1"/>
    <col min="4" max="4" width="9.5703125" style="296" customWidth="1"/>
    <col min="5" max="5" width="10.28515625" style="296" customWidth="1"/>
    <col min="6" max="15" width="9.5703125" style="296" customWidth="1"/>
    <col min="16" max="16" width="38" style="296" customWidth="1"/>
    <col min="17" max="16384" width="12.5703125" style="296"/>
  </cols>
  <sheetData>
    <row r="1" spans="1:20" s="136" customFormat="1" ht="15.75" customHeight="1">
      <c r="A1" s="698" t="s">
        <v>372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</row>
    <row r="2" spans="1:20" s="137" customFormat="1" ht="15.75" customHeight="1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</row>
    <row r="3" spans="1:20" s="136" customFormat="1" ht="15.75" customHeight="1">
      <c r="A3" s="699" t="s">
        <v>459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</row>
    <row r="4" spans="1:20" s="137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20" s="136" customFormat="1" ht="15.75" customHeight="1">
      <c r="A5" s="734" t="s">
        <v>191</v>
      </c>
      <c r="B5" s="736">
        <v>1</v>
      </c>
      <c r="C5" s="737"/>
      <c r="D5" s="736">
        <v>2</v>
      </c>
      <c r="E5" s="737"/>
      <c r="F5" s="736">
        <v>3</v>
      </c>
      <c r="G5" s="737"/>
      <c r="H5" s="727">
        <v>4</v>
      </c>
      <c r="I5" s="728"/>
      <c r="J5" s="727">
        <v>5</v>
      </c>
      <c r="K5" s="728"/>
      <c r="L5" s="727">
        <v>6</v>
      </c>
      <c r="M5" s="728"/>
      <c r="N5" s="727">
        <v>7</v>
      </c>
      <c r="O5" s="728"/>
      <c r="P5" s="335">
        <v>8</v>
      </c>
    </row>
    <row r="6" spans="1:20" s="136" customFormat="1" ht="15.75" customHeight="1">
      <c r="A6" s="735"/>
      <c r="B6" s="731" t="s">
        <v>487</v>
      </c>
      <c r="C6" s="732"/>
      <c r="D6" s="731" t="s">
        <v>212</v>
      </c>
      <c r="E6" s="732"/>
      <c r="F6" s="731" t="s">
        <v>166</v>
      </c>
      <c r="G6" s="732"/>
      <c r="H6" s="729" t="s">
        <v>457</v>
      </c>
      <c r="I6" s="730"/>
      <c r="J6" s="729" t="s">
        <v>189</v>
      </c>
      <c r="K6" s="730"/>
      <c r="L6" s="729" t="s">
        <v>167</v>
      </c>
      <c r="M6" s="730"/>
      <c r="N6" s="729" t="s">
        <v>190</v>
      </c>
      <c r="O6" s="730"/>
      <c r="P6" s="336" t="s">
        <v>217</v>
      </c>
    </row>
    <row r="7" spans="1:20" s="136" customFormat="1" ht="15.75" customHeight="1">
      <c r="B7" s="239"/>
      <c r="C7" s="240"/>
    </row>
    <row r="8" spans="1:20" s="285" customFormat="1" ht="15.75" customHeight="1">
      <c r="A8" s="738" t="s">
        <v>191</v>
      </c>
      <c r="B8" s="739"/>
      <c r="C8" s="282" t="s">
        <v>47</v>
      </c>
      <c r="D8" s="740" t="s">
        <v>12</v>
      </c>
      <c r="E8" s="741"/>
      <c r="F8" s="742"/>
      <c r="G8" s="743" t="s">
        <v>53</v>
      </c>
      <c r="H8" s="744"/>
      <c r="I8" s="745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46" t="s">
        <v>51</v>
      </c>
      <c r="P8" s="747"/>
      <c r="R8" s="351"/>
      <c r="S8" s="352"/>
    </row>
    <row r="9" spans="1:20" s="305" customFormat="1" ht="65.099999999999994" customHeight="1">
      <c r="A9" s="748">
        <v>4</v>
      </c>
      <c r="B9" s="751" t="s">
        <v>457</v>
      </c>
      <c r="C9" s="286">
        <v>1</v>
      </c>
      <c r="D9" s="244" t="s">
        <v>344</v>
      </c>
      <c r="E9" s="245"/>
      <c r="F9" s="246"/>
      <c r="G9" s="275" t="s">
        <v>336</v>
      </c>
      <c r="H9" s="245"/>
      <c r="I9" s="275"/>
      <c r="J9" s="243">
        <v>141.66999999999999</v>
      </c>
      <c r="K9" s="249">
        <v>1.3688886645631311E-2</v>
      </c>
      <c r="L9" s="243">
        <v>33.89</v>
      </c>
      <c r="M9" s="330">
        <f t="shared" ref="M9:M13" si="0">L9*J9</f>
        <v>4801.1962999999996</v>
      </c>
      <c r="N9" s="322"/>
      <c r="O9" s="754" t="s">
        <v>786</v>
      </c>
      <c r="P9" s="755"/>
      <c r="R9" s="353"/>
      <c r="S9" s="353"/>
    </row>
    <row r="10" spans="1:20" s="305" customFormat="1" ht="65.099999999999994" customHeight="1">
      <c r="A10" s="749"/>
      <c r="B10" s="752"/>
      <c r="C10" s="286">
        <v>2</v>
      </c>
      <c r="D10" s="244" t="s">
        <v>358</v>
      </c>
      <c r="E10" s="245"/>
      <c r="F10" s="246"/>
      <c r="G10" s="244" t="s">
        <v>365</v>
      </c>
      <c r="H10" s="245"/>
      <c r="I10" s="275"/>
      <c r="J10" s="243">
        <v>183.65</v>
      </c>
      <c r="K10" s="249">
        <v>2.079118224282318E-2</v>
      </c>
      <c r="L10" s="243">
        <v>18.66</v>
      </c>
      <c r="M10" s="330">
        <f t="shared" si="0"/>
        <v>3426.9090000000001</v>
      </c>
      <c r="N10" s="322"/>
      <c r="O10" s="756" t="s">
        <v>796</v>
      </c>
      <c r="P10" s="757"/>
      <c r="R10" s="353"/>
      <c r="S10" s="353"/>
    </row>
    <row r="11" spans="1:20" s="305" customFormat="1" ht="65.099999999999994" customHeight="1">
      <c r="A11" s="749"/>
      <c r="B11" s="752"/>
      <c r="C11" s="286">
        <v>3</v>
      </c>
      <c r="D11" s="244" t="s">
        <v>358</v>
      </c>
      <c r="E11" s="245"/>
      <c r="F11" s="246"/>
      <c r="G11" s="275" t="s">
        <v>366</v>
      </c>
      <c r="H11" s="245"/>
      <c r="I11" s="275"/>
      <c r="J11" s="243">
        <v>253.92000000000002</v>
      </c>
      <c r="K11" s="249">
        <v>1.8096654837040496E-2</v>
      </c>
      <c r="L11" s="243">
        <v>17.95</v>
      </c>
      <c r="M11" s="330">
        <f t="shared" si="0"/>
        <v>4557.8640000000005</v>
      </c>
      <c r="N11" s="322"/>
      <c r="O11" s="758" t="s">
        <v>789</v>
      </c>
      <c r="P11" s="759"/>
      <c r="R11" s="353"/>
      <c r="S11" s="351"/>
    </row>
    <row r="12" spans="1:20" s="305" customFormat="1" ht="65.099999999999994" customHeight="1">
      <c r="A12" s="749"/>
      <c r="B12" s="752"/>
      <c r="C12" s="286">
        <v>4</v>
      </c>
      <c r="D12" s="244" t="s">
        <v>369</v>
      </c>
      <c r="E12" s="245"/>
      <c r="F12" s="246"/>
      <c r="G12" s="251" t="s">
        <v>367</v>
      </c>
      <c r="H12" s="252"/>
      <c r="I12" s="278"/>
      <c r="J12" s="243">
        <v>152.75</v>
      </c>
      <c r="K12" s="249">
        <v>6.168430621388222E-3</v>
      </c>
      <c r="L12" s="243">
        <v>6.65</v>
      </c>
      <c r="M12" s="330">
        <f t="shared" si="0"/>
        <v>1015.7875</v>
      </c>
      <c r="N12" s="322"/>
      <c r="O12" s="756" t="s">
        <v>790</v>
      </c>
      <c r="P12" s="757"/>
      <c r="R12" s="353"/>
      <c r="S12" s="351"/>
    </row>
    <row r="13" spans="1:20" s="305" customFormat="1" ht="65.099999999999994" customHeight="1" thickBot="1">
      <c r="A13" s="749"/>
      <c r="B13" s="752"/>
      <c r="C13" s="286">
        <v>5</v>
      </c>
      <c r="D13" s="251" t="s">
        <v>503</v>
      </c>
      <c r="E13" s="252"/>
      <c r="F13" s="253"/>
      <c r="G13" s="383" t="s">
        <v>502</v>
      </c>
      <c r="H13" s="382"/>
      <c r="I13" s="383"/>
      <c r="J13" s="254">
        <v>153.19000000000003</v>
      </c>
      <c r="K13" s="255">
        <v>2.6060060757587433E-2</v>
      </c>
      <c r="L13" s="254">
        <v>22.86</v>
      </c>
      <c r="M13" s="330">
        <f t="shared" si="0"/>
        <v>3501.9234000000006</v>
      </c>
      <c r="N13" s="322"/>
      <c r="O13" s="760" t="s">
        <v>797</v>
      </c>
      <c r="P13" s="761"/>
      <c r="R13" s="354"/>
      <c r="S13" s="351"/>
      <c r="T13" s="296"/>
    </row>
    <row r="14" spans="1:20" ht="15.75" customHeight="1" thickTop="1" thickBot="1">
      <c r="A14" s="750"/>
      <c r="B14" s="753"/>
      <c r="C14" s="762"/>
      <c r="D14" s="763"/>
      <c r="E14" s="763"/>
      <c r="F14" s="763"/>
      <c r="G14" s="763"/>
      <c r="H14" s="763"/>
      <c r="I14" s="764"/>
      <c r="J14" s="302" t="s">
        <v>58</v>
      </c>
      <c r="K14" s="506">
        <f>M14/'生產管理報表 7-1(月)'!$B$9</f>
        <v>5.3542580706502876E-2</v>
      </c>
      <c r="L14" s="303" t="s">
        <v>59</v>
      </c>
      <c r="M14" s="342">
        <f>SUM(M9:M13)</f>
        <v>17303.680200000003</v>
      </c>
      <c r="N14" s="765"/>
      <c r="O14" s="766"/>
      <c r="P14" s="767"/>
      <c r="R14" s="351"/>
      <c r="S14" s="351"/>
    </row>
    <row r="15" spans="1:20" ht="15.75" customHeight="1" thickTop="1">
      <c r="M15" s="337"/>
      <c r="S15" s="351"/>
    </row>
    <row r="16" spans="1:20" ht="15.75" customHeight="1">
      <c r="A16" s="738" t="s">
        <v>191</v>
      </c>
      <c r="B16" s="739"/>
      <c r="C16" s="282" t="s">
        <v>47</v>
      </c>
      <c r="D16" s="740" t="s">
        <v>12</v>
      </c>
      <c r="E16" s="741"/>
      <c r="F16" s="742"/>
      <c r="G16" s="743" t="s">
        <v>53</v>
      </c>
      <c r="H16" s="744"/>
      <c r="I16" s="745"/>
      <c r="J16" s="283" t="s">
        <v>54</v>
      </c>
      <c r="K16" s="283" t="s">
        <v>55</v>
      </c>
      <c r="L16" s="283" t="s">
        <v>56</v>
      </c>
      <c r="M16" s="338" t="s">
        <v>11</v>
      </c>
      <c r="N16" s="284" t="s">
        <v>333</v>
      </c>
      <c r="O16" s="746" t="s">
        <v>51</v>
      </c>
      <c r="P16" s="747"/>
      <c r="S16" s="352"/>
      <c r="T16" s="305"/>
    </row>
    <row r="17" spans="1:20" s="305" customFormat="1" ht="39.950000000000003" customHeight="1">
      <c r="A17" s="748">
        <v>5</v>
      </c>
      <c r="B17" s="768" t="s">
        <v>215</v>
      </c>
      <c r="C17" s="286">
        <v>1</v>
      </c>
      <c r="D17" s="244" t="s">
        <v>618</v>
      </c>
      <c r="E17" s="245"/>
      <c r="F17" s="246"/>
      <c r="G17" s="313" t="s">
        <v>676</v>
      </c>
      <c r="H17" s="312"/>
      <c r="I17" s="313"/>
      <c r="J17" s="320">
        <v>130</v>
      </c>
      <c r="K17" s="321">
        <v>3.3469999211543006E-2</v>
      </c>
      <c r="L17" s="322">
        <v>8.4899999999999984</v>
      </c>
      <c r="M17" s="330">
        <f t="shared" ref="M17:M21" si="1">L17*J17</f>
        <v>1103.6999999999998</v>
      </c>
      <c r="N17" s="322"/>
      <c r="O17" s="771" t="s">
        <v>799</v>
      </c>
      <c r="P17" s="772"/>
      <c r="S17" s="351"/>
    </row>
    <row r="18" spans="1:20" s="305" customFormat="1" ht="20.100000000000001" customHeight="1">
      <c r="A18" s="749"/>
      <c r="B18" s="769"/>
      <c r="C18" s="286">
        <v>2</v>
      </c>
      <c r="D18" s="244"/>
      <c r="E18" s="245"/>
      <c r="F18" s="246"/>
      <c r="G18" s="367"/>
      <c r="H18" s="312"/>
      <c r="I18" s="313"/>
      <c r="J18" s="320"/>
      <c r="K18" s="321"/>
      <c r="L18" s="322"/>
      <c r="M18" s="330">
        <f t="shared" si="1"/>
        <v>0</v>
      </c>
      <c r="N18" s="322"/>
      <c r="O18" s="773"/>
      <c r="P18" s="774"/>
      <c r="S18" s="296"/>
      <c r="T18" s="296"/>
    </row>
    <row r="19" spans="1:20" ht="20.100000000000001" customHeight="1">
      <c r="A19" s="749"/>
      <c r="B19" s="769"/>
      <c r="C19" s="286">
        <v>3</v>
      </c>
      <c r="D19" s="244"/>
      <c r="E19" s="288"/>
      <c r="F19" s="289"/>
      <c r="G19" s="367"/>
      <c r="H19" s="312"/>
      <c r="I19" s="313"/>
      <c r="J19" s="320"/>
      <c r="K19" s="321"/>
      <c r="L19" s="322"/>
      <c r="M19" s="330">
        <f t="shared" si="1"/>
        <v>0</v>
      </c>
      <c r="N19" s="295"/>
      <c r="O19" s="775"/>
      <c r="P19" s="776"/>
    </row>
    <row r="20" spans="1:20" ht="20.100000000000001" customHeight="1">
      <c r="A20" s="749"/>
      <c r="B20" s="769"/>
      <c r="C20" s="286">
        <v>4</v>
      </c>
      <c r="D20" s="244"/>
      <c r="E20" s="288"/>
      <c r="F20" s="289"/>
      <c r="G20" s="367"/>
      <c r="H20" s="312"/>
      <c r="I20" s="313"/>
      <c r="J20" s="320"/>
      <c r="K20" s="321"/>
      <c r="L20" s="322"/>
      <c r="M20" s="330">
        <f t="shared" si="1"/>
        <v>0</v>
      </c>
      <c r="N20" s="295"/>
      <c r="O20" s="756"/>
      <c r="P20" s="757"/>
    </row>
    <row r="21" spans="1:20" ht="20.100000000000001" customHeight="1" thickBot="1">
      <c r="A21" s="749"/>
      <c r="B21" s="769"/>
      <c r="C21" s="286">
        <v>5</v>
      </c>
      <c r="D21" s="251"/>
      <c r="E21" s="298"/>
      <c r="F21" s="299"/>
      <c r="G21" s="367"/>
      <c r="H21" s="312"/>
      <c r="I21" s="313"/>
      <c r="J21" s="324"/>
      <c r="K21" s="271"/>
      <c r="L21" s="325"/>
      <c r="M21" s="330">
        <f t="shared" si="1"/>
        <v>0</v>
      </c>
      <c r="N21" s="295"/>
      <c r="O21" s="780"/>
      <c r="P21" s="781"/>
      <c r="R21" s="355"/>
    </row>
    <row r="22" spans="1:20" ht="15.75" customHeight="1" thickTop="1" thickBot="1">
      <c r="A22" s="750"/>
      <c r="B22" s="770"/>
      <c r="C22" s="777"/>
      <c r="D22" s="778"/>
      <c r="E22" s="778"/>
      <c r="F22" s="778"/>
      <c r="G22" s="778"/>
      <c r="H22" s="778"/>
      <c r="I22" s="779"/>
      <c r="J22" s="302" t="s">
        <v>58</v>
      </c>
      <c r="K22" s="350">
        <f>M22/'生產管理報表 7-1(月)'!$B$9</f>
        <v>3.4151663485879266E-3</v>
      </c>
      <c r="L22" s="303" t="s">
        <v>59</v>
      </c>
      <c r="M22" s="342">
        <f>SUM(M17:M21)</f>
        <v>1103.6999999999998</v>
      </c>
      <c r="N22" s="765"/>
      <c r="O22" s="766"/>
      <c r="P22" s="767"/>
      <c r="R22" s="351"/>
    </row>
    <row r="23" spans="1:20" ht="15.75" customHeight="1" thickTop="1">
      <c r="M23" s="337"/>
      <c r="R23" s="351"/>
    </row>
    <row r="24" spans="1:20" ht="15.75" customHeight="1">
      <c r="A24" s="738" t="s">
        <v>191</v>
      </c>
      <c r="B24" s="739"/>
      <c r="C24" s="310" t="s">
        <v>47</v>
      </c>
      <c r="D24" s="782" t="s">
        <v>12</v>
      </c>
      <c r="E24" s="783"/>
      <c r="F24" s="784"/>
      <c r="G24" s="785" t="s">
        <v>53</v>
      </c>
      <c r="H24" s="786"/>
      <c r="I24" s="787"/>
      <c r="J24" s="311" t="s">
        <v>54</v>
      </c>
      <c r="K24" s="283" t="s">
        <v>55</v>
      </c>
      <c r="L24" s="283" t="s">
        <v>56</v>
      </c>
      <c r="M24" s="338" t="s">
        <v>11</v>
      </c>
      <c r="N24" s="284" t="s">
        <v>333</v>
      </c>
      <c r="O24" s="746" t="s">
        <v>51</v>
      </c>
      <c r="P24" s="747"/>
      <c r="R24" s="351"/>
    </row>
    <row r="25" spans="1:20" s="305" customFormat="1" ht="60" customHeight="1">
      <c r="A25" s="748">
        <v>6</v>
      </c>
      <c r="B25" s="768" t="s">
        <v>216</v>
      </c>
      <c r="C25" s="286">
        <v>1</v>
      </c>
      <c r="D25" s="244" t="s">
        <v>341</v>
      </c>
      <c r="E25" s="245"/>
      <c r="F25" s="246"/>
      <c r="G25" s="313" t="s">
        <v>335</v>
      </c>
      <c r="H25" s="312"/>
      <c r="I25" s="313"/>
      <c r="J25" s="320">
        <v>15.450000000000001</v>
      </c>
      <c r="K25" s="321">
        <v>3.6909221589950425E-3</v>
      </c>
      <c r="L25" s="322">
        <v>494</v>
      </c>
      <c r="M25" s="330">
        <f t="shared" ref="M25" si="2">L25*J25</f>
        <v>7632.3</v>
      </c>
      <c r="N25" s="322"/>
      <c r="O25" s="788" t="s">
        <v>798</v>
      </c>
      <c r="P25" s="789"/>
    </row>
    <row r="26" spans="1:20" ht="20.100000000000001" customHeight="1">
      <c r="A26" s="749"/>
      <c r="B26" s="769"/>
      <c r="C26" s="286">
        <v>2</v>
      </c>
      <c r="D26" s="287"/>
      <c r="E26" s="288"/>
      <c r="F26" s="289"/>
      <c r="G26" s="290"/>
      <c r="H26" s="291"/>
      <c r="I26" s="292"/>
      <c r="J26" s="293"/>
      <c r="K26" s="294"/>
      <c r="L26" s="295"/>
      <c r="M26" s="339">
        <v>0</v>
      </c>
      <c r="N26" s="295"/>
      <c r="O26" s="306"/>
      <c r="P26" s="307"/>
    </row>
    <row r="27" spans="1:20" ht="20.100000000000001" customHeight="1">
      <c r="A27" s="749"/>
      <c r="B27" s="769"/>
      <c r="C27" s="286">
        <v>3</v>
      </c>
      <c r="D27" s="287"/>
      <c r="E27" s="288"/>
      <c r="F27" s="289"/>
      <c r="G27" s="290"/>
      <c r="H27" s="291"/>
      <c r="I27" s="292"/>
      <c r="J27" s="293"/>
      <c r="K27" s="294"/>
      <c r="L27" s="295"/>
      <c r="M27" s="339">
        <v>0</v>
      </c>
      <c r="N27" s="295"/>
      <c r="O27" s="306"/>
      <c r="P27" s="307"/>
    </row>
    <row r="28" spans="1:20" ht="20.100000000000001" customHeight="1">
      <c r="A28" s="749"/>
      <c r="B28" s="769"/>
      <c r="C28" s="286">
        <v>4</v>
      </c>
      <c r="D28" s="287"/>
      <c r="E28" s="288"/>
      <c r="F28" s="289"/>
      <c r="G28" s="290"/>
      <c r="H28" s="291"/>
      <c r="I28" s="292"/>
      <c r="J28" s="293"/>
      <c r="K28" s="294"/>
      <c r="L28" s="295"/>
      <c r="M28" s="339">
        <v>0</v>
      </c>
      <c r="N28" s="295"/>
      <c r="O28" s="306"/>
      <c r="P28" s="307"/>
    </row>
    <row r="29" spans="1:20" ht="20.100000000000001" customHeight="1" thickBot="1">
      <c r="A29" s="749"/>
      <c r="B29" s="769"/>
      <c r="C29" s="286">
        <v>5</v>
      </c>
      <c r="D29" s="297"/>
      <c r="E29" s="298"/>
      <c r="F29" s="299"/>
      <c r="G29" s="290"/>
      <c r="H29" s="291"/>
      <c r="I29" s="292"/>
      <c r="J29" s="300"/>
      <c r="K29" s="374"/>
      <c r="L29" s="301"/>
      <c r="M29" s="339">
        <v>0</v>
      </c>
      <c r="N29" s="295"/>
      <c r="O29" s="308"/>
      <c r="P29" s="309"/>
    </row>
    <row r="30" spans="1:20" ht="15.75" customHeight="1" thickTop="1" thickBot="1">
      <c r="A30" s="750"/>
      <c r="B30" s="770"/>
      <c r="C30" s="777"/>
      <c r="D30" s="778"/>
      <c r="E30" s="778"/>
      <c r="F30" s="778"/>
      <c r="G30" s="778"/>
      <c r="H30" s="778"/>
      <c r="I30" s="779"/>
      <c r="J30" s="302" t="s">
        <v>58</v>
      </c>
      <c r="K30" s="506">
        <f>M30/'生產管理報表 7-1(月)'!$B$9</f>
        <v>2.3616539025394255E-2</v>
      </c>
      <c r="L30" s="303" t="s">
        <v>59</v>
      </c>
      <c r="M30" s="342">
        <f>SUM(M25:M29)</f>
        <v>7632.3</v>
      </c>
      <c r="N30" s="765"/>
      <c r="O30" s="766"/>
      <c r="P30" s="767"/>
    </row>
    <row r="31" spans="1:20" ht="15.75" customHeight="1" thickTop="1">
      <c r="M31" s="337"/>
    </row>
    <row r="32" spans="1:20" ht="15.75" customHeight="1">
      <c r="A32" s="738" t="s">
        <v>191</v>
      </c>
      <c r="B32" s="739"/>
      <c r="C32" s="310" t="s">
        <v>47</v>
      </c>
      <c r="D32" s="782" t="s">
        <v>12</v>
      </c>
      <c r="E32" s="783"/>
      <c r="F32" s="784"/>
      <c r="G32" s="785" t="s">
        <v>53</v>
      </c>
      <c r="H32" s="786"/>
      <c r="I32" s="787"/>
      <c r="J32" s="311" t="s">
        <v>54</v>
      </c>
      <c r="K32" s="283" t="s">
        <v>55</v>
      </c>
      <c r="L32" s="283" t="s">
        <v>56</v>
      </c>
      <c r="M32" s="338" t="s">
        <v>11</v>
      </c>
      <c r="N32" s="284" t="s">
        <v>333</v>
      </c>
      <c r="O32" s="746" t="s">
        <v>51</v>
      </c>
      <c r="P32" s="747"/>
    </row>
    <row r="33" spans="1:16" ht="20.100000000000001" customHeight="1">
      <c r="A33" s="748">
        <v>7</v>
      </c>
      <c r="B33" s="790" t="s">
        <v>249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39">
        <f t="shared" ref="M33:M35" si="3">L33*J33</f>
        <v>0</v>
      </c>
      <c r="N33" s="295"/>
      <c r="O33" s="793"/>
      <c r="P33" s="794"/>
    </row>
    <row r="34" spans="1:16" ht="20.100000000000001" customHeight="1">
      <c r="A34" s="749"/>
      <c r="B34" s="791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39">
        <f t="shared" si="3"/>
        <v>0</v>
      </c>
      <c r="N34" s="295"/>
      <c r="O34" s="795"/>
      <c r="P34" s="796"/>
    </row>
    <row r="35" spans="1:16" ht="20.100000000000001" customHeight="1">
      <c r="A35" s="749"/>
      <c r="B35" s="791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39">
        <f t="shared" si="3"/>
        <v>0</v>
      </c>
      <c r="N35" s="295"/>
      <c r="O35" s="795"/>
      <c r="P35" s="796"/>
    </row>
    <row r="36" spans="1:16" ht="20.100000000000001" customHeight="1">
      <c r="A36" s="749"/>
      <c r="B36" s="791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0">
        <v>0</v>
      </c>
      <c r="N36" s="295"/>
      <c r="O36" s="306"/>
      <c r="P36" s="307"/>
    </row>
    <row r="37" spans="1:16" ht="20.100000000000001" customHeight="1" thickBot="1">
      <c r="A37" s="749"/>
      <c r="B37" s="791"/>
      <c r="C37" s="286">
        <v>5</v>
      </c>
      <c r="D37" s="297"/>
      <c r="E37" s="298"/>
      <c r="F37" s="299"/>
      <c r="G37" s="290"/>
      <c r="H37" s="291"/>
      <c r="I37" s="292"/>
      <c r="J37" s="300"/>
      <c r="K37" s="271"/>
      <c r="L37" s="301"/>
      <c r="M37" s="341">
        <v>0</v>
      </c>
      <c r="N37" s="295"/>
      <c r="O37" s="308"/>
      <c r="P37" s="309"/>
    </row>
    <row r="38" spans="1:16" ht="15.75" customHeight="1" thickTop="1" thickBot="1">
      <c r="A38" s="750"/>
      <c r="B38" s="792"/>
      <c r="C38" s="777"/>
      <c r="D38" s="778"/>
      <c r="E38" s="778"/>
      <c r="F38" s="778"/>
      <c r="G38" s="778"/>
      <c r="H38" s="778"/>
      <c r="I38" s="779"/>
      <c r="J38" s="302" t="s">
        <v>58</v>
      </c>
      <c r="K38" s="506">
        <f>M38/'生產管理報表 7-1(月)'!$B$9</f>
        <v>0</v>
      </c>
      <c r="L38" s="303" t="s">
        <v>59</v>
      </c>
      <c r="M38" s="342">
        <f>SUM(M33:M37)</f>
        <v>0</v>
      </c>
      <c r="N38" s="765"/>
      <c r="O38" s="766"/>
      <c r="P38" s="767"/>
    </row>
    <row r="39" spans="1:16" ht="15.75" customHeight="1" thickTop="1"/>
    <row r="44" spans="1:16" ht="15.75" customHeight="1">
      <c r="O44" s="296" ph="1"/>
      <c r="P44" s="296" ph="1"/>
    </row>
    <row r="46" spans="1:16" ht="15.75" customHeight="1">
      <c r="O46" s="296" ph="1"/>
      <c r="P46" s="296" ph="1"/>
    </row>
    <row r="47" spans="1:16" ht="15.75" customHeight="1">
      <c r="O47" s="296" ph="1"/>
      <c r="P47" s="296" ph="1"/>
    </row>
    <row r="117" spans="15:16" ht="15.75" customHeight="1">
      <c r="O117" s="296" ph="1"/>
      <c r="P117" s="296" ph="1"/>
    </row>
    <row r="119" spans="15:16" ht="15.75" customHeight="1">
      <c r="O119" s="296" ph="1"/>
      <c r="P119" s="296" ph="1"/>
    </row>
    <row r="120" spans="15:16" ht="15.75" customHeight="1">
      <c r="O120" s="296" ph="1"/>
      <c r="P120" s="296" ph="1"/>
    </row>
    <row r="153" spans="15:16" ht="15.75" customHeight="1">
      <c r="O153" s="296" ph="1"/>
      <c r="P153" s="296" ph="1"/>
    </row>
    <row r="155" spans="15:16" ht="15.75" customHeight="1">
      <c r="O155" s="296" ph="1"/>
      <c r="P155" s="296" ph="1"/>
    </row>
    <row r="156" spans="15:16" ht="15.75" customHeight="1">
      <c r="O156" s="296" ph="1"/>
      <c r="P156" s="296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7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 codeName="工作表25">
    <tabColor rgb="FFFF0000"/>
    <outlinePr summaryBelow="0" summaryRight="0"/>
  </sheetPr>
  <dimension ref="A1:BW30"/>
  <sheetViews>
    <sheetView view="pageBreakPreview" topLeftCell="A10" zoomScaleNormal="60" zoomScaleSheetLayoutView="100" workbookViewId="0">
      <selection activeCell="L26" sqref="L26"/>
    </sheetView>
  </sheetViews>
  <sheetFormatPr defaultColWidth="12.5703125" defaultRowHeight="15.75" customHeight="1"/>
  <cols>
    <col min="1" max="1" width="5.42578125" style="136" customWidth="1"/>
    <col min="2" max="2" width="11.42578125" style="239" customWidth="1"/>
    <col min="3" max="3" width="4" style="240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38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698" t="s">
        <v>372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</row>
    <row r="2" spans="1:75" s="137" customFormat="1" ht="15.75" customHeight="1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  <c r="Q2" s="698"/>
    </row>
    <row r="3" spans="1:75" ht="15.75" customHeight="1">
      <c r="A3" s="699" t="s">
        <v>460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</row>
    <row r="4" spans="1:75" s="137" customFormat="1" ht="15.75" customHeight="1">
      <c r="A4" s="710"/>
      <c r="B4" s="710"/>
      <c r="C4" s="710"/>
      <c r="D4" s="710"/>
      <c r="E4" s="710"/>
      <c r="F4" s="710"/>
      <c r="G4" s="710"/>
      <c r="H4" s="710"/>
      <c r="I4" s="710"/>
      <c r="J4" s="710"/>
      <c r="K4" s="710"/>
      <c r="L4" s="710"/>
      <c r="M4" s="710"/>
    </row>
    <row r="5" spans="1:75" ht="15.75" customHeight="1">
      <c r="A5" s="701" t="s">
        <v>191</v>
      </c>
      <c r="B5" s="711">
        <v>1</v>
      </c>
      <c r="C5" s="711"/>
      <c r="D5" s="711">
        <v>2</v>
      </c>
      <c r="E5" s="711"/>
      <c r="F5" s="711">
        <v>3</v>
      </c>
      <c r="G5" s="711"/>
      <c r="H5" s="704">
        <v>4</v>
      </c>
      <c r="I5" s="704"/>
      <c r="J5" s="704">
        <v>5</v>
      </c>
      <c r="K5" s="704"/>
      <c r="L5" s="704">
        <v>6</v>
      </c>
      <c r="M5" s="704"/>
      <c r="N5" s="704">
        <v>7</v>
      </c>
      <c r="O5" s="704"/>
      <c r="P5" s="704">
        <v>8</v>
      </c>
      <c r="Q5" s="704"/>
    </row>
    <row r="6" spans="1:75" ht="15.75" customHeight="1">
      <c r="A6" s="701"/>
      <c r="B6" s="712" t="s">
        <v>487</v>
      </c>
      <c r="C6" s="712"/>
      <c r="D6" s="712" t="s">
        <v>212</v>
      </c>
      <c r="E6" s="712"/>
      <c r="F6" s="712" t="s">
        <v>166</v>
      </c>
      <c r="G6" s="712"/>
      <c r="H6" s="701" t="s">
        <v>457</v>
      </c>
      <c r="I6" s="701"/>
      <c r="J6" s="701" t="s">
        <v>189</v>
      </c>
      <c r="K6" s="701"/>
      <c r="L6" s="701" t="s">
        <v>167</v>
      </c>
      <c r="M6" s="701"/>
      <c r="N6" s="701" t="s">
        <v>190</v>
      </c>
      <c r="O6" s="701"/>
      <c r="P6" s="797" t="s">
        <v>217</v>
      </c>
      <c r="Q6" s="701"/>
    </row>
    <row r="8" spans="1:75" s="242" customFormat="1" ht="15.75" customHeight="1">
      <c r="A8" s="704" t="s">
        <v>191</v>
      </c>
      <c r="B8" s="704"/>
      <c r="C8" s="241" t="s">
        <v>47</v>
      </c>
      <c r="D8" s="713" t="s">
        <v>12</v>
      </c>
      <c r="E8" s="713"/>
      <c r="F8" s="713"/>
      <c r="G8" s="714" t="s">
        <v>53</v>
      </c>
      <c r="H8" s="715"/>
      <c r="I8" s="716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709" t="s">
        <v>51</v>
      </c>
      <c r="P8" s="709"/>
    </row>
    <row r="9" spans="1:75" ht="24.95" customHeight="1">
      <c r="A9" s="704">
        <v>1</v>
      </c>
      <c r="B9" s="719" t="s">
        <v>488</v>
      </c>
      <c r="C9" s="243">
        <v>1</v>
      </c>
      <c r="D9" s="244"/>
      <c r="E9" s="245"/>
      <c r="F9" s="246"/>
      <c r="G9" s="275"/>
      <c r="H9" s="245"/>
      <c r="I9" s="275"/>
      <c r="J9" s="243"/>
      <c r="K9" s="249"/>
      <c r="L9" s="243"/>
      <c r="M9" s="330">
        <f>L9*J9</f>
        <v>0</v>
      </c>
      <c r="N9" s="250"/>
      <c r="O9" s="754"/>
      <c r="P9" s="755"/>
    </row>
    <row r="10" spans="1:75" ht="24.95" customHeight="1">
      <c r="A10" s="704"/>
      <c r="B10" s="719"/>
      <c r="C10" s="243">
        <v>2</v>
      </c>
      <c r="D10" s="244"/>
      <c r="E10" s="245"/>
      <c r="F10" s="246"/>
      <c r="G10" s="244"/>
      <c r="H10" s="245"/>
      <c r="I10" s="275"/>
      <c r="J10" s="243"/>
      <c r="K10" s="249"/>
      <c r="L10" s="243"/>
      <c r="M10" s="330">
        <f t="shared" ref="M10:M13" si="0">L10*J10</f>
        <v>0</v>
      </c>
      <c r="N10" s="250"/>
      <c r="O10" s="798"/>
      <c r="P10" s="799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ht="24.95" customHeight="1">
      <c r="A11" s="704"/>
      <c r="B11" s="719"/>
      <c r="C11" s="243">
        <v>3</v>
      </c>
      <c r="D11" s="244"/>
      <c r="E11" s="245"/>
      <c r="F11" s="246"/>
      <c r="G11" s="275"/>
      <c r="H11" s="245"/>
      <c r="I11" s="275"/>
      <c r="J11" s="243"/>
      <c r="K11" s="249"/>
      <c r="L11" s="243"/>
      <c r="M11" s="330">
        <f t="shared" si="0"/>
        <v>0</v>
      </c>
      <c r="N11" s="250"/>
      <c r="O11" s="798"/>
      <c r="P11" s="799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ht="24.95" customHeight="1">
      <c r="A12" s="704"/>
      <c r="B12" s="719"/>
      <c r="C12" s="243">
        <v>4</v>
      </c>
      <c r="D12" s="244"/>
      <c r="E12" s="245"/>
      <c r="F12" s="246"/>
      <c r="G12" s="251"/>
      <c r="H12" s="252"/>
      <c r="I12" s="278"/>
      <c r="J12" s="243"/>
      <c r="K12" s="249"/>
      <c r="L12" s="243"/>
      <c r="M12" s="330">
        <f t="shared" si="0"/>
        <v>0</v>
      </c>
      <c r="N12" s="250"/>
      <c r="O12" s="798"/>
      <c r="P12" s="799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ht="24.95" customHeight="1" thickBot="1">
      <c r="A13" s="704"/>
      <c r="B13" s="719"/>
      <c r="C13" s="243">
        <v>5</v>
      </c>
      <c r="D13" s="251"/>
      <c r="E13" s="252"/>
      <c r="F13" s="253"/>
      <c r="G13" s="383"/>
      <c r="H13" s="382"/>
      <c r="I13" s="383"/>
      <c r="J13" s="254"/>
      <c r="K13" s="255"/>
      <c r="L13" s="254"/>
      <c r="M13" s="331">
        <f t="shared" si="0"/>
        <v>0</v>
      </c>
      <c r="N13" s="250"/>
      <c r="O13" s="798"/>
      <c r="P13" s="799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ht="15.75" customHeight="1" thickTop="1">
      <c r="A14" s="704"/>
      <c r="B14" s="719"/>
      <c r="C14" s="720"/>
      <c r="D14" s="721"/>
      <c r="E14" s="721"/>
      <c r="F14" s="721"/>
      <c r="G14" s="721"/>
      <c r="H14" s="721"/>
      <c r="I14" s="722"/>
      <c r="J14" s="256" t="s">
        <v>58</v>
      </c>
      <c r="K14" s="350">
        <f>M14/'生產管理報表 7-1(月)'!$B$10</f>
        <v>0</v>
      </c>
      <c r="L14" s="256" t="s">
        <v>59</v>
      </c>
      <c r="M14" s="332">
        <f>SUM(M9:M13)</f>
        <v>0</v>
      </c>
      <c r="N14" s="800"/>
      <c r="O14" s="801"/>
      <c r="P14" s="802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ht="15.75" customHeight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ht="15.75" customHeight="1">
      <c r="A16" s="704" t="s">
        <v>191</v>
      </c>
      <c r="B16" s="704"/>
      <c r="C16" s="259" t="s">
        <v>47</v>
      </c>
      <c r="D16" s="724" t="s">
        <v>12</v>
      </c>
      <c r="E16" s="725"/>
      <c r="F16" s="726"/>
      <c r="G16" s="714" t="s">
        <v>53</v>
      </c>
      <c r="H16" s="715"/>
      <c r="I16" s="716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333</v>
      </c>
      <c r="O16" s="803" t="s">
        <v>51</v>
      </c>
      <c r="P16" s="804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ht="20.100000000000001" customHeight="1">
      <c r="A17" s="704">
        <v>2</v>
      </c>
      <c r="B17" s="719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05"/>
      <c r="P17" s="806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ht="20.100000000000001" customHeight="1">
      <c r="A18" s="704"/>
      <c r="B18" s="719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05"/>
      <c r="P18" s="806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ht="20.100000000000001" customHeight="1">
      <c r="A19" s="704"/>
      <c r="B19" s="719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67"/>
      <c r="O19" s="805"/>
      <c r="P19" s="806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ht="20.100000000000001" customHeight="1">
      <c r="A20" s="704"/>
      <c r="B20" s="719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05"/>
      <c r="P20" s="806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ht="20.100000000000001" customHeight="1" thickBot="1">
      <c r="A21" s="704"/>
      <c r="B21" s="719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73"/>
      <c r="O21" s="805"/>
      <c r="P21" s="806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ht="15.75" customHeight="1" thickTop="1">
      <c r="A22" s="704"/>
      <c r="B22" s="719"/>
      <c r="C22" s="720"/>
      <c r="D22" s="721"/>
      <c r="E22" s="721"/>
      <c r="F22" s="721"/>
      <c r="G22" s="721"/>
      <c r="H22" s="721"/>
      <c r="I22" s="722"/>
      <c r="J22" s="256" t="s">
        <v>58</v>
      </c>
      <c r="K22" s="350">
        <f>M22/'生產管理報表 7-1(月)'!$B$10</f>
        <v>0</v>
      </c>
      <c r="L22" s="256" t="s">
        <v>59</v>
      </c>
      <c r="M22" s="257">
        <f>SUM(M17:M21)</f>
        <v>0</v>
      </c>
      <c r="N22" s="807"/>
      <c r="O22" s="808"/>
      <c r="P22" s="809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ht="15.75" customHeight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ht="15.75" customHeight="1">
      <c r="A24" s="704" t="s">
        <v>191</v>
      </c>
      <c r="B24" s="704"/>
      <c r="C24" s="259" t="s">
        <v>47</v>
      </c>
      <c r="D24" s="724" t="s">
        <v>12</v>
      </c>
      <c r="E24" s="725"/>
      <c r="F24" s="726"/>
      <c r="G24" s="714" t="s">
        <v>53</v>
      </c>
      <c r="H24" s="715"/>
      <c r="I24" s="716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333</v>
      </c>
      <c r="O24" s="815" t="s">
        <v>51</v>
      </c>
      <c r="P24" s="816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ht="24.95" customHeight="1">
      <c r="A25" s="704">
        <v>3</v>
      </c>
      <c r="B25" s="719" t="s">
        <v>447</v>
      </c>
      <c r="C25" s="263">
        <v>1</v>
      </c>
      <c r="D25" s="244"/>
      <c r="E25" s="245"/>
      <c r="F25" s="246"/>
      <c r="G25" s="381"/>
      <c r="H25" s="382"/>
      <c r="I25" s="383"/>
      <c r="J25" s="276"/>
      <c r="K25" s="265"/>
      <c r="L25" s="264"/>
      <c r="M25" s="333">
        <f t="shared" ref="M25:M29" si="2">L25*J25</f>
        <v>0</v>
      </c>
      <c r="N25" s="277"/>
      <c r="O25" s="810"/>
      <c r="P25" s="811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ht="24.95" customHeight="1">
      <c r="A26" s="704"/>
      <c r="B26" s="719"/>
      <c r="C26" s="263">
        <v>2</v>
      </c>
      <c r="D26" s="244"/>
      <c r="E26" s="245"/>
      <c r="F26" s="246"/>
      <c r="G26" s="381"/>
      <c r="H26" s="382"/>
      <c r="I26" s="383"/>
      <c r="J26" s="276"/>
      <c r="K26" s="265"/>
      <c r="L26" s="264"/>
      <c r="M26" s="333">
        <f t="shared" si="2"/>
        <v>0</v>
      </c>
      <c r="N26" s="277"/>
      <c r="O26" s="810"/>
      <c r="P26" s="811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ht="24.95" customHeight="1">
      <c r="A27" s="704"/>
      <c r="B27" s="719"/>
      <c r="C27" s="263">
        <v>3</v>
      </c>
      <c r="D27" s="244"/>
      <c r="E27" s="245"/>
      <c r="F27" s="246"/>
      <c r="G27" s="381"/>
      <c r="H27" s="382"/>
      <c r="I27" s="383"/>
      <c r="J27" s="276"/>
      <c r="K27" s="265"/>
      <c r="L27" s="264"/>
      <c r="M27" s="333">
        <f t="shared" si="2"/>
        <v>0</v>
      </c>
      <c r="N27" s="277"/>
      <c r="O27" s="810"/>
      <c r="P27" s="811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ht="24.95" customHeight="1">
      <c r="A28" s="704"/>
      <c r="B28" s="719"/>
      <c r="C28" s="263">
        <v>4</v>
      </c>
      <c r="D28" s="244"/>
      <c r="E28" s="245"/>
      <c r="F28" s="246"/>
      <c r="G28" s="244"/>
      <c r="H28" s="245"/>
      <c r="I28" s="275"/>
      <c r="J28" s="276"/>
      <c r="K28" s="265"/>
      <c r="L28" s="264"/>
      <c r="M28" s="333">
        <f t="shared" si="2"/>
        <v>0</v>
      </c>
      <c r="N28" s="277"/>
      <c r="O28" s="810"/>
      <c r="P28" s="811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ht="24.95" customHeight="1" thickBot="1">
      <c r="A29" s="704"/>
      <c r="B29" s="719"/>
      <c r="C29" s="269">
        <v>5</v>
      </c>
      <c r="D29" s="251"/>
      <c r="E29" s="252"/>
      <c r="F29" s="253"/>
      <c r="G29" s="251"/>
      <c r="H29" s="252"/>
      <c r="I29" s="278"/>
      <c r="J29" s="279"/>
      <c r="K29" s="271"/>
      <c r="L29" s="280"/>
      <c r="M29" s="333">
        <f t="shared" si="2"/>
        <v>0</v>
      </c>
      <c r="N29" s="277"/>
      <c r="O29" s="810"/>
      <c r="P29" s="811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ht="15.75" customHeight="1" thickTop="1">
      <c r="A30" s="704"/>
      <c r="B30" s="719"/>
      <c r="C30" s="720"/>
      <c r="D30" s="721"/>
      <c r="E30" s="721"/>
      <c r="F30" s="721"/>
      <c r="G30" s="721"/>
      <c r="H30" s="721"/>
      <c r="I30" s="722"/>
      <c r="J30" s="281" t="s">
        <v>58</v>
      </c>
      <c r="K30" s="350">
        <f>M30/'生產管理報表 7-1(月)'!$B$10</f>
        <v>0</v>
      </c>
      <c r="L30" s="281" t="s">
        <v>59</v>
      </c>
      <c r="M30" s="334">
        <f>SUM(M25:M29)</f>
        <v>0</v>
      </c>
      <c r="N30" s="812"/>
      <c r="O30" s="813"/>
      <c r="P30" s="814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 codeName="工作表26">
    <tabColor rgb="FFFF0000"/>
    <outlinePr summaryBelow="0" summaryRight="0"/>
  </sheetPr>
  <dimension ref="A1:T156"/>
  <sheetViews>
    <sheetView view="pageBreakPreview" topLeftCell="A28" zoomScale="91" zoomScaleNormal="60" zoomScaleSheetLayoutView="91" workbookViewId="0">
      <selection activeCell="P48" sqref="P48"/>
    </sheetView>
  </sheetViews>
  <sheetFormatPr defaultColWidth="12.5703125" defaultRowHeight="15.75" customHeight="1"/>
  <cols>
    <col min="1" max="1" width="5.42578125" style="296" customWidth="1"/>
    <col min="2" max="2" width="11.42578125" style="304" customWidth="1"/>
    <col min="3" max="3" width="4" style="305" customWidth="1"/>
    <col min="4" max="4" width="9.5703125" style="296" customWidth="1"/>
    <col min="5" max="5" width="10.28515625" style="296" customWidth="1"/>
    <col min="6" max="15" width="9.5703125" style="296" customWidth="1"/>
    <col min="16" max="16" width="52" style="296" customWidth="1"/>
    <col min="17" max="16384" width="12.5703125" style="296"/>
  </cols>
  <sheetData>
    <row r="1" spans="1:20" s="136" customFormat="1" ht="15.75" customHeight="1">
      <c r="A1" s="698" t="s">
        <v>372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</row>
    <row r="2" spans="1:20" s="137" customFormat="1" ht="15.75" customHeight="1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</row>
    <row r="3" spans="1:20" s="136" customFormat="1" ht="15.75" customHeight="1">
      <c r="A3" s="699" t="s">
        <v>460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</row>
    <row r="4" spans="1:20" s="137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20" s="136" customFormat="1" ht="15.75" customHeight="1">
      <c r="A5" s="734" t="s">
        <v>191</v>
      </c>
      <c r="B5" s="736">
        <v>1</v>
      </c>
      <c r="C5" s="737"/>
      <c r="D5" s="736">
        <v>2</v>
      </c>
      <c r="E5" s="737"/>
      <c r="F5" s="736">
        <v>3</v>
      </c>
      <c r="G5" s="737"/>
      <c r="H5" s="727">
        <v>4</v>
      </c>
      <c r="I5" s="728"/>
      <c r="J5" s="727">
        <v>5</v>
      </c>
      <c r="K5" s="728"/>
      <c r="L5" s="727">
        <v>6</v>
      </c>
      <c r="M5" s="728"/>
      <c r="N5" s="727">
        <v>7</v>
      </c>
      <c r="O5" s="728"/>
      <c r="P5" s="335">
        <v>8</v>
      </c>
    </row>
    <row r="6" spans="1:20" s="136" customFormat="1" ht="15.75" customHeight="1">
      <c r="A6" s="735"/>
      <c r="B6" s="731" t="s">
        <v>487</v>
      </c>
      <c r="C6" s="732"/>
      <c r="D6" s="731" t="s">
        <v>212</v>
      </c>
      <c r="E6" s="732"/>
      <c r="F6" s="731" t="s">
        <v>166</v>
      </c>
      <c r="G6" s="732"/>
      <c r="H6" s="729" t="s">
        <v>457</v>
      </c>
      <c r="I6" s="730"/>
      <c r="J6" s="729" t="s">
        <v>189</v>
      </c>
      <c r="K6" s="730"/>
      <c r="L6" s="729" t="s">
        <v>167</v>
      </c>
      <c r="M6" s="730"/>
      <c r="N6" s="729" t="s">
        <v>190</v>
      </c>
      <c r="O6" s="730"/>
      <c r="P6" s="336" t="s">
        <v>217</v>
      </c>
    </row>
    <row r="7" spans="1:20" s="136" customFormat="1" ht="15.75" customHeight="1">
      <c r="B7" s="239"/>
      <c r="C7" s="240"/>
    </row>
    <row r="8" spans="1:20" s="285" customFormat="1" ht="15.75" customHeight="1">
      <c r="A8" s="738" t="s">
        <v>191</v>
      </c>
      <c r="B8" s="739"/>
      <c r="C8" s="282" t="s">
        <v>47</v>
      </c>
      <c r="D8" s="817" t="s">
        <v>12</v>
      </c>
      <c r="E8" s="818"/>
      <c r="F8" s="819"/>
      <c r="G8" s="820" t="s">
        <v>53</v>
      </c>
      <c r="H8" s="821"/>
      <c r="I8" s="822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46" t="s">
        <v>51</v>
      </c>
      <c r="P8" s="747"/>
      <c r="R8" s="351"/>
      <c r="S8" s="352"/>
    </row>
    <row r="9" spans="1:20" s="305" customFormat="1" ht="60" customHeight="1">
      <c r="A9" s="748">
        <v>4</v>
      </c>
      <c r="B9" s="751" t="s">
        <v>457</v>
      </c>
      <c r="C9" s="286">
        <v>1</v>
      </c>
      <c r="D9" s="409" t="s">
        <v>533</v>
      </c>
      <c r="E9" s="382"/>
      <c r="F9" s="415"/>
      <c r="G9" s="247" t="s">
        <v>543</v>
      </c>
      <c r="H9" s="248"/>
      <c r="I9" s="247"/>
      <c r="J9" s="320">
        <v>118.30999999999997</v>
      </c>
      <c r="K9" s="321">
        <v>2.1575867711129621E-3</v>
      </c>
      <c r="L9" s="322">
        <v>158.87999999999951</v>
      </c>
      <c r="M9" s="330">
        <f t="shared" ref="M9:M13" si="0">L9*J9</f>
        <v>18797.092799999937</v>
      </c>
      <c r="N9" s="322"/>
      <c r="O9" s="756" t="s">
        <v>800</v>
      </c>
      <c r="P9" s="757"/>
      <c r="R9" s="353"/>
      <c r="S9" s="353"/>
    </row>
    <row r="10" spans="1:20" s="305" customFormat="1" ht="60" customHeight="1">
      <c r="A10" s="749"/>
      <c r="B10" s="752"/>
      <c r="C10" s="286">
        <v>2</v>
      </c>
      <c r="D10" s="378" t="s">
        <v>369</v>
      </c>
      <c r="E10" s="245"/>
      <c r="F10" s="246"/>
      <c r="G10" s="247" t="s">
        <v>368</v>
      </c>
      <c r="H10" s="248"/>
      <c r="I10" s="247"/>
      <c r="J10" s="320">
        <v>426.69</v>
      </c>
      <c r="K10" s="321">
        <v>5.881531924374386E-4</v>
      </c>
      <c r="L10" s="322">
        <v>42.50999999999965</v>
      </c>
      <c r="M10" s="330">
        <f t="shared" si="0"/>
        <v>18138.59189999985</v>
      </c>
      <c r="N10" s="322"/>
      <c r="O10" s="756" t="s">
        <v>801</v>
      </c>
      <c r="P10" s="757"/>
      <c r="R10" s="353"/>
      <c r="S10" s="353"/>
    </row>
    <row r="11" spans="1:20" s="305" customFormat="1" ht="60" customHeight="1">
      <c r="A11" s="749"/>
      <c r="B11" s="752"/>
      <c r="C11" s="286">
        <v>3</v>
      </c>
      <c r="D11" s="378" t="s">
        <v>503</v>
      </c>
      <c r="E11" s="245"/>
      <c r="F11" s="246"/>
      <c r="G11" s="313" t="s">
        <v>514</v>
      </c>
      <c r="H11" s="312"/>
      <c r="I11" s="313"/>
      <c r="J11" s="320">
        <v>629</v>
      </c>
      <c r="K11" s="321">
        <v>3.9849747964609168E-3</v>
      </c>
      <c r="L11" s="322">
        <v>27.705999999999992</v>
      </c>
      <c r="M11" s="330">
        <f t="shared" si="0"/>
        <v>17427.073999999997</v>
      </c>
      <c r="N11" s="322"/>
      <c r="O11" s="756" t="s">
        <v>802</v>
      </c>
      <c r="P11" s="757"/>
      <c r="R11" s="353"/>
      <c r="S11" s="351"/>
    </row>
    <row r="12" spans="1:20" s="305" customFormat="1" ht="60" customHeight="1">
      <c r="A12" s="749"/>
      <c r="B12" s="752"/>
      <c r="C12" s="286">
        <v>4</v>
      </c>
      <c r="D12" s="416" t="s">
        <v>519</v>
      </c>
      <c r="E12" s="245"/>
      <c r="F12" s="246"/>
      <c r="G12" s="247" t="s">
        <v>518</v>
      </c>
      <c r="H12" s="248"/>
      <c r="I12" s="247"/>
      <c r="J12" s="320">
        <v>191.21</v>
      </c>
      <c r="K12" s="321">
        <v>2.32156952599689E-3</v>
      </c>
      <c r="L12" s="322">
        <v>78.710000000000321</v>
      </c>
      <c r="M12" s="330">
        <f t="shared" si="0"/>
        <v>15050.139100000062</v>
      </c>
      <c r="N12" s="322"/>
      <c r="O12" s="756" t="s">
        <v>803</v>
      </c>
      <c r="P12" s="757"/>
      <c r="R12" s="353"/>
      <c r="S12" s="351"/>
    </row>
    <row r="13" spans="1:20" s="305" customFormat="1" ht="60" customHeight="1" thickBot="1">
      <c r="A13" s="749"/>
      <c r="B13" s="752"/>
      <c r="C13" s="286">
        <v>5</v>
      </c>
      <c r="D13" s="416" t="s">
        <v>517</v>
      </c>
      <c r="E13" s="252"/>
      <c r="F13" s="253"/>
      <c r="G13" s="313" t="s">
        <v>581</v>
      </c>
      <c r="H13" s="312"/>
      <c r="I13" s="313"/>
      <c r="J13" s="324">
        <v>2465</v>
      </c>
      <c r="K13" s="271">
        <v>0</v>
      </c>
      <c r="L13" s="325">
        <v>5.4299999999999784</v>
      </c>
      <c r="M13" s="330">
        <f t="shared" si="0"/>
        <v>13384.949999999946</v>
      </c>
      <c r="N13" s="322"/>
      <c r="O13" s="756" t="s">
        <v>804</v>
      </c>
      <c r="P13" s="757"/>
      <c r="R13" s="354"/>
      <c r="S13" s="351"/>
      <c r="T13" s="296"/>
    </row>
    <row r="14" spans="1:20" ht="15.75" customHeight="1" thickTop="1" thickBot="1">
      <c r="A14" s="750"/>
      <c r="B14" s="753"/>
      <c r="C14" s="762"/>
      <c r="D14" s="763"/>
      <c r="E14" s="763"/>
      <c r="F14" s="763"/>
      <c r="G14" s="763"/>
      <c r="H14" s="763"/>
      <c r="I14" s="764"/>
      <c r="J14" s="302" t="s">
        <v>58</v>
      </c>
      <c r="K14" s="506">
        <f>M14/'生產管理報表 7-1(月)'!$B$10</f>
        <v>0.1197977097288483</v>
      </c>
      <c r="L14" s="303" t="s">
        <v>59</v>
      </c>
      <c r="M14" s="342">
        <f>SUM(M9:M13)</f>
        <v>82797.847799999785</v>
      </c>
      <c r="N14" s="765"/>
      <c r="O14" s="766"/>
      <c r="P14" s="767"/>
      <c r="R14" s="351"/>
      <c r="S14" s="351"/>
    </row>
    <row r="15" spans="1:20" ht="15.75" customHeight="1" thickTop="1">
      <c r="M15" s="337"/>
      <c r="S15" s="351"/>
    </row>
    <row r="16" spans="1:20" ht="15.75" customHeight="1">
      <c r="A16" s="738" t="s">
        <v>191</v>
      </c>
      <c r="B16" s="739"/>
      <c r="C16" s="282" t="s">
        <v>47</v>
      </c>
      <c r="D16" s="740" t="s">
        <v>12</v>
      </c>
      <c r="E16" s="741"/>
      <c r="F16" s="742"/>
      <c r="G16" s="743" t="s">
        <v>53</v>
      </c>
      <c r="H16" s="744"/>
      <c r="I16" s="745"/>
      <c r="J16" s="283" t="s">
        <v>54</v>
      </c>
      <c r="K16" s="283" t="s">
        <v>55</v>
      </c>
      <c r="L16" s="283" t="s">
        <v>56</v>
      </c>
      <c r="M16" s="338" t="s">
        <v>11</v>
      </c>
      <c r="N16" s="284" t="s">
        <v>333</v>
      </c>
      <c r="O16" s="746" t="s">
        <v>51</v>
      </c>
      <c r="P16" s="747"/>
      <c r="S16" s="352"/>
      <c r="T16" s="305"/>
    </row>
    <row r="17" spans="1:20" s="305" customFormat="1" ht="50.1" customHeight="1">
      <c r="A17" s="748">
        <v>5</v>
      </c>
      <c r="B17" s="768" t="s">
        <v>215</v>
      </c>
      <c r="C17" s="286">
        <v>1</v>
      </c>
      <c r="D17" s="244" t="s">
        <v>342</v>
      </c>
      <c r="E17" s="245"/>
      <c r="F17" s="246"/>
      <c r="G17" s="313" t="s">
        <v>337</v>
      </c>
      <c r="H17" s="312"/>
      <c r="I17" s="313"/>
      <c r="J17" s="320">
        <v>147.43000000000004</v>
      </c>
      <c r="K17" s="321">
        <v>0</v>
      </c>
      <c r="L17" s="322">
        <v>513.49999999999909</v>
      </c>
      <c r="M17" s="330">
        <f t="shared" ref="M17:M19" si="1">L17*J17</f>
        <v>75705.304999999891</v>
      </c>
      <c r="N17" s="322"/>
      <c r="O17" s="823" t="s">
        <v>805</v>
      </c>
      <c r="P17" s="824"/>
      <c r="S17" s="351"/>
    </row>
    <row r="18" spans="1:20" s="305" customFormat="1" ht="20.100000000000001" customHeight="1">
      <c r="A18" s="749"/>
      <c r="B18" s="769"/>
      <c r="C18" s="286">
        <v>2</v>
      </c>
      <c r="D18" s="244"/>
      <c r="E18" s="245"/>
      <c r="F18" s="246"/>
      <c r="G18" s="290"/>
      <c r="H18" s="291"/>
      <c r="I18" s="292"/>
      <c r="J18" s="320"/>
      <c r="K18" s="321"/>
      <c r="L18" s="322"/>
      <c r="M18" s="330">
        <f t="shared" si="1"/>
        <v>0</v>
      </c>
      <c r="N18" s="322"/>
      <c r="O18" s="773"/>
      <c r="P18" s="774"/>
      <c r="S18" s="296"/>
      <c r="T18" s="296"/>
    </row>
    <row r="19" spans="1:20" ht="20.100000000000001" customHeight="1">
      <c r="A19" s="749"/>
      <c r="B19" s="769"/>
      <c r="C19" s="286">
        <v>3</v>
      </c>
      <c r="D19" s="287"/>
      <c r="E19" s="288"/>
      <c r="F19" s="289"/>
      <c r="G19" s="290"/>
      <c r="H19" s="291"/>
      <c r="I19" s="292"/>
      <c r="J19" s="293"/>
      <c r="K19" s="294"/>
      <c r="L19" s="295"/>
      <c r="M19" s="339">
        <f t="shared" si="1"/>
        <v>0</v>
      </c>
      <c r="N19" s="295"/>
      <c r="O19" s="795"/>
      <c r="P19" s="796"/>
    </row>
    <row r="20" spans="1:20" ht="20.100000000000001" customHeight="1">
      <c r="A20" s="749"/>
      <c r="B20" s="769"/>
      <c r="C20" s="286">
        <v>4</v>
      </c>
      <c r="D20" s="287"/>
      <c r="E20" s="288"/>
      <c r="F20" s="289"/>
      <c r="G20" s="290"/>
      <c r="H20" s="291"/>
      <c r="I20" s="292"/>
      <c r="J20" s="293"/>
      <c r="K20" s="294"/>
      <c r="L20" s="295"/>
      <c r="M20" s="340">
        <v>0</v>
      </c>
      <c r="N20" s="295"/>
      <c r="O20" s="306"/>
      <c r="P20" s="307"/>
    </row>
    <row r="21" spans="1:20" ht="20.100000000000001" customHeight="1" thickBot="1">
      <c r="A21" s="749"/>
      <c r="B21" s="769"/>
      <c r="C21" s="286">
        <v>5</v>
      </c>
      <c r="D21" s="297"/>
      <c r="E21" s="298"/>
      <c r="F21" s="299"/>
      <c r="G21" s="290"/>
      <c r="H21" s="291"/>
      <c r="I21" s="292"/>
      <c r="J21" s="300"/>
      <c r="K21" s="271"/>
      <c r="L21" s="301"/>
      <c r="M21" s="341">
        <v>0</v>
      </c>
      <c r="N21" s="295"/>
      <c r="O21" s="308"/>
      <c r="P21" s="309"/>
      <c r="R21" s="355"/>
    </row>
    <row r="22" spans="1:20" ht="15.75" customHeight="1" thickTop="1" thickBot="1">
      <c r="A22" s="750"/>
      <c r="B22" s="770"/>
      <c r="C22" s="777"/>
      <c r="D22" s="778"/>
      <c r="E22" s="778"/>
      <c r="F22" s="778"/>
      <c r="G22" s="778"/>
      <c r="H22" s="778"/>
      <c r="I22" s="779"/>
      <c r="J22" s="302" t="s">
        <v>58</v>
      </c>
      <c r="K22" s="506">
        <f>M22/'生產管理報表 7-1(月)'!$B$10</f>
        <v>0.10953572338294448</v>
      </c>
      <c r="L22" s="303" t="s">
        <v>59</v>
      </c>
      <c r="M22" s="342">
        <f>SUM(M17:M21)</f>
        <v>75705.304999999891</v>
      </c>
      <c r="N22" s="765"/>
      <c r="O22" s="766"/>
      <c r="P22" s="767"/>
      <c r="R22" s="351"/>
    </row>
    <row r="23" spans="1:20" ht="15.75" customHeight="1" thickTop="1">
      <c r="M23" s="337"/>
      <c r="R23" s="351"/>
    </row>
    <row r="24" spans="1:20" ht="15.75" customHeight="1">
      <c r="A24" s="738" t="s">
        <v>191</v>
      </c>
      <c r="B24" s="739"/>
      <c r="C24" s="310" t="s">
        <v>47</v>
      </c>
      <c r="D24" s="782" t="s">
        <v>12</v>
      </c>
      <c r="E24" s="783"/>
      <c r="F24" s="784"/>
      <c r="G24" s="785" t="s">
        <v>53</v>
      </c>
      <c r="H24" s="786"/>
      <c r="I24" s="787"/>
      <c r="J24" s="311" t="s">
        <v>54</v>
      </c>
      <c r="K24" s="283" t="s">
        <v>55</v>
      </c>
      <c r="L24" s="283" t="s">
        <v>56</v>
      </c>
      <c r="M24" s="338" t="s">
        <v>11</v>
      </c>
      <c r="N24" s="284" t="s">
        <v>333</v>
      </c>
      <c r="O24" s="746" t="s">
        <v>51</v>
      </c>
      <c r="P24" s="747"/>
      <c r="R24" s="351"/>
    </row>
    <row r="25" spans="1:20" ht="60" customHeight="1">
      <c r="A25" s="748">
        <v>6</v>
      </c>
      <c r="B25" s="768" t="s">
        <v>216</v>
      </c>
      <c r="C25" s="286">
        <v>1</v>
      </c>
      <c r="D25" s="244" t="s">
        <v>344</v>
      </c>
      <c r="E25" s="288"/>
      <c r="F25" s="288"/>
      <c r="G25" s="380" t="s">
        <v>504</v>
      </c>
      <c r="H25" s="312"/>
      <c r="I25" s="313"/>
      <c r="J25" s="320">
        <v>605.77999999999986</v>
      </c>
      <c r="K25" s="321">
        <v>4.7114368167863572E-4</v>
      </c>
      <c r="L25" s="322">
        <v>39.460000000000164</v>
      </c>
      <c r="M25" s="330">
        <f t="shared" ref="M25:M28" si="2">L25*J25</f>
        <v>23904.078800000094</v>
      </c>
      <c r="N25" s="295"/>
      <c r="O25" s="825" t="s">
        <v>806</v>
      </c>
      <c r="P25" s="826"/>
    </row>
    <row r="26" spans="1:20" ht="60" customHeight="1">
      <c r="A26" s="749"/>
      <c r="B26" s="769"/>
      <c r="C26" s="286">
        <v>2</v>
      </c>
      <c r="D26" s="244" t="s">
        <v>342</v>
      </c>
      <c r="E26" s="288"/>
      <c r="F26" s="288"/>
      <c r="G26" s="380" t="s">
        <v>726</v>
      </c>
      <c r="H26" s="312"/>
      <c r="I26" s="313"/>
      <c r="J26" s="320">
        <v>39.389999999999993</v>
      </c>
      <c r="K26" s="321">
        <v>8.1836636593689052E-5</v>
      </c>
      <c r="L26" s="322">
        <v>512.42999999999927</v>
      </c>
      <c r="M26" s="330">
        <f t="shared" si="2"/>
        <v>20184.617699999966</v>
      </c>
      <c r="N26" s="295"/>
      <c r="O26" s="825" t="s">
        <v>807</v>
      </c>
      <c r="P26" s="826"/>
    </row>
    <row r="27" spans="1:20" ht="60" customHeight="1">
      <c r="A27" s="749"/>
      <c r="B27" s="769"/>
      <c r="C27" s="286">
        <v>3</v>
      </c>
      <c r="D27" s="244" t="s">
        <v>717</v>
      </c>
      <c r="E27" s="288"/>
      <c r="F27" s="288"/>
      <c r="G27" s="380" t="s">
        <v>731</v>
      </c>
      <c r="H27" s="312"/>
      <c r="I27" s="313"/>
      <c r="J27" s="320">
        <v>97.830000000000013</v>
      </c>
      <c r="K27" s="321">
        <v>0</v>
      </c>
      <c r="L27" s="322">
        <v>118.50999999999976</v>
      </c>
      <c r="M27" s="330">
        <f t="shared" si="2"/>
        <v>11593.833299999978</v>
      </c>
      <c r="N27" s="295"/>
      <c r="O27" s="825" t="s">
        <v>800</v>
      </c>
      <c r="P27" s="826"/>
    </row>
    <row r="28" spans="1:20" ht="60" customHeight="1">
      <c r="A28" s="749"/>
      <c r="B28" s="769"/>
      <c r="C28" s="286">
        <v>4</v>
      </c>
      <c r="D28" s="244" t="s">
        <v>511</v>
      </c>
      <c r="E28" s="288"/>
      <c r="F28" s="288"/>
      <c r="G28" s="380" t="s">
        <v>509</v>
      </c>
      <c r="H28" s="312"/>
      <c r="I28" s="313"/>
      <c r="J28" s="320">
        <v>407.74000000000007</v>
      </c>
      <c r="K28" s="321">
        <v>2.5199255844626594E-4</v>
      </c>
      <c r="L28" s="322">
        <v>23.02999999999988</v>
      </c>
      <c r="M28" s="330">
        <f t="shared" si="2"/>
        <v>9390.2521999999535</v>
      </c>
      <c r="N28" s="295"/>
      <c r="O28" s="825" t="s">
        <v>808</v>
      </c>
      <c r="P28" s="826"/>
    </row>
    <row r="29" spans="1:20" ht="60" customHeight="1" thickBot="1">
      <c r="A29" s="749"/>
      <c r="B29" s="769"/>
      <c r="C29" s="286">
        <v>5</v>
      </c>
      <c r="D29" s="251" t="s">
        <v>342</v>
      </c>
      <c r="E29" s="298"/>
      <c r="F29" s="298"/>
      <c r="G29" s="380" t="s">
        <v>496</v>
      </c>
      <c r="H29" s="312"/>
      <c r="I29" s="313"/>
      <c r="J29" s="324">
        <v>3.2199999999999998</v>
      </c>
      <c r="K29" s="271">
        <v>9.9399712173007363E-5</v>
      </c>
      <c r="L29" s="325">
        <v>1721</v>
      </c>
      <c r="M29" s="330">
        <f>L29*J29</f>
        <v>5541.62</v>
      </c>
      <c r="N29" s="295"/>
      <c r="O29" s="825" t="s">
        <v>809</v>
      </c>
      <c r="P29" s="826"/>
    </row>
    <row r="30" spans="1:20" ht="15.75" customHeight="1" thickTop="1" thickBot="1">
      <c r="A30" s="750"/>
      <c r="B30" s="770"/>
      <c r="C30" s="777"/>
      <c r="D30" s="778"/>
      <c r="E30" s="778"/>
      <c r="F30" s="778"/>
      <c r="G30" s="778"/>
      <c r="H30" s="778"/>
      <c r="I30" s="779"/>
      <c r="J30" s="302" t="s">
        <v>58</v>
      </c>
      <c r="K30" s="506">
        <f>M30/'生產管理報表 7-1(月)'!$B$10</f>
        <v>0.10216984931668992</v>
      </c>
      <c r="L30" s="303" t="s">
        <v>59</v>
      </c>
      <c r="M30" s="342">
        <f>SUM(M25:M29)</f>
        <v>70614.401999999987</v>
      </c>
      <c r="N30" s="765"/>
      <c r="O30" s="766"/>
      <c r="P30" s="767"/>
    </row>
    <row r="31" spans="1:20" ht="15.75" customHeight="1" thickTop="1">
      <c r="M31" s="337"/>
    </row>
    <row r="32" spans="1:20" ht="15.75" customHeight="1">
      <c r="A32" s="738" t="s">
        <v>191</v>
      </c>
      <c r="B32" s="739"/>
      <c r="C32" s="310" t="s">
        <v>47</v>
      </c>
      <c r="D32" s="782" t="s">
        <v>12</v>
      </c>
      <c r="E32" s="783"/>
      <c r="F32" s="784"/>
      <c r="G32" s="785" t="s">
        <v>53</v>
      </c>
      <c r="H32" s="786"/>
      <c r="I32" s="787"/>
      <c r="J32" s="311" t="s">
        <v>54</v>
      </c>
      <c r="K32" s="283" t="s">
        <v>55</v>
      </c>
      <c r="L32" s="283" t="s">
        <v>56</v>
      </c>
      <c r="M32" s="338" t="s">
        <v>11</v>
      </c>
      <c r="N32" s="284" t="s">
        <v>333</v>
      </c>
      <c r="O32" s="746" t="s">
        <v>51</v>
      </c>
      <c r="P32" s="747"/>
    </row>
    <row r="33" spans="1:16" ht="15.75" customHeight="1">
      <c r="A33" s="748">
        <v>7</v>
      </c>
      <c r="B33" s="790" t="s">
        <v>249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39">
        <f t="shared" ref="M33:M35" si="3">L33*J33</f>
        <v>0</v>
      </c>
      <c r="N33" s="295"/>
      <c r="O33" s="793"/>
      <c r="P33" s="794"/>
    </row>
    <row r="34" spans="1:16" ht="15.75" customHeight="1">
      <c r="A34" s="749"/>
      <c r="B34" s="791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39">
        <f t="shared" si="3"/>
        <v>0</v>
      </c>
      <c r="N34" s="295"/>
      <c r="O34" s="795"/>
      <c r="P34" s="796"/>
    </row>
    <row r="35" spans="1:16" ht="15.75" customHeight="1">
      <c r="A35" s="749"/>
      <c r="B35" s="791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39">
        <f t="shared" si="3"/>
        <v>0</v>
      </c>
      <c r="N35" s="295"/>
      <c r="O35" s="795"/>
      <c r="P35" s="796"/>
    </row>
    <row r="36" spans="1:16" ht="15.75" customHeight="1">
      <c r="A36" s="749"/>
      <c r="B36" s="791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0">
        <v>0</v>
      </c>
      <c r="N36" s="295"/>
      <c r="O36" s="306"/>
      <c r="P36" s="307"/>
    </row>
    <row r="37" spans="1:16" ht="15.75" customHeight="1" thickBot="1">
      <c r="A37" s="749"/>
      <c r="B37" s="791"/>
      <c r="C37" s="286">
        <v>5</v>
      </c>
      <c r="D37" s="297"/>
      <c r="E37" s="298"/>
      <c r="F37" s="299"/>
      <c r="G37" s="290"/>
      <c r="H37" s="291"/>
      <c r="I37" s="292"/>
      <c r="J37" s="300"/>
      <c r="K37" s="271"/>
      <c r="L37" s="301"/>
      <c r="M37" s="341">
        <v>0</v>
      </c>
      <c r="N37" s="295"/>
      <c r="O37" s="308"/>
      <c r="P37" s="309"/>
    </row>
    <row r="38" spans="1:16" ht="15.75" customHeight="1" thickTop="1" thickBot="1">
      <c r="A38" s="750"/>
      <c r="B38" s="792"/>
      <c r="C38" s="777"/>
      <c r="D38" s="778"/>
      <c r="E38" s="778"/>
      <c r="F38" s="778"/>
      <c r="G38" s="778"/>
      <c r="H38" s="778"/>
      <c r="I38" s="779"/>
      <c r="J38" s="302" t="s">
        <v>58</v>
      </c>
      <c r="K38" s="506">
        <f>M38/'生產管理報表 7-1(月)'!$B$10</f>
        <v>0</v>
      </c>
      <c r="L38" s="303" t="s">
        <v>59</v>
      </c>
      <c r="M38" s="342">
        <f>SUM(M33:M37)</f>
        <v>0</v>
      </c>
      <c r="N38" s="765"/>
      <c r="O38" s="766"/>
      <c r="P38" s="767"/>
    </row>
    <row r="39" spans="1:16" ht="15.75" customHeight="1" thickTop="1"/>
    <row r="44" spans="1:16" ht="15.75" customHeight="1">
      <c r="O44" s="296" ph="1"/>
      <c r="P44" s="296" ph="1"/>
    </row>
    <row r="46" spans="1:16" ht="15.75" customHeight="1">
      <c r="O46" s="296" ph="1"/>
      <c r="P46" s="296" ph="1"/>
    </row>
    <row r="47" spans="1:16" ht="15.75" customHeight="1">
      <c r="O47" s="296" ph="1"/>
      <c r="P47" s="296" ph="1"/>
    </row>
    <row r="117" spans="15:16" ht="15.75" customHeight="1">
      <c r="O117" s="296" ph="1"/>
      <c r="P117" s="296" ph="1"/>
    </row>
    <row r="119" spans="15:16" ht="15.75" customHeight="1">
      <c r="O119" s="296" ph="1"/>
      <c r="P119" s="296" ph="1"/>
    </row>
    <row r="120" spans="15:16" ht="15.75" customHeight="1">
      <c r="O120" s="296" ph="1"/>
      <c r="P120" s="296" ph="1"/>
    </row>
    <row r="153" spans="15:16" ht="15.75" customHeight="1">
      <c r="O153" s="296" ph="1"/>
      <c r="P153" s="296" ph="1"/>
    </row>
    <row r="155" spans="15:16" ht="15.75" customHeight="1">
      <c r="O155" s="296" ph="1"/>
      <c r="P155" s="296" ph="1"/>
    </row>
    <row r="156" spans="15:16" ht="15.75" customHeight="1">
      <c r="O156" s="296" ph="1"/>
      <c r="P156" s="296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7">
    <tabColor rgb="FF92D050"/>
    <outlinePr summaryBelow="0" summaryRight="0"/>
  </sheetPr>
  <dimension ref="A1:M70"/>
  <sheetViews>
    <sheetView view="pageBreakPreview" topLeftCell="A37" zoomScale="115" zoomScaleNormal="60" zoomScaleSheetLayoutView="115" workbookViewId="0">
      <selection activeCell="B53" sqref="B53"/>
    </sheetView>
  </sheetViews>
  <sheetFormatPr defaultColWidth="12.5703125" defaultRowHeight="15.75" customHeight="1"/>
  <cols>
    <col min="1" max="1" width="14.140625" style="136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698" t="s">
        <v>372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</row>
    <row r="2" spans="1:13" s="137" customFormat="1" ht="15.75" customHeight="1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</row>
    <row r="3" spans="1:13" ht="15.75" customHeight="1">
      <c r="A3" s="699" t="s">
        <v>485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</row>
    <row r="4" spans="1:13" s="137" customFormat="1" ht="15.75" customHeight="1">
      <c r="A4" s="699"/>
      <c r="B4" s="699"/>
      <c r="C4" s="699"/>
      <c r="D4" s="699"/>
      <c r="E4" s="699"/>
      <c r="F4" s="699"/>
      <c r="G4" s="699"/>
      <c r="H4" s="699"/>
      <c r="I4" s="699"/>
      <c r="J4" s="699"/>
      <c r="K4" s="699"/>
      <c r="L4" s="699"/>
      <c r="M4" s="699"/>
    </row>
    <row r="5" spans="1:13" ht="15.75" customHeight="1">
      <c r="A5" s="226" t="s">
        <v>446</v>
      </c>
      <c r="B5" s="227">
        <v>30121.754649999999</v>
      </c>
      <c r="E5" s="827" t="s">
        <v>486</v>
      </c>
      <c r="F5" s="828"/>
      <c r="G5" s="828"/>
      <c r="H5" s="828"/>
      <c r="I5" s="828"/>
      <c r="J5" s="828"/>
      <c r="K5" s="828"/>
      <c r="L5" s="828"/>
      <c r="M5" s="828"/>
    </row>
    <row r="6" spans="1:13" ht="15.75" customHeight="1">
      <c r="A6" s="829" t="s">
        <v>197</v>
      </c>
      <c r="B6" s="701" t="s">
        <v>10</v>
      </c>
      <c r="C6" s="701"/>
      <c r="D6" s="702"/>
      <c r="E6" s="700" t="s">
        <v>197</v>
      </c>
      <c r="F6" s="704">
        <v>1</v>
      </c>
      <c r="G6" s="704"/>
      <c r="H6" s="704">
        <v>2</v>
      </c>
      <c r="I6" s="704"/>
      <c r="J6" s="704">
        <v>3</v>
      </c>
      <c r="K6" s="704"/>
      <c r="L6" s="704">
        <v>4</v>
      </c>
      <c r="M6" s="704"/>
    </row>
    <row r="7" spans="1:13" ht="31.35" customHeight="1">
      <c r="A7" s="829"/>
      <c r="B7" s="701"/>
      <c r="C7" s="701"/>
      <c r="D7" s="703"/>
      <c r="E7" s="700"/>
      <c r="F7" s="696" t="s">
        <v>487</v>
      </c>
      <c r="G7" s="696"/>
      <c r="H7" s="696" t="s">
        <v>240</v>
      </c>
      <c r="I7" s="696"/>
      <c r="J7" s="696" t="s">
        <v>166</v>
      </c>
      <c r="K7" s="696"/>
      <c r="L7" s="696" t="s">
        <v>457</v>
      </c>
      <c r="M7" s="696"/>
    </row>
    <row r="8" spans="1:13" ht="15.75" customHeight="1">
      <c r="A8" s="829"/>
      <c r="B8" s="155" t="s">
        <v>11</v>
      </c>
      <c r="C8" s="155" t="s">
        <v>41</v>
      </c>
      <c r="D8" s="703"/>
      <c r="E8" s="700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50000000000001" customHeight="1">
      <c r="A9" s="228" t="s">
        <v>242</v>
      </c>
      <c r="B9" s="140">
        <f>日別報廢率總表!M4</f>
        <v>60576.4522</v>
      </c>
      <c r="C9" s="236">
        <f>B9/($B$5*1000)</f>
        <v>2.0110532372323137E-3</v>
      </c>
      <c r="D9" s="703"/>
      <c r="E9" s="139" t="s">
        <v>242</v>
      </c>
      <c r="F9" s="142">
        <f>'報廢20大－原因別分析'!AB8</f>
        <v>17420.757000000005</v>
      </c>
      <c r="G9" s="143">
        <f>'報廢20大－原因別分析'!AB9</f>
        <v>0.8</v>
      </c>
      <c r="H9" s="142">
        <f>'報廢20大－原因別分析'!AC8</f>
        <v>0</v>
      </c>
      <c r="I9" s="143">
        <f>'報廢20大－原因別分析'!AC9</f>
        <v>0</v>
      </c>
      <c r="J9" s="142">
        <f>'報廢20大－原因別分析'!AD8</f>
        <v>3765.37</v>
      </c>
      <c r="K9" s="143">
        <f>'報廢20大－原因別分析'!AD9</f>
        <v>0.15</v>
      </c>
      <c r="L9" s="142">
        <f>'報廢20大－原因別分析'!AE8</f>
        <v>0</v>
      </c>
      <c r="M9" s="143">
        <f>'報廢20大－原因別分析'!AE9</f>
        <v>0</v>
      </c>
    </row>
    <row r="10" spans="1:13" ht="19.350000000000001" customHeight="1">
      <c r="A10" s="229" t="s">
        <v>243</v>
      </c>
      <c r="B10" s="145">
        <f>日別報廢率總表!N4</f>
        <v>133821.05619999993</v>
      </c>
      <c r="C10" s="141">
        <f>B10/($B$5*1000)</f>
        <v>4.4426713435168344E-3</v>
      </c>
      <c r="D10" s="703"/>
      <c r="E10" s="144" t="s">
        <v>243</v>
      </c>
      <c r="F10" s="142">
        <f>'超用20大－原因別分析'!AB8</f>
        <v>0</v>
      </c>
      <c r="G10" s="143">
        <f>'超用20大－原因別分析'!AB9</f>
        <v>0</v>
      </c>
      <c r="H10" s="142">
        <f>'超用20大－原因別分析'!AC8</f>
        <v>0</v>
      </c>
      <c r="I10" s="143">
        <f>'超用20大－原因別分析'!AC9</f>
        <v>0</v>
      </c>
      <c r="J10" s="142">
        <f>'超用20大－原因別分析'!AD8</f>
        <v>0</v>
      </c>
      <c r="K10" s="143">
        <f>'超用20大－原因別分析'!AD9</f>
        <v>0</v>
      </c>
      <c r="L10" s="142">
        <f>'超用20大－原因別分析'!AE8</f>
        <v>52450.623499999943</v>
      </c>
      <c r="M10" s="143">
        <f>'超用20大－原因別分析'!AE9</f>
        <v>0.8</v>
      </c>
    </row>
    <row r="11" spans="1:13" ht="15.75" customHeight="1">
      <c r="A11" s="225" t="s">
        <v>430</v>
      </c>
      <c r="B11" s="418" t="s">
        <v>536</v>
      </c>
      <c r="C11" s="224"/>
      <c r="D11" s="703"/>
      <c r="E11" s="830" t="s">
        <v>197</v>
      </c>
      <c r="F11" s="736">
        <v>5</v>
      </c>
      <c r="G11" s="737"/>
      <c r="H11" s="736">
        <v>6</v>
      </c>
      <c r="I11" s="737"/>
      <c r="J11" s="736">
        <v>7</v>
      </c>
      <c r="K11" s="737"/>
      <c r="L11" s="833"/>
      <c r="M11" s="834"/>
    </row>
    <row r="12" spans="1:13" ht="31.35" customHeight="1">
      <c r="A12" s="136" t="s">
        <v>431</v>
      </c>
      <c r="B12" s="418" t="s">
        <v>536</v>
      </c>
      <c r="C12" s="224"/>
      <c r="D12" s="703"/>
      <c r="E12" s="831"/>
      <c r="F12" s="835" t="s">
        <v>189</v>
      </c>
      <c r="G12" s="836"/>
      <c r="H12" s="835" t="s">
        <v>167</v>
      </c>
      <c r="I12" s="836"/>
      <c r="J12" s="835" t="s">
        <v>190</v>
      </c>
      <c r="K12" s="836"/>
      <c r="L12" s="837"/>
      <c r="M12" s="838"/>
    </row>
    <row r="13" spans="1:13" ht="15.75" customHeight="1">
      <c r="D13" s="703"/>
      <c r="E13" s="832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50000000000001" customHeight="1">
      <c r="D14" s="703"/>
      <c r="E14" s="139" t="s">
        <v>242</v>
      </c>
      <c r="F14" s="142">
        <f>'報廢20大－原因別分析'!AF8</f>
        <v>0</v>
      </c>
      <c r="G14" s="143">
        <f>'報廢20大－原因別分析'!AF9</f>
        <v>0</v>
      </c>
      <c r="H14" s="142">
        <f>'報廢20大－原因別分析'!AG8</f>
        <v>1467.75</v>
      </c>
      <c r="I14" s="143">
        <f>'報廢20大－原因別分析'!AG9</f>
        <v>0.05</v>
      </c>
      <c r="J14" s="142">
        <f>'報廢20大－原因別分析'!AH8</f>
        <v>0</v>
      </c>
      <c r="K14" s="143">
        <f>'報廢20大－原因別分析'!AH9</f>
        <v>0</v>
      </c>
      <c r="L14" s="142"/>
      <c r="M14" s="143"/>
    </row>
    <row r="15" spans="1:13" ht="19.350000000000001" customHeight="1">
      <c r="D15" s="703"/>
      <c r="E15" s="144" t="s">
        <v>243</v>
      </c>
      <c r="F15" s="142">
        <f>'超用20大－原因別分析'!AF8</f>
        <v>18592.397300000004</v>
      </c>
      <c r="G15" s="143">
        <f>'超用20大－原因別分析'!AF9</f>
        <v>0.05</v>
      </c>
      <c r="H15" s="142">
        <f>'超用20大－原因別分析'!AG8</f>
        <v>12788.929400000023</v>
      </c>
      <c r="I15" s="143">
        <f>'超用20大－原因別分析'!AG9</f>
        <v>0.15</v>
      </c>
      <c r="J15" s="142">
        <f>'超用20大－原因別分析'!AH8</f>
        <v>0</v>
      </c>
      <c r="K15" s="143">
        <f>'超用20大－原因別分析'!AH9</f>
        <v>0</v>
      </c>
      <c r="L15" s="142"/>
      <c r="M15" s="143"/>
    </row>
    <row r="16" spans="1:13" ht="15.75" customHeight="1">
      <c r="A16" s="226" t="s">
        <v>446</v>
      </c>
      <c r="B16" s="227">
        <v>35260.12975</v>
      </c>
      <c r="E16" s="827" t="s">
        <v>486</v>
      </c>
      <c r="F16" s="828"/>
      <c r="G16" s="828"/>
      <c r="H16" s="828"/>
      <c r="I16" s="828"/>
      <c r="J16" s="828"/>
      <c r="K16" s="828"/>
      <c r="L16" s="828"/>
      <c r="M16" s="828"/>
    </row>
    <row r="17" spans="1:13" ht="15.75" customHeight="1">
      <c r="A17" s="829" t="s">
        <v>197</v>
      </c>
      <c r="B17" s="701" t="s">
        <v>10</v>
      </c>
      <c r="C17" s="701"/>
      <c r="D17" s="702"/>
      <c r="E17" s="700" t="s">
        <v>197</v>
      </c>
      <c r="F17" s="704">
        <v>1</v>
      </c>
      <c r="G17" s="704"/>
      <c r="H17" s="704">
        <v>2</v>
      </c>
      <c r="I17" s="704"/>
      <c r="J17" s="704">
        <v>3</v>
      </c>
      <c r="K17" s="704"/>
      <c r="L17" s="704">
        <v>4</v>
      </c>
      <c r="M17" s="704"/>
    </row>
    <row r="18" spans="1:13" ht="31.35" customHeight="1">
      <c r="A18" s="829"/>
      <c r="B18" s="701"/>
      <c r="C18" s="701"/>
      <c r="D18" s="703"/>
      <c r="E18" s="700"/>
      <c r="F18" s="696" t="s">
        <v>487</v>
      </c>
      <c r="G18" s="696"/>
      <c r="H18" s="696" t="s">
        <v>240</v>
      </c>
      <c r="I18" s="696"/>
      <c r="J18" s="696" t="s">
        <v>166</v>
      </c>
      <c r="K18" s="696"/>
      <c r="L18" s="696" t="s">
        <v>457</v>
      </c>
      <c r="M18" s="696"/>
    </row>
    <row r="19" spans="1:13" ht="15.75" customHeight="1">
      <c r="A19" s="829"/>
      <c r="B19" s="155" t="s">
        <v>11</v>
      </c>
      <c r="C19" s="155" t="s">
        <v>41</v>
      </c>
      <c r="D19" s="703"/>
      <c r="E19" s="700"/>
      <c r="F19" s="155" t="s">
        <v>11</v>
      </c>
      <c r="G19" s="155" t="s">
        <v>41</v>
      </c>
      <c r="H19" s="155" t="s">
        <v>11</v>
      </c>
      <c r="I19" s="155" t="s">
        <v>41</v>
      </c>
      <c r="J19" s="155" t="s">
        <v>11</v>
      </c>
      <c r="K19" s="155" t="s">
        <v>41</v>
      </c>
      <c r="L19" s="155" t="s">
        <v>11</v>
      </c>
      <c r="M19" s="155" t="s">
        <v>41</v>
      </c>
    </row>
    <row r="20" spans="1:13" ht="19.350000000000001" customHeight="1">
      <c r="A20" s="228" t="s">
        <v>242</v>
      </c>
      <c r="B20" s="140">
        <f>日別報廢率總表!M11</f>
        <v>71083.854800000001</v>
      </c>
      <c r="C20" s="236">
        <f>B20/($B$16*1000)</f>
        <v>2.0159839258674312E-3</v>
      </c>
      <c r="D20" s="703"/>
      <c r="E20" s="139" t="s">
        <v>242</v>
      </c>
      <c r="F20" s="142">
        <f>'報廢20大－原因別分析'!AB32</f>
        <v>16166.722199999998</v>
      </c>
      <c r="G20" s="143">
        <f>'報廢20大－原因別分析'!AB33</f>
        <v>0.75</v>
      </c>
      <c r="H20" s="142">
        <f>'報廢20大－原因別分析'!AC32</f>
        <v>0</v>
      </c>
      <c r="I20" s="143">
        <f>'報廢20大－原因別分析'!AC33</f>
        <v>0</v>
      </c>
      <c r="J20" s="142">
        <f>'報廢20大－原因別分析'!AD32</f>
        <v>6782</v>
      </c>
      <c r="K20" s="143">
        <f>'報廢20大－原因別分析'!AD33</f>
        <v>0.2</v>
      </c>
      <c r="L20" s="142">
        <f>'報廢20大－原因別分析'!AE32</f>
        <v>0</v>
      </c>
      <c r="M20" s="143">
        <f>'報廢20大－原因別分析'!AE33</f>
        <v>0</v>
      </c>
    </row>
    <row r="21" spans="1:13" ht="19.350000000000001" customHeight="1">
      <c r="A21" s="229" t="s">
        <v>243</v>
      </c>
      <c r="B21" s="145">
        <f>日別報廢率總表!N11</f>
        <v>152862.11080000008</v>
      </c>
      <c r="C21" s="141">
        <f>B21/($B$16*1000)</f>
        <v>4.3352679608333004E-3</v>
      </c>
      <c r="D21" s="703"/>
      <c r="E21" s="144" t="s">
        <v>243</v>
      </c>
      <c r="F21" s="142">
        <f>'超用20大－原因別分析'!AB32</f>
        <v>0</v>
      </c>
      <c r="G21" s="143">
        <f>'超用20大－原因別分析'!AB33</f>
        <v>0</v>
      </c>
      <c r="H21" s="142">
        <f>'超用20大－原因別分析'!AC32</f>
        <v>0</v>
      </c>
      <c r="I21" s="143">
        <f>'超用20大－原因別分析'!AC33</f>
        <v>0</v>
      </c>
      <c r="J21" s="142">
        <f>'超用20大－原因別分析'!AD32</f>
        <v>0</v>
      </c>
      <c r="K21" s="143">
        <f>'超用20大－原因別分析'!AD33</f>
        <v>0</v>
      </c>
      <c r="L21" s="142">
        <f>'超用20大－原因別分析'!AE32</f>
        <v>62898.585099999997</v>
      </c>
      <c r="M21" s="143">
        <f>'超用20大－原因別分析'!AE33</f>
        <v>0.85</v>
      </c>
    </row>
    <row r="22" spans="1:13" ht="15.75" customHeight="1">
      <c r="A22" s="225" t="s">
        <v>430</v>
      </c>
      <c r="B22" s="418" t="s">
        <v>665</v>
      </c>
      <c r="C22" s="224"/>
      <c r="D22" s="703"/>
      <c r="E22" s="700" t="s">
        <v>197</v>
      </c>
      <c r="F22" s="736">
        <v>5</v>
      </c>
      <c r="G22" s="737"/>
      <c r="H22" s="736">
        <v>6</v>
      </c>
      <c r="I22" s="737"/>
      <c r="J22" s="736">
        <v>7</v>
      </c>
      <c r="K22" s="737"/>
      <c r="L22" s="833"/>
      <c r="M22" s="834"/>
    </row>
    <row r="23" spans="1:13" ht="31.35" customHeight="1">
      <c r="A23" s="136" t="s">
        <v>431</v>
      </c>
      <c r="B23" s="418" t="s">
        <v>665</v>
      </c>
      <c r="C23" s="224"/>
      <c r="D23" s="703"/>
      <c r="E23" s="700"/>
      <c r="F23" s="835" t="s">
        <v>189</v>
      </c>
      <c r="G23" s="836"/>
      <c r="H23" s="835" t="s">
        <v>167</v>
      </c>
      <c r="I23" s="836"/>
      <c r="J23" s="835" t="s">
        <v>190</v>
      </c>
      <c r="K23" s="836"/>
      <c r="L23" s="837"/>
      <c r="M23" s="838"/>
    </row>
    <row r="24" spans="1:13" ht="15.75" customHeight="1">
      <c r="D24" s="703"/>
      <c r="E24" s="700"/>
      <c r="F24" s="155" t="s">
        <v>11</v>
      </c>
      <c r="G24" s="155" t="s">
        <v>41</v>
      </c>
      <c r="H24" s="155" t="s">
        <v>11</v>
      </c>
      <c r="I24" s="155" t="s">
        <v>41</v>
      </c>
      <c r="J24" s="155" t="s">
        <v>11</v>
      </c>
      <c r="K24" s="155" t="s">
        <v>41</v>
      </c>
      <c r="L24" s="155"/>
      <c r="M24" s="155"/>
    </row>
    <row r="25" spans="1:13" ht="19.350000000000001" customHeight="1">
      <c r="D25" s="703"/>
      <c r="E25" s="139" t="s">
        <v>242</v>
      </c>
      <c r="F25" s="142">
        <f>'報廢20大－原因別分析'!AF32</f>
        <v>0</v>
      </c>
      <c r="G25" s="143">
        <f>'報廢20大－原因別分析'!AF33</f>
        <v>0</v>
      </c>
      <c r="H25" s="142">
        <f>'報廢20大－原因別分析'!AG32</f>
        <v>1699.5</v>
      </c>
      <c r="I25" s="143">
        <f>'報廢20大－原因別分析'!AG33</f>
        <v>0.05</v>
      </c>
      <c r="J25" s="142">
        <f>'報廢20大－原因別分析'!AH32</f>
        <v>0</v>
      </c>
      <c r="K25" s="143">
        <f>'報廢20大－原因別分析'!AH33</f>
        <v>0</v>
      </c>
      <c r="L25" s="142"/>
      <c r="M25" s="143"/>
    </row>
    <row r="26" spans="1:13" ht="19.350000000000001" customHeight="1">
      <c r="D26" s="703"/>
      <c r="E26" s="144" t="s">
        <v>243</v>
      </c>
      <c r="F26" s="142">
        <f>'超用20大－原因別分析'!AF32</f>
        <v>18414.007000000049</v>
      </c>
      <c r="G26" s="143">
        <f>'超用20大－原因別分析'!AF33</f>
        <v>0.05</v>
      </c>
      <c r="H26" s="142">
        <f>'超用20大－原因別分析'!AG32</f>
        <v>8165.9530000000341</v>
      </c>
      <c r="I26" s="143">
        <f>'超用20大－原因別分析'!AG33</f>
        <v>0.1</v>
      </c>
      <c r="J26" s="142">
        <f>'超用20大－原因別分析'!AH32</f>
        <v>0</v>
      </c>
      <c r="K26" s="143">
        <f>'超用20大－原因別分析'!AH33</f>
        <v>0</v>
      </c>
      <c r="L26" s="142"/>
      <c r="M26" s="143"/>
    </row>
    <row r="27" spans="1:13" ht="15.75" customHeight="1">
      <c r="A27" s="226" t="s">
        <v>446</v>
      </c>
      <c r="B27" s="227">
        <v>42842.57084</v>
      </c>
      <c r="E27" s="827" t="s">
        <v>486</v>
      </c>
      <c r="F27" s="828"/>
      <c r="G27" s="828"/>
      <c r="H27" s="828"/>
      <c r="I27" s="828"/>
      <c r="J27" s="828"/>
      <c r="K27" s="828"/>
      <c r="L27" s="828"/>
      <c r="M27" s="828"/>
    </row>
    <row r="28" spans="1:13" ht="15.75" customHeight="1">
      <c r="A28" s="829" t="s">
        <v>197</v>
      </c>
      <c r="B28" s="701" t="s">
        <v>10</v>
      </c>
      <c r="C28" s="701"/>
      <c r="D28" s="702"/>
      <c r="E28" s="700" t="s">
        <v>197</v>
      </c>
      <c r="F28" s="704">
        <v>1</v>
      </c>
      <c r="G28" s="704"/>
      <c r="H28" s="704">
        <v>2</v>
      </c>
      <c r="I28" s="704"/>
      <c r="J28" s="704">
        <v>3</v>
      </c>
      <c r="K28" s="704"/>
      <c r="L28" s="704">
        <v>4</v>
      </c>
      <c r="M28" s="704"/>
    </row>
    <row r="29" spans="1:13" ht="31.35" customHeight="1">
      <c r="A29" s="829"/>
      <c r="B29" s="701"/>
      <c r="C29" s="701"/>
      <c r="D29" s="703"/>
      <c r="E29" s="700"/>
      <c r="F29" s="696" t="s">
        <v>487</v>
      </c>
      <c r="G29" s="696"/>
      <c r="H29" s="696" t="s">
        <v>240</v>
      </c>
      <c r="I29" s="696"/>
      <c r="J29" s="696" t="s">
        <v>166</v>
      </c>
      <c r="K29" s="696"/>
      <c r="L29" s="696" t="s">
        <v>457</v>
      </c>
      <c r="M29" s="696"/>
    </row>
    <row r="30" spans="1:13" ht="15.75" customHeight="1">
      <c r="A30" s="829"/>
      <c r="B30" s="155" t="s">
        <v>11</v>
      </c>
      <c r="C30" s="155" t="s">
        <v>41</v>
      </c>
      <c r="D30" s="703"/>
      <c r="E30" s="700"/>
      <c r="F30" s="155" t="s">
        <v>11</v>
      </c>
      <c r="G30" s="155" t="s">
        <v>41</v>
      </c>
      <c r="H30" s="155" t="s">
        <v>11</v>
      </c>
      <c r="I30" s="155" t="s">
        <v>41</v>
      </c>
      <c r="J30" s="155" t="s">
        <v>11</v>
      </c>
      <c r="K30" s="155" t="s">
        <v>41</v>
      </c>
      <c r="L30" s="155" t="s">
        <v>11</v>
      </c>
      <c r="M30" s="155" t="s">
        <v>41</v>
      </c>
    </row>
    <row r="31" spans="1:13" ht="19.350000000000001" customHeight="1">
      <c r="A31" s="228" t="s">
        <v>242</v>
      </c>
      <c r="B31" s="140">
        <f>日別報廢率總表!M18</f>
        <v>86344.891999999993</v>
      </c>
      <c r="C31" s="236">
        <f>B31/($B$27*1000)</f>
        <v>2.0153994101442673E-3</v>
      </c>
      <c r="D31" s="703"/>
      <c r="E31" s="139" t="s">
        <v>242</v>
      </c>
      <c r="F31" s="142">
        <f>'報廢20大－原因別分析'!AB56</f>
        <v>18174.7857</v>
      </c>
      <c r="G31" s="143">
        <f>'報廢20大－原因別分析'!AB57</f>
        <v>0.75</v>
      </c>
      <c r="H31" s="142">
        <f>'報廢20大－原因別分析'!AC56</f>
        <v>0</v>
      </c>
      <c r="I31" s="143">
        <f>'報廢20大－原因別分析'!AC57</f>
        <v>0</v>
      </c>
      <c r="J31" s="142">
        <f>'報廢20大－原因別分析'!AD56</f>
        <v>7453.9099999999989</v>
      </c>
      <c r="K31" s="143">
        <f>'報廢20大－原因別分析'!AD57</f>
        <v>0.2</v>
      </c>
      <c r="L31" s="142">
        <f>'報廢20大－原因別分析'!AE56</f>
        <v>0</v>
      </c>
      <c r="M31" s="143">
        <f>'報廢20大－原因別分析'!AE57</f>
        <v>0</v>
      </c>
    </row>
    <row r="32" spans="1:13" ht="19.350000000000001" customHeight="1">
      <c r="A32" s="229" t="s">
        <v>243</v>
      </c>
      <c r="B32" s="145">
        <f>日別報廢率總表!N18</f>
        <v>184880.85320000001</v>
      </c>
      <c r="C32" s="141">
        <f>B32/($B$27*1000)</f>
        <v>4.3153538542413019E-3</v>
      </c>
      <c r="D32" s="703"/>
      <c r="E32" s="144" t="s">
        <v>243</v>
      </c>
      <c r="F32" s="142">
        <f>'超用20大－原因別分析'!AB56</f>
        <v>0</v>
      </c>
      <c r="G32" s="143">
        <f>'超用20大－原因別分析'!AB57</f>
        <v>0</v>
      </c>
      <c r="H32" s="142">
        <f>'超用20大－原因別分析'!AC56</f>
        <v>0</v>
      </c>
      <c r="I32" s="143">
        <f>'超用20大－原因別分析'!AC57</f>
        <v>0</v>
      </c>
      <c r="J32" s="142">
        <f>'超用20大－原因別分析'!AD56</f>
        <v>0</v>
      </c>
      <c r="K32" s="143">
        <f>'超用20大－原因別分析'!AD57</f>
        <v>0</v>
      </c>
      <c r="L32" s="142">
        <f>'超用20大－原因別分析'!AE56</f>
        <v>64632.062299999998</v>
      </c>
      <c r="M32" s="143">
        <f>'超用20大－原因別分析'!AE57</f>
        <v>0.8</v>
      </c>
    </row>
    <row r="33" spans="1:13" ht="15.75" customHeight="1">
      <c r="A33" s="225" t="s">
        <v>430</v>
      </c>
      <c r="B33" s="418" t="s">
        <v>666</v>
      </c>
      <c r="C33" s="224"/>
      <c r="D33" s="703"/>
      <c r="E33" s="700" t="s">
        <v>197</v>
      </c>
      <c r="F33" s="736">
        <v>5</v>
      </c>
      <c r="G33" s="737"/>
      <c r="H33" s="736">
        <v>6</v>
      </c>
      <c r="I33" s="737"/>
      <c r="J33" s="736">
        <v>7</v>
      </c>
      <c r="K33" s="737"/>
      <c r="L33" s="833"/>
      <c r="M33" s="834"/>
    </row>
    <row r="34" spans="1:13" ht="31.35" customHeight="1">
      <c r="A34" s="136" t="s">
        <v>431</v>
      </c>
      <c r="B34" s="418" t="s">
        <v>666</v>
      </c>
      <c r="C34" s="224"/>
      <c r="D34" s="703"/>
      <c r="E34" s="700"/>
      <c r="F34" s="835" t="s">
        <v>189</v>
      </c>
      <c r="G34" s="836"/>
      <c r="H34" s="835" t="s">
        <v>167</v>
      </c>
      <c r="I34" s="836"/>
      <c r="J34" s="835" t="s">
        <v>190</v>
      </c>
      <c r="K34" s="836"/>
      <c r="L34" s="837"/>
      <c r="M34" s="838"/>
    </row>
    <row r="35" spans="1:13" ht="15.75" customHeight="1">
      <c r="D35" s="703"/>
      <c r="E35" s="700"/>
      <c r="F35" s="155" t="s">
        <v>11</v>
      </c>
      <c r="G35" s="155" t="s">
        <v>41</v>
      </c>
      <c r="H35" s="155" t="s">
        <v>11</v>
      </c>
      <c r="I35" s="155" t="s">
        <v>41</v>
      </c>
      <c r="J35" s="155" t="s">
        <v>11</v>
      </c>
      <c r="K35" s="155" t="s">
        <v>41</v>
      </c>
      <c r="L35" s="155"/>
      <c r="M35" s="155"/>
    </row>
    <row r="36" spans="1:13" ht="19.350000000000001" customHeight="1">
      <c r="D36" s="703"/>
      <c r="E36" s="139" t="s">
        <v>242</v>
      </c>
      <c r="F36" s="142">
        <f>'報廢20大－原因別分析'!AF56</f>
        <v>0</v>
      </c>
      <c r="G36" s="143">
        <f>'報廢20大－原因別分析'!AF57</f>
        <v>0</v>
      </c>
      <c r="H36" s="142">
        <f>'報廢20大－原因別分析'!AG56</f>
        <v>2564.6999999999998</v>
      </c>
      <c r="I36" s="143">
        <f>'報廢20大－原因別分析'!AG57</f>
        <v>0.05</v>
      </c>
      <c r="J36" s="142">
        <f>'報廢20大－原因別分析'!AH56</f>
        <v>0</v>
      </c>
      <c r="K36" s="143">
        <f>'報廢20大－原因別分析'!AH57</f>
        <v>0</v>
      </c>
      <c r="L36" s="142"/>
      <c r="M36" s="143"/>
    </row>
    <row r="37" spans="1:13" ht="19.350000000000001" customHeight="1">
      <c r="D37" s="703"/>
      <c r="E37" s="144" t="s">
        <v>243</v>
      </c>
      <c r="F37" s="142">
        <f>'超用20大－原因別分析'!AF56</f>
        <v>22238.341199999988</v>
      </c>
      <c r="G37" s="143">
        <f>'超用20大－原因別分析'!AF57</f>
        <v>0.05</v>
      </c>
      <c r="H37" s="142">
        <f>'超用20大－原因別分析'!AG56</f>
        <v>17965.214300000003</v>
      </c>
      <c r="I37" s="143">
        <f>'超用20大－原因別分析'!AG57</f>
        <v>0.15</v>
      </c>
      <c r="J37" s="142">
        <f>'超用20大－原因別分析'!AH56</f>
        <v>0</v>
      </c>
      <c r="K37" s="143">
        <f>'超用20大－原因別分析'!AH57</f>
        <v>0</v>
      </c>
      <c r="L37" s="142"/>
      <c r="M37" s="143"/>
    </row>
    <row r="38" spans="1:13" ht="15.75" customHeight="1">
      <c r="A38" s="226" t="s">
        <v>446</v>
      </c>
      <c r="B38" s="227">
        <v>41521.897800000006</v>
      </c>
      <c r="E38" s="827" t="s">
        <v>486</v>
      </c>
      <c r="F38" s="828"/>
      <c r="G38" s="828"/>
      <c r="H38" s="828"/>
      <c r="I38" s="828"/>
      <c r="J38" s="828"/>
      <c r="K38" s="828"/>
      <c r="L38" s="828"/>
      <c r="M38" s="828"/>
    </row>
    <row r="39" spans="1:13" ht="15.75" customHeight="1">
      <c r="A39" s="829" t="s">
        <v>197</v>
      </c>
      <c r="B39" s="701" t="s">
        <v>10</v>
      </c>
      <c r="C39" s="701"/>
      <c r="D39" s="702"/>
      <c r="E39" s="700" t="s">
        <v>197</v>
      </c>
      <c r="F39" s="704">
        <v>1</v>
      </c>
      <c r="G39" s="704"/>
      <c r="H39" s="704">
        <v>2</v>
      </c>
      <c r="I39" s="704"/>
      <c r="J39" s="704">
        <v>3</v>
      </c>
      <c r="K39" s="704"/>
      <c r="L39" s="704">
        <v>4</v>
      </c>
      <c r="M39" s="704"/>
    </row>
    <row r="40" spans="1:13" ht="31.35" customHeight="1">
      <c r="A40" s="829"/>
      <c r="B40" s="701"/>
      <c r="C40" s="701"/>
      <c r="D40" s="703"/>
      <c r="E40" s="700"/>
      <c r="F40" s="696" t="s">
        <v>487</v>
      </c>
      <c r="G40" s="696"/>
      <c r="H40" s="696" t="s">
        <v>240</v>
      </c>
      <c r="I40" s="696"/>
      <c r="J40" s="696" t="s">
        <v>166</v>
      </c>
      <c r="K40" s="696"/>
      <c r="L40" s="696" t="s">
        <v>457</v>
      </c>
      <c r="M40" s="696"/>
    </row>
    <row r="41" spans="1:13" ht="15.75" customHeight="1">
      <c r="A41" s="829"/>
      <c r="B41" s="155" t="s">
        <v>11</v>
      </c>
      <c r="C41" s="155" t="s">
        <v>41</v>
      </c>
      <c r="D41" s="703"/>
      <c r="E41" s="700"/>
      <c r="F41" s="155" t="s">
        <v>11</v>
      </c>
      <c r="G41" s="155" t="s">
        <v>41</v>
      </c>
      <c r="H41" s="155" t="s">
        <v>11</v>
      </c>
      <c r="I41" s="155" t="s">
        <v>41</v>
      </c>
      <c r="J41" s="155" t="s">
        <v>11</v>
      </c>
      <c r="K41" s="155" t="s">
        <v>41</v>
      </c>
      <c r="L41" s="155" t="s">
        <v>11</v>
      </c>
      <c r="M41" s="155" t="s">
        <v>41</v>
      </c>
    </row>
    <row r="42" spans="1:13" ht="19.350000000000001" customHeight="1">
      <c r="A42" s="228" t="s">
        <v>242</v>
      </c>
      <c r="B42" s="140">
        <f>日別報廢率總表!M25</f>
        <v>83432.571200000006</v>
      </c>
      <c r="C42" s="236">
        <f>B42/($B$38*1000)</f>
        <v>2.0093631462095645E-3</v>
      </c>
      <c r="D42" s="703"/>
      <c r="E42" s="139" t="s">
        <v>242</v>
      </c>
      <c r="F42" s="142">
        <f>'報廢20大－原因別分析'!AB80</f>
        <v>15683.141599999999</v>
      </c>
      <c r="G42" s="143">
        <f>'報廢20大－原因別分析'!AB81</f>
        <v>0.7</v>
      </c>
      <c r="H42" s="142">
        <f>'報廢20大－原因別分析'!AC80</f>
        <v>0</v>
      </c>
      <c r="I42" s="143">
        <f>'報廢20大－原因別分析'!AC81</f>
        <v>0</v>
      </c>
      <c r="J42" s="142">
        <f>'報廢20大－原因別分析'!AD80</f>
        <v>5844.12</v>
      </c>
      <c r="K42" s="143">
        <f>'報廢20大－原因別分析'!AD81</f>
        <v>0.2</v>
      </c>
      <c r="L42" s="142">
        <f>'報廢20大－原因別分析'!AE80</f>
        <v>0</v>
      </c>
      <c r="M42" s="143">
        <f>'報廢20大－原因別分析'!AE81</f>
        <v>0</v>
      </c>
    </row>
    <row r="43" spans="1:13" ht="19.350000000000001" customHeight="1">
      <c r="A43" s="229" t="s">
        <v>243</v>
      </c>
      <c r="B43" s="145">
        <f>日別報廢率總表!N25</f>
        <v>175039.40109999999</v>
      </c>
      <c r="C43" s="141">
        <f>B43/($B$38*1000)</f>
        <v>4.215592503577714E-3</v>
      </c>
      <c r="D43" s="703"/>
      <c r="E43" s="144" t="s">
        <v>243</v>
      </c>
      <c r="F43" s="142">
        <f>'超用20大－原因別分析'!AB80</f>
        <v>0</v>
      </c>
      <c r="G43" s="143">
        <f>'超用20大－原因別分析'!AB81</f>
        <v>0</v>
      </c>
      <c r="H43" s="142">
        <f>'超用20大－原因別分析'!AC80</f>
        <v>0</v>
      </c>
      <c r="I43" s="143">
        <f>'超用20大－原因別分析'!AC81</f>
        <v>0</v>
      </c>
      <c r="J43" s="142">
        <f>'超用20大－原因別分析'!AD80</f>
        <v>0</v>
      </c>
      <c r="K43" s="143">
        <f>'超用20大－原因別分析'!AD81</f>
        <v>0</v>
      </c>
      <c r="L43" s="142">
        <f>'超用20大－原因別分析'!AE80</f>
        <v>53970.96030000005</v>
      </c>
      <c r="M43" s="143">
        <f>'超用20大－原因別分析'!AE81</f>
        <v>0.7</v>
      </c>
    </row>
    <row r="44" spans="1:13" ht="15.75" customHeight="1">
      <c r="A44" s="225" t="s">
        <v>430</v>
      </c>
      <c r="B44" s="418" t="s">
        <v>667</v>
      </c>
      <c r="C44" s="224"/>
      <c r="D44" s="703"/>
      <c r="E44" s="700" t="s">
        <v>197</v>
      </c>
      <c r="F44" s="736">
        <v>5</v>
      </c>
      <c r="G44" s="737"/>
      <c r="H44" s="736">
        <v>6</v>
      </c>
      <c r="I44" s="737"/>
      <c r="J44" s="736">
        <v>7</v>
      </c>
      <c r="K44" s="737"/>
      <c r="L44" s="833"/>
      <c r="M44" s="834"/>
    </row>
    <row r="45" spans="1:13" ht="31.35" customHeight="1">
      <c r="A45" s="136" t="s">
        <v>431</v>
      </c>
      <c r="B45" s="418" t="s">
        <v>667</v>
      </c>
      <c r="C45" s="224"/>
      <c r="D45" s="703"/>
      <c r="E45" s="700"/>
      <c r="F45" s="835" t="s">
        <v>189</v>
      </c>
      <c r="G45" s="836"/>
      <c r="H45" s="835" t="s">
        <v>167</v>
      </c>
      <c r="I45" s="836"/>
      <c r="J45" s="835" t="s">
        <v>190</v>
      </c>
      <c r="K45" s="836"/>
      <c r="L45" s="837"/>
      <c r="M45" s="838"/>
    </row>
    <row r="46" spans="1:13" ht="15.75" customHeight="1">
      <c r="D46" s="703"/>
      <c r="E46" s="700"/>
      <c r="F46" s="155" t="s">
        <v>11</v>
      </c>
      <c r="G46" s="155" t="s">
        <v>41</v>
      </c>
      <c r="H46" s="155" t="s">
        <v>11</v>
      </c>
      <c r="I46" s="155" t="s">
        <v>41</v>
      </c>
      <c r="J46" s="155" t="s">
        <v>11</v>
      </c>
      <c r="K46" s="155" t="s">
        <v>41</v>
      </c>
      <c r="L46" s="155"/>
      <c r="M46" s="155"/>
    </row>
    <row r="47" spans="1:13" ht="19.350000000000001" customHeight="1">
      <c r="D47" s="703"/>
      <c r="E47" s="139" t="s">
        <v>242</v>
      </c>
      <c r="F47" s="142">
        <f>'報廢20大－原因別分析'!AF80</f>
        <v>1103.7</v>
      </c>
      <c r="G47" s="143">
        <f>'報廢20大－原因別分析'!AF81</f>
        <v>0.05</v>
      </c>
      <c r="H47" s="142">
        <f>'報廢20大－原因別分析'!AG80</f>
        <v>1900.35</v>
      </c>
      <c r="I47" s="143">
        <f>'報廢20大－原因別分析'!AG81</f>
        <v>0.05</v>
      </c>
      <c r="J47" s="142">
        <f>'報廢20大－原因別分析'!AH80</f>
        <v>0</v>
      </c>
      <c r="K47" s="143">
        <f>'報廢20大－原因別分析'!AH81</f>
        <v>0</v>
      </c>
      <c r="L47" s="142"/>
      <c r="M47" s="143"/>
    </row>
    <row r="48" spans="1:13" ht="19.350000000000001" customHeight="1">
      <c r="D48" s="703"/>
      <c r="E48" s="144" t="s">
        <v>243</v>
      </c>
      <c r="F48" s="142">
        <f>'超用20大－原因別分析'!AF80</f>
        <v>16460.559499999981</v>
      </c>
      <c r="G48" s="143">
        <f>'超用20大－原因別分析'!AF81</f>
        <v>0.05</v>
      </c>
      <c r="H48" s="142">
        <f>'超用20大－原因別分析'!AG80</f>
        <v>36464.683700000031</v>
      </c>
      <c r="I48" s="143">
        <f>'超用20大－原因別分析'!AG81</f>
        <v>0.25</v>
      </c>
      <c r="J48" s="142">
        <f>'超用20大－原因別分析'!AH80</f>
        <v>0</v>
      </c>
      <c r="K48" s="143">
        <f>'超用20大－原因別分析'!AH81</f>
        <v>0</v>
      </c>
      <c r="L48" s="142"/>
      <c r="M48" s="143"/>
    </row>
    <row r="49" spans="1:13" ht="15.75" customHeight="1">
      <c r="A49" s="226" t="s">
        <v>446</v>
      </c>
      <c r="B49" s="227">
        <f>'生產管理報表(週) '!B6</f>
        <v>37624.281149999995</v>
      </c>
      <c r="E49" s="827" t="s">
        <v>486</v>
      </c>
      <c r="F49" s="828"/>
      <c r="G49" s="828"/>
      <c r="H49" s="828"/>
      <c r="I49" s="828"/>
      <c r="J49" s="828"/>
      <c r="K49" s="828"/>
      <c r="L49" s="828"/>
      <c r="M49" s="828"/>
    </row>
    <row r="50" spans="1:13" ht="15.75" customHeight="1">
      <c r="A50" s="829" t="s">
        <v>197</v>
      </c>
      <c r="B50" s="701" t="s">
        <v>10</v>
      </c>
      <c r="C50" s="701"/>
      <c r="D50" s="702"/>
      <c r="E50" s="700" t="s">
        <v>197</v>
      </c>
      <c r="F50" s="704">
        <v>1</v>
      </c>
      <c r="G50" s="704"/>
      <c r="H50" s="704">
        <v>2</v>
      </c>
      <c r="I50" s="704"/>
      <c r="J50" s="704">
        <v>3</v>
      </c>
      <c r="K50" s="704"/>
      <c r="L50" s="704">
        <v>4</v>
      </c>
      <c r="M50" s="704"/>
    </row>
    <row r="51" spans="1:13" ht="31.35" customHeight="1">
      <c r="A51" s="829"/>
      <c r="B51" s="701"/>
      <c r="C51" s="701"/>
      <c r="D51" s="703"/>
      <c r="E51" s="700"/>
      <c r="F51" s="696" t="s">
        <v>487</v>
      </c>
      <c r="G51" s="696"/>
      <c r="H51" s="696" t="s">
        <v>240</v>
      </c>
      <c r="I51" s="696"/>
      <c r="J51" s="696" t="s">
        <v>166</v>
      </c>
      <c r="K51" s="696"/>
      <c r="L51" s="696" t="s">
        <v>457</v>
      </c>
      <c r="M51" s="696"/>
    </row>
    <row r="52" spans="1:13" ht="15.75" customHeight="1">
      <c r="A52" s="829"/>
      <c r="B52" s="155" t="s">
        <v>11</v>
      </c>
      <c r="C52" s="155" t="s">
        <v>41</v>
      </c>
      <c r="D52" s="703"/>
      <c r="E52" s="700"/>
      <c r="F52" s="155" t="s">
        <v>11</v>
      </c>
      <c r="G52" s="155" t="s">
        <v>41</v>
      </c>
      <c r="H52" s="155" t="s">
        <v>11</v>
      </c>
      <c r="I52" s="155" t="s">
        <v>41</v>
      </c>
      <c r="J52" s="155" t="s">
        <v>11</v>
      </c>
      <c r="K52" s="155" t="s">
        <v>41</v>
      </c>
      <c r="L52" s="155" t="s">
        <v>11</v>
      </c>
      <c r="M52" s="155" t="s">
        <v>41</v>
      </c>
    </row>
    <row r="53" spans="1:13" ht="19.350000000000001" customHeight="1">
      <c r="A53" s="228" t="s">
        <v>242</v>
      </c>
      <c r="B53" s="140">
        <f>日別報廢率總表!M32</f>
        <v>75350.5579</v>
      </c>
      <c r="C53" s="236">
        <f>B53/($B$49*1000)</f>
        <v>2.0027108983050965E-3</v>
      </c>
      <c r="D53" s="703"/>
      <c r="E53" s="139" t="s">
        <v>242</v>
      </c>
      <c r="F53" s="142">
        <f>'報廢20大－原因別分析'!AB104</f>
        <v>15963.451500000001</v>
      </c>
      <c r="G53" s="143">
        <f>'報廢20大－原因別分析'!AB105</f>
        <v>0.75</v>
      </c>
      <c r="H53" s="142">
        <f>'報廢20大－原因別分析'!AC104</f>
        <v>0</v>
      </c>
      <c r="I53" s="143">
        <f>'報廢20大－原因別分析'!AC105</f>
        <v>0</v>
      </c>
      <c r="J53" s="142">
        <f>'報廢20大－原因別分析'!AD104</f>
        <v>4456.5</v>
      </c>
      <c r="K53" s="143">
        <f>'報廢20大－原因別分析'!AD105</f>
        <v>0.15</v>
      </c>
      <c r="L53" s="142">
        <f>'報廢20大－原因別分析'!AE104</f>
        <v>0</v>
      </c>
      <c r="M53" s="143">
        <f>'報廢20大－原因別分析'!AE105</f>
        <v>0</v>
      </c>
    </row>
    <row r="54" spans="1:13" ht="19.350000000000001" customHeight="1">
      <c r="A54" s="229" t="s">
        <v>243</v>
      </c>
      <c r="B54" s="145">
        <f>日別報廢率總表!N32</f>
        <v>201506.50119999994</v>
      </c>
      <c r="C54" s="141">
        <f>B54/($B$49*1000)</f>
        <v>5.3557568421476656E-3</v>
      </c>
      <c r="D54" s="703"/>
      <c r="E54" s="144" t="s">
        <v>243</v>
      </c>
      <c r="F54" s="142">
        <f>'超用20大－原因別分析'!AB104</f>
        <v>0</v>
      </c>
      <c r="G54" s="143">
        <f>'超用20大－原因別分析'!AB105</f>
        <v>0</v>
      </c>
      <c r="H54" s="142">
        <f>'超用20大－原因別分析'!AC104</f>
        <v>0</v>
      </c>
      <c r="I54" s="143">
        <f>'超用20大－原因別分析'!AC105</f>
        <v>0</v>
      </c>
      <c r="J54" s="142">
        <f>'超用20大－原因別分析'!AD104</f>
        <v>0</v>
      </c>
      <c r="K54" s="143">
        <f>'超用20大－原因別分析'!AD105</f>
        <v>0</v>
      </c>
      <c r="L54" s="142">
        <f>'超用20大－原因別分析'!AE104</f>
        <v>61035.200699999972</v>
      </c>
      <c r="M54" s="143">
        <f>'超用20大－原因別分析'!AE105</f>
        <v>0.7</v>
      </c>
    </row>
    <row r="55" spans="1:13" ht="15.75" customHeight="1">
      <c r="A55" s="225" t="s">
        <v>430</v>
      </c>
      <c r="B55" s="418" t="s">
        <v>668</v>
      </c>
      <c r="C55" s="224"/>
      <c r="D55" s="703"/>
      <c r="E55" s="700" t="s">
        <v>197</v>
      </c>
      <c r="F55" s="736">
        <v>5</v>
      </c>
      <c r="G55" s="737"/>
      <c r="H55" s="736">
        <v>6</v>
      </c>
      <c r="I55" s="737"/>
      <c r="J55" s="736">
        <v>7</v>
      </c>
      <c r="K55" s="737"/>
      <c r="L55" s="833"/>
      <c r="M55" s="834"/>
    </row>
    <row r="56" spans="1:13" ht="31.35" customHeight="1">
      <c r="A56" s="136" t="s">
        <v>431</v>
      </c>
      <c r="B56" s="418" t="s">
        <v>668</v>
      </c>
      <c r="C56" s="224"/>
      <c r="D56" s="703"/>
      <c r="E56" s="700"/>
      <c r="F56" s="835" t="s">
        <v>189</v>
      </c>
      <c r="G56" s="836"/>
      <c r="H56" s="835" t="s">
        <v>167</v>
      </c>
      <c r="I56" s="836"/>
      <c r="J56" s="835" t="s">
        <v>190</v>
      </c>
      <c r="K56" s="836"/>
      <c r="L56" s="837"/>
      <c r="M56" s="838"/>
    </row>
    <row r="57" spans="1:13" ht="15.75" customHeight="1">
      <c r="D57" s="703"/>
      <c r="E57" s="700"/>
      <c r="F57" s="155" t="s">
        <v>11</v>
      </c>
      <c r="G57" s="155" t="s">
        <v>41</v>
      </c>
      <c r="H57" s="155" t="s">
        <v>11</v>
      </c>
      <c r="I57" s="155" t="s">
        <v>41</v>
      </c>
      <c r="J57" s="155" t="s">
        <v>11</v>
      </c>
      <c r="K57" s="155" t="s">
        <v>41</v>
      </c>
      <c r="L57" s="155"/>
      <c r="M57" s="155"/>
    </row>
    <row r="58" spans="1:13" ht="19.350000000000001" customHeight="1">
      <c r="D58" s="703"/>
      <c r="E58" s="139" t="s">
        <v>242</v>
      </c>
      <c r="F58" s="142">
        <f>'報廢20大－原因別分析'!AF104</f>
        <v>1054.2</v>
      </c>
      <c r="G58" s="143">
        <f>'報廢20大－原因別分析'!AF105</f>
        <v>0.05</v>
      </c>
      <c r="H58" s="142">
        <f>'報廢20大－原因別分析'!AG104</f>
        <v>2348.4</v>
      </c>
      <c r="I58" s="143">
        <f>'報廢20大－原因別分析'!AG105</f>
        <v>0.05</v>
      </c>
      <c r="J58" s="142">
        <f>'報廢20大－原因別分析'!AH104</f>
        <v>0</v>
      </c>
      <c r="K58" s="143">
        <f>'報廢20大－原因別分析'!AH105</f>
        <v>0</v>
      </c>
      <c r="L58" s="142"/>
      <c r="M58" s="143"/>
    </row>
    <row r="59" spans="1:13" ht="19.350000000000001" customHeight="1">
      <c r="D59" s="703"/>
      <c r="E59" s="144" t="s">
        <v>243</v>
      </c>
      <c r="F59" s="142">
        <f>'超用20大－原因別分析'!AF104</f>
        <v>21192.504700000005</v>
      </c>
      <c r="G59" s="143">
        <f>'超用20大－原因別分析'!AF105</f>
        <v>0.1</v>
      </c>
      <c r="H59" s="142">
        <f>'超用20大－原因別分析'!AG104</f>
        <v>22518.722300000023</v>
      </c>
      <c r="I59" s="143">
        <f>'超用20大－原因別分析'!AG105</f>
        <v>0.2</v>
      </c>
      <c r="J59" s="142">
        <f>'超用20大－原因別分析'!AH104</f>
        <v>0</v>
      </c>
      <c r="K59" s="143">
        <f>'超用20大－原因別分析'!AH105</f>
        <v>0</v>
      </c>
      <c r="L59" s="142"/>
      <c r="M59" s="143"/>
    </row>
    <row r="60" spans="1:13" ht="15.75" customHeight="1">
      <c r="A60" s="226" t="s">
        <v>446</v>
      </c>
      <c r="B60" s="227"/>
      <c r="E60" s="827" t="s">
        <v>486</v>
      </c>
      <c r="F60" s="828"/>
      <c r="G60" s="828"/>
      <c r="H60" s="828"/>
      <c r="I60" s="828"/>
      <c r="J60" s="828"/>
      <c r="K60" s="828"/>
      <c r="L60" s="828"/>
      <c r="M60" s="828"/>
    </row>
    <row r="61" spans="1:13" ht="15.75" customHeight="1">
      <c r="A61" s="829" t="s">
        <v>197</v>
      </c>
      <c r="B61" s="701" t="s">
        <v>10</v>
      </c>
      <c r="C61" s="701"/>
      <c r="D61" s="702"/>
      <c r="E61" s="700" t="s">
        <v>197</v>
      </c>
      <c r="F61" s="704">
        <v>1</v>
      </c>
      <c r="G61" s="704"/>
      <c r="H61" s="704">
        <v>2</v>
      </c>
      <c r="I61" s="704"/>
      <c r="J61" s="704">
        <v>3</v>
      </c>
      <c r="K61" s="704"/>
      <c r="L61" s="704">
        <v>4</v>
      </c>
      <c r="M61" s="704"/>
    </row>
    <row r="62" spans="1:13" ht="31.35" customHeight="1">
      <c r="A62" s="829"/>
      <c r="B62" s="701"/>
      <c r="C62" s="701"/>
      <c r="D62" s="703"/>
      <c r="E62" s="700"/>
      <c r="F62" s="696" t="s">
        <v>487</v>
      </c>
      <c r="G62" s="696"/>
      <c r="H62" s="696" t="s">
        <v>240</v>
      </c>
      <c r="I62" s="696"/>
      <c r="J62" s="696" t="s">
        <v>166</v>
      </c>
      <c r="K62" s="696"/>
      <c r="L62" s="696" t="s">
        <v>457</v>
      </c>
      <c r="M62" s="696"/>
    </row>
    <row r="63" spans="1:13" ht="15.75" customHeight="1">
      <c r="A63" s="829"/>
      <c r="B63" s="155" t="s">
        <v>11</v>
      </c>
      <c r="C63" s="155" t="s">
        <v>41</v>
      </c>
      <c r="D63" s="703"/>
      <c r="E63" s="700"/>
      <c r="F63" s="155" t="s">
        <v>11</v>
      </c>
      <c r="G63" s="155" t="s">
        <v>41</v>
      </c>
      <c r="H63" s="155" t="s">
        <v>11</v>
      </c>
      <c r="I63" s="155" t="s">
        <v>41</v>
      </c>
      <c r="J63" s="155" t="s">
        <v>11</v>
      </c>
      <c r="K63" s="155" t="s">
        <v>41</v>
      </c>
      <c r="L63" s="155" t="s">
        <v>11</v>
      </c>
      <c r="M63" s="155" t="s">
        <v>41</v>
      </c>
    </row>
    <row r="64" spans="1:13" ht="19.350000000000001" customHeight="1">
      <c r="A64" s="228" t="s">
        <v>242</v>
      </c>
      <c r="B64" s="140">
        <f>日別報廢率總表!M39</f>
        <v>0</v>
      </c>
      <c r="C64" s="236" t="e">
        <f>B64/($B$60*1000)</f>
        <v>#DIV/0!</v>
      </c>
      <c r="D64" s="703"/>
      <c r="E64" s="139" t="s">
        <v>242</v>
      </c>
      <c r="F64" s="142">
        <f>'報廢20大－原因別分析'!AB128</f>
        <v>0</v>
      </c>
      <c r="G64" s="143">
        <f>'報廢20大－原因別分析'!AB129</f>
        <v>0</v>
      </c>
      <c r="H64" s="142">
        <f>'報廢20大－原因別分析'!AC128</f>
        <v>0</v>
      </c>
      <c r="I64" s="143">
        <f>'報廢20大－原因別分析'!AC129</f>
        <v>0</v>
      </c>
      <c r="J64" s="142">
        <f>'報廢20大－原因別分析'!AD128</f>
        <v>0</v>
      </c>
      <c r="K64" s="143">
        <f>'報廢20大－原因別分析'!AD129</f>
        <v>0</v>
      </c>
      <c r="L64" s="142">
        <f>'報廢20大－原因別分析'!AE128</f>
        <v>0</v>
      </c>
      <c r="M64" s="143">
        <f>'報廢20大－原因別分析'!AE129</f>
        <v>0</v>
      </c>
    </row>
    <row r="65" spans="1:13" ht="19.350000000000001" customHeight="1">
      <c r="A65" s="229" t="s">
        <v>243</v>
      </c>
      <c r="B65" s="145">
        <f>日別報廢率總表!N39</f>
        <v>0</v>
      </c>
      <c r="C65" s="141" t="e">
        <f>B65/($B$60*1000)</f>
        <v>#DIV/0!</v>
      </c>
      <c r="D65" s="703"/>
      <c r="E65" s="144" t="s">
        <v>243</v>
      </c>
      <c r="F65" s="142">
        <f>'超用20大－原因別分析'!AB128</f>
        <v>0</v>
      </c>
      <c r="G65" s="143">
        <f>'超用20大－原因別分析'!AB129</f>
        <v>0</v>
      </c>
      <c r="H65" s="142">
        <f>'超用20大－原因別分析'!AC128</f>
        <v>0</v>
      </c>
      <c r="I65" s="143">
        <f>'超用20大－原因別分析'!AC129</f>
        <v>0</v>
      </c>
      <c r="J65" s="142">
        <f>'超用20大－原因別分析'!AD128</f>
        <v>0</v>
      </c>
      <c r="K65" s="143">
        <f>'超用20大－原因別分析'!AD129</f>
        <v>0</v>
      </c>
      <c r="L65" s="142">
        <f>'超用20大－原因別分析'!AE128</f>
        <v>0</v>
      </c>
      <c r="M65" s="143">
        <f>'超用20大－原因別分析'!AE129</f>
        <v>0</v>
      </c>
    </row>
    <row r="66" spans="1:13" ht="15.75" customHeight="1">
      <c r="A66" s="225" t="s">
        <v>430</v>
      </c>
      <c r="B66" s="418" t="s">
        <v>669</v>
      </c>
      <c r="C66" s="224"/>
      <c r="D66" s="703"/>
      <c r="E66" s="700" t="s">
        <v>197</v>
      </c>
      <c r="F66" s="736">
        <v>5</v>
      </c>
      <c r="G66" s="737"/>
      <c r="H66" s="736">
        <v>6</v>
      </c>
      <c r="I66" s="737"/>
      <c r="J66" s="736">
        <v>7</v>
      </c>
      <c r="K66" s="737"/>
      <c r="L66" s="833"/>
      <c r="M66" s="834"/>
    </row>
    <row r="67" spans="1:13" ht="31.35" customHeight="1">
      <c r="A67" s="136" t="s">
        <v>431</v>
      </c>
      <c r="B67" s="418" t="s">
        <v>669</v>
      </c>
      <c r="C67" s="224"/>
      <c r="D67" s="703"/>
      <c r="E67" s="700"/>
      <c r="F67" s="835" t="s">
        <v>189</v>
      </c>
      <c r="G67" s="836"/>
      <c r="H67" s="835" t="s">
        <v>167</v>
      </c>
      <c r="I67" s="836"/>
      <c r="J67" s="835" t="s">
        <v>190</v>
      </c>
      <c r="K67" s="836"/>
      <c r="L67" s="837"/>
      <c r="M67" s="838"/>
    </row>
    <row r="68" spans="1:13" ht="15.75" customHeight="1">
      <c r="D68" s="703"/>
      <c r="E68" s="700"/>
      <c r="F68" s="155" t="s">
        <v>11</v>
      </c>
      <c r="G68" s="155" t="s">
        <v>41</v>
      </c>
      <c r="H68" s="155" t="s">
        <v>11</v>
      </c>
      <c r="I68" s="155" t="s">
        <v>41</v>
      </c>
      <c r="J68" s="155" t="s">
        <v>11</v>
      </c>
      <c r="K68" s="155" t="s">
        <v>41</v>
      </c>
      <c r="L68" s="155"/>
      <c r="M68" s="155"/>
    </row>
    <row r="69" spans="1:13" ht="19.350000000000001" customHeight="1">
      <c r="D69" s="703"/>
      <c r="E69" s="139" t="s">
        <v>242</v>
      </c>
      <c r="F69" s="142">
        <f>'報廢20大－原因別分析'!AF128</f>
        <v>0</v>
      </c>
      <c r="G69" s="143">
        <f>'報廢20大－原因別分析'!AF129</f>
        <v>0</v>
      </c>
      <c r="H69" s="142">
        <f>'報廢20大－原因別分析'!AG128</f>
        <v>0</v>
      </c>
      <c r="I69" s="143">
        <f>'報廢20大－原因別分析'!AG129</f>
        <v>0</v>
      </c>
      <c r="J69" s="142">
        <f>'報廢20大－原因別分析'!AH128</f>
        <v>0</v>
      </c>
      <c r="K69" s="143">
        <f>'報廢20大－原因別分析'!AH129</f>
        <v>0</v>
      </c>
      <c r="L69" s="142"/>
      <c r="M69" s="143"/>
    </row>
    <row r="70" spans="1:13" ht="19.350000000000001" customHeight="1">
      <c r="D70" s="703"/>
      <c r="E70" s="144" t="s">
        <v>243</v>
      </c>
      <c r="F70" s="142">
        <f>'超用20大－原因別分析'!AF128</f>
        <v>0</v>
      </c>
      <c r="G70" s="143">
        <f>'超用20大－原因別分析'!AF129</f>
        <v>0</v>
      </c>
      <c r="H70" s="142">
        <f>'超用20大－原因別分析'!AG128</f>
        <v>0</v>
      </c>
      <c r="I70" s="143">
        <f>'超用20大－原因別分析'!AG129</f>
        <v>0</v>
      </c>
      <c r="J70" s="142">
        <f>'超用20大－原因別分析'!AH128</f>
        <v>0</v>
      </c>
      <c r="K70" s="143">
        <f>'超用20大－原因別分析'!AH129</f>
        <v>0</v>
      </c>
      <c r="L70" s="142"/>
      <c r="M70" s="143"/>
    </row>
  </sheetData>
  <mergeCells count="134"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28">
    <tabColor rgb="FF92D050"/>
    <outlinePr summaryBelow="0" summaryRight="0"/>
  </sheetPr>
  <dimension ref="A1:BW142"/>
  <sheetViews>
    <sheetView view="pageBreakPreview" topLeftCell="A99" zoomScaleNormal="60" zoomScaleSheetLayoutView="100" workbookViewId="0">
      <selection activeCell="N112" sqref="N112"/>
    </sheetView>
  </sheetViews>
  <sheetFormatPr defaultColWidth="12.5703125" defaultRowHeight="15.75" customHeight="1"/>
  <cols>
    <col min="1" max="1" width="5.42578125" style="99" customWidth="1"/>
    <col min="2" max="2" width="11.42578125" style="132" customWidth="1"/>
    <col min="3" max="3" width="4" style="130" customWidth="1"/>
    <col min="4" max="9" width="9.5703125" style="99" customWidth="1"/>
    <col min="10" max="10" width="9.85546875" style="99" customWidth="1"/>
    <col min="11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508" t="s">
        <v>372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75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75" s="136" customFormat="1" ht="15.75" customHeight="1">
      <c r="A3" s="859" t="s">
        <v>644</v>
      </c>
      <c r="B3" s="859"/>
      <c r="C3" s="859"/>
      <c r="D3" s="859"/>
      <c r="E3" s="859"/>
      <c r="F3" s="859"/>
      <c r="G3" s="859"/>
      <c r="H3" s="859"/>
      <c r="I3" s="859"/>
      <c r="J3" s="859"/>
      <c r="K3" s="859"/>
      <c r="L3" s="859"/>
      <c r="M3" s="859"/>
      <c r="R3" s="238"/>
      <c r="S3" s="238"/>
      <c r="T3" s="238"/>
      <c r="U3" s="238"/>
    </row>
    <row r="4" spans="1:75" s="137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75" s="136" customFormat="1" ht="15.75" customHeight="1">
      <c r="A5" s="734" t="s">
        <v>191</v>
      </c>
      <c r="B5" s="727">
        <v>1</v>
      </c>
      <c r="C5" s="728"/>
      <c r="D5" s="727">
        <v>2</v>
      </c>
      <c r="E5" s="728"/>
      <c r="F5" s="727">
        <v>3</v>
      </c>
      <c r="G5" s="728"/>
      <c r="H5" s="736">
        <v>4</v>
      </c>
      <c r="I5" s="737"/>
      <c r="J5" s="736">
        <v>5</v>
      </c>
      <c r="K5" s="737"/>
      <c r="L5" s="736">
        <v>6</v>
      </c>
      <c r="M5" s="737"/>
      <c r="N5" s="736">
        <v>7</v>
      </c>
      <c r="O5" s="737"/>
      <c r="P5" s="736">
        <v>8</v>
      </c>
      <c r="Q5" s="737"/>
      <c r="R5" s="238"/>
      <c r="S5" s="238"/>
      <c r="T5" s="238"/>
      <c r="U5" s="238"/>
    </row>
    <row r="6" spans="1:75" s="136" customFormat="1" ht="15.75" customHeight="1">
      <c r="A6" s="735"/>
      <c r="B6" s="729" t="s">
        <v>487</v>
      </c>
      <c r="C6" s="730"/>
      <c r="D6" s="729" t="s">
        <v>212</v>
      </c>
      <c r="E6" s="730"/>
      <c r="F6" s="729" t="s">
        <v>166</v>
      </c>
      <c r="G6" s="730"/>
      <c r="H6" s="731" t="s">
        <v>457</v>
      </c>
      <c r="I6" s="732"/>
      <c r="J6" s="731" t="s">
        <v>189</v>
      </c>
      <c r="K6" s="732"/>
      <c r="L6" s="731" t="s">
        <v>167</v>
      </c>
      <c r="M6" s="732"/>
      <c r="N6" s="731" t="s">
        <v>190</v>
      </c>
      <c r="O6" s="732"/>
      <c r="P6" s="849" t="s">
        <v>217</v>
      </c>
      <c r="Q6" s="850"/>
      <c r="R6" s="238"/>
      <c r="S6" s="238"/>
      <c r="T6" s="238"/>
      <c r="U6" s="238"/>
    </row>
    <row r="7" spans="1:75" s="136" customFormat="1" ht="15.75" customHeight="1">
      <c r="B7" s="239"/>
      <c r="C7" s="240"/>
      <c r="R7" s="238"/>
      <c r="S7" s="238"/>
      <c r="T7" s="238"/>
      <c r="U7" s="238"/>
    </row>
    <row r="8" spans="1:75" s="242" customFormat="1" ht="15.75" customHeight="1">
      <c r="A8" s="736" t="s">
        <v>191</v>
      </c>
      <c r="B8" s="737"/>
      <c r="C8" s="241" t="s">
        <v>47</v>
      </c>
      <c r="D8" s="851" t="s">
        <v>12</v>
      </c>
      <c r="E8" s="725"/>
      <c r="F8" s="839"/>
      <c r="G8" s="852" t="s">
        <v>53</v>
      </c>
      <c r="H8" s="853"/>
      <c r="I8" s="854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855" t="s">
        <v>51</v>
      </c>
      <c r="P8" s="856"/>
    </row>
    <row r="9" spans="1:75" s="136" customFormat="1" ht="50.1" customHeight="1">
      <c r="A9" s="840">
        <v>1</v>
      </c>
      <c r="B9" s="843" t="s">
        <v>488</v>
      </c>
      <c r="C9" s="243">
        <v>1</v>
      </c>
      <c r="D9" s="244" t="s">
        <v>344</v>
      </c>
      <c r="E9" s="245"/>
      <c r="F9" s="245"/>
      <c r="G9" s="380" t="s">
        <v>336</v>
      </c>
      <c r="H9" s="312"/>
      <c r="I9" s="313"/>
      <c r="J9" s="243">
        <v>141.66999999999999</v>
      </c>
      <c r="K9" s="249">
        <v>1.606122668966261E-2</v>
      </c>
      <c r="L9" s="243">
        <v>8.94</v>
      </c>
      <c r="M9" s="330">
        <f>L9*J9</f>
        <v>1266.5297999999998</v>
      </c>
      <c r="N9" s="250"/>
      <c r="O9" s="754" t="s">
        <v>513</v>
      </c>
      <c r="P9" s="755"/>
      <c r="R9" s="238"/>
      <c r="S9" s="430"/>
      <c r="T9" s="268"/>
      <c r="U9" s="238"/>
    </row>
    <row r="10" spans="1:75" s="136" customFormat="1" ht="50.1" customHeight="1">
      <c r="A10" s="841"/>
      <c r="B10" s="844"/>
      <c r="C10" s="243">
        <v>2</v>
      </c>
      <c r="D10" s="244" t="s">
        <v>618</v>
      </c>
      <c r="E10" s="245"/>
      <c r="F10" s="245"/>
      <c r="G10" s="380" t="s">
        <v>620</v>
      </c>
      <c r="H10" s="312"/>
      <c r="I10" s="313"/>
      <c r="J10" s="243">
        <v>98.470000000000013</v>
      </c>
      <c r="K10" s="249">
        <v>8.2886837518559159E-3</v>
      </c>
      <c r="L10" s="243">
        <v>12.839999999999998</v>
      </c>
      <c r="M10" s="330">
        <f t="shared" ref="M10:M13" si="0">L10*J10</f>
        <v>1264.3548000000001</v>
      </c>
      <c r="N10" s="250"/>
      <c r="O10" s="857" t="s">
        <v>646</v>
      </c>
      <c r="P10" s="847"/>
      <c r="R10" s="238"/>
      <c r="S10" s="431"/>
      <c r="T10" s="431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s="136" customFormat="1" ht="50.1" customHeight="1">
      <c r="A11" s="841"/>
      <c r="B11" s="844"/>
      <c r="C11" s="243">
        <v>3</v>
      </c>
      <c r="D11" s="244" t="s">
        <v>618</v>
      </c>
      <c r="E11" s="245"/>
      <c r="F11" s="245"/>
      <c r="G11" s="380" t="s">
        <v>621</v>
      </c>
      <c r="H11" s="312"/>
      <c r="I11" s="313"/>
      <c r="J11" s="243">
        <v>139.97999999999999</v>
      </c>
      <c r="K11" s="249">
        <v>4.7107998192498874E-3</v>
      </c>
      <c r="L11" s="243">
        <v>8.34</v>
      </c>
      <c r="M11" s="330">
        <f t="shared" si="0"/>
        <v>1167.4331999999999</v>
      </c>
      <c r="N11" s="250"/>
      <c r="O11" s="858" t="s">
        <v>646</v>
      </c>
      <c r="P11" s="811"/>
      <c r="R11" s="238"/>
      <c r="S11" s="430"/>
      <c r="T11" s="430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s="136" customFormat="1" ht="50.1" customHeight="1">
      <c r="A12" s="841"/>
      <c r="B12" s="844"/>
      <c r="C12" s="243">
        <v>4</v>
      </c>
      <c r="D12" s="244" t="s">
        <v>358</v>
      </c>
      <c r="E12" s="245"/>
      <c r="F12" s="245"/>
      <c r="G12" s="380" t="s">
        <v>366</v>
      </c>
      <c r="H12" s="312"/>
      <c r="I12" s="313"/>
      <c r="J12" s="243">
        <v>253.92000000000002</v>
      </c>
      <c r="K12" s="249">
        <v>1.9366868669746157E-2</v>
      </c>
      <c r="L12" s="243">
        <v>4.57</v>
      </c>
      <c r="M12" s="330">
        <f t="shared" si="0"/>
        <v>1160.4144000000001</v>
      </c>
      <c r="N12" s="250"/>
      <c r="O12" s="858" t="s">
        <v>590</v>
      </c>
      <c r="P12" s="811"/>
      <c r="R12" s="238"/>
      <c r="S12" s="431"/>
      <c r="T12" s="431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s="136" customFormat="1" ht="50.1" customHeight="1" thickBot="1">
      <c r="A13" s="841"/>
      <c r="B13" s="844"/>
      <c r="C13" s="243">
        <v>5</v>
      </c>
      <c r="D13" s="251" t="s">
        <v>358</v>
      </c>
      <c r="E13" s="252"/>
      <c r="F13" s="252"/>
      <c r="G13" s="413" t="s">
        <v>365</v>
      </c>
      <c r="H13" s="312"/>
      <c r="I13" s="313"/>
      <c r="J13" s="254">
        <v>183.65000000000003</v>
      </c>
      <c r="K13" s="255">
        <v>2.146231258985418E-2</v>
      </c>
      <c r="L13" s="254">
        <v>6.27</v>
      </c>
      <c r="M13" s="331">
        <f t="shared" si="0"/>
        <v>1151.4855000000002</v>
      </c>
      <c r="N13" s="250"/>
      <c r="O13" s="858" t="s">
        <v>505</v>
      </c>
      <c r="P13" s="811"/>
      <c r="R13" s="238"/>
      <c r="S13" s="430"/>
      <c r="T13" s="430"/>
      <c r="U13" s="238"/>
      <c r="V13" s="432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s="136" customFormat="1" ht="15.75" customHeight="1" thickTop="1">
      <c r="A14" s="842"/>
      <c r="B14" s="845"/>
      <c r="C14" s="714"/>
      <c r="D14" s="715"/>
      <c r="E14" s="715"/>
      <c r="F14" s="715"/>
      <c r="G14" s="715"/>
      <c r="H14" s="715"/>
      <c r="I14" s="848"/>
      <c r="J14" s="256" t="s">
        <v>58</v>
      </c>
      <c r="K14" s="213">
        <f>M14/'生產管理報表 7-1 (週)'!$B$9</f>
        <v>9.9217063425183577E-2</v>
      </c>
      <c r="L14" s="256" t="s">
        <v>59</v>
      </c>
      <c r="M14" s="332">
        <f>SUM(M9:M13)</f>
        <v>6010.2177000000011</v>
      </c>
      <c r="N14" s="800"/>
      <c r="O14" s="801"/>
      <c r="P14" s="802"/>
      <c r="R14" s="238"/>
      <c r="S14" s="211"/>
      <c r="T14" s="211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s="136" customFormat="1" ht="15.75" customHeight="1">
      <c r="B15" s="239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R15" s="238"/>
      <c r="S15" s="268"/>
      <c r="T15" s="26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s="136" customFormat="1" ht="15.75" customHeight="1">
      <c r="A16" s="736" t="s">
        <v>191</v>
      </c>
      <c r="B16" s="737"/>
      <c r="C16" s="259" t="s">
        <v>47</v>
      </c>
      <c r="D16" s="724" t="s">
        <v>12</v>
      </c>
      <c r="E16" s="725"/>
      <c r="F16" s="726"/>
      <c r="G16" s="724" t="s">
        <v>53</v>
      </c>
      <c r="H16" s="725"/>
      <c r="I16" s="726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333</v>
      </c>
      <c r="O16" s="803" t="s">
        <v>51</v>
      </c>
      <c r="P16" s="804"/>
      <c r="R16" s="238"/>
      <c r="S16" s="211"/>
      <c r="T16" s="211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s="136" customFormat="1" ht="20.100000000000001" customHeight="1">
      <c r="A17" s="840">
        <v>2</v>
      </c>
      <c r="B17" s="843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05"/>
      <c r="P17" s="806"/>
      <c r="R17" s="238"/>
      <c r="S17" s="268"/>
      <c r="T17" s="26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s="136" customFormat="1" ht="20.100000000000001" customHeight="1">
      <c r="A18" s="841"/>
      <c r="B18" s="844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05"/>
      <c r="P18" s="806"/>
      <c r="R18" s="238"/>
      <c r="S18" s="211"/>
      <c r="T18" s="211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s="136" customFormat="1" ht="20.100000000000001" customHeight="1">
      <c r="A19" s="841"/>
      <c r="B19" s="844"/>
      <c r="C19" s="263">
        <v>3</v>
      </c>
      <c r="D19" s="244"/>
      <c r="E19" s="245"/>
      <c r="F19" s="246"/>
      <c r="G19" s="244"/>
      <c r="H19" s="245"/>
      <c r="I19" s="275"/>
      <c r="J19" s="264"/>
      <c r="K19" s="265"/>
      <c r="L19" s="264"/>
      <c r="M19" s="266">
        <f t="shared" si="1"/>
        <v>0</v>
      </c>
      <c r="N19" s="267"/>
      <c r="O19" s="805"/>
      <c r="P19" s="806"/>
      <c r="R19" s="238"/>
      <c r="S19" s="268"/>
      <c r="T19" s="26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s="136" customFormat="1" ht="20.100000000000001" customHeight="1">
      <c r="A20" s="841"/>
      <c r="B20" s="844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05"/>
      <c r="P20" s="806"/>
      <c r="R20" s="238"/>
      <c r="S20" s="211"/>
      <c r="T20" s="211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s="136" customFormat="1" ht="20.100000000000001" customHeight="1" thickBot="1">
      <c r="A21" s="841"/>
      <c r="B21" s="844"/>
      <c r="C21" s="269">
        <v>5</v>
      </c>
      <c r="D21" s="251"/>
      <c r="E21" s="252"/>
      <c r="F21" s="253"/>
      <c r="G21" s="244"/>
      <c r="H21" s="245"/>
      <c r="I21" s="246"/>
      <c r="J21" s="270"/>
      <c r="K21" s="271"/>
      <c r="L21" s="270"/>
      <c r="M21" s="272">
        <f t="shared" si="1"/>
        <v>0</v>
      </c>
      <c r="N21" s="273"/>
      <c r="O21" s="805"/>
      <c r="P21" s="806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s="136" customFormat="1" ht="15.75" customHeight="1" thickTop="1">
      <c r="A22" s="842"/>
      <c r="B22" s="845"/>
      <c r="C22" s="714"/>
      <c r="D22" s="715"/>
      <c r="E22" s="715"/>
      <c r="F22" s="715"/>
      <c r="G22" s="715"/>
      <c r="H22" s="715"/>
      <c r="I22" s="848"/>
      <c r="J22" s="256" t="s">
        <v>58</v>
      </c>
      <c r="K22" s="213">
        <f>M22/'生產管理報表 7-1 (週)'!$B$9</f>
        <v>0</v>
      </c>
      <c r="L22" s="256" t="s">
        <v>59</v>
      </c>
      <c r="M22" s="257">
        <f>SUM(M17:M21)</f>
        <v>0</v>
      </c>
      <c r="N22" s="807"/>
      <c r="O22" s="808"/>
      <c r="P22" s="809"/>
      <c r="R22" s="238"/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s="136" customFormat="1" ht="15.75" customHeight="1">
      <c r="B23" s="239"/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s="136" customFormat="1" ht="15.75" customHeight="1">
      <c r="A24" s="736" t="s">
        <v>191</v>
      </c>
      <c r="B24" s="737"/>
      <c r="C24" s="259" t="s">
        <v>47</v>
      </c>
      <c r="D24" s="724" t="s">
        <v>12</v>
      </c>
      <c r="E24" s="725"/>
      <c r="F24" s="726"/>
      <c r="G24" s="724" t="s">
        <v>53</v>
      </c>
      <c r="H24" s="725"/>
      <c r="I24" s="839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333</v>
      </c>
      <c r="O24" s="815" t="s">
        <v>51</v>
      </c>
      <c r="P24" s="816"/>
      <c r="R24" s="238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s="136" customFormat="1" ht="50.1" customHeight="1">
      <c r="A25" s="840">
        <v>3</v>
      </c>
      <c r="B25" s="843" t="s">
        <v>447</v>
      </c>
      <c r="C25" s="263">
        <v>1</v>
      </c>
      <c r="D25" s="244" t="s">
        <v>342</v>
      </c>
      <c r="E25" s="245"/>
      <c r="F25" s="246"/>
      <c r="G25" s="253" t="s">
        <v>481</v>
      </c>
      <c r="H25" s="252"/>
      <c r="I25" s="253"/>
      <c r="J25" s="264">
        <v>2.4499999999999997</v>
      </c>
      <c r="K25" s="265">
        <v>4.3454725889393439E-3</v>
      </c>
      <c r="L25" s="264">
        <v>578</v>
      </c>
      <c r="M25" s="333">
        <f t="shared" ref="M25:M29" si="2">L25*J25</f>
        <v>1416.1</v>
      </c>
      <c r="N25" s="277"/>
      <c r="O25" s="846" t="s">
        <v>506</v>
      </c>
      <c r="P25" s="847"/>
      <c r="R25" s="238"/>
      <c r="S25" s="432"/>
      <c r="T25" s="432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s="136" customFormat="1" ht="50.1" customHeight="1">
      <c r="A26" s="841"/>
      <c r="B26" s="844"/>
      <c r="C26" s="263">
        <v>2</v>
      </c>
      <c r="D26" s="244" t="s">
        <v>342</v>
      </c>
      <c r="E26" s="245"/>
      <c r="F26" s="246"/>
      <c r="G26" s="253" t="s">
        <v>480</v>
      </c>
      <c r="H26" s="252"/>
      <c r="I26" s="253"/>
      <c r="J26" s="264">
        <v>1.17</v>
      </c>
      <c r="K26" s="265">
        <v>3.4642838708893887E-3</v>
      </c>
      <c r="L26" s="264">
        <v>1141</v>
      </c>
      <c r="M26" s="333">
        <f t="shared" si="2"/>
        <v>1334.97</v>
      </c>
      <c r="N26" s="277"/>
      <c r="O26" s="810" t="s">
        <v>550</v>
      </c>
      <c r="P26" s="811"/>
      <c r="R26" s="238"/>
      <c r="S26" s="432"/>
      <c r="T26" s="439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s="136" customFormat="1" ht="50.1" customHeight="1">
      <c r="A27" s="841"/>
      <c r="B27" s="844"/>
      <c r="C27" s="263">
        <v>3</v>
      </c>
      <c r="D27" s="244" t="s">
        <v>618</v>
      </c>
      <c r="E27" s="245"/>
      <c r="F27" s="246"/>
      <c r="G27" s="253" t="s">
        <v>623</v>
      </c>
      <c r="H27" s="252"/>
      <c r="I27" s="253"/>
      <c r="J27" s="264">
        <v>16.099999999999998</v>
      </c>
      <c r="K27" s="265">
        <v>2.8468142792589246E-3</v>
      </c>
      <c r="L27" s="264">
        <v>63</v>
      </c>
      <c r="M27" s="333">
        <f t="shared" si="2"/>
        <v>1014.2999999999998</v>
      </c>
      <c r="N27" s="277"/>
      <c r="O27" s="810" t="s">
        <v>645</v>
      </c>
      <c r="P27" s="811"/>
      <c r="R27" s="238"/>
      <c r="S27" s="432"/>
      <c r="T27" s="439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s="136" customFormat="1" ht="50.1" customHeight="1">
      <c r="A28" s="841"/>
      <c r="B28" s="844"/>
      <c r="C28" s="263">
        <v>4</v>
      </c>
      <c r="D28" s="244"/>
      <c r="E28" s="245"/>
      <c r="F28" s="246"/>
      <c r="G28" s="251"/>
      <c r="H28" s="252"/>
      <c r="I28" s="253"/>
      <c r="J28" s="276"/>
      <c r="K28" s="265"/>
      <c r="L28" s="264"/>
      <c r="M28" s="333">
        <f t="shared" si="2"/>
        <v>0</v>
      </c>
      <c r="N28" s="277"/>
      <c r="O28" s="810"/>
      <c r="P28" s="811"/>
      <c r="R28" s="238"/>
      <c r="S28" s="238"/>
      <c r="T2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s="136" customFormat="1" ht="30" customHeight="1" thickBot="1">
      <c r="A29" s="841"/>
      <c r="B29" s="844"/>
      <c r="C29" s="269">
        <v>5</v>
      </c>
      <c r="D29" s="251"/>
      <c r="E29" s="252"/>
      <c r="F29" s="253"/>
      <c r="G29" s="410"/>
      <c r="H29" s="411"/>
      <c r="I29" s="412"/>
      <c r="J29" s="279"/>
      <c r="K29" s="271"/>
      <c r="L29" s="280"/>
      <c r="M29" s="333">
        <f t="shared" si="2"/>
        <v>0</v>
      </c>
      <c r="N29" s="277"/>
      <c r="O29" s="810"/>
      <c r="P29" s="811"/>
      <c r="R29" s="238"/>
      <c r="S29" s="238"/>
      <c r="T29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s="136" customFormat="1" ht="15.75" customHeight="1" thickTop="1">
      <c r="A30" s="842"/>
      <c r="B30" s="845"/>
      <c r="C30" s="714"/>
      <c r="D30" s="715"/>
      <c r="E30" s="715"/>
      <c r="F30" s="715"/>
      <c r="G30" s="715"/>
      <c r="H30" s="715"/>
      <c r="I30" s="848"/>
      <c r="J30" s="281" t="s">
        <v>58</v>
      </c>
      <c r="K30" s="213">
        <f>M30/'生產管理報表 7-1 (週)'!$B$9</f>
        <v>6.2158972063405184E-2</v>
      </c>
      <c r="L30" s="281" t="s">
        <v>59</v>
      </c>
      <c r="M30" s="334">
        <f>SUM(M25:M29)</f>
        <v>3765.3699999999994</v>
      </c>
      <c r="N30" s="812"/>
      <c r="O30" s="813"/>
      <c r="P30" s="814"/>
      <c r="R30" s="238"/>
      <c r="S30" s="238"/>
      <c r="T30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  <row r="31" spans="1:36" s="136" customFormat="1" ht="15.75" customHeight="1">
      <c r="A31" s="859" t="s">
        <v>697</v>
      </c>
      <c r="B31" s="859"/>
      <c r="C31" s="859"/>
      <c r="D31" s="859"/>
      <c r="E31" s="859"/>
      <c r="F31" s="859"/>
      <c r="G31" s="859"/>
      <c r="H31" s="859"/>
      <c r="I31" s="859"/>
      <c r="J31" s="859"/>
      <c r="K31" s="859"/>
      <c r="L31" s="859"/>
      <c r="M31" s="859"/>
      <c r="R31" s="238"/>
      <c r="S31" s="238"/>
      <c r="T31" s="238"/>
      <c r="U31" s="238"/>
    </row>
    <row r="32" spans="1:36" s="137" customFormat="1" ht="15.75" customHeight="1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</row>
    <row r="33" spans="1:75" s="136" customFormat="1" ht="15.75" customHeight="1">
      <c r="A33" s="734" t="s">
        <v>191</v>
      </c>
      <c r="B33" s="727">
        <v>1</v>
      </c>
      <c r="C33" s="728"/>
      <c r="D33" s="727">
        <v>2</v>
      </c>
      <c r="E33" s="728"/>
      <c r="F33" s="727">
        <v>3</v>
      </c>
      <c r="G33" s="728"/>
      <c r="H33" s="736">
        <v>4</v>
      </c>
      <c r="I33" s="737"/>
      <c r="J33" s="736">
        <v>5</v>
      </c>
      <c r="K33" s="737"/>
      <c r="L33" s="736">
        <v>6</v>
      </c>
      <c r="M33" s="737"/>
      <c r="N33" s="736">
        <v>7</v>
      </c>
      <c r="O33" s="737"/>
      <c r="P33" s="736">
        <v>8</v>
      </c>
      <c r="Q33" s="737"/>
      <c r="R33" s="238"/>
      <c r="S33" s="238"/>
      <c r="T33" s="238"/>
      <c r="U33" s="238"/>
    </row>
    <row r="34" spans="1:75" s="136" customFormat="1" ht="15.75" customHeight="1">
      <c r="A34" s="735"/>
      <c r="B34" s="729" t="s">
        <v>487</v>
      </c>
      <c r="C34" s="730"/>
      <c r="D34" s="729" t="s">
        <v>212</v>
      </c>
      <c r="E34" s="730"/>
      <c r="F34" s="729" t="s">
        <v>166</v>
      </c>
      <c r="G34" s="730"/>
      <c r="H34" s="731" t="s">
        <v>457</v>
      </c>
      <c r="I34" s="732"/>
      <c r="J34" s="731" t="s">
        <v>189</v>
      </c>
      <c r="K34" s="732"/>
      <c r="L34" s="731" t="s">
        <v>167</v>
      </c>
      <c r="M34" s="732"/>
      <c r="N34" s="731" t="s">
        <v>190</v>
      </c>
      <c r="O34" s="732"/>
      <c r="P34" s="849" t="s">
        <v>217</v>
      </c>
      <c r="Q34" s="850"/>
      <c r="R34" s="238"/>
      <c r="S34" s="238"/>
      <c r="T34" s="238"/>
      <c r="U34" s="238"/>
    </row>
    <row r="35" spans="1:75" s="136" customFormat="1" ht="15.75" customHeight="1">
      <c r="B35" s="239"/>
      <c r="C35" s="240"/>
      <c r="R35" s="238"/>
      <c r="S35" s="238"/>
      <c r="T35" s="238"/>
      <c r="U35" s="238"/>
    </row>
    <row r="36" spans="1:75" s="242" customFormat="1" ht="15.75" customHeight="1">
      <c r="A36" s="736" t="s">
        <v>191</v>
      </c>
      <c r="B36" s="737"/>
      <c r="C36" s="241" t="s">
        <v>47</v>
      </c>
      <c r="D36" s="851" t="s">
        <v>12</v>
      </c>
      <c r="E36" s="725"/>
      <c r="F36" s="839"/>
      <c r="G36" s="852" t="s">
        <v>53</v>
      </c>
      <c r="H36" s="853"/>
      <c r="I36" s="854"/>
      <c r="J36" s="241" t="s">
        <v>54</v>
      </c>
      <c r="K36" s="241" t="s">
        <v>55</v>
      </c>
      <c r="L36" s="241" t="s">
        <v>56</v>
      </c>
      <c r="M36" s="241" t="s">
        <v>11</v>
      </c>
      <c r="N36" s="241" t="s">
        <v>333</v>
      </c>
      <c r="O36" s="855" t="s">
        <v>51</v>
      </c>
      <c r="P36" s="856"/>
    </row>
    <row r="37" spans="1:75" s="136" customFormat="1" ht="50.1" customHeight="1">
      <c r="A37" s="840">
        <v>1</v>
      </c>
      <c r="B37" s="843" t="s">
        <v>488</v>
      </c>
      <c r="C37" s="243">
        <v>1</v>
      </c>
      <c r="D37" s="244" t="s">
        <v>618</v>
      </c>
      <c r="E37" s="245"/>
      <c r="F37" s="245"/>
      <c r="G37" s="380" t="s">
        <v>620</v>
      </c>
      <c r="H37" s="312"/>
      <c r="I37" s="313"/>
      <c r="J37" s="243">
        <v>98.470000000000013</v>
      </c>
      <c r="K37" s="249">
        <v>1.3354200247404132E-2</v>
      </c>
      <c r="L37" s="243">
        <v>14.25</v>
      </c>
      <c r="M37" s="330">
        <f>L37*J37</f>
        <v>1403.1975000000002</v>
      </c>
      <c r="N37" s="250"/>
      <c r="O37" s="754" t="s">
        <v>646</v>
      </c>
      <c r="P37" s="755"/>
      <c r="R37" s="238"/>
      <c r="S37" s="430"/>
      <c r="T37" s="268"/>
      <c r="U37" s="238"/>
    </row>
    <row r="38" spans="1:75" s="136" customFormat="1" ht="50.1" customHeight="1">
      <c r="A38" s="841"/>
      <c r="B38" s="844"/>
      <c r="C38" s="243">
        <v>2</v>
      </c>
      <c r="D38" s="244" t="s">
        <v>344</v>
      </c>
      <c r="E38" s="245"/>
      <c r="F38" s="245"/>
      <c r="G38" s="380" t="s">
        <v>336</v>
      </c>
      <c r="H38" s="312"/>
      <c r="I38" s="313"/>
      <c r="J38" s="243">
        <v>141.66999999999999</v>
      </c>
      <c r="K38" s="249">
        <v>1.1934943438746314E-2</v>
      </c>
      <c r="L38" s="243">
        <v>8.0500000000000007</v>
      </c>
      <c r="M38" s="330">
        <f t="shared" ref="M38:M41" si="3">L38*J38</f>
        <v>1140.4435000000001</v>
      </c>
      <c r="N38" s="504">
        <f>K38-K9</f>
        <v>-4.1262832509162961E-3</v>
      </c>
      <c r="O38" s="857" t="s">
        <v>513</v>
      </c>
      <c r="P38" s="847"/>
      <c r="R38" s="238"/>
      <c r="S38" s="431"/>
      <c r="T38" s="431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  <c r="AO38" s="238"/>
      <c r="AP38" s="238"/>
      <c r="AQ38" s="238"/>
      <c r="AR38" s="238"/>
      <c r="AS38" s="238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8"/>
      <c r="BH38" s="238"/>
      <c r="BI38" s="238"/>
      <c r="BJ38" s="238"/>
      <c r="BK38" s="238"/>
      <c r="BL38" s="238"/>
      <c r="BM38" s="238"/>
      <c r="BN38" s="238"/>
      <c r="BO38" s="238"/>
      <c r="BP38" s="238"/>
      <c r="BQ38" s="238"/>
      <c r="BR38" s="238"/>
      <c r="BS38" s="238"/>
      <c r="BT38" s="238"/>
      <c r="BU38" s="238"/>
      <c r="BV38" s="238"/>
      <c r="BW38" s="238"/>
    </row>
    <row r="39" spans="1:75" s="136" customFormat="1" ht="50.1" customHeight="1">
      <c r="A39" s="841"/>
      <c r="B39" s="844"/>
      <c r="C39" s="243">
        <v>3</v>
      </c>
      <c r="D39" s="244" t="s">
        <v>469</v>
      </c>
      <c r="E39" s="245"/>
      <c r="F39" s="245"/>
      <c r="G39" s="380" t="s">
        <v>470</v>
      </c>
      <c r="H39" s="312"/>
      <c r="I39" s="313"/>
      <c r="J39" s="243">
        <v>181.60999999999999</v>
      </c>
      <c r="K39" s="249">
        <v>1.2510742050882349E-2</v>
      </c>
      <c r="L39" s="243">
        <v>6.2600000000000007</v>
      </c>
      <c r="M39" s="330">
        <f t="shared" si="3"/>
        <v>1136.8786</v>
      </c>
      <c r="N39" s="250"/>
      <c r="O39" s="858" t="s">
        <v>705</v>
      </c>
      <c r="P39" s="811"/>
      <c r="R39" s="238"/>
      <c r="S39" s="430"/>
      <c r="T39" s="430"/>
      <c r="U39" s="238"/>
      <c r="V39" s="238"/>
      <c r="W39" s="238"/>
      <c r="X39" s="238"/>
      <c r="Y39" s="238"/>
      <c r="Z39" s="238"/>
      <c r="AA39" s="238"/>
      <c r="AB39" s="238"/>
      <c r="AC39" s="238"/>
      <c r="AD39" s="238"/>
      <c r="AE39" s="238"/>
      <c r="AF39" s="238"/>
      <c r="AG39" s="238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  <c r="AR39" s="238"/>
      <c r="AS39" s="238"/>
      <c r="AT39" s="238"/>
      <c r="AU39" s="238"/>
      <c r="AV39" s="238"/>
      <c r="AW39" s="238"/>
      <c r="AX39" s="238"/>
      <c r="AY39" s="238"/>
      <c r="AZ39" s="238"/>
      <c r="BA39" s="238"/>
      <c r="BB39" s="238"/>
      <c r="BC39" s="238"/>
      <c r="BD39" s="238"/>
      <c r="BE39" s="238"/>
      <c r="BF39" s="238"/>
      <c r="BG39" s="238"/>
      <c r="BH39" s="238"/>
      <c r="BI39" s="238"/>
      <c r="BJ39" s="238"/>
      <c r="BK39" s="238"/>
      <c r="BL39" s="238"/>
      <c r="BM39" s="238"/>
      <c r="BN39" s="238"/>
      <c r="BO39" s="238"/>
      <c r="BP39" s="238"/>
      <c r="BQ39" s="238"/>
      <c r="BR39" s="238"/>
      <c r="BS39" s="238"/>
      <c r="BT39" s="238"/>
      <c r="BU39" s="238"/>
      <c r="BV39" s="238"/>
      <c r="BW39" s="238"/>
    </row>
    <row r="40" spans="1:75" s="136" customFormat="1" ht="50.1" customHeight="1">
      <c r="A40" s="841"/>
      <c r="B40" s="844"/>
      <c r="C40" s="243">
        <v>4</v>
      </c>
      <c r="D40" s="244" t="s">
        <v>358</v>
      </c>
      <c r="E40" s="245"/>
      <c r="F40" s="245"/>
      <c r="G40" s="380" t="s">
        <v>366</v>
      </c>
      <c r="H40" s="312"/>
      <c r="I40" s="313"/>
      <c r="J40" s="243">
        <v>253.92000000000002</v>
      </c>
      <c r="K40" s="249">
        <v>1.6225226893869234E-2</v>
      </c>
      <c r="L40" s="243">
        <v>4.38</v>
      </c>
      <c r="M40" s="330">
        <f t="shared" si="3"/>
        <v>1112.1695999999999</v>
      </c>
      <c r="N40" s="504">
        <f>K40-K12</f>
        <v>-3.1416417758769223E-3</v>
      </c>
      <c r="O40" s="858" t="s">
        <v>590</v>
      </c>
      <c r="P40" s="811"/>
      <c r="R40" s="238"/>
      <c r="S40" s="431"/>
      <c r="T40" s="431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8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8"/>
      <c r="AV40" s="238"/>
      <c r="AW40" s="238"/>
      <c r="AX40" s="238"/>
      <c r="AY40" s="238"/>
      <c r="AZ40" s="238"/>
      <c r="BA40" s="238"/>
      <c r="BB40" s="238"/>
      <c r="BC40" s="238"/>
      <c r="BD40" s="238"/>
      <c r="BE40" s="238"/>
      <c r="BF40" s="238"/>
      <c r="BG40" s="238"/>
      <c r="BH40" s="238"/>
      <c r="BI40" s="238"/>
      <c r="BJ40" s="238"/>
      <c r="BK40" s="238"/>
      <c r="BL40" s="238"/>
      <c r="BM40" s="238"/>
      <c r="BN40" s="238"/>
      <c r="BO40" s="238"/>
      <c r="BP40" s="238"/>
      <c r="BQ40" s="238"/>
      <c r="BR40" s="238"/>
      <c r="BS40" s="238"/>
      <c r="BT40" s="238"/>
      <c r="BU40" s="238"/>
      <c r="BV40" s="238"/>
      <c r="BW40" s="238"/>
    </row>
    <row r="41" spans="1:75" s="136" customFormat="1" ht="50.1" customHeight="1" thickBot="1">
      <c r="A41" s="841"/>
      <c r="B41" s="844"/>
      <c r="C41" s="243">
        <v>5</v>
      </c>
      <c r="D41" s="251" t="s">
        <v>503</v>
      </c>
      <c r="E41" s="252"/>
      <c r="F41" s="252"/>
      <c r="G41" s="380" t="s">
        <v>502</v>
      </c>
      <c r="H41" s="312"/>
      <c r="I41" s="313"/>
      <c r="J41" s="254">
        <v>153.19000000000003</v>
      </c>
      <c r="K41" s="255">
        <v>2.4432032347599632E-2</v>
      </c>
      <c r="L41" s="254">
        <v>7.13</v>
      </c>
      <c r="M41" s="331">
        <f t="shared" si="3"/>
        <v>1092.2447000000002</v>
      </c>
      <c r="N41" s="250"/>
      <c r="O41" s="858" t="s">
        <v>706</v>
      </c>
      <c r="P41" s="811"/>
      <c r="R41" s="238"/>
      <c r="S41" s="430"/>
      <c r="T41" s="430"/>
      <c r="U41" s="238"/>
      <c r="V41" s="432"/>
      <c r="W41" s="238"/>
      <c r="X41" s="238"/>
      <c r="Y41" s="238"/>
      <c r="Z41" s="238"/>
      <c r="AA41" s="238"/>
      <c r="AB41" s="238"/>
      <c r="AC41" s="238"/>
      <c r="AD41" s="238"/>
      <c r="AE41" s="238"/>
      <c r="AF41" s="238"/>
      <c r="AG41" s="238"/>
      <c r="AH41" s="238"/>
      <c r="AI41" s="238"/>
      <c r="AJ41" s="238"/>
      <c r="AK41" s="238"/>
      <c r="AL41" s="238"/>
      <c r="AM41" s="238"/>
      <c r="AN41" s="238"/>
      <c r="AO41" s="238"/>
      <c r="AP41" s="238"/>
      <c r="AQ41" s="238"/>
      <c r="AR41" s="238"/>
      <c r="AS41" s="238"/>
      <c r="AT41" s="238"/>
      <c r="AU41" s="238"/>
      <c r="AV41" s="238"/>
      <c r="AW41" s="238"/>
      <c r="AX41" s="238"/>
      <c r="AY41" s="238"/>
      <c r="AZ41" s="238"/>
      <c r="BA41" s="238"/>
      <c r="BB41" s="238"/>
      <c r="BC41" s="238"/>
      <c r="BD41" s="238"/>
      <c r="BE41" s="238"/>
      <c r="BF41" s="238"/>
      <c r="BG41" s="238"/>
      <c r="BH41" s="238"/>
      <c r="BI41" s="238"/>
      <c r="BJ41" s="238"/>
      <c r="BK41" s="238"/>
      <c r="BL41" s="238"/>
      <c r="BM41" s="238"/>
      <c r="BN41" s="238"/>
      <c r="BO41" s="238"/>
      <c r="BP41" s="238"/>
      <c r="BQ41" s="238"/>
      <c r="BR41" s="238"/>
      <c r="BS41" s="238"/>
      <c r="BT41" s="238"/>
      <c r="BU41" s="238"/>
      <c r="BV41" s="238"/>
      <c r="BW41" s="238"/>
    </row>
    <row r="42" spans="1:75" s="136" customFormat="1" ht="15.75" customHeight="1" thickTop="1">
      <c r="A42" s="842"/>
      <c r="B42" s="845"/>
      <c r="C42" s="714"/>
      <c r="D42" s="715"/>
      <c r="E42" s="715"/>
      <c r="F42" s="715"/>
      <c r="G42" s="715"/>
      <c r="H42" s="715"/>
      <c r="I42" s="848"/>
      <c r="J42" s="256" t="s">
        <v>58</v>
      </c>
      <c r="K42" s="213">
        <f>M42/'生產管理報表 7-1 (週)'!$B$20</f>
        <v>8.2788615172288055E-2</v>
      </c>
      <c r="L42" s="256" t="s">
        <v>59</v>
      </c>
      <c r="M42" s="332">
        <f>SUM(M37:M41)</f>
        <v>5884.9339000000009</v>
      </c>
      <c r="N42" s="800"/>
      <c r="O42" s="801"/>
      <c r="P42" s="802"/>
      <c r="R42" s="238"/>
      <c r="S42" s="211"/>
      <c r="T42" s="211"/>
      <c r="U42" s="238"/>
      <c r="V42" s="238"/>
      <c r="W42" s="238"/>
      <c r="X42" s="238"/>
      <c r="Y42" s="238"/>
      <c r="Z42" s="238"/>
      <c r="AA42" s="238"/>
      <c r="AB42" s="238"/>
      <c r="AC42" s="238"/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  <c r="AR42" s="238"/>
      <c r="AS42" s="238"/>
      <c r="AT42" s="238"/>
      <c r="AU42" s="238"/>
      <c r="AV42" s="238"/>
      <c r="AW42" s="238"/>
      <c r="AX42" s="238"/>
      <c r="AY42" s="238"/>
      <c r="AZ42" s="238"/>
      <c r="BA42" s="238"/>
      <c r="BB42" s="238"/>
      <c r="BC42" s="238"/>
      <c r="BD42" s="238"/>
      <c r="BE42" s="238"/>
      <c r="BF42" s="238"/>
      <c r="BG42" s="238"/>
      <c r="BH42" s="238"/>
      <c r="BI42" s="238"/>
      <c r="BJ42" s="238"/>
      <c r="BK42" s="238"/>
      <c r="BL42" s="238"/>
      <c r="BM42" s="238"/>
      <c r="BN42" s="238"/>
      <c r="BO42" s="238"/>
      <c r="BP42" s="238"/>
      <c r="BQ42" s="238"/>
      <c r="BR42" s="238"/>
      <c r="BS42" s="238"/>
      <c r="BT42" s="238"/>
      <c r="BU42" s="238"/>
      <c r="BV42" s="238"/>
      <c r="BW42" s="238"/>
    </row>
    <row r="43" spans="1:75" s="136" customFormat="1" ht="15.75" customHeight="1">
      <c r="B43" s="239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58"/>
      <c r="O43" s="258"/>
      <c r="P43" s="258"/>
      <c r="R43" s="238"/>
      <c r="S43" s="268"/>
      <c r="T43" s="26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  <c r="AR43" s="238"/>
      <c r="AS43" s="238"/>
      <c r="AT43" s="238"/>
      <c r="AU43" s="238"/>
      <c r="AV43" s="238"/>
      <c r="AW43" s="238"/>
      <c r="AX43" s="238"/>
      <c r="AY43" s="238"/>
      <c r="AZ43" s="238"/>
      <c r="BA43" s="238"/>
      <c r="BB43" s="238"/>
      <c r="BC43" s="238"/>
      <c r="BD43" s="238"/>
      <c r="BE43" s="238"/>
      <c r="BF43" s="238"/>
      <c r="BG43" s="238"/>
      <c r="BH43" s="238"/>
      <c r="BI43" s="238"/>
      <c r="BJ43" s="238"/>
      <c r="BK43" s="238"/>
      <c r="BL43" s="238"/>
      <c r="BM43" s="238"/>
      <c r="BN43" s="238"/>
      <c r="BO43" s="238"/>
      <c r="BP43" s="238"/>
      <c r="BQ43" s="238"/>
      <c r="BR43" s="238"/>
      <c r="BS43" s="238"/>
      <c r="BT43" s="238"/>
      <c r="BU43" s="238"/>
      <c r="BV43" s="238"/>
      <c r="BW43" s="238"/>
    </row>
    <row r="44" spans="1:75" s="136" customFormat="1" ht="15.75" customHeight="1">
      <c r="A44" s="736" t="s">
        <v>191</v>
      </c>
      <c r="B44" s="737"/>
      <c r="C44" s="259" t="s">
        <v>47</v>
      </c>
      <c r="D44" s="724" t="s">
        <v>12</v>
      </c>
      <c r="E44" s="725"/>
      <c r="F44" s="726"/>
      <c r="G44" s="724" t="s">
        <v>53</v>
      </c>
      <c r="H44" s="725"/>
      <c r="I44" s="726"/>
      <c r="J44" s="261" t="s">
        <v>54</v>
      </c>
      <c r="K44" s="261" t="s">
        <v>55</v>
      </c>
      <c r="L44" s="261" t="s">
        <v>56</v>
      </c>
      <c r="M44" s="261" t="s">
        <v>11</v>
      </c>
      <c r="N44" s="262" t="s">
        <v>333</v>
      </c>
      <c r="O44" s="803" t="s">
        <v>51</v>
      </c>
      <c r="P44" s="804"/>
      <c r="R44" s="238"/>
      <c r="S44" s="211"/>
      <c r="T44" s="211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8"/>
      <c r="AF44" s="238"/>
      <c r="AG44" s="238"/>
      <c r="AH44" s="238"/>
      <c r="AI44" s="238"/>
      <c r="AJ44" s="238"/>
    </row>
    <row r="45" spans="1:75" s="136" customFormat="1" ht="20.100000000000001" customHeight="1">
      <c r="A45" s="840">
        <v>2</v>
      </c>
      <c r="B45" s="843" t="s">
        <v>213</v>
      </c>
      <c r="C45" s="263">
        <v>1</v>
      </c>
      <c r="D45" s="244"/>
      <c r="E45" s="245"/>
      <c r="F45" s="246"/>
      <c r="G45" s="244"/>
      <c r="H45" s="245"/>
      <c r="I45" s="246"/>
      <c r="J45" s="264"/>
      <c r="K45" s="265"/>
      <c r="L45" s="264"/>
      <c r="M45" s="266">
        <f t="shared" ref="M45:M49" si="4">L45*J45</f>
        <v>0</v>
      </c>
      <c r="N45" s="267"/>
      <c r="O45" s="805"/>
      <c r="P45" s="806"/>
      <c r="R45" s="238"/>
      <c r="S45" s="268"/>
      <c r="T45" s="26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38"/>
      <c r="AF45" s="238"/>
      <c r="AG45" s="238"/>
      <c r="AH45" s="238"/>
      <c r="AI45" s="238"/>
      <c r="AJ45" s="238"/>
    </row>
    <row r="46" spans="1:75" s="136" customFormat="1" ht="20.100000000000001" customHeight="1">
      <c r="A46" s="841"/>
      <c r="B46" s="844"/>
      <c r="C46" s="263">
        <v>2</v>
      </c>
      <c r="D46" s="244"/>
      <c r="E46" s="245"/>
      <c r="F46" s="246"/>
      <c r="G46" s="244"/>
      <c r="H46" s="245"/>
      <c r="I46" s="246"/>
      <c r="J46" s="264"/>
      <c r="K46" s="265"/>
      <c r="L46" s="264"/>
      <c r="M46" s="266">
        <f t="shared" si="4"/>
        <v>0</v>
      </c>
      <c r="N46" s="267"/>
      <c r="O46" s="805"/>
      <c r="P46" s="806"/>
      <c r="R46" s="238"/>
      <c r="S46" s="211"/>
      <c r="T46" s="211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38"/>
      <c r="AF46" s="238"/>
      <c r="AG46" s="238"/>
      <c r="AH46" s="238"/>
      <c r="AI46" s="238"/>
      <c r="AJ46" s="238"/>
    </row>
    <row r="47" spans="1:75" s="136" customFormat="1" ht="20.100000000000001" customHeight="1">
      <c r="A47" s="841"/>
      <c r="B47" s="844"/>
      <c r="C47" s="263">
        <v>3</v>
      </c>
      <c r="D47" s="244"/>
      <c r="E47" s="245"/>
      <c r="F47" s="246"/>
      <c r="G47" s="244"/>
      <c r="H47" s="245"/>
      <c r="I47" s="275"/>
      <c r="J47" s="264"/>
      <c r="K47" s="265"/>
      <c r="L47" s="264"/>
      <c r="M47" s="266">
        <f t="shared" si="4"/>
        <v>0</v>
      </c>
      <c r="N47" s="267"/>
      <c r="O47" s="805"/>
      <c r="P47" s="806"/>
      <c r="R47" s="238"/>
      <c r="S47" s="268"/>
      <c r="T47" s="26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8"/>
      <c r="AF47" s="238"/>
      <c r="AG47" s="238"/>
      <c r="AH47" s="238"/>
    </row>
    <row r="48" spans="1:75" s="136" customFormat="1" ht="20.100000000000001" customHeight="1">
      <c r="A48" s="841"/>
      <c r="B48" s="844"/>
      <c r="C48" s="263">
        <v>4</v>
      </c>
      <c r="D48" s="244"/>
      <c r="E48" s="245"/>
      <c r="F48" s="246"/>
      <c r="G48" s="244"/>
      <c r="H48" s="245"/>
      <c r="I48" s="246"/>
      <c r="J48" s="264"/>
      <c r="K48" s="265"/>
      <c r="L48" s="264"/>
      <c r="M48" s="266">
        <f t="shared" si="4"/>
        <v>0</v>
      </c>
      <c r="N48" s="267"/>
      <c r="O48" s="805"/>
      <c r="P48" s="806"/>
      <c r="R48" s="238"/>
      <c r="S48" s="211"/>
      <c r="T48" s="211"/>
      <c r="U48" s="238"/>
      <c r="V48" s="238"/>
      <c r="W48" s="238"/>
      <c r="X48" s="238"/>
      <c r="Y48" s="238"/>
      <c r="Z48" s="238"/>
      <c r="AA48" s="238"/>
      <c r="AB48" s="238"/>
      <c r="AC48" s="238"/>
      <c r="AD48" s="238"/>
      <c r="AE48" s="238"/>
      <c r="AF48" s="238"/>
      <c r="AG48" s="238"/>
      <c r="AH48" s="238"/>
    </row>
    <row r="49" spans="1:36" s="136" customFormat="1" ht="20.100000000000001" customHeight="1" thickBot="1">
      <c r="A49" s="841"/>
      <c r="B49" s="844"/>
      <c r="C49" s="269">
        <v>5</v>
      </c>
      <c r="D49" s="251"/>
      <c r="E49" s="252"/>
      <c r="F49" s="253"/>
      <c r="G49" s="244"/>
      <c r="H49" s="245"/>
      <c r="I49" s="246"/>
      <c r="J49" s="270"/>
      <c r="K49" s="271"/>
      <c r="L49" s="270"/>
      <c r="M49" s="272">
        <f t="shared" si="4"/>
        <v>0</v>
      </c>
      <c r="N49" s="273"/>
      <c r="O49" s="805"/>
      <c r="P49" s="806"/>
      <c r="R49" s="238"/>
      <c r="S49" s="238"/>
      <c r="T49" s="238"/>
      <c r="U49" s="238"/>
      <c r="V49" s="238"/>
      <c r="W49" s="238"/>
      <c r="X49" s="238"/>
      <c r="Y49" s="238"/>
      <c r="Z49" s="238"/>
      <c r="AA49" s="238"/>
      <c r="AB49" s="238"/>
      <c r="AC49" s="238"/>
      <c r="AD49" s="238"/>
      <c r="AE49" s="238"/>
      <c r="AF49" s="238"/>
      <c r="AG49" s="238"/>
      <c r="AH49" s="238"/>
    </row>
    <row r="50" spans="1:36" s="136" customFormat="1" ht="15.75" customHeight="1" thickTop="1">
      <c r="A50" s="842"/>
      <c r="B50" s="845"/>
      <c r="C50" s="714"/>
      <c r="D50" s="715"/>
      <c r="E50" s="715"/>
      <c r="F50" s="715"/>
      <c r="G50" s="715"/>
      <c r="H50" s="715"/>
      <c r="I50" s="848"/>
      <c r="J50" s="256" t="s">
        <v>58</v>
      </c>
      <c r="K50" s="213">
        <f>M50/'生產管理報表 7-1 (週)'!$B$20</f>
        <v>0</v>
      </c>
      <c r="L50" s="256" t="s">
        <v>59</v>
      </c>
      <c r="M50" s="257">
        <f>SUM(M45:M49)</f>
        <v>0</v>
      </c>
      <c r="N50" s="807"/>
      <c r="O50" s="808"/>
      <c r="P50" s="809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8"/>
      <c r="AG50" s="238"/>
      <c r="AH50" s="238"/>
    </row>
    <row r="51" spans="1:36" s="136" customFormat="1" ht="15.75" customHeight="1">
      <c r="B51" s="239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74"/>
      <c r="O51" s="274"/>
      <c r="P51" s="274"/>
      <c r="R51" s="238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  <c r="AE51" s="238"/>
      <c r="AF51" s="238"/>
      <c r="AG51" s="238"/>
      <c r="AH51" s="238"/>
    </row>
    <row r="52" spans="1:36" s="136" customFormat="1" ht="15.75" customHeight="1">
      <c r="A52" s="736" t="s">
        <v>191</v>
      </c>
      <c r="B52" s="737"/>
      <c r="C52" s="259" t="s">
        <v>47</v>
      </c>
      <c r="D52" s="724" t="s">
        <v>12</v>
      </c>
      <c r="E52" s="725"/>
      <c r="F52" s="726"/>
      <c r="G52" s="724" t="s">
        <v>53</v>
      </c>
      <c r="H52" s="725"/>
      <c r="I52" s="839"/>
      <c r="J52" s="260" t="s">
        <v>54</v>
      </c>
      <c r="K52" s="261" t="s">
        <v>55</v>
      </c>
      <c r="L52" s="261" t="s">
        <v>56</v>
      </c>
      <c r="M52" s="261" t="s">
        <v>11</v>
      </c>
      <c r="N52" s="262" t="s">
        <v>333</v>
      </c>
      <c r="O52" s="815" t="s">
        <v>51</v>
      </c>
      <c r="P52" s="816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  <c r="AE52" s="238"/>
      <c r="AF52" s="238"/>
      <c r="AG52" s="238"/>
      <c r="AH52" s="238"/>
      <c r="AI52" s="238"/>
      <c r="AJ52" s="238"/>
    </row>
    <row r="53" spans="1:36" s="136" customFormat="1" ht="50.1" customHeight="1">
      <c r="A53" s="840">
        <v>3</v>
      </c>
      <c r="B53" s="843" t="s">
        <v>447</v>
      </c>
      <c r="C53" s="263">
        <v>1</v>
      </c>
      <c r="D53" s="244" t="s">
        <v>618</v>
      </c>
      <c r="E53" s="245"/>
      <c r="F53" s="246"/>
      <c r="G53" s="253" t="s">
        <v>623</v>
      </c>
      <c r="H53" s="252"/>
      <c r="I53" s="253"/>
      <c r="J53" s="264">
        <v>16.099999999999998</v>
      </c>
      <c r="K53" s="265">
        <v>7.5439517187090004E-3</v>
      </c>
      <c r="L53" s="264">
        <v>115</v>
      </c>
      <c r="M53" s="333">
        <f t="shared" ref="M53:M57" si="5">L53*J53</f>
        <v>1851.4999999999998</v>
      </c>
      <c r="N53" s="505">
        <f>K53-K27</f>
        <v>4.6971374394500758E-3</v>
      </c>
      <c r="O53" s="846" t="s">
        <v>701</v>
      </c>
      <c r="P53" s="847"/>
      <c r="R53" s="238"/>
      <c r="S53" s="432"/>
      <c r="T53" s="432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</row>
    <row r="54" spans="1:36" s="136" customFormat="1" ht="50.1" customHeight="1">
      <c r="A54" s="841"/>
      <c r="B54" s="844"/>
      <c r="C54" s="263">
        <v>2</v>
      </c>
      <c r="D54" s="244" t="s">
        <v>342</v>
      </c>
      <c r="E54" s="245"/>
      <c r="F54" s="246"/>
      <c r="G54" s="253" t="s">
        <v>670</v>
      </c>
      <c r="H54" s="252"/>
      <c r="I54" s="253"/>
      <c r="J54" s="264">
        <v>1.1599999999999999</v>
      </c>
      <c r="K54" s="265">
        <v>8.0389351909441464E-3</v>
      </c>
      <c r="L54" s="264">
        <v>1551</v>
      </c>
      <c r="M54" s="333">
        <f t="shared" si="5"/>
        <v>1799.1599999999999</v>
      </c>
      <c r="N54" s="277"/>
      <c r="O54" s="810" t="s">
        <v>702</v>
      </c>
      <c r="P54" s="811"/>
      <c r="R54" s="238"/>
      <c r="S54" s="432"/>
      <c r="T54" s="439"/>
      <c r="U54" s="238"/>
      <c r="V54" s="238"/>
      <c r="W54" s="238"/>
      <c r="X54" s="238"/>
      <c r="Y54" s="238"/>
      <c r="Z54" s="238"/>
      <c r="AA54" s="238"/>
      <c r="AB54" s="238"/>
      <c r="AC54" s="238"/>
      <c r="AD54" s="238"/>
      <c r="AE54" s="238"/>
      <c r="AF54" s="238"/>
      <c r="AG54" s="238"/>
      <c r="AH54" s="238"/>
      <c r="AI54" s="238"/>
      <c r="AJ54" s="238"/>
    </row>
    <row r="55" spans="1:36" s="136" customFormat="1" ht="50.1" customHeight="1">
      <c r="A55" s="841"/>
      <c r="B55" s="844"/>
      <c r="C55" s="263">
        <v>3</v>
      </c>
      <c r="D55" s="244" t="s">
        <v>342</v>
      </c>
      <c r="E55" s="245"/>
      <c r="F55" s="246"/>
      <c r="G55" s="253" t="s">
        <v>481</v>
      </c>
      <c r="H55" s="252"/>
      <c r="I55" s="253"/>
      <c r="J55" s="264">
        <v>2.4499999999999997</v>
      </c>
      <c r="K55" s="265">
        <v>4.07417279061798E-3</v>
      </c>
      <c r="L55" s="264">
        <v>642</v>
      </c>
      <c r="M55" s="333">
        <f t="shared" si="5"/>
        <v>1572.8999999999999</v>
      </c>
      <c r="N55" s="505">
        <f>K55-K25</f>
        <v>-2.712997983213639E-4</v>
      </c>
      <c r="O55" s="810" t="s">
        <v>506</v>
      </c>
      <c r="P55" s="811"/>
      <c r="R55" s="238"/>
      <c r="S55" s="432"/>
      <c r="T55" s="439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F55" s="238"/>
      <c r="AG55" s="238"/>
      <c r="AH55" s="238"/>
      <c r="AI55" s="238"/>
      <c r="AJ55" s="238"/>
    </row>
    <row r="56" spans="1:36" s="136" customFormat="1" ht="50.1" customHeight="1">
      <c r="A56" s="841"/>
      <c r="B56" s="844"/>
      <c r="C56" s="263">
        <v>4</v>
      </c>
      <c r="D56" s="244" t="s">
        <v>342</v>
      </c>
      <c r="E56" s="245"/>
      <c r="F56" s="246"/>
      <c r="G56" s="253" t="s">
        <v>480</v>
      </c>
      <c r="H56" s="252"/>
      <c r="I56" s="253"/>
      <c r="J56" s="276">
        <v>1.17</v>
      </c>
      <c r="K56" s="265">
        <v>3.8583197191421319E-3</v>
      </c>
      <c r="L56" s="264">
        <v>1332</v>
      </c>
      <c r="M56" s="333">
        <f t="shared" si="5"/>
        <v>1558.4399999999998</v>
      </c>
      <c r="N56" s="505">
        <f>K56-K26</f>
        <v>3.9403584825274326E-4</v>
      </c>
      <c r="O56" s="810" t="s">
        <v>703</v>
      </c>
      <c r="P56" s="811"/>
      <c r="R56" s="238"/>
      <c r="S56" s="238"/>
      <c r="T56"/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  <c r="AE56" s="238"/>
      <c r="AF56" s="238"/>
      <c r="AG56" s="238"/>
      <c r="AH56" s="238"/>
      <c r="AI56" s="238"/>
      <c r="AJ56" s="238"/>
    </row>
    <row r="57" spans="1:36" s="136" customFormat="1" ht="30" customHeight="1" thickBot="1">
      <c r="A57" s="841"/>
      <c r="B57" s="844"/>
      <c r="C57" s="269">
        <v>5</v>
      </c>
      <c r="D57" s="251"/>
      <c r="E57" s="252"/>
      <c r="F57" s="253"/>
      <c r="G57" s="410"/>
      <c r="H57" s="411"/>
      <c r="I57" s="412"/>
      <c r="J57" s="279"/>
      <c r="K57" s="271"/>
      <c r="L57" s="280"/>
      <c r="M57" s="333">
        <f t="shared" si="5"/>
        <v>0</v>
      </c>
      <c r="N57" s="277"/>
      <c r="O57" s="810"/>
      <c r="P57" s="811"/>
      <c r="R57" s="238"/>
      <c r="S57" s="238"/>
      <c r="T57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38"/>
      <c r="AF57" s="238"/>
      <c r="AG57" s="238"/>
      <c r="AH57" s="238"/>
      <c r="AI57" s="238"/>
      <c r="AJ57" s="238"/>
    </row>
    <row r="58" spans="1:36" s="136" customFormat="1" ht="15.75" customHeight="1" thickTop="1">
      <c r="A58" s="842"/>
      <c r="B58" s="845"/>
      <c r="C58" s="714"/>
      <c r="D58" s="715"/>
      <c r="E58" s="715"/>
      <c r="F58" s="715"/>
      <c r="G58" s="715"/>
      <c r="H58" s="715"/>
      <c r="I58" s="848"/>
      <c r="J58" s="281" t="s">
        <v>58</v>
      </c>
      <c r="K58" s="213">
        <f>M58/'生產管理報表 7-1 (週)'!$B$20</f>
        <v>9.5408444281499472E-2</v>
      </c>
      <c r="L58" s="281" t="s">
        <v>59</v>
      </c>
      <c r="M58" s="334">
        <f>SUM(M53:M57)</f>
        <v>6781.9999999999991</v>
      </c>
      <c r="N58" s="812"/>
      <c r="O58" s="813"/>
      <c r="P58" s="814"/>
      <c r="R58" s="238"/>
      <c r="S58" s="238"/>
      <c r="T58"/>
      <c r="U58" s="238"/>
      <c r="V58" s="238"/>
      <c r="W58" s="238"/>
      <c r="X58" s="238"/>
      <c r="Y58" s="238"/>
      <c r="Z58" s="238"/>
      <c r="AA58" s="238"/>
      <c r="AB58" s="238"/>
      <c r="AC58" s="238"/>
      <c r="AD58" s="238"/>
      <c r="AE58" s="238"/>
      <c r="AF58" s="238"/>
      <c r="AG58" s="238"/>
      <c r="AH58" s="238"/>
      <c r="AI58" s="238"/>
      <c r="AJ58" s="238"/>
    </row>
    <row r="59" spans="1:36" s="136" customFormat="1" ht="15.75" customHeight="1">
      <c r="A59" s="859" t="s">
        <v>698</v>
      </c>
      <c r="B59" s="859"/>
      <c r="C59" s="859"/>
      <c r="D59" s="859"/>
      <c r="E59" s="859"/>
      <c r="F59" s="859"/>
      <c r="G59" s="859"/>
      <c r="H59" s="859"/>
      <c r="I59" s="859"/>
      <c r="J59" s="859"/>
      <c r="K59" s="859"/>
      <c r="L59" s="859"/>
      <c r="M59" s="859"/>
      <c r="R59" s="238"/>
      <c r="S59" s="238"/>
      <c r="T59" s="238"/>
      <c r="U59" s="238"/>
    </row>
    <row r="60" spans="1:36" s="137" customFormat="1" ht="15.75" customHeight="1">
      <c r="A60" s="733"/>
      <c r="B60" s="733"/>
      <c r="C60" s="733"/>
      <c r="D60" s="733"/>
      <c r="E60" s="733"/>
      <c r="F60" s="733"/>
      <c r="G60" s="733"/>
      <c r="H60" s="733"/>
      <c r="I60" s="733"/>
      <c r="J60" s="733"/>
      <c r="K60" s="733"/>
      <c r="L60" s="733"/>
      <c r="M60" s="733"/>
    </row>
    <row r="61" spans="1:36" s="136" customFormat="1" ht="15.75" customHeight="1">
      <c r="A61" s="734" t="s">
        <v>191</v>
      </c>
      <c r="B61" s="727">
        <v>1</v>
      </c>
      <c r="C61" s="728"/>
      <c r="D61" s="727">
        <v>2</v>
      </c>
      <c r="E61" s="728"/>
      <c r="F61" s="727">
        <v>3</v>
      </c>
      <c r="G61" s="728"/>
      <c r="H61" s="736">
        <v>4</v>
      </c>
      <c r="I61" s="737"/>
      <c r="J61" s="736">
        <v>5</v>
      </c>
      <c r="K61" s="737"/>
      <c r="L61" s="736">
        <v>6</v>
      </c>
      <c r="M61" s="737"/>
      <c r="N61" s="736">
        <v>7</v>
      </c>
      <c r="O61" s="737"/>
      <c r="P61" s="736">
        <v>8</v>
      </c>
      <c r="Q61" s="737"/>
      <c r="R61" s="238"/>
      <c r="S61" s="238"/>
      <c r="T61" s="238"/>
      <c r="U61" s="238"/>
    </row>
    <row r="62" spans="1:36" s="136" customFormat="1" ht="15.75" customHeight="1">
      <c r="A62" s="735"/>
      <c r="B62" s="729" t="s">
        <v>487</v>
      </c>
      <c r="C62" s="730"/>
      <c r="D62" s="729" t="s">
        <v>212</v>
      </c>
      <c r="E62" s="730"/>
      <c r="F62" s="729" t="s">
        <v>166</v>
      </c>
      <c r="G62" s="730"/>
      <c r="H62" s="731" t="s">
        <v>457</v>
      </c>
      <c r="I62" s="732"/>
      <c r="J62" s="731" t="s">
        <v>189</v>
      </c>
      <c r="K62" s="732"/>
      <c r="L62" s="731" t="s">
        <v>167</v>
      </c>
      <c r="M62" s="732"/>
      <c r="N62" s="731" t="s">
        <v>190</v>
      </c>
      <c r="O62" s="732"/>
      <c r="P62" s="849" t="s">
        <v>217</v>
      </c>
      <c r="Q62" s="850"/>
      <c r="R62" s="238"/>
      <c r="S62" s="238"/>
      <c r="T62" s="238"/>
      <c r="U62" s="238"/>
    </row>
    <row r="63" spans="1:36" s="136" customFormat="1" ht="15.75" customHeight="1">
      <c r="B63" s="239"/>
      <c r="C63" s="240"/>
      <c r="R63" s="238"/>
      <c r="S63" s="238"/>
      <c r="T63" s="238"/>
      <c r="U63" s="238"/>
    </row>
    <row r="64" spans="1:36" s="242" customFormat="1" ht="15.75" customHeight="1">
      <c r="A64" s="736" t="s">
        <v>191</v>
      </c>
      <c r="B64" s="737"/>
      <c r="C64" s="241" t="s">
        <v>47</v>
      </c>
      <c r="D64" s="851" t="s">
        <v>12</v>
      </c>
      <c r="E64" s="725"/>
      <c r="F64" s="839"/>
      <c r="G64" s="852" t="s">
        <v>53</v>
      </c>
      <c r="H64" s="853"/>
      <c r="I64" s="854"/>
      <c r="J64" s="241" t="s">
        <v>54</v>
      </c>
      <c r="K64" s="241" t="s">
        <v>55</v>
      </c>
      <c r="L64" s="241" t="s">
        <v>56</v>
      </c>
      <c r="M64" s="241" t="s">
        <v>11</v>
      </c>
      <c r="N64" s="241" t="s">
        <v>333</v>
      </c>
      <c r="O64" s="855" t="s">
        <v>51</v>
      </c>
      <c r="P64" s="856"/>
    </row>
    <row r="65" spans="1:75" s="136" customFormat="1" ht="50.1" customHeight="1">
      <c r="A65" s="840">
        <v>1</v>
      </c>
      <c r="B65" s="843" t="s">
        <v>488</v>
      </c>
      <c r="C65" s="243">
        <v>1</v>
      </c>
      <c r="D65" s="244" t="s">
        <v>358</v>
      </c>
      <c r="E65" s="245"/>
      <c r="F65" s="245"/>
      <c r="G65" s="380" t="s">
        <v>544</v>
      </c>
      <c r="H65" s="312"/>
      <c r="I65" s="313"/>
      <c r="J65" s="243">
        <v>128.38999999999999</v>
      </c>
      <c r="K65" s="249">
        <v>1.6680027929349091E-2</v>
      </c>
      <c r="L65" s="243">
        <v>12.9</v>
      </c>
      <c r="M65" s="330">
        <f>L65*J65</f>
        <v>1656.2309999999998</v>
      </c>
      <c r="N65" s="250"/>
      <c r="O65" s="754" t="s">
        <v>747</v>
      </c>
      <c r="P65" s="755"/>
      <c r="R65" s="238"/>
      <c r="S65" s="430"/>
      <c r="T65" s="268"/>
      <c r="U65" s="238"/>
    </row>
    <row r="66" spans="1:75" s="136" customFormat="1" ht="50.1" customHeight="1">
      <c r="A66" s="841"/>
      <c r="B66" s="844"/>
      <c r="C66" s="243">
        <v>2</v>
      </c>
      <c r="D66" s="244" t="s">
        <v>360</v>
      </c>
      <c r="E66" s="245"/>
      <c r="F66" s="245"/>
      <c r="G66" s="380" t="s">
        <v>722</v>
      </c>
      <c r="H66" s="312"/>
      <c r="I66" s="313"/>
      <c r="J66" s="243">
        <v>189.18000000000004</v>
      </c>
      <c r="K66" s="249">
        <v>1.3343230618821738E-2</v>
      </c>
      <c r="L66" s="243">
        <v>7.3699999999999992</v>
      </c>
      <c r="M66" s="330">
        <f t="shared" ref="M66:M69" si="6">L66*J66</f>
        <v>1394.2566000000002</v>
      </c>
      <c r="N66" s="250"/>
      <c r="O66" s="857" t="s">
        <v>705</v>
      </c>
      <c r="P66" s="847"/>
      <c r="R66" s="238"/>
      <c r="S66" s="431"/>
      <c r="T66" s="431"/>
      <c r="U66" s="238"/>
      <c r="V66" s="238"/>
      <c r="W66" s="238"/>
      <c r="X66" s="238"/>
      <c r="Y66" s="238"/>
      <c r="Z66" s="238"/>
      <c r="AA66" s="238"/>
      <c r="AB66" s="238"/>
      <c r="AC66" s="238"/>
      <c r="AD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238"/>
      <c r="AP66" s="238"/>
      <c r="AQ66" s="238"/>
      <c r="AR66" s="238"/>
      <c r="AS66" s="238"/>
      <c r="AT66" s="238"/>
      <c r="AU66" s="238"/>
      <c r="AV66" s="238"/>
      <c r="AW66" s="238"/>
      <c r="AX66" s="238"/>
      <c r="AY66" s="238"/>
      <c r="AZ66" s="238"/>
      <c r="BA66" s="238"/>
      <c r="BB66" s="238"/>
      <c r="BC66" s="238"/>
      <c r="BD66" s="238"/>
      <c r="BE66" s="238"/>
      <c r="BF66" s="238"/>
      <c r="BG66" s="238"/>
      <c r="BH66" s="238"/>
      <c r="BI66" s="238"/>
      <c r="BJ66" s="238"/>
      <c r="BK66" s="238"/>
      <c r="BL66" s="238"/>
      <c r="BM66" s="238"/>
      <c r="BN66" s="238"/>
      <c r="BO66" s="238"/>
      <c r="BP66" s="238"/>
      <c r="BQ66" s="238"/>
      <c r="BR66" s="238"/>
      <c r="BS66" s="238"/>
      <c r="BT66" s="238"/>
      <c r="BU66" s="238"/>
      <c r="BV66" s="238"/>
      <c r="BW66" s="238"/>
    </row>
    <row r="67" spans="1:75" s="136" customFormat="1" ht="50.1" customHeight="1">
      <c r="A67" s="841"/>
      <c r="B67" s="844"/>
      <c r="C67" s="243">
        <v>3</v>
      </c>
      <c r="D67" s="244" t="s">
        <v>469</v>
      </c>
      <c r="E67" s="245"/>
      <c r="F67" s="245"/>
      <c r="G67" s="380" t="s">
        <v>470</v>
      </c>
      <c r="H67" s="312"/>
      <c r="I67" s="313"/>
      <c r="J67" s="243">
        <v>181.60999999999999</v>
      </c>
      <c r="K67" s="249">
        <v>1.5145965743832814E-2</v>
      </c>
      <c r="L67" s="243">
        <v>7.03</v>
      </c>
      <c r="M67" s="330">
        <f t="shared" si="6"/>
        <v>1276.7183</v>
      </c>
      <c r="N67" s="504">
        <f>K67-K39</f>
        <v>2.6352236929504651E-3</v>
      </c>
      <c r="O67" s="858" t="s">
        <v>705</v>
      </c>
      <c r="P67" s="811"/>
      <c r="R67" s="238"/>
      <c r="S67" s="430"/>
      <c r="T67" s="430"/>
      <c r="U67" s="238"/>
      <c r="V67" s="238"/>
      <c r="W67" s="238"/>
      <c r="X67" s="238"/>
      <c r="Y67" s="238"/>
      <c r="Z67" s="238"/>
      <c r="AA67" s="238"/>
      <c r="AB67" s="238"/>
      <c r="AC67" s="238"/>
      <c r="AD67" s="238"/>
      <c r="AE67" s="238"/>
      <c r="AF67" s="238"/>
      <c r="AG67" s="238"/>
      <c r="AH67" s="238"/>
      <c r="AI67" s="238"/>
      <c r="AJ67" s="238"/>
      <c r="AK67" s="238"/>
      <c r="AL67" s="238"/>
      <c r="AM67" s="238"/>
      <c r="AN67" s="238"/>
      <c r="AO67" s="238"/>
      <c r="AP67" s="238"/>
      <c r="AQ67" s="238"/>
      <c r="AR67" s="238"/>
      <c r="AS67" s="238"/>
      <c r="AT67" s="238"/>
      <c r="AU67" s="238"/>
      <c r="AV67" s="238"/>
      <c r="AW67" s="238"/>
      <c r="AX67" s="238"/>
      <c r="AY67" s="238"/>
      <c r="AZ67" s="238"/>
      <c r="BA67" s="238"/>
      <c r="BB67" s="238"/>
      <c r="BC67" s="238"/>
      <c r="BD67" s="238"/>
      <c r="BE67" s="238"/>
      <c r="BF67" s="238"/>
      <c r="BG67" s="238"/>
      <c r="BH67" s="238"/>
      <c r="BI67" s="238"/>
      <c r="BJ67" s="238"/>
      <c r="BK67" s="238"/>
      <c r="BL67" s="238"/>
      <c r="BM67" s="238"/>
      <c r="BN67" s="238"/>
      <c r="BO67" s="238"/>
      <c r="BP67" s="238"/>
      <c r="BQ67" s="238"/>
      <c r="BR67" s="238"/>
      <c r="BS67" s="238"/>
      <c r="BT67" s="238"/>
      <c r="BU67" s="238"/>
      <c r="BV67" s="238"/>
      <c r="BW67" s="238"/>
    </row>
    <row r="68" spans="1:75" s="136" customFormat="1" ht="50.1" customHeight="1">
      <c r="A68" s="841"/>
      <c r="B68" s="844"/>
      <c r="C68" s="243">
        <v>4</v>
      </c>
      <c r="D68" s="244" t="s">
        <v>503</v>
      </c>
      <c r="E68" s="245"/>
      <c r="F68" s="245"/>
      <c r="G68" s="380" t="s">
        <v>502</v>
      </c>
      <c r="H68" s="312"/>
      <c r="I68" s="313"/>
      <c r="J68" s="243">
        <v>153.19000000000003</v>
      </c>
      <c r="K68" s="249">
        <v>2.78839971574566E-2</v>
      </c>
      <c r="L68" s="243">
        <v>8.24</v>
      </c>
      <c r="M68" s="330">
        <f t="shared" si="6"/>
        <v>1262.2856000000002</v>
      </c>
      <c r="N68" s="504">
        <f>K68-K41</f>
        <v>3.451964809856968E-3</v>
      </c>
      <c r="O68" s="858" t="s">
        <v>706</v>
      </c>
      <c r="P68" s="811"/>
      <c r="R68" s="238"/>
      <c r="S68" s="431"/>
      <c r="T68" s="431"/>
      <c r="U68" s="238"/>
      <c r="V68" s="238"/>
      <c r="W68" s="238"/>
      <c r="X68" s="238"/>
      <c r="Y68" s="238"/>
      <c r="Z68" s="238"/>
      <c r="AA68" s="238"/>
      <c r="AB68" s="238"/>
      <c r="AC68" s="238"/>
      <c r="AD68" s="238"/>
      <c r="AE68" s="238"/>
      <c r="AF68" s="238"/>
      <c r="AG68" s="238"/>
      <c r="AH68" s="238"/>
      <c r="AI68" s="238"/>
      <c r="AJ68" s="238"/>
      <c r="AK68" s="238"/>
      <c r="AL68" s="238"/>
      <c r="AM68" s="238"/>
      <c r="AN68" s="238"/>
      <c r="AO68" s="238"/>
      <c r="AP68" s="238"/>
      <c r="AQ68" s="238"/>
      <c r="AR68" s="238"/>
      <c r="AS68" s="238"/>
      <c r="AT68" s="238"/>
      <c r="AU68" s="238"/>
      <c r="AV68" s="238"/>
      <c r="AW68" s="238"/>
      <c r="AX68" s="238"/>
      <c r="AY68" s="238"/>
      <c r="AZ68" s="238"/>
      <c r="BA68" s="238"/>
      <c r="BB68" s="238"/>
      <c r="BC68" s="238"/>
      <c r="BD68" s="238"/>
      <c r="BE68" s="238"/>
      <c r="BF68" s="238"/>
      <c r="BG68" s="238"/>
      <c r="BH68" s="238"/>
      <c r="BI68" s="238"/>
      <c r="BJ68" s="238"/>
      <c r="BK68" s="238"/>
      <c r="BL68" s="238"/>
      <c r="BM68" s="238"/>
      <c r="BN68" s="238"/>
      <c r="BO68" s="238"/>
      <c r="BP68" s="238"/>
      <c r="BQ68" s="238"/>
      <c r="BR68" s="238"/>
      <c r="BS68" s="238"/>
      <c r="BT68" s="238"/>
      <c r="BU68" s="238"/>
      <c r="BV68" s="238"/>
      <c r="BW68" s="238"/>
    </row>
    <row r="69" spans="1:75" s="136" customFormat="1" ht="50.1" customHeight="1" thickBot="1">
      <c r="A69" s="841"/>
      <c r="B69" s="844"/>
      <c r="C69" s="243">
        <v>5</v>
      </c>
      <c r="D69" s="251" t="s">
        <v>344</v>
      </c>
      <c r="E69" s="252"/>
      <c r="F69" s="252"/>
      <c r="G69" s="380" t="s">
        <v>336</v>
      </c>
      <c r="H69" s="312"/>
      <c r="I69" s="313"/>
      <c r="J69" s="254">
        <v>141.66999999999999</v>
      </c>
      <c r="K69" s="255">
        <v>1.3667636330054946E-2</v>
      </c>
      <c r="L69" s="254">
        <v>8.879999999999999</v>
      </c>
      <c r="M69" s="331">
        <f t="shared" si="6"/>
        <v>1258.0295999999998</v>
      </c>
      <c r="N69" s="504">
        <f>K69-K38</f>
        <v>1.732692891308632E-3</v>
      </c>
      <c r="O69" s="858" t="s">
        <v>513</v>
      </c>
      <c r="P69" s="811"/>
      <c r="R69" s="238"/>
      <c r="S69" s="430"/>
      <c r="T69" s="430"/>
      <c r="U69" s="238"/>
      <c r="V69" s="432"/>
      <c r="W69" s="238"/>
      <c r="X69" s="238"/>
      <c r="Y69" s="238"/>
      <c r="Z69" s="238"/>
      <c r="AA69" s="238"/>
      <c r="AB69" s="238"/>
      <c r="AC69" s="238"/>
      <c r="AD69" s="238"/>
      <c r="AE69" s="238"/>
      <c r="AF69" s="238"/>
      <c r="AG69" s="238"/>
      <c r="AH69" s="238"/>
      <c r="AI69" s="238"/>
      <c r="AJ69" s="238"/>
      <c r="AK69" s="238"/>
      <c r="AL69" s="238"/>
      <c r="AM69" s="238"/>
      <c r="AN69" s="238"/>
      <c r="AO69" s="238"/>
      <c r="AP69" s="238"/>
      <c r="AQ69" s="238"/>
      <c r="AR69" s="238"/>
      <c r="AS69" s="238"/>
      <c r="AT69" s="238"/>
      <c r="AU69" s="238"/>
      <c r="AV69" s="238"/>
      <c r="AW69" s="238"/>
      <c r="AX69" s="238"/>
      <c r="AY69" s="238"/>
      <c r="AZ69" s="238"/>
      <c r="BA69" s="238"/>
      <c r="BB69" s="238"/>
      <c r="BC69" s="238"/>
      <c r="BD69" s="238"/>
      <c r="BE69" s="238"/>
      <c r="BF69" s="238"/>
      <c r="BG69" s="238"/>
      <c r="BH69" s="238"/>
      <c r="BI69" s="238"/>
      <c r="BJ69" s="238"/>
      <c r="BK69" s="238"/>
      <c r="BL69" s="238"/>
      <c r="BM69" s="238"/>
      <c r="BN69" s="238"/>
      <c r="BO69" s="238"/>
      <c r="BP69" s="238"/>
      <c r="BQ69" s="238"/>
      <c r="BR69" s="238"/>
      <c r="BS69" s="238"/>
      <c r="BT69" s="238"/>
      <c r="BU69" s="238"/>
      <c r="BV69" s="238"/>
      <c r="BW69" s="238"/>
    </row>
    <row r="70" spans="1:75" s="136" customFormat="1" ht="15.75" customHeight="1" thickTop="1">
      <c r="A70" s="842"/>
      <c r="B70" s="845"/>
      <c r="C70" s="714"/>
      <c r="D70" s="715"/>
      <c r="E70" s="715"/>
      <c r="F70" s="715"/>
      <c r="G70" s="715"/>
      <c r="H70" s="715"/>
      <c r="I70" s="848"/>
      <c r="J70" s="256" t="s">
        <v>58</v>
      </c>
      <c r="K70" s="213">
        <f>M70/'生產管理報表 7-1 (週)'!$B$31</f>
        <v>7.9304298626026434E-2</v>
      </c>
      <c r="L70" s="256" t="s">
        <v>59</v>
      </c>
      <c r="M70" s="332">
        <f>SUM(M65:M69)</f>
        <v>6847.5210999999999</v>
      </c>
      <c r="N70" s="800"/>
      <c r="O70" s="801"/>
      <c r="P70" s="802"/>
      <c r="R70" s="238"/>
      <c r="S70" s="211"/>
      <c r="T70" s="211"/>
      <c r="U70" s="238"/>
      <c r="V70" s="238"/>
      <c r="W70" s="238"/>
      <c r="X70" s="238"/>
      <c r="Y70" s="238"/>
      <c r="Z70" s="238"/>
      <c r="AA70" s="238"/>
      <c r="AB70" s="238"/>
      <c r="AC70" s="238"/>
      <c r="AD70" s="238"/>
      <c r="AE70" s="238"/>
      <c r="AF70" s="238"/>
      <c r="AG70" s="238"/>
      <c r="AH70" s="238"/>
      <c r="AI70" s="238"/>
      <c r="AJ70" s="238"/>
      <c r="AK70" s="238"/>
      <c r="AL70" s="238"/>
      <c r="AM70" s="238"/>
      <c r="AN70" s="238"/>
      <c r="AO70" s="238"/>
      <c r="AP70" s="238"/>
      <c r="AQ70" s="238"/>
      <c r="AR70" s="238"/>
      <c r="AS70" s="238"/>
      <c r="AT70" s="238"/>
      <c r="AU70" s="238"/>
      <c r="AV70" s="238"/>
      <c r="AW70" s="238"/>
      <c r="AX70" s="238"/>
      <c r="AY70" s="238"/>
      <c r="AZ70" s="238"/>
      <c r="BA70" s="238"/>
      <c r="BB70" s="238"/>
      <c r="BC70" s="238"/>
      <c r="BD70" s="238"/>
      <c r="BE70" s="238"/>
      <c r="BF70" s="238"/>
      <c r="BG70" s="238"/>
      <c r="BH70" s="238"/>
      <c r="BI70" s="238"/>
      <c r="BJ70" s="238"/>
      <c r="BK70" s="238"/>
      <c r="BL70" s="238"/>
      <c r="BM70" s="238"/>
      <c r="BN70" s="238"/>
      <c r="BO70" s="238"/>
      <c r="BP70" s="238"/>
      <c r="BQ70" s="238"/>
      <c r="BR70" s="238"/>
      <c r="BS70" s="238"/>
      <c r="BT70" s="238"/>
      <c r="BU70" s="238"/>
      <c r="BV70" s="238"/>
      <c r="BW70" s="238"/>
    </row>
    <row r="71" spans="1:75" s="136" customFormat="1" ht="15.75" customHeight="1">
      <c r="B71" s="239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58"/>
      <c r="O71" s="258"/>
      <c r="P71" s="258"/>
      <c r="R71" s="238"/>
      <c r="S71" s="268"/>
      <c r="T71" s="268"/>
      <c r="U71" s="238"/>
      <c r="V71" s="238"/>
      <c r="W71" s="238"/>
      <c r="X71" s="238"/>
      <c r="Y71" s="238"/>
      <c r="Z71" s="238"/>
      <c r="AA71" s="238"/>
      <c r="AB71" s="238"/>
      <c r="AC71" s="238"/>
      <c r="AD71" s="238"/>
      <c r="AE71" s="238"/>
      <c r="AF71" s="238"/>
      <c r="AG71" s="238"/>
      <c r="AH71" s="238"/>
      <c r="AI71" s="238"/>
      <c r="AJ71" s="238"/>
      <c r="AK71" s="238"/>
      <c r="AL71" s="238"/>
      <c r="AM71" s="238"/>
      <c r="AN71" s="238"/>
      <c r="AO71" s="238"/>
      <c r="AP71" s="238"/>
      <c r="AQ71" s="238"/>
      <c r="AR71" s="238"/>
      <c r="AS71" s="238"/>
      <c r="AT71" s="238"/>
      <c r="AU71" s="238"/>
      <c r="AV71" s="238"/>
      <c r="AW71" s="238"/>
      <c r="AX71" s="238"/>
      <c r="AY71" s="238"/>
      <c r="AZ71" s="238"/>
      <c r="BA71" s="238"/>
      <c r="BB71" s="238"/>
      <c r="BC71" s="238"/>
      <c r="BD71" s="238"/>
      <c r="BE71" s="238"/>
      <c r="BF71" s="238"/>
      <c r="BG71" s="238"/>
      <c r="BH71" s="238"/>
      <c r="BI71" s="238"/>
      <c r="BJ71" s="238"/>
      <c r="BK71" s="238"/>
      <c r="BL71" s="238"/>
      <c r="BM71" s="238"/>
      <c r="BN71" s="238"/>
      <c r="BO71" s="238"/>
      <c r="BP71" s="238"/>
      <c r="BQ71" s="238"/>
      <c r="BR71" s="238"/>
      <c r="BS71" s="238"/>
      <c r="BT71" s="238"/>
      <c r="BU71" s="238"/>
      <c r="BV71" s="238"/>
      <c r="BW71" s="238"/>
    </row>
    <row r="72" spans="1:75" s="136" customFormat="1" ht="15.75" customHeight="1">
      <c r="A72" s="736" t="s">
        <v>191</v>
      </c>
      <c r="B72" s="737"/>
      <c r="C72" s="259" t="s">
        <v>47</v>
      </c>
      <c r="D72" s="724" t="s">
        <v>12</v>
      </c>
      <c r="E72" s="725"/>
      <c r="F72" s="726"/>
      <c r="G72" s="724" t="s">
        <v>53</v>
      </c>
      <c r="H72" s="725"/>
      <c r="I72" s="726"/>
      <c r="J72" s="261" t="s">
        <v>54</v>
      </c>
      <c r="K72" s="261" t="s">
        <v>55</v>
      </c>
      <c r="L72" s="261" t="s">
        <v>56</v>
      </c>
      <c r="M72" s="261" t="s">
        <v>11</v>
      </c>
      <c r="N72" s="262" t="s">
        <v>333</v>
      </c>
      <c r="O72" s="803" t="s">
        <v>51</v>
      </c>
      <c r="P72" s="804"/>
      <c r="R72" s="238"/>
      <c r="S72" s="211"/>
      <c r="T72" s="211"/>
      <c r="U72" s="238"/>
      <c r="V72" s="238"/>
      <c r="W72" s="238"/>
      <c r="X72" s="238"/>
      <c r="Y72" s="238"/>
      <c r="Z72" s="238"/>
      <c r="AA72" s="238"/>
      <c r="AB72" s="238"/>
      <c r="AC72" s="238"/>
      <c r="AD72" s="238"/>
      <c r="AE72" s="238"/>
      <c r="AF72" s="238"/>
      <c r="AG72" s="238"/>
      <c r="AH72" s="238"/>
      <c r="AI72" s="238"/>
      <c r="AJ72" s="238"/>
    </row>
    <row r="73" spans="1:75" s="136" customFormat="1" ht="20.100000000000001" customHeight="1">
      <c r="A73" s="840">
        <v>2</v>
      </c>
      <c r="B73" s="843" t="s">
        <v>213</v>
      </c>
      <c r="C73" s="263">
        <v>1</v>
      </c>
      <c r="D73" s="244"/>
      <c r="E73" s="245"/>
      <c r="F73" s="246"/>
      <c r="G73" s="244"/>
      <c r="H73" s="245"/>
      <c r="I73" s="246"/>
      <c r="J73" s="264"/>
      <c r="K73" s="265"/>
      <c r="L73" s="264"/>
      <c r="M73" s="266">
        <f t="shared" ref="M73:M77" si="7">L73*J73</f>
        <v>0</v>
      </c>
      <c r="N73" s="267"/>
      <c r="O73" s="805"/>
      <c r="P73" s="806"/>
      <c r="R73" s="238"/>
      <c r="S73" s="268"/>
      <c r="T73" s="268"/>
      <c r="U73" s="238"/>
      <c r="V73" s="238"/>
      <c r="W73" s="238"/>
      <c r="X73" s="238"/>
      <c r="Y73" s="238"/>
      <c r="Z73" s="238"/>
      <c r="AA73" s="238"/>
      <c r="AB73" s="238"/>
      <c r="AC73" s="238"/>
      <c r="AD73" s="238"/>
      <c r="AE73" s="238"/>
      <c r="AF73" s="238"/>
      <c r="AG73" s="238"/>
      <c r="AH73" s="238"/>
      <c r="AI73" s="238"/>
      <c r="AJ73" s="238"/>
    </row>
    <row r="74" spans="1:75" s="136" customFormat="1" ht="20.100000000000001" customHeight="1">
      <c r="A74" s="841"/>
      <c r="B74" s="844"/>
      <c r="C74" s="263">
        <v>2</v>
      </c>
      <c r="D74" s="244"/>
      <c r="E74" s="245"/>
      <c r="F74" s="246"/>
      <c r="G74" s="244"/>
      <c r="H74" s="245"/>
      <c r="I74" s="246"/>
      <c r="J74" s="264"/>
      <c r="K74" s="265"/>
      <c r="L74" s="264"/>
      <c r="M74" s="266">
        <f t="shared" si="7"/>
        <v>0</v>
      </c>
      <c r="N74" s="267"/>
      <c r="O74" s="805"/>
      <c r="P74" s="806"/>
      <c r="R74" s="238"/>
      <c r="S74" s="211"/>
      <c r="T74" s="211"/>
      <c r="U74" s="238"/>
      <c r="V74" s="238"/>
      <c r="W74" s="238"/>
      <c r="X74" s="238"/>
      <c r="Y74" s="238"/>
      <c r="Z74" s="238"/>
      <c r="AA74" s="238"/>
      <c r="AB74" s="238"/>
      <c r="AC74" s="238"/>
      <c r="AD74" s="238"/>
      <c r="AE74" s="238"/>
      <c r="AF74" s="238"/>
      <c r="AG74" s="238"/>
      <c r="AH74" s="238"/>
      <c r="AI74" s="238"/>
      <c r="AJ74" s="238"/>
    </row>
    <row r="75" spans="1:75" s="136" customFormat="1" ht="20.100000000000001" customHeight="1">
      <c r="A75" s="841"/>
      <c r="B75" s="844"/>
      <c r="C75" s="263">
        <v>3</v>
      </c>
      <c r="D75" s="244"/>
      <c r="E75" s="245"/>
      <c r="F75" s="246"/>
      <c r="G75" s="244"/>
      <c r="H75" s="245"/>
      <c r="I75" s="275"/>
      <c r="J75" s="264"/>
      <c r="K75" s="265"/>
      <c r="L75" s="264"/>
      <c r="M75" s="266">
        <f t="shared" si="7"/>
        <v>0</v>
      </c>
      <c r="N75" s="267"/>
      <c r="O75" s="805"/>
      <c r="P75" s="806"/>
      <c r="R75" s="238"/>
      <c r="S75" s="268"/>
      <c r="T75" s="268"/>
      <c r="U75" s="238"/>
      <c r="V75" s="238"/>
      <c r="W75" s="238"/>
      <c r="X75" s="238"/>
      <c r="Y75" s="238"/>
      <c r="Z75" s="238"/>
      <c r="AA75" s="238"/>
      <c r="AB75" s="238"/>
      <c r="AC75" s="238"/>
      <c r="AD75" s="238"/>
      <c r="AE75" s="238"/>
      <c r="AF75" s="238"/>
      <c r="AG75" s="238"/>
      <c r="AH75" s="238"/>
    </row>
    <row r="76" spans="1:75" s="136" customFormat="1" ht="20.100000000000001" customHeight="1">
      <c r="A76" s="841"/>
      <c r="B76" s="844"/>
      <c r="C76" s="263">
        <v>4</v>
      </c>
      <c r="D76" s="244"/>
      <c r="E76" s="245"/>
      <c r="F76" s="246"/>
      <c r="G76" s="244"/>
      <c r="H76" s="245"/>
      <c r="I76" s="246"/>
      <c r="J76" s="264"/>
      <c r="K76" s="265"/>
      <c r="L76" s="264"/>
      <c r="M76" s="266">
        <f t="shared" si="7"/>
        <v>0</v>
      </c>
      <c r="N76" s="267"/>
      <c r="O76" s="805"/>
      <c r="P76" s="806"/>
      <c r="R76" s="238"/>
      <c r="S76" s="211"/>
      <c r="T76" s="211"/>
      <c r="U76" s="238"/>
      <c r="V76" s="238"/>
      <c r="W76" s="238"/>
      <c r="X76" s="238"/>
      <c r="Y76" s="238"/>
      <c r="Z76" s="238"/>
      <c r="AA76" s="238"/>
      <c r="AB76" s="238"/>
      <c r="AC76" s="238"/>
      <c r="AD76" s="238"/>
      <c r="AE76" s="238"/>
      <c r="AF76" s="238"/>
      <c r="AG76" s="238"/>
      <c r="AH76" s="238"/>
    </row>
    <row r="77" spans="1:75" s="136" customFormat="1" ht="20.100000000000001" customHeight="1" thickBot="1">
      <c r="A77" s="841"/>
      <c r="B77" s="844"/>
      <c r="C77" s="269">
        <v>5</v>
      </c>
      <c r="D77" s="251"/>
      <c r="E77" s="252"/>
      <c r="F77" s="253"/>
      <c r="G77" s="244"/>
      <c r="H77" s="245"/>
      <c r="I77" s="246"/>
      <c r="J77" s="270"/>
      <c r="K77" s="271"/>
      <c r="L77" s="270"/>
      <c r="M77" s="272">
        <f t="shared" si="7"/>
        <v>0</v>
      </c>
      <c r="N77" s="273"/>
      <c r="O77" s="805"/>
      <c r="P77" s="806"/>
      <c r="R77" s="238"/>
      <c r="S77" s="238"/>
      <c r="T77" s="238"/>
      <c r="U77" s="238"/>
      <c r="V77" s="238"/>
      <c r="W77" s="238"/>
      <c r="X77" s="238"/>
      <c r="Y77" s="238"/>
      <c r="Z77" s="238"/>
      <c r="AA77" s="238"/>
      <c r="AB77" s="238"/>
      <c r="AC77" s="238"/>
      <c r="AD77" s="238"/>
      <c r="AE77" s="238"/>
      <c r="AF77" s="238"/>
      <c r="AG77" s="238"/>
      <c r="AH77" s="238"/>
    </row>
    <row r="78" spans="1:75" s="136" customFormat="1" ht="15.75" customHeight="1" thickTop="1">
      <c r="A78" s="842"/>
      <c r="B78" s="845"/>
      <c r="C78" s="714"/>
      <c r="D78" s="715"/>
      <c r="E78" s="715"/>
      <c r="F78" s="715"/>
      <c r="G78" s="715"/>
      <c r="H78" s="715"/>
      <c r="I78" s="848"/>
      <c r="J78" s="256" t="s">
        <v>58</v>
      </c>
      <c r="K78" s="213">
        <f>M78/'生產管理報表 7-1 (週)'!$B$31</f>
        <v>0</v>
      </c>
      <c r="L78" s="256" t="s">
        <v>59</v>
      </c>
      <c r="M78" s="257">
        <f>SUM(M73:M77)</f>
        <v>0</v>
      </c>
      <c r="N78" s="807"/>
      <c r="O78" s="808"/>
      <c r="P78" s="809"/>
      <c r="R78" s="238"/>
      <c r="S78" s="238"/>
      <c r="T78" s="238"/>
      <c r="U78" s="238"/>
      <c r="V78" s="238"/>
      <c r="W78" s="238"/>
      <c r="X78" s="238"/>
      <c r="Y78" s="238"/>
      <c r="Z78" s="238"/>
      <c r="AA78" s="238"/>
      <c r="AB78" s="238"/>
      <c r="AC78" s="238"/>
      <c r="AD78" s="238"/>
      <c r="AE78" s="238"/>
      <c r="AF78" s="238"/>
      <c r="AG78" s="238"/>
      <c r="AH78" s="238"/>
    </row>
    <row r="79" spans="1:75" s="136" customFormat="1" ht="15.75" customHeight="1">
      <c r="B79" s="239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74"/>
      <c r="O79" s="274"/>
      <c r="P79" s="274"/>
      <c r="R79" s="238"/>
      <c r="S79" s="238"/>
      <c r="T79" s="238"/>
      <c r="U79" s="238"/>
      <c r="V79" s="238"/>
      <c r="W79" s="238"/>
      <c r="X79" s="238"/>
      <c r="Y79" s="238"/>
      <c r="Z79" s="238"/>
      <c r="AA79" s="238"/>
      <c r="AB79" s="238"/>
      <c r="AC79" s="238"/>
      <c r="AD79" s="238"/>
      <c r="AE79" s="238"/>
      <c r="AF79" s="238"/>
      <c r="AG79" s="238"/>
      <c r="AH79" s="238"/>
    </row>
    <row r="80" spans="1:75" s="136" customFormat="1" ht="15.75" customHeight="1">
      <c r="A80" s="736" t="s">
        <v>191</v>
      </c>
      <c r="B80" s="737"/>
      <c r="C80" s="259" t="s">
        <v>47</v>
      </c>
      <c r="D80" s="724" t="s">
        <v>12</v>
      </c>
      <c r="E80" s="725"/>
      <c r="F80" s="726"/>
      <c r="G80" s="724" t="s">
        <v>53</v>
      </c>
      <c r="H80" s="725"/>
      <c r="I80" s="839"/>
      <c r="J80" s="260" t="s">
        <v>54</v>
      </c>
      <c r="K80" s="261" t="s">
        <v>55</v>
      </c>
      <c r="L80" s="261" t="s">
        <v>56</v>
      </c>
      <c r="M80" s="261" t="s">
        <v>11</v>
      </c>
      <c r="N80" s="262" t="s">
        <v>333</v>
      </c>
      <c r="O80" s="815" t="s">
        <v>51</v>
      </c>
      <c r="P80" s="816"/>
      <c r="R80" s="238"/>
      <c r="S80" s="238"/>
      <c r="T80" s="238"/>
      <c r="U80" s="238"/>
      <c r="V80" s="238"/>
      <c r="W80" s="238"/>
      <c r="X80" s="238"/>
      <c r="Y80" s="238"/>
      <c r="Z80" s="238"/>
      <c r="AA80" s="238"/>
      <c r="AB80" s="238"/>
      <c r="AC80" s="238"/>
      <c r="AD80" s="238"/>
      <c r="AE80" s="238"/>
      <c r="AF80" s="238"/>
      <c r="AG80" s="238"/>
      <c r="AH80" s="238"/>
      <c r="AI80" s="238"/>
      <c r="AJ80" s="238"/>
    </row>
    <row r="81" spans="1:75" s="136" customFormat="1" ht="50.1" customHeight="1">
      <c r="A81" s="840">
        <v>3</v>
      </c>
      <c r="B81" s="843" t="s">
        <v>447</v>
      </c>
      <c r="C81" s="263">
        <v>1</v>
      </c>
      <c r="D81" s="244" t="s">
        <v>342</v>
      </c>
      <c r="E81" s="245"/>
      <c r="F81" s="246"/>
      <c r="G81" s="253" t="s">
        <v>670</v>
      </c>
      <c r="H81" s="252"/>
      <c r="I81" s="253"/>
      <c r="J81" s="264">
        <v>1.1599999999999999</v>
      </c>
      <c r="K81" s="265">
        <v>1.1569353697615381E-2</v>
      </c>
      <c r="L81" s="264">
        <v>2224</v>
      </c>
      <c r="M81" s="333">
        <f t="shared" ref="M81:M85" si="8">L81*J81</f>
        <v>2579.8399999999997</v>
      </c>
      <c r="N81" s="505">
        <f>K81-K54</f>
        <v>3.5304185066712349E-3</v>
      </c>
      <c r="O81" s="846" t="s">
        <v>748</v>
      </c>
      <c r="P81" s="847"/>
      <c r="R81" s="238"/>
      <c r="S81" s="432"/>
      <c r="T81" s="432"/>
      <c r="U81" s="238"/>
      <c r="V81" s="238"/>
      <c r="W81" s="238"/>
      <c r="X81" s="238"/>
      <c r="Y81" s="238"/>
      <c r="Z81" s="238"/>
      <c r="AA81" s="238"/>
      <c r="AB81" s="238"/>
      <c r="AC81" s="238"/>
      <c r="AD81" s="238"/>
      <c r="AE81" s="238"/>
      <c r="AF81" s="238"/>
      <c r="AG81" s="238"/>
      <c r="AH81" s="238"/>
      <c r="AI81" s="238"/>
      <c r="AJ81" s="238"/>
    </row>
    <row r="82" spans="1:75" s="136" customFormat="1" ht="50.1" customHeight="1">
      <c r="A82" s="841"/>
      <c r="B82" s="844"/>
      <c r="C82" s="263">
        <v>2</v>
      </c>
      <c r="D82" s="244" t="s">
        <v>342</v>
      </c>
      <c r="E82" s="245"/>
      <c r="F82" s="246"/>
      <c r="G82" s="253" t="s">
        <v>481</v>
      </c>
      <c r="H82" s="252"/>
      <c r="I82" s="253"/>
      <c r="J82" s="264">
        <v>2.4499999999999997</v>
      </c>
      <c r="K82" s="265">
        <v>4.6212825135838629E-3</v>
      </c>
      <c r="L82" s="264">
        <v>751</v>
      </c>
      <c r="M82" s="333">
        <f t="shared" si="8"/>
        <v>1839.9499999999998</v>
      </c>
      <c r="N82" s="505">
        <f>K82-K55</f>
        <v>5.4710972296588296E-4</v>
      </c>
      <c r="O82" s="810" t="s">
        <v>506</v>
      </c>
      <c r="P82" s="811"/>
      <c r="R82" s="238"/>
      <c r="S82" s="432"/>
      <c r="T82" s="439"/>
      <c r="U82" s="238"/>
      <c r="V82" s="238"/>
      <c r="W82" s="238"/>
      <c r="X82" s="238"/>
      <c r="Y82" s="238"/>
      <c r="Z82" s="238"/>
      <c r="AA82" s="238"/>
      <c r="AB82" s="238"/>
      <c r="AC82" s="238"/>
      <c r="AD82" s="238"/>
      <c r="AE82" s="238"/>
      <c r="AF82" s="238"/>
      <c r="AG82" s="238"/>
      <c r="AH82" s="238"/>
      <c r="AI82" s="238"/>
      <c r="AJ82" s="238"/>
    </row>
    <row r="83" spans="1:75" s="136" customFormat="1" ht="50.1" customHeight="1">
      <c r="A83" s="841"/>
      <c r="B83" s="844"/>
      <c r="C83" s="263">
        <v>3</v>
      </c>
      <c r="D83" s="244" t="s">
        <v>618</v>
      </c>
      <c r="E83" s="245"/>
      <c r="F83" s="246"/>
      <c r="G83" s="253" t="s">
        <v>623</v>
      </c>
      <c r="H83" s="252"/>
      <c r="I83" s="253"/>
      <c r="J83" s="264">
        <v>16.099999999999998</v>
      </c>
      <c r="K83" s="265">
        <v>6.6854327938071778E-3</v>
      </c>
      <c r="L83" s="264">
        <v>95</v>
      </c>
      <c r="M83" s="333">
        <f t="shared" si="8"/>
        <v>1529.4999999999998</v>
      </c>
      <c r="N83" s="505">
        <f>K83-K53</f>
        <v>-8.5851892490182262E-4</v>
      </c>
      <c r="O83" s="810" t="s">
        <v>749</v>
      </c>
      <c r="P83" s="811"/>
      <c r="R83" s="238"/>
      <c r="S83" s="432"/>
      <c r="T83" s="439"/>
      <c r="U83" s="238"/>
      <c r="V83" s="238"/>
      <c r="W83" s="238"/>
      <c r="X83" s="238"/>
      <c r="Y83" s="238"/>
      <c r="Z83" s="238"/>
      <c r="AA83" s="238"/>
      <c r="AB83" s="238"/>
      <c r="AC83" s="238"/>
      <c r="AD83" s="238"/>
      <c r="AE83" s="238"/>
      <c r="AF83" s="238"/>
      <c r="AG83" s="238"/>
      <c r="AH83" s="238"/>
      <c r="AI83" s="238"/>
      <c r="AJ83" s="238"/>
    </row>
    <row r="84" spans="1:75" s="136" customFormat="1" ht="50.1" customHeight="1">
      <c r="A84" s="841"/>
      <c r="B84" s="844"/>
      <c r="C84" s="263">
        <v>4</v>
      </c>
      <c r="D84" s="244" t="s">
        <v>342</v>
      </c>
      <c r="E84" s="245"/>
      <c r="F84" s="246"/>
      <c r="G84" s="253" t="s">
        <v>480</v>
      </c>
      <c r="H84" s="252"/>
      <c r="I84" s="253"/>
      <c r="J84" s="276">
        <v>1.17</v>
      </c>
      <c r="K84" s="265">
        <v>3.8105736009624216E-3</v>
      </c>
      <c r="L84" s="264">
        <v>1286</v>
      </c>
      <c r="M84" s="333">
        <f t="shared" si="8"/>
        <v>1504.62</v>
      </c>
      <c r="N84" s="505">
        <f>K84-K56</f>
        <v>-4.7746118179710362E-5</v>
      </c>
      <c r="O84" s="810" t="s">
        <v>703</v>
      </c>
      <c r="P84" s="811"/>
      <c r="R84" s="238"/>
      <c r="S84" s="238"/>
      <c r="T84"/>
      <c r="U84" s="238"/>
      <c r="V84" s="238"/>
      <c r="W84" s="238"/>
      <c r="X84" s="238"/>
      <c r="Y84" s="238"/>
      <c r="Z84" s="238"/>
      <c r="AA84" s="238"/>
      <c r="AB84" s="238"/>
      <c r="AC84" s="238"/>
      <c r="AD84" s="238"/>
      <c r="AE84" s="238"/>
      <c r="AF84" s="238"/>
      <c r="AG84" s="238"/>
      <c r="AH84" s="238"/>
      <c r="AI84" s="238"/>
      <c r="AJ84" s="238"/>
    </row>
    <row r="85" spans="1:75" s="136" customFormat="1" ht="30" customHeight="1" thickBot="1">
      <c r="A85" s="841"/>
      <c r="B85" s="844"/>
      <c r="C85" s="269">
        <v>5</v>
      </c>
      <c r="D85" s="251"/>
      <c r="E85" s="252"/>
      <c r="F85" s="253"/>
      <c r="G85" s="410"/>
      <c r="H85" s="411"/>
      <c r="I85" s="412"/>
      <c r="J85" s="279"/>
      <c r="K85" s="271"/>
      <c r="L85" s="280"/>
      <c r="M85" s="333">
        <f t="shared" si="8"/>
        <v>0</v>
      </c>
      <c r="N85" s="277"/>
      <c r="O85" s="810"/>
      <c r="P85" s="811"/>
      <c r="R85" s="238"/>
      <c r="S85" s="238"/>
      <c r="T85"/>
      <c r="U85" s="238"/>
      <c r="V85" s="238"/>
      <c r="W85" s="238"/>
      <c r="X85" s="238"/>
      <c r="Y85" s="238"/>
      <c r="Z85" s="238"/>
      <c r="AA85" s="238"/>
      <c r="AB85" s="238"/>
      <c r="AC85" s="238"/>
      <c r="AD85" s="238"/>
      <c r="AE85" s="238"/>
      <c r="AF85" s="238"/>
      <c r="AG85" s="238"/>
      <c r="AH85" s="238"/>
      <c r="AI85" s="238"/>
      <c r="AJ85" s="238"/>
    </row>
    <row r="86" spans="1:75" s="136" customFormat="1" ht="15.75" customHeight="1" thickTop="1">
      <c r="A86" s="842"/>
      <c r="B86" s="845"/>
      <c r="C86" s="714"/>
      <c r="D86" s="715"/>
      <c r="E86" s="715"/>
      <c r="F86" s="715"/>
      <c r="G86" s="715"/>
      <c r="H86" s="715"/>
      <c r="I86" s="848"/>
      <c r="J86" s="281" t="s">
        <v>58</v>
      </c>
      <c r="K86" s="213">
        <f>M86/'生產管理報表 7-1 (週)'!$B$31</f>
        <v>8.6327168027496057E-2</v>
      </c>
      <c r="L86" s="281" t="s">
        <v>59</v>
      </c>
      <c r="M86" s="334">
        <f>SUM(M81:M85)</f>
        <v>7453.9099999999989</v>
      </c>
      <c r="N86" s="812"/>
      <c r="O86" s="813"/>
      <c r="P86" s="814"/>
      <c r="R86" s="238"/>
      <c r="S86" s="238"/>
      <c r="T86"/>
      <c r="U86" s="238"/>
      <c r="V86" s="238"/>
      <c r="W86" s="238"/>
      <c r="X86" s="238"/>
      <c r="Y86" s="238"/>
      <c r="Z86" s="238"/>
      <c r="AA86" s="238"/>
      <c r="AB86" s="238"/>
      <c r="AC86" s="238"/>
      <c r="AD86" s="238"/>
      <c r="AE86" s="238"/>
      <c r="AF86" s="238"/>
      <c r="AG86" s="238"/>
      <c r="AH86" s="238"/>
      <c r="AI86" s="238"/>
      <c r="AJ86" s="238"/>
    </row>
    <row r="87" spans="1:75" s="136" customFormat="1" ht="15.75" customHeight="1">
      <c r="A87" s="859" t="s">
        <v>745</v>
      </c>
      <c r="B87" s="859"/>
      <c r="C87" s="859"/>
      <c r="D87" s="859"/>
      <c r="E87" s="859"/>
      <c r="F87" s="859"/>
      <c r="G87" s="859"/>
      <c r="H87" s="859"/>
      <c r="I87" s="859"/>
      <c r="J87" s="859"/>
      <c r="K87" s="859"/>
      <c r="L87" s="859"/>
      <c r="M87" s="859"/>
      <c r="R87" s="238"/>
      <c r="S87" s="238"/>
      <c r="T87" s="238"/>
      <c r="U87" s="238"/>
    </row>
    <row r="88" spans="1:75" s="137" customFormat="1" ht="15.75" customHeight="1">
      <c r="A88" s="733"/>
      <c r="B88" s="733"/>
      <c r="C88" s="733"/>
      <c r="D88" s="733"/>
      <c r="E88" s="733"/>
      <c r="F88" s="733"/>
      <c r="G88" s="733"/>
      <c r="H88" s="733"/>
      <c r="I88" s="733"/>
      <c r="J88" s="733"/>
      <c r="K88" s="733"/>
      <c r="L88" s="733"/>
      <c r="M88" s="733"/>
    </row>
    <row r="89" spans="1:75" s="136" customFormat="1" ht="15.75" customHeight="1">
      <c r="A89" s="734" t="s">
        <v>191</v>
      </c>
      <c r="B89" s="727">
        <v>1</v>
      </c>
      <c r="C89" s="728"/>
      <c r="D89" s="727">
        <v>2</v>
      </c>
      <c r="E89" s="728"/>
      <c r="F89" s="727">
        <v>3</v>
      </c>
      <c r="G89" s="728"/>
      <c r="H89" s="736">
        <v>4</v>
      </c>
      <c r="I89" s="737"/>
      <c r="J89" s="736">
        <v>5</v>
      </c>
      <c r="K89" s="737"/>
      <c r="L89" s="736">
        <v>6</v>
      </c>
      <c r="M89" s="737"/>
      <c r="N89" s="736">
        <v>7</v>
      </c>
      <c r="O89" s="737"/>
      <c r="P89" s="736">
        <v>8</v>
      </c>
      <c r="Q89" s="737"/>
      <c r="R89" s="238"/>
      <c r="S89" s="238"/>
      <c r="T89" s="238"/>
      <c r="U89" s="238"/>
    </row>
    <row r="90" spans="1:75" s="136" customFormat="1" ht="15.75" customHeight="1">
      <c r="A90" s="735"/>
      <c r="B90" s="729" t="s">
        <v>487</v>
      </c>
      <c r="C90" s="730"/>
      <c r="D90" s="729" t="s">
        <v>212</v>
      </c>
      <c r="E90" s="730"/>
      <c r="F90" s="729" t="s">
        <v>166</v>
      </c>
      <c r="G90" s="730"/>
      <c r="H90" s="731" t="s">
        <v>457</v>
      </c>
      <c r="I90" s="732"/>
      <c r="J90" s="731" t="s">
        <v>189</v>
      </c>
      <c r="K90" s="732"/>
      <c r="L90" s="731" t="s">
        <v>167</v>
      </c>
      <c r="M90" s="732"/>
      <c r="N90" s="731" t="s">
        <v>190</v>
      </c>
      <c r="O90" s="732"/>
      <c r="P90" s="849" t="s">
        <v>217</v>
      </c>
      <c r="Q90" s="850"/>
      <c r="R90" s="238"/>
      <c r="S90" s="238"/>
      <c r="T90" s="238"/>
      <c r="U90" s="238"/>
    </row>
    <row r="91" spans="1:75" s="136" customFormat="1" ht="15.75" customHeight="1">
      <c r="B91" s="239"/>
      <c r="C91" s="240"/>
      <c r="R91" s="238"/>
      <c r="S91" s="238"/>
      <c r="T91" s="238"/>
      <c r="U91" s="238"/>
    </row>
    <row r="92" spans="1:75" s="242" customFormat="1" ht="15.75" customHeight="1">
      <c r="A92" s="736" t="s">
        <v>191</v>
      </c>
      <c r="B92" s="737"/>
      <c r="C92" s="241" t="s">
        <v>47</v>
      </c>
      <c r="D92" s="851" t="s">
        <v>12</v>
      </c>
      <c r="E92" s="725"/>
      <c r="F92" s="839"/>
      <c r="G92" s="852" t="s">
        <v>53</v>
      </c>
      <c r="H92" s="853"/>
      <c r="I92" s="854"/>
      <c r="J92" s="241" t="s">
        <v>54</v>
      </c>
      <c r="K92" s="241" t="s">
        <v>55</v>
      </c>
      <c r="L92" s="241" t="s">
        <v>56</v>
      </c>
      <c r="M92" s="241" t="s">
        <v>11</v>
      </c>
      <c r="N92" s="241" t="s">
        <v>333</v>
      </c>
      <c r="O92" s="855" t="s">
        <v>51</v>
      </c>
      <c r="P92" s="856"/>
    </row>
    <row r="93" spans="1:75" s="136" customFormat="1" ht="50.1" customHeight="1">
      <c r="A93" s="840">
        <v>1</v>
      </c>
      <c r="B93" s="843" t="s">
        <v>488</v>
      </c>
      <c r="C93" s="243">
        <v>1</v>
      </c>
      <c r="D93" s="244" t="s">
        <v>618</v>
      </c>
      <c r="E93" s="245"/>
      <c r="F93" s="245"/>
      <c r="G93" s="380" t="s">
        <v>620</v>
      </c>
      <c r="H93" s="312"/>
      <c r="I93" s="313"/>
      <c r="J93" s="243">
        <v>98.470000000000013</v>
      </c>
      <c r="K93" s="249">
        <v>1.3640305921311992E-2</v>
      </c>
      <c r="L93" s="243">
        <v>12.11</v>
      </c>
      <c r="M93" s="330">
        <f>L93*J93</f>
        <v>1192.4717000000001</v>
      </c>
      <c r="N93" s="250"/>
      <c r="O93" s="754" t="s">
        <v>513</v>
      </c>
      <c r="P93" s="755"/>
      <c r="R93" s="238"/>
      <c r="S93" s="430"/>
      <c r="T93" s="268"/>
      <c r="U93" s="238"/>
    </row>
    <row r="94" spans="1:75" s="136" customFormat="1" ht="50.1" customHeight="1">
      <c r="A94" s="841"/>
      <c r="B94" s="844"/>
      <c r="C94" s="243">
        <v>2</v>
      </c>
      <c r="D94" s="244" t="s">
        <v>469</v>
      </c>
      <c r="E94" s="245"/>
      <c r="F94" s="245"/>
      <c r="G94" s="380" t="s">
        <v>470</v>
      </c>
      <c r="H94" s="312"/>
      <c r="I94" s="313"/>
      <c r="J94" s="243">
        <v>181.60999999999999</v>
      </c>
      <c r="K94" s="249">
        <v>1.46350373296194E-2</v>
      </c>
      <c r="L94" s="243">
        <v>6.410000000000001</v>
      </c>
      <c r="M94" s="330">
        <f t="shared" ref="M94:M97" si="9">L94*J94</f>
        <v>1164.1201000000001</v>
      </c>
      <c r="N94" s="504">
        <f>K94-K67</f>
        <v>-5.1092841421341434E-4</v>
      </c>
      <c r="O94" s="857" t="s">
        <v>705</v>
      </c>
      <c r="P94" s="847"/>
      <c r="R94" s="238"/>
      <c r="S94" s="431"/>
      <c r="T94" s="431"/>
      <c r="U94" s="238"/>
      <c r="V94" s="238"/>
      <c r="W94" s="238"/>
      <c r="X94" s="238"/>
      <c r="Y94" s="238"/>
      <c r="Z94" s="238"/>
      <c r="AA94" s="238"/>
      <c r="AB94" s="238"/>
      <c r="AC94" s="238"/>
      <c r="AD94" s="238"/>
      <c r="AE94" s="238"/>
      <c r="AF94" s="238"/>
      <c r="AG94" s="238"/>
      <c r="AH94" s="238"/>
      <c r="AI94" s="238"/>
      <c r="AJ94" s="238"/>
      <c r="AK94" s="238"/>
      <c r="AL94" s="238"/>
      <c r="AM94" s="238"/>
      <c r="AN94" s="238"/>
      <c r="AO94" s="238"/>
      <c r="AP94" s="238"/>
      <c r="AQ94" s="238"/>
      <c r="AR94" s="238"/>
      <c r="AS94" s="238"/>
      <c r="AT94" s="238"/>
      <c r="AU94" s="238"/>
      <c r="AV94" s="238"/>
      <c r="AW94" s="238"/>
      <c r="AX94" s="238"/>
      <c r="AY94" s="238"/>
      <c r="AZ94" s="238"/>
      <c r="BA94" s="238"/>
      <c r="BB94" s="238"/>
      <c r="BC94" s="238"/>
      <c r="BD94" s="238"/>
      <c r="BE94" s="238"/>
      <c r="BF94" s="238"/>
      <c r="BG94" s="238"/>
      <c r="BH94" s="238"/>
      <c r="BI94" s="238"/>
      <c r="BJ94" s="238"/>
      <c r="BK94" s="238"/>
      <c r="BL94" s="238"/>
      <c r="BM94" s="238"/>
      <c r="BN94" s="238"/>
      <c r="BO94" s="238"/>
      <c r="BP94" s="238"/>
      <c r="BQ94" s="238"/>
      <c r="BR94" s="238"/>
      <c r="BS94" s="238"/>
      <c r="BT94" s="238"/>
      <c r="BU94" s="238"/>
      <c r="BV94" s="238"/>
      <c r="BW94" s="238"/>
    </row>
    <row r="95" spans="1:75" s="136" customFormat="1" ht="50.1" customHeight="1">
      <c r="A95" s="841"/>
      <c r="B95" s="844"/>
      <c r="C95" s="243">
        <v>3</v>
      </c>
      <c r="D95" s="244" t="s">
        <v>503</v>
      </c>
      <c r="E95" s="245"/>
      <c r="F95" s="245"/>
      <c r="G95" s="380" t="s">
        <v>502</v>
      </c>
      <c r="H95" s="312"/>
      <c r="I95" s="313"/>
      <c r="J95" s="243">
        <v>153.19000000000003</v>
      </c>
      <c r="K95" s="249">
        <v>2.586415276770607E-2</v>
      </c>
      <c r="L95" s="243">
        <v>7.49</v>
      </c>
      <c r="M95" s="330">
        <f t="shared" si="9"/>
        <v>1147.3931000000002</v>
      </c>
      <c r="N95" s="504">
        <f>K95-K68</f>
        <v>-2.0198443897505303E-3</v>
      </c>
      <c r="O95" s="858" t="s">
        <v>706</v>
      </c>
      <c r="P95" s="811"/>
      <c r="R95" s="238"/>
      <c r="S95" s="430"/>
      <c r="T95" s="430"/>
      <c r="U95" s="238"/>
      <c r="V95" s="238"/>
      <c r="W95" s="238"/>
      <c r="X95" s="238"/>
      <c r="Y95" s="238"/>
      <c r="Z95" s="238"/>
      <c r="AA95" s="238"/>
      <c r="AB95" s="238"/>
      <c r="AC95" s="238"/>
      <c r="AD95" s="238"/>
      <c r="AE95" s="238"/>
      <c r="AF95" s="238"/>
      <c r="AG95" s="238"/>
      <c r="AH95" s="238"/>
      <c r="AI95" s="238"/>
      <c r="AJ95" s="238"/>
      <c r="AK95" s="238"/>
      <c r="AL95" s="238"/>
      <c r="AM95" s="238"/>
      <c r="AN95" s="238"/>
      <c r="AO95" s="238"/>
      <c r="AP95" s="238"/>
      <c r="AQ95" s="238"/>
      <c r="AR95" s="238"/>
      <c r="AS95" s="238"/>
      <c r="AT95" s="238"/>
      <c r="AU95" s="238"/>
      <c r="AV95" s="238"/>
      <c r="AW95" s="238"/>
      <c r="AX95" s="238"/>
      <c r="AY95" s="238"/>
      <c r="AZ95" s="238"/>
      <c r="BA95" s="238"/>
      <c r="BB95" s="238"/>
      <c r="BC95" s="238"/>
      <c r="BD95" s="238"/>
      <c r="BE95" s="238"/>
      <c r="BF95" s="238"/>
      <c r="BG95" s="238"/>
      <c r="BH95" s="238"/>
      <c r="BI95" s="238"/>
      <c r="BJ95" s="238"/>
      <c r="BK95" s="238"/>
      <c r="BL95" s="238"/>
      <c r="BM95" s="238"/>
      <c r="BN95" s="238"/>
      <c r="BO95" s="238"/>
      <c r="BP95" s="238"/>
      <c r="BQ95" s="238"/>
      <c r="BR95" s="238"/>
      <c r="BS95" s="238"/>
      <c r="BT95" s="238"/>
      <c r="BU95" s="238"/>
      <c r="BV95" s="238"/>
      <c r="BW95" s="238"/>
    </row>
    <row r="96" spans="1:75" s="136" customFormat="1" ht="50.1" customHeight="1">
      <c r="A96" s="841"/>
      <c r="B96" s="844"/>
      <c r="C96" s="243">
        <v>4</v>
      </c>
      <c r="D96" s="244" t="s">
        <v>358</v>
      </c>
      <c r="E96" s="245"/>
      <c r="F96" s="245"/>
      <c r="G96" s="380" t="s">
        <v>366</v>
      </c>
      <c r="H96" s="312"/>
      <c r="I96" s="313"/>
      <c r="J96" s="243">
        <v>253.92000000000002</v>
      </c>
      <c r="K96" s="249">
        <v>1.8784438136583738E-2</v>
      </c>
      <c r="L96" s="243">
        <v>4.5</v>
      </c>
      <c r="M96" s="330">
        <f t="shared" si="9"/>
        <v>1142.6400000000001</v>
      </c>
      <c r="N96" s="250"/>
      <c r="O96" s="858" t="s">
        <v>590</v>
      </c>
      <c r="P96" s="811"/>
      <c r="R96" s="238"/>
      <c r="S96" s="431"/>
      <c r="T96" s="431"/>
      <c r="U96" s="238"/>
      <c r="V96" s="238"/>
      <c r="W96" s="238"/>
      <c r="X96" s="238"/>
      <c r="Y96" s="238"/>
      <c r="Z96" s="238"/>
      <c r="AA96" s="238"/>
      <c r="AB96" s="238"/>
      <c r="AC96" s="238"/>
      <c r="AD96" s="238"/>
      <c r="AE96" s="238"/>
      <c r="AF96" s="238"/>
      <c r="AG96" s="238"/>
      <c r="AH96" s="238"/>
      <c r="AI96" s="238"/>
      <c r="AJ96" s="238"/>
      <c r="AK96" s="238"/>
      <c r="AL96" s="238"/>
      <c r="AM96" s="238"/>
      <c r="AN96" s="238"/>
      <c r="AO96" s="238"/>
      <c r="AP96" s="238"/>
      <c r="AQ96" s="238"/>
      <c r="AR96" s="238"/>
      <c r="AS96" s="238"/>
      <c r="AT96" s="238"/>
      <c r="AU96" s="238"/>
      <c r="AV96" s="238"/>
      <c r="AW96" s="238"/>
      <c r="AX96" s="238"/>
      <c r="AY96" s="238"/>
      <c r="AZ96" s="238"/>
      <c r="BA96" s="238"/>
      <c r="BB96" s="238"/>
      <c r="BC96" s="238"/>
      <c r="BD96" s="238"/>
      <c r="BE96" s="238"/>
      <c r="BF96" s="238"/>
      <c r="BG96" s="238"/>
      <c r="BH96" s="238"/>
      <c r="BI96" s="238"/>
      <c r="BJ96" s="238"/>
      <c r="BK96" s="238"/>
      <c r="BL96" s="238"/>
      <c r="BM96" s="238"/>
      <c r="BN96" s="238"/>
      <c r="BO96" s="238"/>
      <c r="BP96" s="238"/>
      <c r="BQ96" s="238"/>
      <c r="BR96" s="238"/>
      <c r="BS96" s="238"/>
      <c r="BT96" s="238"/>
      <c r="BU96" s="238"/>
      <c r="BV96" s="238"/>
      <c r="BW96" s="238"/>
    </row>
    <row r="97" spans="1:75" s="136" customFormat="1" ht="50.1" customHeight="1" thickBot="1">
      <c r="A97" s="841"/>
      <c r="B97" s="844"/>
      <c r="C97" s="243">
        <v>5</v>
      </c>
      <c r="D97" s="251" t="s">
        <v>358</v>
      </c>
      <c r="E97" s="252"/>
      <c r="F97" s="252"/>
      <c r="G97" s="413" t="s">
        <v>365</v>
      </c>
      <c r="H97" s="312"/>
      <c r="I97" s="313"/>
      <c r="J97" s="254">
        <v>183.65000000000003</v>
      </c>
      <c r="K97" s="255">
        <v>2.0869858395144977E-2</v>
      </c>
      <c r="L97" s="254">
        <v>6.19</v>
      </c>
      <c r="M97" s="331">
        <f t="shared" si="9"/>
        <v>1136.7935000000002</v>
      </c>
      <c r="N97" s="250"/>
      <c r="O97" s="858" t="s">
        <v>777</v>
      </c>
      <c r="P97" s="811"/>
      <c r="R97" s="238"/>
      <c r="S97" s="430"/>
      <c r="T97" s="430"/>
      <c r="U97" s="238"/>
      <c r="V97" s="432"/>
      <c r="W97" s="238"/>
      <c r="X97" s="238"/>
      <c r="Y97" s="238"/>
      <c r="Z97" s="238"/>
      <c r="AA97" s="238"/>
      <c r="AB97" s="238"/>
      <c r="AC97" s="238"/>
      <c r="AD97" s="238"/>
      <c r="AE97" s="238"/>
      <c r="AF97" s="238"/>
      <c r="AG97" s="238"/>
      <c r="AH97" s="238"/>
      <c r="AI97" s="238"/>
      <c r="AJ97" s="238"/>
      <c r="AK97" s="238"/>
      <c r="AL97" s="238"/>
      <c r="AM97" s="238"/>
      <c r="AN97" s="238"/>
      <c r="AO97" s="238"/>
      <c r="AP97" s="238"/>
      <c r="AQ97" s="238"/>
      <c r="AR97" s="238"/>
      <c r="AS97" s="238"/>
      <c r="AT97" s="238"/>
      <c r="AU97" s="238"/>
      <c r="AV97" s="238"/>
      <c r="AW97" s="238"/>
      <c r="AX97" s="238"/>
      <c r="AY97" s="238"/>
      <c r="AZ97" s="238"/>
      <c r="BA97" s="238"/>
      <c r="BB97" s="238"/>
      <c r="BC97" s="238"/>
      <c r="BD97" s="238"/>
      <c r="BE97" s="238"/>
      <c r="BF97" s="238"/>
      <c r="BG97" s="238"/>
      <c r="BH97" s="238"/>
      <c r="BI97" s="238"/>
      <c r="BJ97" s="238"/>
      <c r="BK97" s="238"/>
      <c r="BL97" s="238"/>
      <c r="BM97" s="238"/>
      <c r="BN97" s="238"/>
      <c r="BO97" s="238"/>
      <c r="BP97" s="238"/>
      <c r="BQ97" s="238"/>
      <c r="BR97" s="238"/>
      <c r="BS97" s="238"/>
      <c r="BT97" s="238"/>
      <c r="BU97" s="238"/>
      <c r="BV97" s="238"/>
      <c r="BW97" s="238"/>
    </row>
    <row r="98" spans="1:75" s="136" customFormat="1" ht="15.75" customHeight="1" thickTop="1">
      <c r="A98" s="842"/>
      <c r="B98" s="845"/>
      <c r="C98" s="714"/>
      <c r="D98" s="715"/>
      <c r="E98" s="715"/>
      <c r="F98" s="715"/>
      <c r="G98" s="715"/>
      <c r="H98" s="715"/>
      <c r="I98" s="848"/>
      <c r="J98" s="256" t="s">
        <v>58</v>
      </c>
      <c r="K98" s="213">
        <f>M98/'生產管理報表 7-1 (週)'!$B$42</f>
        <v>6.9318472591912636E-2</v>
      </c>
      <c r="L98" s="256" t="s">
        <v>59</v>
      </c>
      <c r="M98" s="332">
        <f>SUM(M93:M97)</f>
        <v>5783.4184000000005</v>
      </c>
      <c r="N98" s="800"/>
      <c r="O98" s="801"/>
      <c r="P98" s="802"/>
      <c r="R98" s="238"/>
      <c r="S98" s="211"/>
      <c r="T98" s="211"/>
      <c r="U98" s="238"/>
      <c r="V98" s="238"/>
      <c r="W98" s="238"/>
      <c r="X98" s="238"/>
      <c r="Y98" s="238"/>
      <c r="Z98" s="238"/>
      <c r="AA98" s="238"/>
      <c r="AB98" s="238"/>
      <c r="AC98" s="238"/>
      <c r="AD98" s="238"/>
      <c r="AE98" s="238"/>
      <c r="AF98" s="238"/>
      <c r="AG98" s="238"/>
      <c r="AH98" s="238"/>
      <c r="AI98" s="238"/>
      <c r="AJ98" s="238"/>
      <c r="AK98" s="238"/>
      <c r="AL98" s="238"/>
      <c r="AM98" s="238"/>
      <c r="AN98" s="238"/>
      <c r="AO98" s="238"/>
      <c r="AP98" s="238"/>
      <c r="AQ98" s="238"/>
      <c r="AR98" s="238"/>
      <c r="AS98" s="238"/>
      <c r="AT98" s="238"/>
      <c r="AU98" s="238"/>
      <c r="AV98" s="238"/>
      <c r="AW98" s="238"/>
      <c r="AX98" s="238"/>
      <c r="AY98" s="238"/>
      <c r="AZ98" s="238"/>
      <c r="BA98" s="238"/>
      <c r="BB98" s="238"/>
      <c r="BC98" s="238"/>
      <c r="BD98" s="238"/>
      <c r="BE98" s="238"/>
      <c r="BF98" s="238"/>
      <c r="BG98" s="238"/>
      <c r="BH98" s="238"/>
      <c r="BI98" s="238"/>
      <c r="BJ98" s="238"/>
      <c r="BK98" s="238"/>
      <c r="BL98" s="238"/>
      <c r="BM98" s="238"/>
      <c r="BN98" s="238"/>
      <c r="BO98" s="238"/>
      <c r="BP98" s="238"/>
      <c r="BQ98" s="238"/>
      <c r="BR98" s="238"/>
      <c r="BS98" s="238"/>
      <c r="BT98" s="238"/>
      <c r="BU98" s="238"/>
      <c r="BV98" s="238"/>
      <c r="BW98" s="238"/>
    </row>
    <row r="99" spans="1:75" s="136" customFormat="1" ht="15.75" customHeight="1">
      <c r="B99" s="239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58"/>
      <c r="O99" s="258"/>
      <c r="P99" s="258"/>
      <c r="R99" s="238"/>
      <c r="S99" s="268"/>
      <c r="T99" s="268"/>
      <c r="U99" s="238"/>
      <c r="V99" s="238"/>
      <c r="W99" s="238"/>
      <c r="X99" s="238"/>
      <c r="Y99" s="238"/>
      <c r="Z99" s="238"/>
      <c r="AA99" s="238"/>
      <c r="AB99" s="238"/>
      <c r="AC99" s="238"/>
      <c r="AD99" s="238"/>
      <c r="AE99" s="238"/>
      <c r="AF99" s="238"/>
      <c r="AG99" s="238"/>
      <c r="AH99" s="238"/>
      <c r="AI99" s="238"/>
      <c r="AJ99" s="238"/>
      <c r="AK99" s="238"/>
      <c r="AL99" s="238"/>
      <c r="AM99" s="238"/>
      <c r="AN99" s="238"/>
      <c r="AO99" s="238"/>
      <c r="AP99" s="238"/>
      <c r="AQ99" s="238"/>
      <c r="AR99" s="238"/>
      <c r="AS99" s="238"/>
      <c r="AT99" s="238"/>
      <c r="AU99" s="238"/>
      <c r="AV99" s="238"/>
      <c r="AW99" s="238"/>
      <c r="AX99" s="238"/>
      <c r="AY99" s="238"/>
      <c r="AZ99" s="238"/>
      <c r="BA99" s="238"/>
      <c r="BB99" s="238"/>
      <c r="BC99" s="238"/>
      <c r="BD99" s="238"/>
      <c r="BE99" s="238"/>
      <c r="BF99" s="238"/>
      <c r="BG99" s="238"/>
      <c r="BH99" s="238"/>
      <c r="BI99" s="238"/>
      <c r="BJ99" s="238"/>
      <c r="BK99" s="238"/>
      <c r="BL99" s="238"/>
      <c r="BM99" s="238"/>
      <c r="BN99" s="238"/>
      <c r="BO99" s="238"/>
      <c r="BP99" s="238"/>
      <c r="BQ99" s="238"/>
      <c r="BR99" s="238"/>
      <c r="BS99" s="238"/>
      <c r="BT99" s="238"/>
      <c r="BU99" s="238"/>
      <c r="BV99" s="238"/>
      <c r="BW99" s="238"/>
    </row>
    <row r="100" spans="1:75" s="136" customFormat="1" ht="15.75" customHeight="1">
      <c r="A100" s="736" t="s">
        <v>191</v>
      </c>
      <c r="B100" s="737"/>
      <c r="C100" s="259" t="s">
        <v>47</v>
      </c>
      <c r="D100" s="724" t="s">
        <v>12</v>
      </c>
      <c r="E100" s="725"/>
      <c r="F100" s="726"/>
      <c r="G100" s="724" t="s">
        <v>53</v>
      </c>
      <c r="H100" s="725"/>
      <c r="I100" s="726"/>
      <c r="J100" s="261" t="s">
        <v>54</v>
      </c>
      <c r="K100" s="261" t="s">
        <v>55</v>
      </c>
      <c r="L100" s="261" t="s">
        <v>56</v>
      </c>
      <c r="M100" s="261" t="s">
        <v>11</v>
      </c>
      <c r="N100" s="262" t="s">
        <v>333</v>
      </c>
      <c r="O100" s="803" t="s">
        <v>51</v>
      </c>
      <c r="P100" s="804"/>
      <c r="R100" s="238"/>
      <c r="S100" s="211"/>
      <c r="T100" s="211"/>
      <c r="U100" s="238"/>
      <c r="V100" s="238"/>
      <c r="W100" s="238"/>
      <c r="X100" s="238"/>
      <c r="Y100" s="238"/>
      <c r="Z100" s="238"/>
      <c r="AA100" s="238"/>
      <c r="AB100" s="238"/>
      <c r="AC100" s="238"/>
      <c r="AD100" s="238"/>
      <c r="AE100" s="238"/>
      <c r="AF100" s="238"/>
      <c r="AG100" s="238"/>
      <c r="AH100" s="238"/>
      <c r="AI100" s="238"/>
      <c r="AJ100" s="238"/>
    </row>
    <row r="101" spans="1:75" s="136" customFormat="1" ht="20.100000000000001" customHeight="1">
      <c r="A101" s="840">
        <v>2</v>
      </c>
      <c r="B101" s="843" t="s">
        <v>213</v>
      </c>
      <c r="C101" s="263">
        <v>1</v>
      </c>
      <c r="D101" s="244"/>
      <c r="E101" s="245"/>
      <c r="F101" s="246"/>
      <c r="G101" s="244"/>
      <c r="H101" s="245"/>
      <c r="I101" s="246"/>
      <c r="J101" s="264"/>
      <c r="K101" s="265"/>
      <c r="L101" s="264"/>
      <c r="M101" s="266">
        <f t="shared" ref="M101:M105" si="10">L101*J101</f>
        <v>0</v>
      </c>
      <c r="N101" s="267"/>
      <c r="O101" s="805"/>
      <c r="P101" s="806"/>
      <c r="R101" s="238"/>
      <c r="S101" s="268"/>
      <c r="T101" s="268"/>
      <c r="U101" s="238"/>
      <c r="V101" s="238"/>
      <c r="W101" s="238"/>
      <c r="X101" s="238"/>
      <c r="Y101" s="238"/>
      <c r="Z101" s="238"/>
      <c r="AA101" s="238"/>
      <c r="AB101" s="238"/>
      <c r="AC101" s="238"/>
      <c r="AD101" s="238"/>
      <c r="AE101" s="238"/>
      <c r="AF101" s="238"/>
      <c r="AG101" s="238"/>
      <c r="AH101" s="238"/>
      <c r="AI101" s="238"/>
      <c r="AJ101" s="238"/>
    </row>
    <row r="102" spans="1:75" s="136" customFormat="1" ht="20.100000000000001" customHeight="1">
      <c r="A102" s="841"/>
      <c r="B102" s="844"/>
      <c r="C102" s="263">
        <v>2</v>
      </c>
      <c r="D102" s="244"/>
      <c r="E102" s="245"/>
      <c r="F102" s="246"/>
      <c r="G102" s="244"/>
      <c r="H102" s="245"/>
      <c r="I102" s="246"/>
      <c r="J102" s="264"/>
      <c r="K102" s="265"/>
      <c r="L102" s="264"/>
      <c r="M102" s="266">
        <f t="shared" si="10"/>
        <v>0</v>
      </c>
      <c r="N102" s="267"/>
      <c r="O102" s="805"/>
      <c r="P102" s="806"/>
      <c r="R102" s="238"/>
      <c r="S102" s="211"/>
      <c r="T102" s="211"/>
      <c r="U102" s="238"/>
      <c r="V102" s="238"/>
      <c r="W102" s="238"/>
      <c r="X102" s="238"/>
      <c r="Y102" s="238"/>
      <c r="Z102" s="238"/>
      <c r="AA102" s="238"/>
      <c r="AB102" s="238"/>
      <c r="AC102" s="238"/>
      <c r="AD102" s="238"/>
      <c r="AE102" s="238"/>
      <c r="AF102" s="238"/>
      <c r="AG102" s="238"/>
      <c r="AH102" s="238"/>
      <c r="AI102" s="238"/>
      <c r="AJ102" s="238"/>
    </row>
    <row r="103" spans="1:75" s="136" customFormat="1" ht="20.100000000000001" customHeight="1">
      <c r="A103" s="841"/>
      <c r="B103" s="844"/>
      <c r="C103" s="263">
        <v>3</v>
      </c>
      <c r="D103" s="244"/>
      <c r="E103" s="245"/>
      <c r="F103" s="246"/>
      <c r="G103" s="244"/>
      <c r="H103" s="245"/>
      <c r="I103" s="275"/>
      <c r="J103" s="264"/>
      <c r="K103" s="265"/>
      <c r="L103" s="264"/>
      <c r="M103" s="266">
        <f t="shared" si="10"/>
        <v>0</v>
      </c>
      <c r="N103" s="267"/>
      <c r="O103" s="805"/>
      <c r="P103" s="806"/>
      <c r="R103" s="238"/>
      <c r="S103" s="268"/>
      <c r="T103" s="268"/>
      <c r="U103" s="238"/>
      <c r="V103" s="238"/>
      <c r="W103" s="238"/>
      <c r="X103" s="238"/>
      <c r="Y103" s="238"/>
      <c r="Z103" s="238"/>
      <c r="AA103" s="238"/>
      <c r="AB103" s="238"/>
      <c r="AC103" s="238"/>
      <c r="AD103" s="238"/>
      <c r="AE103" s="238"/>
      <c r="AF103" s="238"/>
      <c r="AG103" s="238"/>
      <c r="AH103" s="238"/>
    </row>
    <row r="104" spans="1:75" s="136" customFormat="1" ht="20.100000000000001" customHeight="1">
      <c r="A104" s="841"/>
      <c r="B104" s="844"/>
      <c r="C104" s="263">
        <v>4</v>
      </c>
      <c r="D104" s="244"/>
      <c r="E104" s="245"/>
      <c r="F104" s="246"/>
      <c r="G104" s="244"/>
      <c r="H104" s="245"/>
      <c r="I104" s="246"/>
      <c r="J104" s="264"/>
      <c r="K104" s="265"/>
      <c r="L104" s="264"/>
      <c r="M104" s="266">
        <f t="shared" si="10"/>
        <v>0</v>
      </c>
      <c r="N104" s="267"/>
      <c r="O104" s="805"/>
      <c r="P104" s="806"/>
      <c r="R104" s="238"/>
      <c r="S104" s="211"/>
      <c r="T104" s="211"/>
      <c r="U104" s="238"/>
      <c r="V104" s="238"/>
      <c r="W104" s="238"/>
      <c r="X104" s="238"/>
      <c r="Y104" s="238"/>
      <c r="Z104" s="238"/>
      <c r="AA104" s="238"/>
      <c r="AB104" s="238"/>
      <c r="AC104" s="238"/>
      <c r="AD104" s="238"/>
      <c r="AE104" s="238"/>
      <c r="AF104" s="238"/>
      <c r="AG104" s="238"/>
      <c r="AH104" s="238"/>
    </row>
    <row r="105" spans="1:75" s="136" customFormat="1" ht="20.100000000000001" customHeight="1" thickBot="1">
      <c r="A105" s="841"/>
      <c r="B105" s="844"/>
      <c r="C105" s="269">
        <v>5</v>
      </c>
      <c r="D105" s="251"/>
      <c r="E105" s="252"/>
      <c r="F105" s="253"/>
      <c r="G105" s="244"/>
      <c r="H105" s="245"/>
      <c r="I105" s="246"/>
      <c r="J105" s="270"/>
      <c r="K105" s="271"/>
      <c r="L105" s="270"/>
      <c r="M105" s="272">
        <f t="shared" si="10"/>
        <v>0</v>
      </c>
      <c r="N105" s="273"/>
      <c r="O105" s="805"/>
      <c r="P105" s="806"/>
      <c r="R105" s="238"/>
      <c r="S105" s="238"/>
      <c r="T105" s="238"/>
      <c r="U105" s="238"/>
      <c r="V105" s="238"/>
      <c r="W105" s="238"/>
      <c r="X105" s="238"/>
      <c r="Y105" s="238"/>
      <c r="Z105" s="238"/>
      <c r="AA105" s="238"/>
      <c r="AB105" s="238"/>
      <c r="AC105" s="238"/>
      <c r="AD105" s="238"/>
      <c r="AE105" s="238"/>
      <c r="AF105" s="238"/>
      <c r="AG105" s="238"/>
      <c r="AH105" s="238"/>
    </row>
    <row r="106" spans="1:75" s="136" customFormat="1" ht="15.75" customHeight="1" thickTop="1">
      <c r="A106" s="842"/>
      <c r="B106" s="845"/>
      <c r="C106" s="714"/>
      <c r="D106" s="715"/>
      <c r="E106" s="715"/>
      <c r="F106" s="715"/>
      <c r="G106" s="715"/>
      <c r="H106" s="715"/>
      <c r="I106" s="848"/>
      <c r="J106" s="256" t="s">
        <v>58</v>
      </c>
      <c r="K106" s="213">
        <f>M106/'生產管理報表 7-1 (週)'!$B$42</f>
        <v>0</v>
      </c>
      <c r="L106" s="256" t="s">
        <v>59</v>
      </c>
      <c r="M106" s="257">
        <f>SUM(M101:M105)</f>
        <v>0</v>
      </c>
      <c r="N106" s="807"/>
      <c r="O106" s="808"/>
      <c r="P106" s="809"/>
      <c r="R106" s="238"/>
      <c r="S106" s="238"/>
      <c r="T106" s="238"/>
      <c r="U106" s="238"/>
      <c r="V106" s="238"/>
      <c r="W106" s="238"/>
      <c r="X106" s="238"/>
      <c r="Y106" s="238"/>
      <c r="Z106" s="238"/>
      <c r="AA106" s="238"/>
      <c r="AB106" s="238"/>
      <c r="AC106" s="238"/>
      <c r="AD106" s="238"/>
      <c r="AE106" s="238"/>
      <c r="AF106" s="238"/>
      <c r="AG106" s="238"/>
      <c r="AH106" s="238"/>
    </row>
    <row r="107" spans="1:75" s="136" customFormat="1" ht="15.75" customHeight="1">
      <c r="B107" s="239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74"/>
      <c r="O107" s="274"/>
      <c r="P107" s="274"/>
      <c r="R107" s="238"/>
      <c r="S107" s="238"/>
      <c r="T107" s="238"/>
      <c r="U107" s="238"/>
      <c r="V107" s="238"/>
      <c r="W107" s="238"/>
      <c r="X107" s="238"/>
      <c r="Y107" s="238"/>
      <c r="Z107" s="238"/>
      <c r="AA107" s="238"/>
      <c r="AB107" s="238"/>
      <c r="AC107" s="238"/>
      <c r="AD107" s="238"/>
      <c r="AE107" s="238"/>
      <c r="AF107" s="238"/>
      <c r="AG107" s="238"/>
      <c r="AH107" s="238"/>
    </row>
    <row r="108" spans="1:75" s="136" customFormat="1" ht="15.75" customHeight="1">
      <c r="A108" s="736" t="s">
        <v>191</v>
      </c>
      <c r="B108" s="737"/>
      <c r="C108" s="259" t="s">
        <v>47</v>
      </c>
      <c r="D108" s="724" t="s">
        <v>12</v>
      </c>
      <c r="E108" s="725"/>
      <c r="F108" s="726"/>
      <c r="G108" s="724" t="s">
        <v>53</v>
      </c>
      <c r="H108" s="725"/>
      <c r="I108" s="839"/>
      <c r="J108" s="260" t="s">
        <v>54</v>
      </c>
      <c r="K108" s="261" t="s">
        <v>55</v>
      </c>
      <c r="L108" s="261" t="s">
        <v>56</v>
      </c>
      <c r="M108" s="261" t="s">
        <v>11</v>
      </c>
      <c r="N108" s="262" t="s">
        <v>333</v>
      </c>
      <c r="O108" s="815" t="s">
        <v>51</v>
      </c>
      <c r="P108" s="816"/>
      <c r="R108" s="238"/>
      <c r="S108" s="238"/>
      <c r="T108" s="238"/>
      <c r="U108" s="238"/>
      <c r="V108" s="238"/>
      <c r="W108" s="238"/>
      <c r="X108" s="238"/>
      <c r="Y108" s="238"/>
      <c r="Z108" s="238"/>
      <c r="AA108" s="238"/>
      <c r="AB108" s="238"/>
      <c r="AC108" s="238"/>
      <c r="AD108" s="238"/>
      <c r="AE108" s="238"/>
      <c r="AF108" s="238"/>
      <c r="AG108" s="238"/>
      <c r="AH108" s="238"/>
      <c r="AI108" s="238"/>
      <c r="AJ108" s="238"/>
    </row>
    <row r="109" spans="1:75" s="136" customFormat="1" ht="50.1" customHeight="1">
      <c r="A109" s="840">
        <v>3</v>
      </c>
      <c r="B109" s="843" t="s">
        <v>447</v>
      </c>
      <c r="C109" s="263">
        <v>1</v>
      </c>
      <c r="D109" s="244" t="s">
        <v>342</v>
      </c>
      <c r="E109" s="245"/>
      <c r="F109" s="246"/>
      <c r="G109" s="253" t="s">
        <v>481</v>
      </c>
      <c r="H109" s="252"/>
      <c r="I109" s="253"/>
      <c r="J109" s="264">
        <v>2.4499999999999997</v>
      </c>
      <c r="K109" s="265">
        <v>4.7257438972721048E-3</v>
      </c>
      <c r="L109" s="264">
        <v>725</v>
      </c>
      <c r="M109" s="333">
        <f t="shared" ref="M109:M113" si="11">L109*J109</f>
        <v>1776.2499999999998</v>
      </c>
      <c r="N109" s="505">
        <f>K109-K82</f>
        <v>1.0446138368824191E-4</v>
      </c>
      <c r="O109" s="846" t="s">
        <v>506</v>
      </c>
      <c r="P109" s="847"/>
      <c r="R109" s="238"/>
      <c r="S109" s="432"/>
      <c r="T109" s="432"/>
      <c r="U109" s="238"/>
      <c r="V109" s="238"/>
      <c r="W109" s="238"/>
      <c r="X109" s="238"/>
      <c r="Y109" s="238"/>
      <c r="Z109" s="238"/>
      <c r="AA109" s="238"/>
      <c r="AB109" s="238"/>
      <c r="AC109" s="238"/>
      <c r="AD109" s="238"/>
      <c r="AE109" s="238"/>
      <c r="AF109" s="238"/>
      <c r="AG109" s="238"/>
      <c r="AH109" s="238"/>
      <c r="AI109" s="238"/>
      <c r="AJ109" s="238"/>
    </row>
    <row r="110" spans="1:75" s="136" customFormat="1" ht="50.1" customHeight="1">
      <c r="A110" s="841"/>
      <c r="B110" s="844"/>
      <c r="C110" s="263">
        <v>2</v>
      </c>
      <c r="D110" s="244" t="s">
        <v>342</v>
      </c>
      <c r="E110" s="245"/>
      <c r="F110" s="246"/>
      <c r="G110" s="253" t="s">
        <v>480</v>
      </c>
      <c r="H110" s="252"/>
      <c r="I110" s="253"/>
      <c r="J110" s="264">
        <v>1.17</v>
      </c>
      <c r="K110" s="265">
        <v>4.7322414077466662E-3</v>
      </c>
      <c r="L110" s="264">
        <v>1492</v>
      </c>
      <c r="M110" s="333">
        <f t="shared" si="11"/>
        <v>1745.6399999999999</v>
      </c>
      <c r="N110" s="505">
        <f>K110-K84</f>
        <v>9.2166780678424459E-4</v>
      </c>
      <c r="O110" s="810" t="s">
        <v>703</v>
      </c>
      <c r="P110" s="811"/>
      <c r="R110" s="238"/>
      <c r="S110" s="432"/>
      <c r="T110" s="439"/>
      <c r="U110" s="238"/>
      <c r="V110" s="238"/>
      <c r="W110" s="238"/>
      <c r="X110" s="238"/>
      <c r="Y110" s="238"/>
      <c r="Z110" s="238"/>
      <c r="AA110" s="238"/>
      <c r="AB110" s="238"/>
      <c r="AC110" s="238"/>
      <c r="AD110" s="238"/>
      <c r="AE110" s="238"/>
      <c r="AF110" s="238"/>
      <c r="AG110" s="238"/>
      <c r="AH110" s="238"/>
      <c r="AI110" s="238"/>
      <c r="AJ110" s="238"/>
    </row>
    <row r="111" spans="1:75" s="136" customFormat="1" ht="50.1" customHeight="1">
      <c r="A111" s="841"/>
      <c r="B111" s="844"/>
      <c r="C111" s="263">
        <v>3</v>
      </c>
      <c r="D111" s="244" t="s">
        <v>618</v>
      </c>
      <c r="E111" s="245"/>
      <c r="F111" s="246"/>
      <c r="G111" s="253" t="s">
        <v>623</v>
      </c>
      <c r="H111" s="252"/>
      <c r="I111" s="253"/>
      <c r="J111" s="264">
        <v>16.099999999999998</v>
      </c>
      <c r="K111" s="265">
        <v>5.9922731215012225E-3</v>
      </c>
      <c r="L111" s="264">
        <v>76</v>
      </c>
      <c r="M111" s="333">
        <f t="shared" si="11"/>
        <v>1223.5999999999999</v>
      </c>
      <c r="N111" s="505">
        <f>K111-K83</f>
        <v>-6.9315967230595531E-4</v>
      </c>
      <c r="O111" s="810" t="s">
        <v>775</v>
      </c>
      <c r="P111" s="811"/>
      <c r="R111" s="238"/>
      <c r="S111" s="432"/>
      <c r="T111" s="439"/>
      <c r="U111" s="238"/>
      <c r="V111" s="238"/>
      <c r="W111" s="238"/>
      <c r="X111" s="238"/>
      <c r="Y111" s="238"/>
      <c r="Z111" s="238"/>
      <c r="AA111" s="238"/>
      <c r="AB111" s="238"/>
      <c r="AC111" s="238"/>
      <c r="AD111" s="238"/>
      <c r="AE111" s="238"/>
      <c r="AF111" s="238"/>
      <c r="AG111" s="238"/>
      <c r="AH111" s="238"/>
      <c r="AI111" s="238"/>
      <c r="AJ111" s="238"/>
    </row>
    <row r="112" spans="1:75" s="136" customFormat="1" ht="50.1" customHeight="1">
      <c r="A112" s="841"/>
      <c r="B112" s="844"/>
      <c r="C112" s="263">
        <v>4</v>
      </c>
      <c r="D112" s="244" t="s">
        <v>361</v>
      </c>
      <c r="E112" s="245"/>
      <c r="F112" s="246"/>
      <c r="G112" s="253" t="s">
        <v>586</v>
      </c>
      <c r="H112" s="252"/>
      <c r="I112" s="253"/>
      <c r="J112" s="276">
        <v>122.06999999999996</v>
      </c>
      <c r="K112" s="265">
        <v>1.276921767259726E-2</v>
      </c>
      <c r="L112" s="264">
        <v>9</v>
      </c>
      <c r="M112" s="333">
        <f t="shared" si="11"/>
        <v>1098.6299999999997</v>
      </c>
      <c r="N112" s="277"/>
      <c r="O112" s="810" t="s">
        <v>776</v>
      </c>
      <c r="P112" s="811"/>
      <c r="R112" s="238"/>
      <c r="S112" s="238"/>
      <c r="T112"/>
      <c r="U112" s="238"/>
      <c r="V112" s="238"/>
      <c r="W112" s="238"/>
      <c r="X112" s="238"/>
      <c r="Y112" s="238"/>
      <c r="Z112" s="238"/>
      <c r="AA112" s="238"/>
      <c r="AB112" s="238"/>
      <c r="AC112" s="238"/>
      <c r="AD112" s="238"/>
      <c r="AE112" s="238"/>
      <c r="AF112" s="238"/>
      <c r="AG112" s="238"/>
      <c r="AH112" s="238"/>
      <c r="AI112" s="238"/>
      <c r="AJ112" s="238"/>
    </row>
    <row r="113" spans="1:75" s="136" customFormat="1" ht="30" customHeight="1" thickBot="1">
      <c r="A113" s="841"/>
      <c r="B113" s="844"/>
      <c r="C113" s="269">
        <v>5</v>
      </c>
      <c r="D113" s="251"/>
      <c r="E113" s="252"/>
      <c r="F113" s="253"/>
      <c r="G113" s="410"/>
      <c r="H113" s="411"/>
      <c r="I113" s="412"/>
      <c r="J113" s="279"/>
      <c r="K113" s="271"/>
      <c r="L113" s="280"/>
      <c r="M113" s="333">
        <f t="shared" si="11"/>
        <v>0</v>
      </c>
      <c r="N113" s="277"/>
      <c r="O113" s="810"/>
      <c r="P113" s="811"/>
      <c r="R113" s="238"/>
      <c r="S113" s="238"/>
      <c r="T113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</row>
    <row r="114" spans="1:75" s="136" customFormat="1" ht="15.75" customHeight="1" thickTop="1">
      <c r="A114" s="842"/>
      <c r="B114" s="845"/>
      <c r="C114" s="714"/>
      <c r="D114" s="715"/>
      <c r="E114" s="715"/>
      <c r="F114" s="715"/>
      <c r="G114" s="715"/>
      <c r="H114" s="715"/>
      <c r="I114" s="848"/>
      <c r="J114" s="281" t="s">
        <v>58</v>
      </c>
      <c r="K114" s="213">
        <f>M114/'生產管理報表 7-1 (週)'!$B$42</f>
        <v>7.0046025382470761E-2</v>
      </c>
      <c r="L114" s="281" t="s">
        <v>59</v>
      </c>
      <c r="M114" s="334">
        <f>SUM(M109:M113)</f>
        <v>5844.119999999999</v>
      </c>
      <c r="N114" s="812"/>
      <c r="O114" s="813"/>
      <c r="P114" s="814"/>
      <c r="R114" s="238"/>
      <c r="S114" s="238"/>
      <c r="T114"/>
      <c r="U114" s="238"/>
      <c r="V114" s="238"/>
      <c r="W114" s="238"/>
      <c r="X114" s="238"/>
      <c r="Y114" s="238"/>
      <c r="Z114" s="238"/>
      <c r="AA114" s="238"/>
      <c r="AB114" s="238"/>
      <c r="AC114" s="238"/>
      <c r="AD114" s="238"/>
      <c r="AE114" s="238"/>
      <c r="AF114" s="238"/>
      <c r="AG114" s="238"/>
      <c r="AH114" s="238"/>
      <c r="AI114" s="238"/>
      <c r="AJ114" s="238"/>
    </row>
    <row r="115" spans="1:75" s="136" customFormat="1" ht="15.75" customHeight="1">
      <c r="A115" s="859" t="s">
        <v>770</v>
      </c>
      <c r="B115" s="859"/>
      <c r="C115" s="859"/>
      <c r="D115" s="859"/>
      <c r="E115" s="859"/>
      <c r="F115" s="859"/>
      <c r="G115" s="859"/>
      <c r="H115" s="859"/>
      <c r="I115" s="859"/>
      <c r="J115" s="859"/>
      <c r="K115" s="859"/>
      <c r="L115" s="859"/>
      <c r="M115" s="859"/>
      <c r="R115" s="238"/>
      <c r="S115" s="238"/>
      <c r="T115" s="238"/>
      <c r="U115" s="238"/>
    </row>
    <row r="116" spans="1:75" s="137" customFormat="1" ht="15.75" customHeight="1">
      <c r="A116" s="733"/>
      <c r="B116" s="733"/>
      <c r="C116" s="733"/>
      <c r="D116" s="733"/>
      <c r="E116" s="733"/>
      <c r="F116" s="733"/>
      <c r="G116" s="733"/>
      <c r="H116" s="733"/>
      <c r="I116" s="733"/>
      <c r="J116" s="733"/>
      <c r="K116" s="733"/>
      <c r="L116" s="733"/>
      <c r="M116" s="733"/>
    </row>
    <row r="117" spans="1:75" s="136" customFormat="1" ht="15.75" customHeight="1">
      <c r="A117" s="734" t="s">
        <v>191</v>
      </c>
      <c r="B117" s="727">
        <v>1</v>
      </c>
      <c r="C117" s="728"/>
      <c r="D117" s="727">
        <v>2</v>
      </c>
      <c r="E117" s="728"/>
      <c r="F117" s="727">
        <v>3</v>
      </c>
      <c r="G117" s="728"/>
      <c r="H117" s="736">
        <v>4</v>
      </c>
      <c r="I117" s="737"/>
      <c r="J117" s="736">
        <v>5</v>
      </c>
      <c r="K117" s="737"/>
      <c r="L117" s="736">
        <v>6</v>
      </c>
      <c r="M117" s="737"/>
      <c r="N117" s="736">
        <v>7</v>
      </c>
      <c r="O117" s="737"/>
      <c r="P117" s="736">
        <v>8</v>
      </c>
      <c r="Q117" s="737"/>
      <c r="R117" s="238"/>
      <c r="S117" s="238"/>
      <c r="T117" s="238"/>
      <c r="U117" s="238"/>
    </row>
    <row r="118" spans="1:75" s="136" customFormat="1" ht="15.75" customHeight="1">
      <c r="A118" s="735"/>
      <c r="B118" s="729" t="s">
        <v>487</v>
      </c>
      <c r="C118" s="730"/>
      <c r="D118" s="729" t="s">
        <v>212</v>
      </c>
      <c r="E118" s="730"/>
      <c r="F118" s="729" t="s">
        <v>166</v>
      </c>
      <c r="G118" s="730"/>
      <c r="H118" s="731" t="s">
        <v>457</v>
      </c>
      <c r="I118" s="732"/>
      <c r="J118" s="731" t="s">
        <v>189</v>
      </c>
      <c r="K118" s="732"/>
      <c r="L118" s="731" t="s">
        <v>167</v>
      </c>
      <c r="M118" s="732"/>
      <c r="N118" s="731" t="s">
        <v>190</v>
      </c>
      <c r="O118" s="732"/>
      <c r="P118" s="849" t="s">
        <v>217</v>
      </c>
      <c r="Q118" s="850"/>
      <c r="R118" s="238"/>
      <c r="S118" s="238"/>
      <c r="T118" s="238"/>
      <c r="U118" s="238"/>
    </row>
    <row r="119" spans="1:75" s="136" customFormat="1" ht="15.75" customHeight="1">
      <c r="B119" s="239"/>
      <c r="C119" s="240"/>
      <c r="R119" s="238"/>
      <c r="S119" s="238"/>
      <c r="T119" s="238"/>
      <c r="U119" s="238"/>
    </row>
    <row r="120" spans="1:75" s="242" customFormat="1" ht="15.75" customHeight="1">
      <c r="A120" s="736" t="s">
        <v>191</v>
      </c>
      <c r="B120" s="737"/>
      <c r="C120" s="241" t="s">
        <v>47</v>
      </c>
      <c r="D120" s="851" t="s">
        <v>12</v>
      </c>
      <c r="E120" s="725"/>
      <c r="F120" s="839"/>
      <c r="G120" s="852" t="s">
        <v>53</v>
      </c>
      <c r="H120" s="853"/>
      <c r="I120" s="854"/>
      <c r="J120" s="241" t="s">
        <v>54</v>
      </c>
      <c r="K120" s="241" t="s">
        <v>55</v>
      </c>
      <c r="L120" s="241" t="s">
        <v>56</v>
      </c>
      <c r="M120" s="241" t="s">
        <v>11</v>
      </c>
      <c r="N120" s="241" t="s">
        <v>333</v>
      </c>
      <c r="O120" s="855" t="s">
        <v>51</v>
      </c>
      <c r="P120" s="856"/>
    </row>
    <row r="121" spans="1:75" s="136" customFormat="1" ht="50.1" customHeight="1">
      <c r="A121" s="840">
        <v>1</v>
      </c>
      <c r="B121" s="843" t="s">
        <v>488</v>
      </c>
      <c r="C121" s="243">
        <v>1</v>
      </c>
      <c r="D121" s="244"/>
      <c r="E121" s="245"/>
      <c r="F121" s="245"/>
      <c r="G121" s="380"/>
      <c r="H121" s="312"/>
      <c r="I121" s="313"/>
      <c r="J121" s="243"/>
      <c r="K121" s="249"/>
      <c r="L121" s="243"/>
      <c r="M121" s="330">
        <f>L121*J121</f>
        <v>0</v>
      </c>
      <c r="N121" s="250"/>
      <c r="O121" s="754"/>
      <c r="P121" s="755"/>
      <c r="R121" s="238"/>
      <c r="S121" s="430"/>
      <c r="T121" s="268"/>
      <c r="U121" s="238"/>
    </row>
    <row r="122" spans="1:75" s="136" customFormat="1" ht="50.1" customHeight="1">
      <c r="A122" s="841"/>
      <c r="B122" s="844"/>
      <c r="C122" s="243">
        <v>2</v>
      </c>
      <c r="D122" s="244"/>
      <c r="E122" s="245"/>
      <c r="F122" s="245"/>
      <c r="G122" s="380"/>
      <c r="H122" s="312"/>
      <c r="I122" s="313"/>
      <c r="J122" s="243"/>
      <c r="K122" s="249"/>
      <c r="L122" s="243"/>
      <c r="M122" s="330">
        <f t="shared" ref="M122:M125" si="12">L122*J122</f>
        <v>0</v>
      </c>
      <c r="N122" s="250"/>
      <c r="O122" s="857"/>
      <c r="P122" s="847"/>
      <c r="R122" s="238"/>
      <c r="S122" s="431"/>
      <c r="T122" s="431"/>
      <c r="U122" s="238"/>
      <c r="V122" s="238"/>
      <c r="W122" s="238"/>
      <c r="X122" s="238"/>
      <c r="Y122" s="238"/>
      <c r="Z122" s="238"/>
      <c r="AA122" s="238"/>
      <c r="AB122" s="238"/>
      <c r="AC122" s="238"/>
      <c r="AD122" s="238"/>
      <c r="AE122" s="238"/>
      <c r="AF122" s="238"/>
      <c r="AG122" s="238"/>
      <c r="AH122" s="238"/>
      <c r="AI122" s="238"/>
      <c r="AJ122" s="238"/>
      <c r="AK122" s="238"/>
      <c r="AL122" s="238"/>
      <c r="AM122" s="238"/>
      <c r="AN122" s="238"/>
      <c r="AO122" s="238"/>
      <c r="AP122" s="238"/>
      <c r="AQ122" s="238"/>
      <c r="AR122" s="238"/>
      <c r="AS122" s="238"/>
      <c r="AT122" s="238"/>
      <c r="AU122" s="238"/>
      <c r="AV122" s="238"/>
      <c r="AW122" s="238"/>
      <c r="AX122" s="238"/>
      <c r="AY122" s="238"/>
      <c r="AZ122" s="238"/>
      <c r="BA122" s="238"/>
      <c r="BB122" s="238"/>
      <c r="BC122" s="238"/>
      <c r="BD122" s="238"/>
      <c r="BE122" s="238"/>
      <c r="BF122" s="238"/>
      <c r="BG122" s="238"/>
      <c r="BH122" s="238"/>
      <c r="BI122" s="238"/>
      <c r="BJ122" s="238"/>
      <c r="BK122" s="238"/>
      <c r="BL122" s="238"/>
      <c r="BM122" s="238"/>
      <c r="BN122" s="238"/>
      <c r="BO122" s="238"/>
      <c r="BP122" s="238"/>
      <c r="BQ122" s="238"/>
      <c r="BR122" s="238"/>
      <c r="BS122" s="238"/>
      <c r="BT122" s="238"/>
      <c r="BU122" s="238"/>
      <c r="BV122" s="238"/>
      <c r="BW122" s="238"/>
    </row>
    <row r="123" spans="1:75" s="136" customFormat="1" ht="50.1" customHeight="1">
      <c r="A123" s="841"/>
      <c r="B123" s="844"/>
      <c r="C123" s="243">
        <v>3</v>
      </c>
      <c r="D123" s="244"/>
      <c r="E123" s="245"/>
      <c r="F123" s="245"/>
      <c r="G123" s="380"/>
      <c r="H123" s="312"/>
      <c r="I123" s="313"/>
      <c r="J123" s="243"/>
      <c r="K123" s="249"/>
      <c r="L123" s="243"/>
      <c r="M123" s="330">
        <f t="shared" si="12"/>
        <v>0</v>
      </c>
      <c r="N123" s="250"/>
      <c r="O123" s="858"/>
      <c r="P123" s="811"/>
      <c r="R123" s="238"/>
      <c r="S123" s="430"/>
      <c r="T123" s="430"/>
      <c r="U123" s="238"/>
      <c r="V123" s="238"/>
      <c r="W123" s="238"/>
      <c r="X123" s="238"/>
      <c r="Y123" s="238"/>
      <c r="Z123" s="238"/>
      <c r="AA123" s="238"/>
      <c r="AB123" s="238"/>
      <c r="AC123" s="238"/>
      <c r="AD123" s="238"/>
      <c r="AE123" s="238"/>
      <c r="AF123" s="238"/>
      <c r="AG123" s="238"/>
      <c r="AH123" s="238"/>
      <c r="AI123" s="238"/>
      <c r="AJ123" s="238"/>
      <c r="AK123" s="238"/>
      <c r="AL123" s="238"/>
      <c r="AM123" s="238"/>
      <c r="AN123" s="238"/>
      <c r="AO123" s="238"/>
      <c r="AP123" s="238"/>
      <c r="AQ123" s="238"/>
      <c r="AR123" s="238"/>
      <c r="AS123" s="238"/>
      <c r="AT123" s="238"/>
      <c r="AU123" s="238"/>
      <c r="AV123" s="238"/>
      <c r="AW123" s="238"/>
      <c r="AX123" s="238"/>
      <c r="AY123" s="238"/>
      <c r="AZ123" s="238"/>
      <c r="BA123" s="238"/>
      <c r="BB123" s="238"/>
      <c r="BC123" s="238"/>
      <c r="BD123" s="238"/>
      <c r="BE123" s="238"/>
      <c r="BF123" s="238"/>
      <c r="BG123" s="238"/>
      <c r="BH123" s="238"/>
      <c r="BI123" s="238"/>
      <c r="BJ123" s="238"/>
      <c r="BK123" s="238"/>
      <c r="BL123" s="238"/>
      <c r="BM123" s="238"/>
      <c r="BN123" s="238"/>
      <c r="BO123" s="238"/>
      <c r="BP123" s="238"/>
      <c r="BQ123" s="238"/>
      <c r="BR123" s="238"/>
      <c r="BS123" s="238"/>
      <c r="BT123" s="238"/>
      <c r="BU123" s="238"/>
      <c r="BV123" s="238"/>
      <c r="BW123" s="238"/>
    </row>
    <row r="124" spans="1:75" s="136" customFormat="1" ht="50.1" customHeight="1">
      <c r="A124" s="841"/>
      <c r="B124" s="844"/>
      <c r="C124" s="243">
        <v>4</v>
      </c>
      <c r="D124" s="244"/>
      <c r="E124" s="245"/>
      <c r="F124" s="245"/>
      <c r="G124" s="380"/>
      <c r="H124" s="312"/>
      <c r="I124" s="313"/>
      <c r="J124" s="243"/>
      <c r="K124" s="249"/>
      <c r="L124" s="243"/>
      <c r="M124" s="330">
        <f t="shared" si="12"/>
        <v>0</v>
      </c>
      <c r="N124" s="250"/>
      <c r="O124" s="858"/>
      <c r="P124" s="811"/>
      <c r="R124" s="238"/>
      <c r="S124" s="431"/>
      <c r="T124" s="431"/>
      <c r="U124" s="238"/>
      <c r="V124" s="238"/>
      <c r="W124" s="238"/>
      <c r="X124" s="238"/>
      <c r="Y124" s="238"/>
      <c r="Z124" s="238"/>
      <c r="AA124" s="238"/>
      <c r="AB124" s="238"/>
      <c r="AC124" s="238"/>
      <c r="AD124" s="238"/>
      <c r="AE124" s="238"/>
      <c r="AF124" s="238"/>
      <c r="AG124" s="238"/>
      <c r="AH124" s="238"/>
      <c r="AI124" s="238"/>
      <c r="AJ124" s="238"/>
      <c r="AK124" s="238"/>
      <c r="AL124" s="238"/>
      <c r="AM124" s="238"/>
      <c r="AN124" s="238"/>
      <c r="AO124" s="238"/>
      <c r="AP124" s="238"/>
      <c r="AQ124" s="238"/>
      <c r="AR124" s="238"/>
      <c r="AS124" s="238"/>
      <c r="AT124" s="238"/>
      <c r="AU124" s="238"/>
      <c r="AV124" s="238"/>
      <c r="AW124" s="238"/>
      <c r="AX124" s="238"/>
      <c r="AY124" s="238"/>
      <c r="AZ124" s="238"/>
      <c r="BA124" s="238"/>
      <c r="BB124" s="238"/>
      <c r="BC124" s="238"/>
      <c r="BD124" s="238"/>
      <c r="BE124" s="238"/>
      <c r="BF124" s="238"/>
      <c r="BG124" s="238"/>
      <c r="BH124" s="238"/>
      <c r="BI124" s="238"/>
      <c r="BJ124" s="238"/>
      <c r="BK124" s="238"/>
      <c r="BL124" s="238"/>
      <c r="BM124" s="238"/>
      <c r="BN124" s="238"/>
      <c r="BO124" s="238"/>
      <c r="BP124" s="238"/>
      <c r="BQ124" s="238"/>
      <c r="BR124" s="238"/>
      <c r="BS124" s="238"/>
      <c r="BT124" s="238"/>
      <c r="BU124" s="238"/>
      <c r="BV124" s="238"/>
      <c r="BW124" s="238"/>
    </row>
    <row r="125" spans="1:75" s="136" customFormat="1" ht="50.1" customHeight="1" thickBot="1">
      <c r="A125" s="841"/>
      <c r="B125" s="844"/>
      <c r="C125" s="243">
        <v>5</v>
      </c>
      <c r="D125" s="251"/>
      <c r="E125" s="252"/>
      <c r="F125" s="252"/>
      <c r="G125" s="413"/>
      <c r="H125" s="312"/>
      <c r="I125" s="313"/>
      <c r="J125" s="254"/>
      <c r="K125" s="255"/>
      <c r="L125" s="254"/>
      <c r="M125" s="331">
        <f t="shared" si="12"/>
        <v>0</v>
      </c>
      <c r="N125" s="250"/>
      <c r="O125" s="858"/>
      <c r="P125" s="811"/>
      <c r="R125" s="238"/>
      <c r="S125" s="430"/>
      <c r="T125" s="430"/>
      <c r="U125" s="238"/>
      <c r="V125" s="432"/>
      <c r="W125" s="238"/>
      <c r="X125" s="238"/>
      <c r="Y125" s="238"/>
      <c r="Z125" s="238"/>
      <c r="AA125" s="238"/>
      <c r="AB125" s="238"/>
      <c r="AC125" s="238"/>
      <c r="AD125" s="238"/>
      <c r="AE125" s="238"/>
      <c r="AF125" s="238"/>
      <c r="AG125" s="238"/>
      <c r="AH125" s="238"/>
      <c r="AI125" s="238"/>
      <c r="AJ125" s="238"/>
      <c r="AK125" s="238"/>
      <c r="AL125" s="238"/>
      <c r="AM125" s="238"/>
      <c r="AN125" s="238"/>
      <c r="AO125" s="238"/>
      <c r="AP125" s="238"/>
      <c r="AQ125" s="238"/>
      <c r="AR125" s="238"/>
      <c r="AS125" s="238"/>
      <c r="AT125" s="238"/>
      <c r="AU125" s="238"/>
      <c r="AV125" s="238"/>
      <c r="AW125" s="238"/>
      <c r="AX125" s="238"/>
      <c r="AY125" s="238"/>
      <c r="AZ125" s="238"/>
      <c r="BA125" s="238"/>
      <c r="BB125" s="238"/>
      <c r="BC125" s="238"/>
      <c r="BD125" s="238"/>
      <c r="BE125" s="238"/>
      <c r="BF125" s="238"/>
      <c r="BG125" s="238"/>
      <c r="BH125" s="238"/>
      <c r="BI125" s="238"/>
      <c r="BJ125" s="238"/>
      <c r="BK125" s="238"/>
      <c r="BL125" s="238"/>
      <c r="BM125" s="238"/>
      <c r="BN125" s="238"/>
      <c r="BO125" s="238"/>
      <c r="BP125" s="238"/>
      <c r="BQ125" s="238"/>
      <c r="BR125" s="238"/>
      <c r="BS125" s="238"/>
      <c r="BT125" s="238"/>
      <c r="BU125" s="238"/>
      <c r="BV125" s="238"/>
      <c r="BW125" s="238"/>
    </row>
    <row r="126" spans="1:75" s="136" customFormat="1" ht="15.75" customHeight="1" thickTop="1">
      <c r="A126" s="842"/>
      <c r="B126" s="845"/>
      <c r="C126" s="714"/>
      <c r="D126" s="715"/>
      <c r="E126" s="715"/>
      <c r="F126" s="715"/>
      <c r="G126" s="715"/>
      <c r="H126" s="715"/>
      <c r="I126" s="848"/>
      <c r="J126" s="256" t="s">
        <v>58</v>
      </c>
      <c r="K126" s="213">
        <f>M126/'生產管理報表 7-1 (週)'!$B$53</f>
        <v>0</v>
      </c>
      <c r="L126" s="256" t="s">
        <v>59</v>
      </c>
      <c r="M126" s="332">
        <f>SUM(M121:M125)</f>
        <v>0</v>
      </c>
      <c r="N126" s="800"/>
      <c r="O126" s="801"/>
      <c r="P126" s="802"/>
      <c r="R126" s="238"/>
      <c r="S126" s="211"/>
      <c r="T126" s="211"/>
      <c r="U126" s="238"/>
      <c r="V126" s="238"/>
      <c r="W126" s="238"/>
      <c r="X126" s="238"/>
      <c r="Y126" s="238"/>
      <c r="Z126" s="238"/>
      <c r="AA126" s="238"/>
      <c r="AB126" s="238"/>
      <c r="AC126" s="238"/>
      <c r="AD126" s="238"/>
      <c r="AE126" s="238"/>
      <c r="AF126" s="238"/>
      <c r="AG126" s="238"/>
      <c r="AH126" s="238"/>
      <c r="AI126" s="238"/>
      <c r="AJ126" s="238"/>
      <c r="AK126" s="238"/>
      <c r="AL126" s="238"/>
      <c r="AM126" s="238"/>
      <c r="AN126" s="238"/>
      <c r="AO126" s="238"/>
      <c r="AP126" s="238"/>
      <c r="AQ126" s="238"/>
      <c r="AR126" s="238"/>
      <c r="AS126" s="238"/>
      <c r="AT126" s="238"/>
      <c r="AU126" s="238"/>
      <c r="AV126" s="238"/>
      <c r="AW126" s="238"/>
      <c r="AX126" s="238"/>
      <c r="AY126" s="238"/>
      <c r="AZ126" s="238"/>
      <c r="BA126" s="238"/>
      <c r="BB126" s="238"/>
      <c r="BC126" s="238"/>
      <c r="BD126" s="238"/>
      <c r="BE126" s="238"/>
      <c r="BF126" s="238"/>
      <c r="BG126" s="238"/>
      <c r="BH126" s="238"/>
      <c r="BI126" s="238"/>
      <c r="BJ126" s="238"/>
      <c r="BK126" s="238"/>
      <c r="BL126" s="238"/>
      <c r="BM126" s="238"/>
      <c r="BN126" s="238"/>
      <c r="BO126" s="238"/>
      <c r="BP126" s="238"/>
      <c r="BQ126" s="238"/>
      <c r="BR126" s="238"/>
      <c r="BS126" s="238"/>
      <c r="BT126" s="238"/>
      <c r="BU126" s="238"/>
      <c r="BV126" s="238"/>
      <c r="BW126" s="238"/>
    </row>
    <row r="127" spans="1:75" s="136" customFormat="1" ht="15.75" customHeight="1">
      <c r="B127" s="239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58"/>
      <c r="O127" s="258"/>
      <c r="P127" s="258"/>
      <c r="R127" s="238"/>
      <c r="S127" s="268"/>
      <c r="T127" s="268"/>
      <c r="U127" s="238"/>
      <c r="V127" s="238"/>
      <c r="W127" s="238"/>
      <c r="X127" s="238"/>
      <c r="Y127" s="238"/>
      <c r="Z127" s="238"/>
      <c r="AA127" s="238"/>
      <c r="AB127" s="238"/>
      <c r="AC127" s="238"/>
      <c r="AD127" s="238"/>
      <c r="AE127" s="238"/>
      <c r="AF127" s="238"/>
      <c r="AG127" s="238"/>
      <c r="AH127" s="238"/>
      <c r="AI127" s="238"/>
      <c r="AJ127" s="238"/>
      <c r="AK127" s="238"/>
      <c r="AL127" s="238"/>
      <c r="AM127" s="238"/>
      <c r="AN127" s="238"/>
      <c r="AO127" s="238"/>
      <c r="AP127" s="238"/>
      <c r="AQ127" s="238"/>
      <c r="AR127" s="238"/>
      <c r="AS127" s="238"/>
      <c r="AT127" s="238"/>
      <c r="AU127" s="238"/>
      <c r="AV127" s="238"/>
      <c r="AW127" s="238"/>
      <c r="AX127" s="238"/>
      <c r="AY127" s="238"/>
      <c r="AZ127" s="238"/>
      <c r="BA127" s="238"/>
      <c r="BB127" s="238"/>
      <c r="BC127" s="238"/>
      <c r="BD127" s="238"/>
      <c r="BE127" s="238"/>
      <c r="BF127" s="238"/>
      <c r="BG127" s="238"/>
      <c r="BH127" s="238"/>
      <c r="BI127" s="238"/>
      <c r="BJ127" s="238"/>
      <c r="BK127" s="238"/>
      <c r="BL127" s="238"/>
      <c r="BM127" s="238"/>
      <c r="BN127" s="238"/>
      <c r="BO127" s="238"/>
      <c r="BP127" s="238"/>
      <c r="BQ127" s="238"/>
      <c r="BR127" s="238"/>
      <c r="BS127" s="238"/>
      <c r="BT127" s="238"/>
      <c r="BU127" s="238"/>
      <c r="BV127" s="238"/>
      <c r="BW127" s="238"/>
    </row>
    <row r="128" spans="1:75" s="136" customFormat="1" ht="15.75" customHeight="1">
      <c r="A128" s="736" t="s">
        <v>191</v>
      </c>
      <c r="B128" s="737"/>
      <c r="C128" s="259" t="s">
        <v>47</v>
      </c>
      <c r="D128" s="724" t="s">
        <v>12</v>
      </c>
      <c r="E128" s="725"/>
      <c r="F128" s="726"/>
      <c r="G128" s="724" t="s">
        <v>53</v>
      </c>
      <c r="H128" s="725"/>
      <c r="I128" s="726"/>
      <c r="J128" s="261" t="s">
        <v>54</v>
      </c>
      <c r="K128" s="261" t="s">
        <v>55</v>
      </c>
      <c r="L128" s="261" t="s">
        <v>56</v>
      </c>
      <c r="M128" s="261" t="s">
        <v>11</v>
      </c>
      <c r="N128" s="262" t="s">
        <v>333</v>
      </c>
      <c r="O128" s="803" t="s">
        <v>51</v>
      </c>
      <c r="P128" s="804"/>
      <c r="R128" s="238"/>
      <c r="S128" s="211"/>
      <c r="T128" s="211"/>
      <c r="U128" s="238"/>
      <c r="V128" s="238"/>
      <c r="W128" s="238"/>
      <c r="X128" s="238"/>
      <c r="Y128" s="238"/>
      <c r="Z128" s="238"/>
      <c r="AA128" s="238"/>
      <c r="AB128" s="238"/>
      <c r="AC128" s="238"/>
      <c r="AD128" s="238"/>
      <c r="AE128" s="238"/>
      <c r="AF128" s="238"/>
      <c r="AG128" s="238"/>
      <c r="AH128" s="238"/>
      <c r="AI128" s="238"/>
      <c r="AJ128" s="238"/>
    </row>
    <row r="129" spans="1:36" s="136" customFormat="1" ht="20.100000000000001" customHeight="1">
      <c r="A129" s="840">
        <v>2</v>
      </c>
      <c r="B129" s="843" t="s">
        <v>213</v>
      </c>
      <c r="C129" s="263">
        <v>1</v>
      </c>
      <c r="D129" s="244"/>
      <c r="E129" s="245"/>
      <c r="F129" s="246"/>
      <c r="G129" s="244"/>
      <c r="H129" s="245"/>
      <c r="I129" s="246"/>
      <c r="J129" s="264"/>
      <c r="K129" s="265"/>
      <c r="L129" s="264"/>
      <c r="M129" s="266">
        <f t="shared" ref="M129:M133" si="13">L129*J129</f>
        <v>0</v>
      </c>
      <c r="N129" s="267"/>
      <c r="O129" s="805"/>
      <c r="P129" s="806"/>
      <c r="R129" s="238"/>
      <c r="S129" s="268"/>
      <c r="T129" s="268"/>
      <c r="U129" s="238"/>
      <c r="V129" s="238"/>
      <c r="W129" s="238"/>
      <c r="X129" s="238"/>
      <c r="Y129" s="238"/>
      <c r="Z129" s="238"/>
      <c r="AA129" s="238"/>
      <c r="AB129" s="238"/>
      <c r="AC129" s="238"/>
      <c r="AD129" s="238"/>
      <c r="AE129" s="238"/>
      <c r="AF129" s="238"/>
      <c r="AG129" s="238"/>
      <c r="AH129" s="238"/>
      <c r="AI129" s="238"/>
      <c r="AJ129" s="238"/>
    </row>
    <row r="130" spans="1:36" s="136" customFormat="1" ht="20.100000000000001" customHeight="1">
      <c r="A130" s="841"/>
      <c r="B130" s="844"/>
      <c r="C130" s="263">
        <v>2</v>
      </c>
      <c r="D130" s="244"/>
      <c r="E130" s="245"/>
      <c r="F130" s="246"/>
      <c r="G130" s="244"/>
      <c r="H130" s="245"/>
      <c r="I130" s="246"/>
      <c r="J130" s="264"/>
      <c r="K130" s="265"/>
      <c r="L130" s="264"/>
      <c r="M130" s="266">
        <f t="shared" si="13"/>
        <v>0</v>
      </c>
      <c r="N130" s="267"/>
      <c r="O130" s="805"/>
      <c r="P130" s="806"/>
      <c r="R130" s="238"/>
      <c r="S130" s="211"/>
      <c r="T130" s="211"/>
      <c r="U130" s="238"/>
      <c r="V130" s="238"/>
      <c r="W130" s="238"/>
      <c r="X130" s="238"/>
      <c r="Y130" s="238"/>
      <c r="Z130" s="238"/>
      <c r="AA130" s="238"/>
      <c r="AB130" s="238"/>
      <c r="AC130" s="238"/>
      <c r="AD130" s="238"/>
      <c r="AE130" s="238"/>
      <c r="AF130" s="238"/>
      <c r="AG130" s="238"/>
      <c r="AH130" s="238"/>
      <c r="AI130" s="238"/>
      <c r="AJ130" s="238"/>
    </row>
    <row r="131" spans="1:36" s="136" customFormat="1" ht="20.100000000000001" customHeight="1">
      <c r="A131" s="841"/>
      <c r="B131" s="844"/>
      <c r="C131" s="263">
        <v>3</v>
      </c>
      <c r="D131" s="244"/>
      <c r="E131" s="245"/>
      <c r="F131" s="246"/>
      <c r="G131" s="244"/>
      <c r="H131" s="245"/>
      <c r="I131" s="275"/>
      <c r="J131" s="264"/>
      <c r="K131" s="265"/>
      <c r="L131" s="264"/>
      <c r="M131" s="266">
        <f t="shared" si="13"/>
        <v>0</v>
      </c>
      <c r="N131" s="267"/>
      <c r="O131" s="805"/>
      <c r="P131" s="806"/>
      <c r="R131" s="238"/>
      <c r="S131" s="268"/>
      <c r="T131" s="268"/>
      <c r="U131" s="238"/>
      <c r="V131" s="238"/>
      <c r="W131" s="238"/>
      <c r="X131" s="238"/>
      <c r="Y131" s="238"/>
      <c r="Z131" s="238"/>
      <c r="AA131" s="238"/>
      <c r="AB131" s="238"/>
      <c r="AC131" s="238"/>
      <c r="AD131" s="238"/>
      <c r="AE131" s="238"/>
      <c r="AF131" s="238"/>
      <c r="AG131" s="238"/>
      <c r="AH131" s="238"/>
    </row>
    <row r="132" spans="1:36" s="136" customFormat="1" ht="20.100000000000001" customHeight="1">
      <c r="A132" s="841"/>
      <c r="B132" s="844"/>
      <c r="C132" s="263">
        <v>4</v>
      </c>
      <c r="D132" s="244"/>
      <c r="E132" s="245"/>
      <c r="F132" s="246"/>
      <c r="G132" s="244"/>
      <c r="H132" s="245"/>
      <c r="I132" s="246"/>
      <c r="J132" s="264"/>
      <c r="K132" s="265"/>
      <c r="L132" s="264"/>
      <c r="M132" s="266">
        <f t="shared" si="13"/>
        <v>0</v>
      </c>
      <c r="N132" s="267"/>
      <c r="O132" s="805"/>
      <c r="P132" s="806"/>
      <c r="R132" s="238"/>
      <c r="S132" s="211"/>
      <c r="T132" s="211"/>
      <c r="U132" s="238"/>
      <c r="V132" s="238"/>
      <c r="W132" s="238"/>
      <c r="X132" s="238"/>
      <c r="Y132" s="238"/>
      <c r="Z132" s="238"/>
      <c r="AA132" s="238"/>
      <c r="AB132" s="238"/>
      <c r="AC132" s="238"/>
      <c r="AD132" s="238"/>
      <c r="AE132" s="238"/>
      <c r="AF132" s="238"/>
      <c r="AG132" s="238"/>
      <c r="AH132" s="238"/>
    </row>
    <row r="133" spans="1:36" s="136" customFormat="1" ht="20.100000000000001" customHeight="1" thickBot="1">
      <c r="A133" s="841"/>
      <c r="B133" s="844"/>
      <c r="C133" s="269">
        <v>5</v>
      </c>
      <c r="D133" s="251"/>
      <c r="E133" s="252"/>
      <c r="F133" s="253"/>
      <c r="G133" s="244"/>
      <c r="H133" s="245"/>
      <c r="I133" s="246"/>
      <c r="J133" s="270"/>
      <c r="K133" s="271"/>
      <c r="L133" s="270"/>
      <c r="M133" s="272">
        <f t="shared" si="13"/>
        <v>0</v>
      </c>
      <c r="N133" s="273"/>
      <c r="O133" s="805"/>
      <c r="P133" s="806"/>
      <c r="R133" s="238"/>
      <c r="S133" s="238"/>
      <c r="T133" s="238"/>
      <c r="U133" s="238"/>
      <c r="V133" s="238"/>
      <c r="W133" s="238"/>
      <c r="X133" s="238"/>
      <c r="Y133" s="238"/>
      <c r="Z133" s="238"/>
      <c r="AA133" s="238"/>
      <c r="AB133" s="238"/>
      <c r="AC133" s="238"/>
      <c r="AD133" s="238"/>
      <c r="AE133" s="238"/>
      <c r="AF133" s="238"/>
      <c r="AG133" s="238"/>
      <c r="AH133" s="238"/>
    </row>
    <row r="134" spans="1:36" s="136" customFormat="1" ht="15.75" customHeight="1" thickTop="1">
      <c r="A134" s="842"/>
      <c r="B134" s="845"/>
      <c r="C134" s="714"/>
      <c r="D134" s="715"/>
      <c r="E134" s="715"/>
      <c r="F134" s="715"/>
      <c r="G134" s="715"/>
      <c r="H134" s="715"/>
      <c r="I134" s="848"/>
      <c r="J134" s="256" t="s">
        <v>58</v>
      </c>
      <c r="K134" s="213">
        <f>M134/'生產管理報表 7-1 (週)'!$B$53</f>
        <v>0</v>
      </c>
      <c r="L134" s="256" t="s">
        <v>59</v>
      </c>
      <c r="M134" s="257">
        <f>SUM(M129:M133)</f>
        <v>0</v>
      </c>
      <c r="N134" s="807"/>
      <c r="O134" s="808"/>
      <c r="P134" s="809"/>
      <c r="R134" s="238"/>
      <c r="S134" s="238"/>
      <c r="T134" s="238"/>
      <c r="U134" s="238"/>
      <c r="V134" s="238"/>
      <c r="W134" s="238"/>
      <c r="X134" s="238"/>
      <c r="Y134" s="238"/>
      <c r="Z134" s="238"/>
      <c r="AA134" s="238"/>
      <c r="AB134" s="238"/>
      <c r="AC134" s="238"/>
      <c r="AD134" s="238"/>
      <c r="AE134" s="238"/>
      <c r="AF134" s="238"/>
      <c r="AG134" s="238"/>
      <c r="AH134" s="238"/>
    </row>
    <row r="135" spans="1:36" s="136" customFormat="1" ht="15.75" customHeight="1">
      <c r="B135" s="239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74"/>
      <c r="O135" s="274"/>
      <c r="P135" s="274"/>
      <c r="R135" s="238"/>
      <c r="S135" s="238"/>
      <c r="T135" s="238"/>
      <c r="U135" s="238"/>
      <c r="V135" s="238"/>
      <c r="W135" s="238"/>
      <c r="X135" s="238"/>
      <c r="Y135" s="238"/>
      <c r="Z135" s="238"/>
      <c r="AA135" s="238"/>
      <c r="AB135" s="238"/>
      <c r="AC135" s="238"/>
      <c r="AD135" s="238"/>
      <c r="AE135" s="238"/>
      <c r="AF135" s="238"/>
      <c r="AG135" s="238"/>
      <c r="AH135" s="238"/>
    </row>
    <row r="136" spans="1:36" s="136" customFormat="1" ht="15.75" customHeight="1">
      <c r="A136" s="736" t="s">
        <v>191</v>
      </c>
      <c r="B136" s="737"/>
      <c r="C136" s="259" t="s">
        <v>47</v>
      </c>
      <c r="D136" s="724" t="s">
        <v>12</v>
      </c>
      <c r="E136" s="725"/>
      <c r="F136" s="726"/>
      <c r="G136" s="724" t="s">
        <v>53</v>
      </c>
      <c r="H136" s="725"/>
      <c r="I136" s="839"/>
      <c r="J136" s="260" t="s">
        <v>54</v>
      </c>
      <c r="K136" s="261" t="s">
        <v>55</v>
      </c>
      <c r="L136" s="261" t="s">
        <v>56</v>
      </c>
      <c r="M136" s="261" t="s">
        <v>11</v>
      </c>
      <c r="N136" s="262" t="s">
        <v>333</v>
      </c>
      <c r="O136" s="815" t="s">
        <v>51</v>
      </c>
      <c r="P136" s="816"/>
      <c r="R136" s="238"/>
      <c r="S136" s="238"/>
      <c r="T136" s="238"/>
      <c r="U136" s="238"/>
      <c r="V136" s="238"/>
      <c r="W136" s="238"/>
      <c r="X136" s="238"/>
      <c r="Y136" s="238"/>
      <c r="Z136" s="238"/>
      <c r="AA136" s="238"/>
      <c r="AB136" s="238"/>
      <c r="AC136" s="238"/>
      <c r="AD136" s="238"/>
      <c r="AE136" s="238"/>
      <c r="AF136" s="238"/>
      <c r="AG136" s="238"/>
      <c r="AH136" s="238"/>
      <c r="AI136" s="238"/>
      <c r="AJ136" s="238"/>
    </row>
    <row r="137" spans="1:36" s="136" customFormat="1" ht="50.1" customHeight="1">
      <c r="A137" s="840">
        <v>3</v>
      </c>
      <c r="B137" s="843" t="s">
        <v>447</v>
      </c>
      <c r="C137" s="263">
        <v>1</v>
      </c>
      <c r="D137" s="244"/>
      <c r="E137" s="245"/>
      <c r="F137" s="246"/>
      <c r="G137" s="253"/>
      <c r="H137" s="252"/>
      <c r="I137" s="253"/>
      <c r="J137" s="264"/>
      <c r="K137" s="265"/>
      <c r="L137" s="264"/>
      <c r="M137" s="333">
        <f t="shared" ref="M137:M141" si="14">L137*J137</f>
        <v>0</v>
      </c>
      <c r="N137" s="277"/>
      <c r="O137" s="846"/>
      <c r="P137" s="847"/>
      <c r="R137" s="238"/>
      <c r="S137" s="432"/>
      <c r="T137" s="432"/>
      <c r="U137" s="238"/>
      <c r="V137" s="238"/>
      <c r="W137" s="238"/>
      <c r="X137" s="238"/>
      <c r="Y137" s="238"/>
      <c r="Z137" s="238"/>
      <c r="AA137" s="238"/>
      <c r="AB137" s="238"/>
      <c r="AC137" s="238"/>
      <c r="AD137" s="238"/>
      <c r="AE137" s="238"/>
      <c r="AF137" s="238"/>
      <c r="AG137" s="238"/>
      <c r="AH137" s="238"/>
      <c r="AI137" s="238"/>
      <c r="AJ137" s="238"/>
    </row>
    <row r="138" spans="1:36" s="136" customFormat="1" ht="50.1" customHeight="1">
      <c r="A138" s="841"/>
      <c r="B138" s="844"/>
      <c r="C138" s="263">
        <v>2</v>
      </c>
      <c r="D138" s="244"/>
      <c r="E138" s="245"/>
      <c r="F138" s="246"/>
      <c r="G138" s="253"/>
      <c r="H138" s="252"/>
      <c r="I138" s="253"/>
      <c r="J138" s="264"/>
      <c r="K138" s="265"/>
      <c r="L138" s="264"/>
      <c r="M138" s="333">
        <f t="shared" si="14"/>
        <v>0</v>
      </c>
      <c r="N138" s="277"/>
      <c r="O138" s="810"/>
      <c r="P138" s="811"/>
      <c r="R138" s="238"/>
      <c r="S138" s="432"/>
      <c r="T138" s="439"/>
      <c r="U138" s="238"/>
      <c r="V138" s="238"/>
      <c r="W138" s="238"/>
      <c r="X138" s="238"/>
      <c r="Y138" s="238"/>
      <c r="Z138" s="238"/>
      <c r="AA138" s="238"/>
      <c r="AB138" s="238"/>
      <c r="AC138" s="238"/>
      <c r="AD138" s="238"/>
      <c r="AE138" s="238"/>
      <c r="AF138" s="238"/>
      <c r="AG138" s="238"/>
      <c r="AH138" s="238"/>
      <c r="AI138" s="238"/>
      <c r="AJ138" s="238"/>
    </row>
    <row r="139" spans="1:36" s="136" customFormat="1" ht="50.1" customHeight="1">
      <c r="A139" s="841"/>
      <c r="B139" s="844"/>
      <c r="C139" s="263">
        <v>3</v>
      </c>
      <c r="D139" s="244"/>
      <c r="E139" s="245"/>
      <c r="F139" s="246"/>
      <c r="G139" s="253"/>
      <c r="H139" s="252"/>
      <c r="I139" s="253"/>
      <c r="J139" s="264"/>
      <c r="K139" s="265"/>
      <c r="L139" s="264"/>
      <c r="M139" s="333">
        <f t="shared" si="14"/>
        <v>0</v>
      </c>
      <c r="N139" s="277"/>
      <c r="O139" s="810"/>
      <c r="P139" s="811"/>
      <c r="R139" s="238"/>
      <c r="S139" s="432"/>
      <c r="T139" s="439"/>
      <c r="U139" s="238"/>
      <c r="V139" s="238"/>
      <c r="W139" s="238"/>
      <c r="X139" s="238"/>
      <c r="Y139" s="238"/>
      <c r="Z139" s="238"/>
      <c r="AA139" s="238"/>
      <c r="AB139" s="238"/>
      <c r="AC139" s="238"/>
      <c r="AD139" s="238"/>
      <c r="AE139" s="238"/>
      <c r="AF139" s="238"/>
      <c r="AG139" s="238"/>
      <c r="AH139" s="238"/>
      <c r="AI139" s="238"/>
      <c r="AJ139" s="238"/>
    </row>
    <row r="140" spans="1:36" s="136" customFormat="1" ht="50.1" customHeight="1">
      <c r="A140" s="841"/>
      <c r="B140" s="844"/>
      <c r="C140" s="263">
        <v>4</v>
      </c>
      <c r="D140" s="244"/>
      <c r="E140" s="245"/>
      <c r="F140" s="246"/>
      <c r="G140" s="251"/>
      <c r="H140" s="252"/>
      <c r="I140" s="253"/>
      <c r="J140" s="276"/>
      <c r="K140" s="265"/>
      <c r="L140" s="264"/>
      <c r="M140" s="333">
        <f t="shared" si="14"/>
        <v>0</v>
      </c>
      <c r="N140" s="277"/>
      <c r="O140" s="810"/>
      <c r="P140" s="811"/>
      <c r="R140" s="238"/>
      <c r="S140" s="238"/>
      <c r="T140"/>
      <c r="U140" s="238"/>
      <c r="V140" s="238"/>
      <c r="W140" s="238"/>
      <c r="X140" s="238"/>
      <c r="Y140" s="238"/>
      <c r="Z140" s="238"/>
      <c r="AA140" s="238"/>
      <c r="AB140" s="238"/>
      <c r="AC140" s="238"/>
      <c r="AD140" s="238"/>
      <c r="AE140" s="238"/>
      <c r="AF140" s="238"/>
      <c r="AG140" s="238"/>
      <c r="AH140" s="238"/>
      <c r="AI140" s="238"/>
      <c r="AJ140" s="238"/>
    </row>
    <row r="141" spans="1:36" s="136" customFormat="1" ht="30" customHeight="1" thickBot="1">
      <c r="A141" s="841"/>
      <c r="B141" s="844"/>
      <c r="C141" s="269">
        <v>5</v>
      </c>
      <c r="D141" s="251"/>
      <c r="E141" s="252"/>
      <c r="F141" s="253"/>
      <c r="G141" s="410"/>
      <c r="H141" s="411"/>
      <c r="I141" s="412"/>
      <c r="J141" s="279"/>
      <c r="K141" s="271"/>
      <c r="L141" s="280"/>
      <c r="M141" s="333">
        <f t="shared" si="14"/>
        <v>0</v>
      </c>
      <c r="N141" s="277"/>
      <c r="O141" s="810"/>
      <c r="P141" s="811"/>
      <c r="R141" s="238"/>
      <c r="S141" s="238"/>
      <c r="T141"/>
      <c r="U141" s="238"/>
      <c r="V141" s="238"/>
      <c r="W141" s="238"/>
      <c r="X141" s="238"/>
      <c r="Y141" s="238"/>
      <c r="Z141" s="238"/>
      <c r="AA141" s="238"/>
      <c r="AB141" s="238"/>
      <c r="AC141" s="238"/>
      <c r="AD141" s="238"/>
      <c r="AE141" s="238"/>
      <c r="AF141" s="238"/>
      <c r="AG141" s="238"/>
      <c r="AH141" s="238"/>
      <c r="AI141" s="238"/>
      <c r="AJ141" s="238"/>
    </row>
    <row r="142" spans="1:36" s="136" customFormat="1" ht="15.75" customHeight="1" thickTop="1">
      <c r="A142" s="842"/>
      <c r="B142" s="845"/>
      <c r="C142" s="714"/>
      <c r="D142" s="715"/>
      <c r="E142" s="715"/>
      <c r="F142" s="715"/>
      <c r="G142" s="715"/>
      <c r="H142" s="715"/>
      <c r="I142" s="848"/>
      <c r="J142" s="281" t="s">
        <v>58</v>
      </c>
      <c r="K142" s="213">
        <f>M142/'生產管理報表 7-1 (週)'!$B$53</f>
        <v>0</v>
      </c>
      <c r="L142" s="281" t="s">
        <v>59</v>
      </c>
      <c r="M142" s="334">
        <f>SUM(M137:M141)</f>
        <v>0</v>
      </c>
      <c r="N142" s="812"/>
      <c r="O142" s="813"/>
      <c r="P142" s="814"/>
      <c r="R142" s="238"/>
      <c r="S142" s="238"/>
      <c r="T142"/>
      <c r="U142" s="238"/>
      <c r="V142" s="238"/>
      <c r="W142" s="238"/>
      <c r="X142" s="238"/>
      <c r="Y142" s="238"/>
      <c r="Z142" s="238"/>
      <c r="AA142" s="238"/>
      <c r="AB142" s="238"/>
      <c r="AC142" s="238"/>
      <c r="AD142" s="238"/>
      <c r="AE142" s="238"/>
      <c r="AF142" s="238"/>
      <c r="AG142" s="238"/>
      <c r="AH142" s="238"/>
      <c r="AI142" s="238"/>
      <c r="AJ142" s="238"/>
    </row>
  </sheetData>
  <mergeCells count="28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5:O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2" manualBreakCount="2">
    <brk id="58" max="16" man="1"/>
    <brk id="86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29">
    <tabColor rgb="FF92D050"/>
    <outlinePr summaryBelow="0" summaryRight="0"/>
  </sheetPr>
  <dimension ref="A1:U183"/>
  <sheetViews>
    <sheetView view="pageBreakPreview" topLeftCell="A110" zoomScale="91" zoomScaleNormal="60" zoomScaleSheetLayoutView="91" workbookViewId="0">
      <selection activeCell="O126" sqref="O126:P126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1" s="99" customFormat="1" ht="15.75" customHeight="1">
      <c r="A1" s="508" t="s">
        <v>372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</row>
    <row r="2" spans="1:21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</row>
    <row r="3" spans="1:21" s="136" customFormat="1" ht="15.75" customHeight="1">
      <c r="A3" s="859" t="s">
        <v>644</v>
      </c>
      <c r="B3" s="859"/>
      <c r="C3" s="859"/>
      <c r="D3" s="859"/>
      <c r="E3" s="859"/>
      <c r="F3" s="859"/>
      <c r="G3" s="859"/>
      <c r="H3" s="859"/>
      <c r="I3" s="859"/>
      <c r="J3" s="859"/>
      <c r="K3" s="859"/>
      <c r="L3" s="859"/>
      <c r="M3" s="859"/>
      <c r="R3" s="238"/>
      <c r="S3" s="238"/>
      <c r="T3" s="238"/>
      <c r="U3" s="238"/>
    </row>
    <row r="4" spans="1:21" s="137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21" s="136" customFormat="1" ht="15.75" customHeight="1">
      <c r="A5" s="734" t="s">
        <v>191</v>
      </c>
      <c r="B5" s="736">
        <v>1</v>
      </c>
      <c r="C5" s="737"/>
      <c r="D5" s="736">
        <v>2</v>
      </c>
      <c r="E5" s="737"/>
      <c r="F5" s="736">
        <v>3</v>
      </c>
      <c r="G5" s="737"/>
      <c r="H5" s="727">
        <v>4</v>
      </c>
      <c r="I5" s="728"/>
      <c r="J5" s="727">
        <v>5</v>
      </c>
      <c r="K5" s="728"/>
      <c r="L5" s="727">
        <v>6</v>
      </c>
      <c r="M5" s="728"/>
      <c r="N5" s="727">
        <v>7</v>
      </c>
      <c r="O5" s="728"/>
      <c r="P5" s="335">
        <v>8</v>
      </c>
    </row>
    <row r="6" spans="1:21" s="136" customFormat="1" ht="15.75" customHeight="1">
      <c r="A6" s="735"/>
      <c r="B6" s="731" t="s">
        <v>487</v>
      </c>
      <c r="C6" s="732"/>
      <c r="D6" s="731" t="s">
        <v>212</v>
      </c>
      <c r="E6" s="732"/>
      <c r="F6" s="731" t="s">
        <v>166</v>
      </c>
      <c r="G6" s="732"/>
      <c r="H6" s="729" t="s">
        <v>457</v>
      </c>
      <c r="I6" s="730"/>
      <c r="J6" s="729" t="s">
        <v>189</v>
      </c>
      <c r="K6" s="730"/>
      <c r="L6" s="729" t="s">
        <v>167</v>
      </c>
      <c r="M6" s="730"/>
      <c r="N6" s="729" t="s">
        <v>190</v>
      </c>
      <c r="O6" s="730"/>
      <c r="P6" s="336" t="s">
        <v>217</v>
      </c>
    </row>
    <row r="7" spans="1:21" s="136" customFormat="1" ht="15.75" customHeight="1">
      <c r="B7" s="239"/>
      <c r="C7" s="240"/>
    </row>
    <row r="8" spans="1:21" s="285" customFormat="1" ht="15.75" customHeight="1">
      <c r="A8" s="738" t="s">
        <v>191</v>
      </c>
      <c r="B8" s="739"/>
      <c r="C8" s="282" t="s">
        <v>47</v>
      </c>
      <c r="D8" s="740" t="s">
        <v>12</v>
      </c>
      <c r="E8" s="741"/>
      <c r="F8" s="742"/>
      <c r="G8" s="743" t="s">
        <v>53</v>
      </c>
      <c r="H8" s="744"/>
      <c r="I8" s="745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46" t="s">
        <v>51</v>
      </c>
      <c r="P8" s="747"/>
      <c r="R8" s="211"/>
      <c r="S8" s="268"/>
    </row>
    <row r="9" spans="1:21" s="305" customFormat="1" ht="20.100000000000001" customHeight="1">
      <c r="A9" s="748">
        <v>4</v>
      </c>
      <c r="B9" s="751" t="s">
        <v>457</v>
      </c>
      <c r="C9" s="286">
        <v>1</v>
      </c>
      <c r="D9" s="244"/>
      <c r="E9" s="245"/>
      <c r="F9" s="246"/>
      <c r="G9" s="367"/>
      <c r="H9" s="312"/>
      <c r="I9" s="313"/>
      <c r="J9" s="320"/>
      <c r="K9" s="321"/>
      <c r="L9" s="322"/>
      <c r="M9" s="330">
        <f t="shared" ref="M9:M13" si="0">L9*J9</f>
        <v>0</v>
      </c>
      <c r="N9" s="322"/>
      <c r="O9" s="754"/>
      <c r="P9" s="755"/>
      <c r="R9" s="323"/>
      <c r="S9" s="268"/>
    </row>
    <row r="10" spans="1:21" s="305" customFormat="1" ht="20.100000000000001" customHeight="1">
      <c r="A10" s="749"/>
      <c r="B10" s="752"/>
      <c r="C10" s="286">
        <v>2</v>
      </c>
      <c r="D10" s="244"/>
      <c r="E10" s="245"/>
      <c r="F10" s="246"/>
      <c r="G10" s="367"/>
      <c r="H10" s="312"/>
      <c r="I10" s="313"/>
      <c r="J10" s="320"/>
      <c r="K10" s="321"/>
      <c r="L10" s="322"/>
      <c r="M10" s="330">
        <f t="shared" si="0"/>
        <v>0</v>
      </c>
      <c r="N10" s="322"/>
      <c r="O10" s="756"/>
      <c r="P10" s="757"/>
      <c r="R10" s="323"/>
      <c r="S10" s="211"/>
      <c r="T10" s="347"/>
    </row>
    <row r="11" spans="1:21" s="305" customFormat="1" ht="20.100000000000001" customHeight="1">
      <c r="A11" s="749"/>
      <c r="B11" s="752"/>
      <c r="C11" s="286">
        <v>3</v>
      </c>
      <c r="D11" s="244"/>
      <c r="E11" s="245"/>
      <c r="F11" s="246"/>
      <c r="G11" s="367"/>
      <c r="H11" s="312"/>
      <c r="I11" s="313"/>
      <c r="J11" s="320"/>
      <c r="K11" s="321"/>
      <c r="L11" s="322"/>
      <c r="M11" s="330">
        <f t="shared" si="0"/>
        <v>0</v>
      </c>
      <c r="N11" s="322"/>
      <c r="O11" s="754"/>
      <c r="P11" s="755"/>
      <c r="R11" s="323"/>
      <c r="S11" s="268"/>
    </row>
    <row r="12" spans="1:21" s="305" customFormat="1" ht="20.100000000000001" customHeight="1">
      <c r="A12" s="749"/>
      <c r="B12" s="752"/>
      <c r="C12" s="286">
        <v>4</v>
      </c>
      <c r="D12" s="244"/>
      <c r="E12" s="245"/>
      <c r="F12" s="246"/>
      <c r="G12" s="367"/>
      <c r="H12" s="312"/>
      <c r="I12" s="313"/>
      <c r="J12" s="320"/>
      <c r="K12" s="321"/>
      <c r="L12" s="322"/>
      <c r="M12" s="330">
        <f t="shared" si="0"/>
        <v>0</v>
      </c>
      <c r="N12" s="322"/>
      <c r="O12" s="754"/>
      <c r="P12" s="755"/>
      <c r="R12" s="323"/>
      <c r="S12" s="211"/>
      <c r="T12" s="347"/>
    </row>
    <row r="13" spans="1:21" s="305" customFormat="1" ht="20.100000000000001" customHeight="1" thickBot="1">
      <c r="A13" s="749"/>
      <c r="B13" s="752"/>
      <c r="C13" s="286">
        <v>5</v>
      </c>
      <c r="D13" s="244"/>
      <c r="E13" s="252"/>
      <c r="F13" s="253"/>
      <c r="G13" s="367"/>
      <c r="H13" s="312"/>
      <c r="I13" s="313"/>
      <c r="J13" s="428"/>
      <c r="K13" s="422"/>
      <c r="L13" s="325"/>
      <c r="M13" s="330">
        <f t="shared" si="0"/>
        <v>0</v>
      </c>
      <c r="N13" s="322"/>
      <c r="O13" s="754"/>
      <c r="P13" s="755"/>
      <c r="R13" s="326"/>
      <c r="S13" s="268"/>
      <c r="T13" s="296"/>
    </row>
    <row r="14" spans="1:21" s="296" customFormat="1" ht="15.75" customHeight="1" thickTop="1" thickBot="1">
      <c r="A14" s="750"/>
      <c r="B14" s="753"/>
      <c r="C14" s="762"/>
      <c r="D14" s="763"/>
      <c r="E14" s="763"/>
      <c r="F14" s="763"/>
      <c r="G14" s="763"/>
      <c r="H14" s="763"/>
      <c r="I14" s="764"/>
      <c r="J14" s="360" t="s">
        <v>58</v>
      </c>
      <c r="K14" s="213">
        <f>M14/'生產管理報表 7-1 (週)'!$B$9</f>
        <v>0</v>
      </c>
      <c r="L14" s="361" t="s">
        <v>59</v>
      </c>
      <c r="M14" s="429">
        <f>SUM(M9:M13)</f>
        <v>0</v>
      </c>
      <c r="N14" s="765"/>
      <c r="O14" s="766"/>
      <c r="P14" s="767"/>
      <c r="R14" s="211"/>
      <c r="S14" s="211"/>
    </row>
    <row r="15" spans="1:21" s="296" customFormat="1" ht="15.75" customHeight="1" thickTop="1">
      <c r="B15" s="304"/>
      <c r="C15" s="305"/>
      <c r="M15" s="337"/>
      <c r="S15" s="268"/>
    </row>
    <row r="16" spans="1:21" s="296" customFormat="1" ht="15.75" customHeight="1">
      <c r="A16" s="738" t="s">
        <v>191</v>
      </c>
      <c r="B16" s="739"/>
      <c r="C16" s="282" t="s">
        <v>47</v>
      </c>
      <c r="D16" s="740" t="s">
        <v>12</v>
      </c>
      <c r="E16" s="741"/>
      <c r="F16" s="742"/>
      <c r="G16" s="743" t="s">
        <v>53</v>
      </c>
      <c r="H16" s="744"/>
      <c r="I16" s="745"/>
      <c r="J16" s="283" t="s">
        <v>54</v>
      </c>
      <c r="K16" s="283" t="s">
        <v>55</v>
      </c>
      <c r="L16" s="283" t="s">
        <v>56</v>
      </c>
      <c r="M16" s="338" t="s">
        <v>11</v>
      </c>
      <c r="N16" s="284" t="s">
        <v>333</v>
      </c>
      <c r="O16" s="746" t="s">
        <v>51</v>
      </c>
      <c r="P16" s="747"/>
      <c r="S16" s="211"/>
      <c r="T16" s="347"/>
    </row>
    <row r="17" spans="1:20" s="305" customFormat="1" ht="39.950000000000003" customHeight="1">
      <c r="A17" s="748">
        <v>5</v>
      </c>
      <c r="B17" s="768" t="s">
        <v>215</v>
      </c>
      <c r="C17" s="286">
        <v>1</v>
      </c>
      <c r="D17" s="244"/>
      <c r="E17" s="245"/>
      <c r="F17" s="246"/>
      <c r="G17" s="313"/>
      <c r="H17" s="312"/>
      <c r="I17" s="313"/>
      <c r="J17" s="320"/>
      <c r="K17" s="321"/>
      <c r="L17" s="322"/>
      <c r="M17" s="330">
        <f>L17*J17</f>
        <v>0</v>
      </c>
      <c r="N17" s="322"/>
      <c r="O17" s="756"/>
      <c r="P17" s="757"/>
      <c r="R17" s="437"/>
      <c r="S17" s="430"/>
    </row>
    <row r="18" spans="1:20" s="305" customFormat="1" ht="20.100000000000001" customHeight="1">
      <c r="A18" s="749"/>
      <c r="B18" s="769"/>
      <c r="C18" s="286">
        <v>2</v>
      </c>
      <c r="D18" s="244"/>
      <c r="E18" s="245"/>
      <c r="F18" s="246"/>
      <c r="G18" s="367"/>
      <c r="H18" s="312"/>
      <c r="I18" s="313"/>
      <c r="J18" s="320"/>
      <c r="K18" s="321"/>
      <c r="L18" s="322"/>
      <c r="M18" s="330">
        <f t="shared" ref="M18:M21" si="1">L18*J18</f>
        <v>0</v>
      </c>
      <c r="N18" s="322"/>
      <c r="O18" s="756"/>
      <c r="P18" s="757"/>
      <c r="S18" s="211"/>
      <c r="T18" s="348"/>
    </row>
    <row r="19" spans="1:20" s="296" customFormat="1" ht="20.100000000000001" customHeight="1">
      <c r="A19" s="749"/>
      <c r="B19" s="769"/>
      <c r="C19" s="286">
        <v>3</v>
      </c>
      <c r="D19" s="244"/>
      <c r="E19" s="288"/>
      <c r="F19" s="289"/>
      <c r="G19" s="367"/>
      <c r="H19" s="312"/>
      <c r="I19" s="313"/>
      <c r="J19" s="320"/>
      <c r="K19" s="321"/>
      <c r="L19" s="322"/>
      <c r="M19" s="330">
        <f t="shared" si="1"/>
        <v>0</v>
      </c>
      <c r="N19" s="295"/>
      <c r="O19" s="773"/>
      <c r="P19" s="774"/>
    </row>
    <row r="20" spans="1:20" s="296" customFormat="1" ht="20.100000000000001" customHeight="1">
      <c r="A20" s="749"/>
      <c r="B20" s="769"/>
      <c r="C20" s="286">
        <v>4</v>
      </c>
      <c r="D20" s="244"/>
      <c r="E20" s="288"/>
      <c r="F20" s="289"/>
      <c r="G20" s="367"/>
      <c r="H20" s="312"/>
      <c r="I20" s="313"/>
      <c r="J20" s="320"/>
      <c r="K20" s="321"/>
      <c r="L20" s="322"/>
      <c r="M20" s="330">
        <f t="shared" si="1"/>
        <v>0</v>
      </c>
      <c r="N20" s="295"/>
      <c r="O20" s="756"/>
      <c r="P20" s="757"/>
    </row>
    <row r="21" spans="1:20" s="296" customFormat="1" ht="20.100000000000001" customHeight="1" thickBot="1">
      <c r="A21" s="749"/>
      <c r="B21" s="769"/>
      <c r="C21" s="286">
        <v>5</v>
      </c>
      <c r="D21" s="251"/>
      <c r="E21" s="298"/>
      <c r="F21" s="299"/>
      <c r="G21" s="367"/>
      <c r="H21" s="312"/>
      <c r="I21" s="313"/>
      <c r="J21" s="428"/>
      <c r="K21" s="422"/>
      <c r="L21" s="325"/>
      <c r="M21" s="330">
        <f t="shared" si="1"/>
        <v>0</v>
      </c>
      <c r="N21" s="295"/>
      <c r="O21" s="860"/>
      <c r="P21" s="861"/>
      <c r="R21" s="212"/>
    </row>
    <row r="22" spans="1:20" s="296" customFormat="1" ht="15.75" customHeight="1" thickTop="1" thickBot="1">
      <c r="A22" s="750"/>
      <c r="B22" s="770"/>
      <c r="C22" s="777"/>
      <c r="D22" s="778"/>
      <c r="E22" s="778"/>
      <c r="F22" s="778"/>
      <c r="G22" s="778"/>
      <c r="H22" s="778"/>
      <c r="I22" s="779"/>
      <c r="J22" s="360" t="s">
        <v>58</v>
      </c>
      <c r="K22" s="213">
        <f>M22/'生產管理報表 7-1 (週)'!$B$9</f>
        <v>0</v>
      </c>
      <c r="L22" s="361" t="s">
        <v>59</v>
      </c>
      <c r="M22" s="429">
        <f>SUM(M17:M21)</f>
        <v>0</v>
      </c>
      <c r="N22" s="765"/>
      <c r="O22" s="766"/>
      <c r="P22" s="767"/>
      <c r="R22" s="211"/>
    </row>
    <row r="23" spans="1:20" s="296" customFormat="1" ht="15.75" customHeight="1" thickTop="1">
      <c r="B23" s="304"/>
      <c r="C23" s="305"/>
      <c r="M23" s="337"/>
      <c r="R23" s="211"/>
    </row>
    <row r="24" spans="1:20" s="296" customFormat="1" ht="15.75" customHeight="1">
      <c r="A24" s="738" t="s">
        <v>191</v>
      </c>
      <c r="B24" s="739"/>
      <c r="C24" s="310" t="s">
        <v>47</v>
      </c>
      <c r="D24" s="782" t="s">
        <v>12</v>
      </c>
      <c r="E24" s="783"/>
      <c r="F24" s="784"/>
      <c r="G24" s="785" t="s">
        <v>53</v>
      </c>
      <c r="H24" s="786"/>
      <c r="I24" s="787"/>
      <c r="J24" s="311" t="s">
        <v>54</v>
      </c>
      <c r="K24" s="283" t="s">
        <v>55</v>
      </c>
      <c r="L24" s="283" t="s">
        <v>56</v>
      </c>
      <c r="M24" s="338" t="s">
        <v>11</v>
      </c>
      <c r="N24" s="284" t="s">
        <v>333</v>
      </c>
      <c r="O24" s="746" t="s">
        <v>51</v>
      </c>
      <c r="P24" s="747"/>
      <c r="R24" s="211"/>
      <c r="S24" s="2"/>
    </row>
    <row r="25" spans="1:20" s="296" customFormat="1" ht="39.950000000000003" customHeight="1">
      <c r="A25" s="748">
        <v>6</v>
      </c>
      <c r="B25" s="768" t="s">
        <v>216</v>
      </c>
      <c r="C25" s="286">
        <v>1</v>
      </c>
      <c r="D25" s="349" t="s">
        <v>341</v>
      </c>
      <c r="E25" s="288"/>
      <c r="F25" s="289"/>
      <c r="G25" s="313" t="s">
        <v>335</v>
      </c>
      <c r="H25" s="312"/>
      <c r="I25" s="313"/>
      <c r="J25" s="320">
        <v>15.450000000000001</v>
      </c>
      <c r="K25" s="321">
        <v>5.0821163002193331E-3</v>
      </c>
      <c r="L25" s="322">
        <v>95</v>
      </c>
      <c r="M25" s="330">
        <f t="shared" ref="M25" si="2">L25*J25</f>
        <v>1467.75</v>
      </c>
      <c r="N25" s="295"/>
      <c r="O25" s="773" t="s">
        <v>525</v>
      </c>
      <c r="P25" s="774"/>
      <c r="R25" s="348"/>
      <c r="S25" s="438"/>
    </row>
    <row r="26" spans="1:20" s="296" customFormat="1" ht="20.100000000000001" customHeight="1">
      <c r="A26" s="749"/>
      <c r="B26" s="769"/>
      <c r="C26" s="286">
        <v>2</v>
      </c>
      <c r="D26" s="287"/>
      <c r="E26" s="288"/>
      <c r="F26" s="289"/>
      <c r="G26" s="290"/>
      <c r="H26" s="291"/>
      <c r="I26" s="292"/>
      <c r="J26" s="293"/>
      <c r="K26" s="294"/>
      <c r="L26" s="295"/>
      <c r="M26" s="339">
        <v>0</v>
      </c>
      <c r="N26" s="295"/>
      <c r="O26" s="306"/>
      <c r="P26" s="307"/>
      <c r="S26" s="2"/>
    </row>
    <row r="27" spans="1:20" s="296" customFormat="1" ht="20.100000000000001" customHeight="1">
      <c r="A27" s="749"/>
      <c r="B27" s="769"/>
      <c r="C27" s="286">
        <v>3</v>
      </c>
      <c r="D27" s="287"/>
      <c r="E27" s="288"/>
      <c r="F27" s="289"/>
      <c r="G27" s="290"/>
      <c r="H27" s="291"/>
      <c r="I27" s="292"/>
      <c r="J27" s="293"/>
      <c r="K27" s="294"/>
      <c r="L27" s="295"/>
      <c r="M27" s="339">
        <v>0</v>
      </c>
      <c r="N27" s="295"/>
      <c r="O27" s="306"/>
      <c r="P27" s="307"/>
      <c r="S27" s="2"/>
    </row>
    <row r="28" spans="1:20" s="296" customFormat="1" ht="20.100000000000001" customHeight="1">
      <c r="A28" s="749"/>
      <c r="B28" s="769"/>
      <c r="C28" s="286">
        <v>4</v>
      </c>
      <c r="D28" s="287"/>
      <c r="E28" s="288"/>
      <c r="F28" s="289"/>
      <c r="G28" s="290"/>
      <c r="H28" s="291"/>
      <c r="I28" s="292"/>
      <c r="J28" s="293"/>
      <c r="K28" s="294"/>
      <c r="L28" s="295"/>
      <c r="M28" s="339">
        <v>0</v>
      </c>
      <c r="N28" s="295"/>
      <c r="O28" s="306"/>
      <c r="P28" s="307"/>
      <c r="R28" s="2"/>
      <c r="S28" s="2"/>
    </row>
    <row r="29" spans="1:20" s="296" customFormat="1" ht="20.100000000000001" customHeight="1" thickBot="1">
      <c r="A29" s="749"/>
      <c r="B29" s="769"/>
      <c r="C29" s="286">
        <v>5</v>
      </c>
      <c r="D29" s="297"/>
      <c r="E29" s="298"/>
      <c r="F29" s="299"/>
      <c r="G29" s="290"/>
      <c r="H29" s="291"/>
      <c r="I29" s="292"/>
      <c r="J29" s="428"/>
      <c r="K29" s="422"/>
      <c r="L29" s="325"/>
      <c r="M29" s="330">
        <v>0</v>
      </c>
      <c r="N29" s="295"/>
      <c r="O29" s="308"/>
      <c r="P29" s="309"/>
      <c r="R29" s="2"/>
      <c r="S29" s="2"/>
    </row>
    <row r="30" spans="1:20" s="296" customFormat="1" ht="15.75" customHeight="1" thickTop="1" thickBot="1">
      <c r="A30" s="750"/>
      <c r="B30" s="770"/>
      <c r="C30" s="777"/>
      <c r="D30" s="778"/>
      <c r="E30" s="778"/>
      <c r="F30" s="778"/>
      <c r="G30" s="778"/>
      <c r="H30" s="778"/>
      <c r="I30" s="779"/>
      <c r="J30" s="360" t="s">
        <v>58</v>
      </c>
      <c r="K30" s="213">
        <f>M30/'生產管理報表 7-1 (週)'!$B$9</f>
        <v>2.4229712152076151E-2</v>
      </c>
      <c r="L30" s="361" t="s">
        <v>59</v>
      </c>
      <c r="M30" s="429">
        <f>SUM(M25:M29)</f>
        <v>1467.75</v>
      </c>
      <c r="N30" s="765"/>
      <c r="O30" s="766"/>
      <c r="P30" s="767"/>
      <c r="R30" s="2"/>
      <c r="S30" s="2"/>
    </row>
    <row r="31" spans="1:20" s="296" customFormat="1" ht="15.75" customHeight="1" thickTop="1">
      <c r="B31" s="304"/>
      <c r="C31" s="305"/>
      <c r="M31" s="337"/>
      <c r="R31" s="2"/>
      <c r="S31" s="2"/>
    </row>
    <row r="32" spans="1:20" s="296" customFormat="1" ht="15.75" customHeight="1">
      <c r="A32" s="738" t="s">
        <v>191</v>
      </c>
      <c r="B32" s="739"/>
      <c r="C32" s="310" t="s">
        <v>47</v>
      </c>
      <c r="D32" s="782" t="s">
        <v>12</v>
      </c>
      <c r="E32" s="783"/>
      <c r="F32" s="784"/>
      <c r="G32" s="785" t="s">
        <v>53</v>
      </c>
      <c r="H32" s="786"/>
      <c r="I32" s="787"/>
      <c r="J32" s="311" t="s">
        <v>54</v>
      </c>
      <c r="K32" s="283" t="s">
        <v>55</v>
      </c>
      <c r="L32" s="283" t="s">
        <v>56</v>
      </c>
      <c r="M32" s="338" t="s">
        <v>11</v>
      </c>
      <c r="N32" s="284" t="s">
        <v>333</v>
      </c>
      <c r="O32" s="746" t="s">
        <v>51</v>
      </c>
      <c r="P32" s="747"/>
      <c r="R32" s="2"/>
      <c r="S32" s="2"/>
    </row>
    <row r="33" spans="1:21" s="296" customFormat="1" ht="20.100000000000001" customHeight="1">
      <c r="A33" s="748">
        <v>7</v>
      </c>
      <c r="B33" s="790" t="s">
        <v>249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39">
        <f t="shared" ref="M33:M35" si="3">L33*J33</f>
        <v>0</v>
      </c>
      <c r="N33" s="295"/>
      <c r="O33" s="793"/>
      <c r="P33" s="794"/>
      <c r="R33" s="2"/>
      <c r="S33" s="2"/>
    </row>
    <row r="34" spans="1:21" s="296" customFormat="1" ht="20.100000000000001" customHeight="1">
      <c r="A34" s="749"/>
      <c r="B34" s="791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39">
        <f t="shared" si="3"/>
        <v>0</v>
      </c>
      <c r="N34" s="295"/>
      <c r="O34" s="795"/>
      <c r="P34" s="796"/>
      <c r="R34" s="2"/>
      <c r="S34" s="2"/>
    </row>
    <row r="35" spans="1:21" s="296" customFormat="1" ht="20.100000000000001" customHeight="1">
      <c r="A35" s="749"/>
      <c r="B35" s="791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39">
        <f t="shared" si="3"/>
        <v>0</v>
      </c>
      <c r="N35" s="295"/>
      <c r="O35" s="795"/>
      <c r="P35" s="796"/>
      <c r="R35" s="2"/>
      <c r="S35" s="2"/>
    </row>
    <row r="36" spans="1:21" s="296" customFormat="1" ht="20.100000000000001" customHeight="1">
      <c r="A36" s="749"/>
      <c r="B36" s="791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0">
        <v>0</v>
      </c>
      <c r="N36" s="295"/>
      <c r="O36" s="306"/>
      <c r="P36" s="307"/>
      <c r="R36" s="2"/>
      <c r="S36" s="2"/>
    </row>
    <row r="37" spans="1:21" s="296" customFormat="1" ht="20.100000000000001" customHeight="1" thickBot="1">
      <c r="A37" s="749"/>
      <c r="B37" s="791"/>
      <c r="C37" s="286">
        <v>5</v>
      </c>
      <c r="D37" s="297"/>
      <c r="E37" s="298"/>
      <c r="F37" s="299"/>
      <c r="G37" s="290"/>
      <c r="H37" s="291"/>
      <c r="I37" s="292"/>
      <c r="J37" s="428"/>
      <c r="K37" s="422"/>
      <c r="L37" s="325"/>
      <c r="M37" s="341">
        <v>0</v>
      </c>
      <c r="N37" s="295"/>
      <c r="O37" s="308"/>
      <c r="P37" s="309"/>
      <c r="R37" s="2"/>
      <c r="S37" s="2"/>
    </row>
    <row r="38" spans="1:21" s="296" customFormat="1" ht="15.75" customHeight="1" thickTop="1" thickBot="1">
      <c r="A38" s="750"/>
      <c r="B38" s="792"/>
      <c r="C38" s="777"/>
      <c r="D38" s="778"/>
      <c r="E38" s="778"/>
      <c r="F38" s="778"/>
      <c r="G38" s="778"/>
      <c r="H38" s="778"/>
      <c r="I38" s="779"/>
      <c r="J38" s="360" t="s">
        <v>58</v>
      </c>
      <c r="K38" s="213">
        <f>M38/'生產管理報表 7-1 (週)'!$B$9</f>
        <v>0</v>
      </c>
      <c r="L38" s="361" t="s">
        <v>59</v>
      </c>
      <c r="M38" s="429">
        <f>SUM(M33:M37)</f>
        <v>0</v>
      </c>
      <c r="N38" s="765"/>
      <c r="O38" s="766"/>
      <c r="P38" s="767"/>
      <c r="R38" s="2"/>
      <c r="S38" s="2"/>
      <c r="T38" s="2"/>
    </row>
    <row r="39" spans="1:21" s="136" customFormat="1" ht="15.75" customHeight="1" thickTop="1">
      <c r="A39" s="859" t="s">
        <v>697</v>
      </c>
      <c r="B39" s="859"/>
      <c r="C39" s="859"/>
      <c r="D39" s="859"/>
      <c r="E39" s="859"/>
      <c r="F39" s="859"/>
      <c r="G39" s="859"/>
      <c r="H39" s="859"/>
      <c r="I39" s="859"/>
      <c r="J39" s="859"/>
      <c r="K39" s="859"/>
      <c r="L39" s="859"/>
      <c r="M39" s="859"/>
      <c r="R39" s="238"/>
      <c r="S39" s="238"/>
      <c r="T39" s="238"/>
      <c r="U39" s="238"/>
    </row>
    <row r="40" spans="1:21" s="137" customFormat="1" ht="15.75" customHeight="1">
      <c r="A40" s="733"/>
      <c r="B40" s="733"/>
      <c r="C40" s="733"/>
      <c r="D40" s="733"/>
      <c r="E40" s="733"/>
      <c r="F40" s="733"/>
      <c r="G40" s="733"/>
      <c r="H40" s="733"/>
      <c r="I40" s="733"/>
      <c r="J40" s="733"/>
      <c r="K40" s="733"/>
      <c r="L40" s="733"/>
      <c r="M40" s="733"/>
    </row>
    <row r="41" spans="1:21" s="136" customFormat="1" ht="15.75" customHeight="1">
      <c r="A41" s="734" t="s">
        <v>191</v>
      </c>
      <c r="B41" s="736">
        <v>1</v>
      </c>
      <c r="C41" s="737"/>
      <c r="D41" s="736">
        <v>2</v>
      </c>
      <c r="E41" s="737"/>
      <c r="F41" s="736">
        <v>3</v>
      </c>
      <c r="G41" s="737"/>
      <c r="H41" s="727">
        <v>4</v>
      </c>
      <c r="I41" s="728"/>
      <c r="J41" s="727">
        <v>5</v>
      </c>
      <c r="K41" s="728"/>
      <c r="L41" s="727">
        <v>6</v>
      </c>
      <c r="M41" s="728"/>
      <c r="N41" s="727">
        <v>7</v>
      </c>
      <c r="O41" s="728"/>
      <c r="P41" s="335">
        <v>8</v>
      </c>
    </row>
    <row r="42" spans="1:21" s="136" customFormat="1" ht="15.75" customHeight="1">
      <c r="A42" s="735"/>
      <c r="B42" s="731" t="s">
        <v>487</v>
      </c>
      <c r="C42" s="732"/>
      <c r="D42" s="731" t="s">
        <v>212</v>
      </c>
      <c r="E42" s="732"/>
      <c r="F42" s="731" t="s">
        <v>166</v>
      </c>
      <c r="G42" s="732"/>
      <c r="H42" s="729" t="s">
        <v>457</v>
      </c>
      <c r="I42" s="730"/>
      <c r="J42" s="729" t="s">
        <v>189</v>
      </c>
      <c r="K42" s="730"/>
      <c r="L42" s="729" t="s">
        <v>167</v>
      </c>
      <c r="M42" s="730"/>
      <c r="N42" s="729" t="s">
        <v>190</v>
      </c>
      <c r="O42" s="730"/>
      <c r="P42" s="336" t="s">
        <v>217</v>
      </c>
    </row>
    <row r="43" spans="1:21" s="136" customFormat="1" ht="15.75" customHeight="1">
      <c r="B43" s="239"/>
      <c r="C43" s="240"/>
    </row>
    <row r="44" spans="1:21" s="285" customFormat="1" ht="15.75" customHeight="1">
      <c r="A44" s="738" t="s">
        <v>191</v>
      </c>
      <c r="B44" s="739"/>
      <c r="C44" s="282" t="s">
        <v>47</v>
      </c>
      <c r="D44" s="740" t="s">
        <v>12</v>
      </c>
      <c r="E44" s="741"/>
      <c r="F44" s="742"/>
      <c r="G44" s="743" t="s">
        <v>53</v>
      </c>
      <c r="H44" s="744"/>
      <c r="I44" s="745"/>
      <c r="J44" s="283" t="s">
        <v>54</v>
      </c>
      <c r="K44" s="283" t="s">
        <v>55</v>
      </c>
      <c r="L44" s="283" t="s">
        <v>56</v>
      </c>
      <c r="M44" s="284" t="s">
        <v>11</v>
      </c>
      <c r="N44" s="284" t="s">
        <v>333</v>
      </c>
      <c r="O44" s="746" t="s">
        <v>51</v>
      </c>
      <c r="P44" s="747"/>
      <c r="R44" s="211"/>
      <c r="S44" s="268"/>
    </row>
    <row r="45" spans="1:21" s="305" customFormat="1" ht="20.100000000000001" customHeight="1">
      <c r="A45" s="748">
        <v>4</v>
      </c>
      <c r="B45" s="751" t="s">
        <v>457</v>
      </c>
      <c r="C45" s="286">
        <v>1</v>
      </c>
      <c r="D45" s="244"/>
      <c r="E45" s="245"/>
      <c r="F45" s="246"/>
      <c r="G45" s="367"/>
      <c r="H45" s="312"/>
      <c r="I45" s="313"/>
      <c r="J45" s="320"/>
      <c r="K45" s="321"/>
      <c r="L45" s="322"/>
      <c r="M45" s="330">
        <f t="shared" ref="M45:M49" si="4">L45*J45</f>
        <v>0</v>
      </c>
      <c r="N45" s="322"/>
      <c r="O45" s="754"/>
      <c r="P45" s="755"/>
      <c r="R45" s="323"/>
      <c r="S45" s="268"/>
    </row>
    <row r="46" spans="1:21" s="305" customFormat="1" ht="20.100000000000001" customHeight="1">
      <c r="A46" s="749"/>
      <c r="B46" s="752"/>
      <c r="C46" s="286">
        <v>2</v>
      </c>
      <c r="D46" s="244"/>
      <c r="E46" s="245"/>
      <c r="F46" s="246"/>
      <c r="G46" s="367"/>
      <c r="H46" s="312"/>
      <c r="I46" s="313"/>
      <c r="J46" s="320"/>
      <c r="K46" s="321"/>
      <c r="L46" s="322"/>
      <c r="M46" s="330">
        <f t="shared" si="4"/>
        <v>0</v>
      </c>
      <c r="N46" s="322"/>
      <c r="O46" s="756"/>
      <c r="P46" s="757"/>
      <c r="R46" s="323"/>
      <c r="S46" s="211"/>
      <c r="T46" s="347"/>
    </row>
    <row r="47" spans="1:21" s="305" customFormat="1" ht="20.100000000000001" customHeight="1">
      <c r="A47" s="749"/>
      <c r="B47" s="752"/>
      <c r="C47" s="286">
        <v>3</v>
      </c>
      <c r="D47" s="244"/>
      <c r="E47" s="245"/>
      <c r="F47" s="246"/>
      <c r="G47" s="367"/>
      <c r="H47" s="312"/>
      <c r="I47" s="313"/>
      <c r="J47" s="320"/>
      <c r="K47" s="321"/>
      <c r="L47" s="322"/>
      <c r="M47" s="330">
        <f t="shared" si="4"/>
        <v>0</v>
      </c>
      <c r="N47" s="322"/>
      <c r="O47" s="754"/>
      <c r="P47" s="755"/>
      <c r="R47" s="323"/>
      <c r="S47" s="268"/>
    </row>
    <row r="48" spans="1:21" s="305" customFormat="1" ht="20.100000000000001" customHeight="1">
      <c r="A48" s="749"/>
      <c r="B48" s="752"/>
      <c r="C48" s="286">
        <v>4</v>
      </c>
      <c r="D48" s="244"/>
      <c r="E48" s="245"/>
      <c r="F48" s="246"/>
      <c r="G48" s="367"/>
      <c r="H48" s="312"/>
      <c r="I48" s="313"/>
      <c r="J48" s="320"/>
      <c r="K48" s="321"/>
      <c r="L48" s="322"/>
      <c r="M48" s="330">
        <f t="shared" si="4"/>
        <v>0</v>
      </c>
      <c r="N48" s="322"/>
      <c r="O48" s="754"/>
      <c r="P48" s="755"/>
      <c r="R48" s="323"/>
      <c r="S48" s="211"/>
      <c r="T48" s="347"/>
    </row>
    <row r="49" spans="1:20" s="305" customFormat="1" ht="20.100000000000001" customHeight="1" thickBot="1">
      <c r="A49" s="749"/>
      <c r="B49" s="752"/>
      <c r="C49" s="286">
        <v>5</v>
      </c>
      <c r="D49" s="244"/>
      <c r="E49" s="252"/>
      <c r="F49" s="253"/>
      <c r="G49" s="367"/>
      <c r="H49" s="312"/>
      <c r="I49" s="313"/>
      <c r="J49" s="428"/>
      <c r="K49" s="422"/>
      <c r="L49" s="325"/>
      <c r="M49" s="330">
        <f t="shared" si="4"/>
        <v>0</v>
      </c>
      <c r="N49" s="322"/>
      <c r="O49" s="754"/>
      <c r="P49" s="755"/>
      <c r="R49" s="326"/>
      <c r="S49" s="268"/>
      <c r="T49" s="296"/>
    </row>
    <row r="50" spans="1:20" s="296" customFormat="1" ht="15.75" customHeight="1" thickTop="1" thickBot="1">
      <c r="A50" s="750"/>
      <c r="B50" s="753"/>
      <c r="C50" s="762"/>
      <c r="D50" s="763"/>
      <c r="E50" s="763"/>
      <c r="F50" s="763"/>
      <c r="G50" s="763"/>
      <c r="H50" s="763"/>
      <c r="I50" s="764"/>
      <c r="J50" s="360" t="s">
        <v>58</v>
      </c>
      <c r="K50" s="213">
        <f>M50/'生產管理報表 7-1 (週)'!$B$20</f>
        <v>0</v>
      </c>
      <c r="L50" s="361" t="s">
        <v>59</v>
      </c>
      <c r="M50" s="429">
        <f>SUM(M45:M49)</f>
        <v>0</v>
      </c>
      <c r="N50" s="765"/>
      <c r="O50" s="766"/>
      <c r="P50" s="767"/>
      <c r="R50" s="211"/>
      <c r="S50" s="211"/>
    </row>
    <row r="51" spans="1:20" s="296" customFormat="1" ht="15.75" customHeight="1" thickTop="1">
      <c r="B51" s="304"/>
      <c r="C51" s="305"/>
      <c r="M51" s="337"/>
      <c r="S51" s="268"/>
    </row>
    <row r="52" spans="1:20" s="296" customFormat="1" ht="15.75" customHeight="1">
      <c r="A52" s="738" t="s">
        <v>191</v>
      </c>
      <c r="B52" s="739"/>
      <c r="C52" s="282" t="s">
        <v>47</v>
      </c>
      <c r="D52" s="740" t="s">
        <v>12</v>
      </c>
      <c r="E52" s="741"/>
      <c r="F52" s="742"/>
      <c r="G52" s="743" t="s">
        <v>53</v>
      </c>
      <c r="H52" s="744"/>
      <c r="I52" s="745"/>
      <c r="J52" s="283" t="s">
        <v>54</v>
      </c>
      <c r="K52" s="283" t="s">
        <v>55</v>
      </c>
      <c r="L52" s="283" t="s">
        <v>56</v>
      </c>
      <c r="M52" s="338" t="s">
        <v>11</v>
      </c>
      <c r="N52" s="284" t="s">
        <v>333</v>
      </c>
      <c r="O52" s="746" t="s">
        <v>51</v>
      </c>
      <c r="P52" s="747"/>
      <c r="S52" s="211"/>
      <c r="T52" s="347"/>
    </row>
    <row r="53" spans="1:20" s="305" customFormat="1" ht="39.950000000000003" customHeight="1">
      <c r="A53" s="748">
        <v>5</v>
      </c>
      <c r="B53" s="768" t="s">
        <v>215</v>
      </c>
      <c r="C53" s="286">
        <v>1</v>
      </c>
      <c r="D53" s="244"/>
      <c r="E53" s="245"/>
      <c r="F53" s="246"/>
      <c r="G53" s="313"/>
      <c r="H53" s="312"/>
      <c r="I53" s="313"/>
      <c r="J53" s="320"/>
      <c r="K53" s="321"/>
      <c r="L53" s="322"/>
      <c r="M53" s="330">
        <f>L53*J53</f>
        <v>0</v>
      </c>
      <c r="N53" s="322"/>
      <c r="O53" s="756"/>
      <c r="P53" s="757"/>
      <c r="R53" s="437"/>
      <c r="S53" s="430"/>
    </row>
    <row r="54" spans="1:20" s="305" customFormat="1" ht="20.100000000000001" customHeight="1">
      <c r="A54" s="749"/>
      <c r="B54" s="769"/>
      <c r="C54" s="286">
        <v>2</v>
      </c>
      <c r="D54" s="244"/>
      <c r="E54" s="245"/>
      <c r="F54" s="246"/>
      <c r="G54" s="367"/>
      <c r="H54" s="312"/>
      <c r="I54" s="313"/>
      <c r="J54" s="320"/>
      <c r="K54" s="321"/>
      <c r="L54" s="322"/>
      <c r="M54" s="330">
        <f t="shared" ref="M54:M57" si="5">L54*J54</f>
        <v>0</v>
      </c>
      <c r="N54" s="322"/>
      <c r="O54" s="756"/>
      <c r="P54" s="757"/>
      <c r="S54" s="211"/>
      <c r="T54" s="348"/>
    </row>
    <row r="55" spans="1:20" s="296" customFormat="1" ht="20.100000000000001" customHeight="1">
      <c r="A55" s="749"/>
      <c r="B55" s="769"/>
      <c r="C55" s="286">
        <v>3</v>
      </c>
      <c r="D55" s="244"/>
      <c r="E55" s="288"/>
      <c r="F55" s="289"/>
      <c r="G55" s="367"/>
      <c r="H55" s="312"/>
      <c r="I55" s="313"/>
      <c r="J55" s="320"/>
      <c r="K55" s="321"/>
      <c r="L55" s="322"/>
      <c r="M55" s="330">
        <f t="shared" si="5"/>
        <v>0</v>
      </c>
      <c r="N55" s="295"/>
      <c r="O55" s="773"/>
      <c r="P55" s="774"/>
    </row>
    <row r="56" spans="1:20" s="296" customFormat="1" ht="20.100000000000001" customHeight="1">
      <c r="A56" s="749"/>
      <c r="B56" s="769"/>
      <c r="C56" s="286">
        <v>4</v>
      </c>
      <c r="D56" s="244"/>
      <c r="E56" s="288"/>
      <c r="F56" s="289"/>
      <c r="G56" s="367"/>
      <c r="H56" s="312"/>
      <c r="I56" s="313"/>
      <c r="J56" s="320"/>
      <c r="K56" s="321"/>
      <c r="L56" s="322"/>
      <c r="M56" s="330">
        <f t="shared" si="5"/>
        <v>0</v>
      </c>
      <c r="N56" s="295"/>
      <c r="O56" s="756"/>
      <c r="P56" s="757"/>
    </row>
    <row r="57" spans="1:20" s="296" customFormat="1" ht="20.100000000000001" customHeight="1" thickBot="1">
      <c r="A57" s="749"/>
      <c r="B57" s="769"/>
      <c r="C57" s="286">
        <v>5</v>
      </c>
      <c r="D57" s="251"/>
      <c r="E57" s="298"/>
      <c r="F57" s="299"/>
      <c r="G57" s="367"/>
      <c r="H57" s="312"/>
      <c r="I57" s="313"/>
      <c r="J57" s="428"/>
      <c r="K57" s="422"/>
      <c r="L57" s="325"/>
      <c r="M57" s="330">
        <f t="shared" si="5"/>
        <v>0</v>
      </c>
      <c r="N57" s="295"/>
      <c r="O57" s="860"/>
      <c r="P57" s="861"/>
      <c r="R57" s="212"/>
    </row>
    <row r="58" spans="1:20" s="296" customFormat="1" ht="15.75" customHeight="1" thickTop="1" thickBot="1">
      <c r="A58" s="750"/>
      <c r="B58" s="770"/>
      <c r="C58" s="777"/>
      <c r="D58" s="778"/>
      <c r="E58" s="778"/>
      <c r="F58" s="778"/>
      <c r="G58" s="778"/>
      <c r="H58" s="778"/>
      <c r="I58" s="779"/>
      <c r="J58" s="360" t="s">
        <v>58</v>
      </c>
      <c r="K58" s="213">
        <f>M58/'生產管理報表 7-1 (週)'!$B$20</f>
        <v>0</v>
      </c>
      <c r="L58" s="361" t="s">
        <v>59</v>
      </c>
      <c r="M58" s="429">
        <f>SUM(M53:M57)</f>
        <v>0</v>
      </c>
      <c r="N58" s="765"/>
      <c r="O58" s="766"/>
      <c r="P58" s="767"/>
      <c r="R58" s="211"/>
    </row>
    <row r="59" spans="1:20" s="296" customFormat="1" ht="15.75" customHeight="1" thickTop="1">
      <c r="B59" s="304"/>
      <c r="C59" s="305"/>
      <c r="M59" s="337"/>
      <c r="R59" s="211"/>
    </row>
    <row r="60" spans="1:20" s="296" customFormat="1" ht="15.75" customHeight="1">
      <c r="A60" s="738" t="s">
        <v>191</v>
      </c>
      <c r="B60" s="739"/>
      <c r="C60" s="310" t="s">
        <v>47</v>
      </c>
      <c r="D60" s="782" t="s">
        <v>12</v>
      </c>
      <c r="E60" s="783"/>
      <c r="F60" s="784"/>
      <c r="G60" s="785" t="s">
        <v>53</v>
      </c>
      <c r="H60" s="786"/>
      <c r="I60" s="787"/>
      <c r="J60" s="311" t="s">
        <v>54</v>
      </c>
      <c r="K60" s="283" t="s">
        <v>55</v>
      </c>
      <c r="L60" s="283" t="s">
        <v>56</v>
      </c>
      <c r="M60" s="338" t="s">
        <v>11</v>
      </c>
      <c r="N60" s="284" t="s">
        <v>333</v>
      </c>
      <c r="O60" s="746" t="s">
        <v>51</v>
      </c>
      <c r="P60" s="747"/>
      <c r="R60" s="211"/>
      <c r="S60" s="2"/>
    </row>
    <row r="61" spans="1:20" s="296" customFormat="1" ht="39.950000000000003" customHeight="1">
      <c r="A61" s="748">
        <v>6</v>
      </c>
      <c r="B61" s="768" t="s">
        <v>216</v>
      </c>
      <c r="C61" s="286">
        <v>1</v>
      </c>
      <c r="D61" s="496" t="s">
        <v>704</v>
      </c>
      <c r="E61" s="288"/>
      <c r="F61" s="289"/>
      <c r="G61" s="313" t="s">
        <v>335</v>
      </c>
      <c r="H61" s="312"/>
      <c r="I61" s="313"/>
      <c r="J61" s="320">
        <v>15.450000000000001</v>
      </c>
      <c r="K61" s="321">
        <v>4.0112314480545532E-3</v>
      </c>
      <c r="L61" s="322">
        <v>110</v>
      </c>
      <c r="M61" s="330">
        <f t="shared" ref="M61" si="6">L61*J61</f>
        <v>1699.5000000000002</v>
      </c>
      <c r="N61" s="295"/>
      <c r="O61" s="773" t="s">
        <v>525</v>
      </c>
      <c r="P61" s="774"/>
      <c r="R61" s="348"/>
      <c r="S61" s="438"/>
    </row>
    <row r="62" spans="1:20" s="296" customFormat="1" ht="20.100000000000001" customHeight="1">
      <c r="A62" s="749"/>
      <c r="B62" s="769"/>
      <c r="C62" s="286">
        <v>2</v>
      </c>
      <c r="D62" s="287"/>
      <c r="E62" s="288"/>
      <c r="F62" s="289"/>
      <c r="G62" s="290"/>
      <c r="H62" s="291"/>
      <c r="I62" s="292"/>
      <c r="J62" s="293"/>
      <c r="K62" s="294"/>
      <c r="L62" s="295"/>
      <c r="M62" s="339">
        <v>0</v>
      </c>
      <c r="N62" s="295"/>
      <c r="O62" s="306"/>
      <c r="P62" s="307"/>
      <c r="S62" s="2"/>
    </row>
    <row r="63" spans="1:20" s="296" customFormat="1" ht="20.100000000000001" customHeight="1">
      <c r="A63" s="749"/>
      <c r="B63" s="769"/>
      <c r="C63" s="286">
        <v>3</v>
      </c>
      <c r="D63" s="287"/>
      <c r="E63" s="288"/>
      <c r="F63" s="289"/>
      <c r="G63" s="290"/>
      <c r="H63" s="291"/>
      <c r="I63" s="292"/>
      <c r="J63" s="293"/>
      <c r="K63" s="294"/>
      <c r="L63" s="295"/>
      <c r="M63" s="339">
        <v>0</v>
      </c>
      <c r="N63" s="295"/>
      <c r="O63" s="306"/>
      <c r="P63" s="307"/>
      <c r="S63" s="2"/>
    </row>
    <row r="64" spans="1:20" s="296" customFormat="1" ht="20.100000000000001" customHeight="1">
      <c r="A64" s="749"/>
      <c r="B64" s="769"/>
      <c r="C64" s="286">
        <v>4</v>
      </c>
      <c r="D64" s="287"/>
      <c r="E64" s="288"/>
      <c r="F64" s="289"/>
      <c r="G64" s="290"/>
      <c r="H64" s="291"/>
      <c r="I64" s="292"/>
      <c r="J64" s="293"/>
      <c r="K64" s="294"/>
      <c r="L64" s="295"/>
      <c r="M64" s="339">
        <v>0</v>
      </c>
      <c r="N64" s="295"/>
      <c r="O64" s="306"/>
      <c r="P64" s="307"/>
      <c r="R64" s="2"/>
      <c r="S64" s="2"/>
    </row>
    <row r="65" spans="1:21" s="296" customFormat="1" ht="20.100000000000001" customHeight="1" thickBot="1">
      <c r="A65" s="749"/>
      <c r="B65" s="769"/>
      <c r="C65" s="286">
        <v>5</v>
      </c>
      <c r="D65" s="297"/>
      <c r="E65" s="298"/>
      <c r="F65" s="299"/>
      <c r="G65" s="290"/>
      <c r="H65" s="291"/>
      <c r="I65" s="292"/>
      <c r="J65" s="428"/>
      <c r="K65" s="422"/>
      <c r="L65" s="325"/>
      <c r="M65" s="330">
        <v>0</v>
      </c>
      <c r="N65" s="295"/>
      <c r="O65" s="308"/>
      <c r="P65" s="309"/>
      <c r="R65" s="2"/>
      <c r="S65" s="2"/>
    </row>
    <row r="66" spans="1:21" s="296" customFormat="1" ht="15.75" customHeight="1" thickTop="1" thickBot="1">
      <c r="A66" s="750"/>
      <c r="B66" s="770"/>
      <c r="C66" s="777"/>
      <c r="D66" s="778"/>
      <c r="E66" s="778"/>
      <c r="F66" s="778"/>
      <c r="G66" s="778"/>
      <c r="H66" s="778"/>
      <c r="I66" s="779"/>
      <c r="J66" s="360" t="s">
        <v>58</v>
      </c>
      <c r="K66" s="213">
        <f>M66/'生產管理報表 7-1 (週)'!$B$20</f>
        <v>2.3908382638809851E-2</v>
      </c>
      <c r="L66" s="361" t="s">
        <v>59</v>
      </c>
      <c r="M66" s="429">
        <f>SUM(M61:M65)</f>
        <v>1699.5000000000002</v>
      </c>
      <c r="N66" s="765"/>
      <c r="O66" s="766"/>
      <c r="P66" s="767"/>
      <c r="R66" s="2"/>
      <c r="S66" s="2"/>
    </row>
    <row r="67" spans="1:21" s="296" customFormat="1" ht="15.75" customHeight="1" thickTop="1">
      <c r="B67" s="304"/>
      <c r="C67" s="305"/>
      <c r="M67" s="337"/>
      <c r="R67" s="2"/>
      <c r="S67" s="2"/>
    </row>
    <row r="68" spans="1:21" s="296" customFormat="1" ht="15.75" customHeight="1">
      <c r="A68" s="738" t="s">
        <v>191</v>
      </c>
      <c r="B68" s="739"/>
      <c r="C68" s="310" t="s">
        <v>47</v>
      </c>
      <c r="D68" s="782" t="s">
        <v>12</v>
      </c>
      <c r="E68" s="783"/>
      <c r="F68" s="784"/>
      <c r="G68" s="785" t="s">
        <v>53</v>
      </c>
      <c r="H68" s="786"/>
      <c r="I68" s="787"/>
      <c r="J68" s="311" t="s">
        <v>54</v>
      </c>
      <c r="K68" s="283" t="s">
        <v>55</v>
      </c>
      <c r="L68" s="283" t="s">
        <v>56</v>
      </c>
      <c r="M68" s="338" t="s">
        <v>11</v>
      </c>
      <c r="N68" s="284" t="s">
        <v>333</v>
      </c>
      <c r="O68" s="746" t="s">
        <v>51</v>
      </c>
      <c r="P68" s="747"/>
      <c r="R68" s="2"/>
      <c r="S68" s="2"/>
    </row>
    <row r="69" spans="1:21" s="296" customFormat="1" ht="20.100000000000001" customHeight="1">
      <c r="A69" s="748">
        <v>7</v>
      </c>
      <c r="B69" s="790" t="s">
        <v>249</v>
      </c>
      <c r="C69" s="286">
        <v>1</v>
      </c>
      <c r="D69" s="287"/>
      <c r="E69" s="288"/>
      <c r="F69" s="289"/>
      <c r="G69" s="290"/>
      <c r="H69" s="291"/>
      <c r="I69" s="292"/>
      <c r="J69" s="293"/>
      <c r="K69" s="294"/>
      <c r="L69" s="295"/>
      <c r="M69" s="339">
        <f t="shared" ref="M69:M71" si="7">L69*J69</f>
        <v>0</v>
      </c>
      <c r="N69" s="295"/>
      <c r="O69" s="793"/>
      <c r="P69" s="794"/>
      <c r="R69" s="2"/>
      <c r="S69" s="2"/>
    </row>
    <row r="70" spans="1:21" s="296" customFormat="1" ht="20.100000000000001" customHeight="1">
      <c r="A70" s="749"/>
      <c r="B70" s="791"/>
      <c r="C70" s="286">
        <v>2</v>
      </c>
      <c r="D70" s="287"/>
      <c r="E70" s="288"/>
      <c r="F70" s="289"/>
      <c r="G70" s="290"/>
      <c r="H70" s="291"/>
      <c r="I70" s="292"/>
      <c r="J70" s="293"/>
      <c r="K70" s="294"/>
      <c r="L70" s="295"/>
      <c r="M70" s="339">
        <f t="shared" si="7"/>
        <v>0</v>
      </c>
      <c r="N70" s="295"/>
      <c r="O70" s="795"/>
      <c r="P70" s="796"/>
      <c r="R70" s="2"/>
      <c r="S70" s="2"/>
    </row>
    <row r="71" spans="1:21" s="296" customFormat="1" ht="20.100000000000001" customHeight="1">
      <c r="A71" s="749"/>
      <c r="B71" s="791"/>
      <c r="C71" s="286">
        <v>3</v>
      </c>
      <c r="D71" s="287"/>
      <c r="E71" s="288"/>
      <c r="F71" s="289"/>
      <c r="G71" s="290"/>
      <c r="H71" s="291"/>
      <c r="I71" s="292"/>
      <c r="J71" s="293"/>
      <c r="K71" s="294"/>
      <c r="L71" s="295"/>
      <c r="M71" s="339">
        <f t="shared" si="7"/>
        <v>0</v>
      </c>
      <c r="N71" s="295"/>
      <c r="O71" s="795"/>
      <c r="P71" s="796"/>
      <c r="R71" s="2"/>
      <c r="S71" s="2"/>
    </row>
    <row r="72" spans="1:21" s="296" customFormat="1" ht="20.100000000000001" customHeight="1">
      <c r="A72" s="749"/>
      <c r="B72" s="791"/>
      <c r="C72" s="286">
        <v>4</v>
      </c>
      <c r="D72" s="287"/>
      <c r="E72" s="288"/>
      <c r="F72" s="289"/>
      <c r="G72" s="290"/>
      <c r="H72" s="291"/>
      <c r="I72" s="292"/>
      <c r="J72" s="293"/>
      <c r="K72" s="294"/>
      <c r="L72" s="295"/>
      <c r="M72" s="340">
        <v>0</v>
      </c>
      <c r="N72" s="295"/>
      <c r="O72" s="306"/>
      <c r="P72" s="307"/>
      <c r="R72" s="2"/>
      <c r="S72" s="2"/>
    </row>
    <row r="73" spans="1:21" s="296" customFormat="1" ht="20.100000000000001" customHeight="1" thickBot="1">
      <c r="A73" s="749"/>
      <c r="B73" s="791"/>
      <c r="C73" s="286">
        <v>5</v>
      </c>
      <c r="D73" s="297"/>
      <c r="E73" s="298"/>
      <c r="F73" s="299"/>
      <c r="G73" s="290"/>
      <c r="H73" s="291"/>
      <c r="I73" s="292"/>
      <c r="J73" s="428"/>
      <c r="K73" s="422"/>
      <c r="L73" s="325"/>
      <c r="M73" s="341">
        <v>0</v>
      </c>
      <c r="N73" s="295"/>
      <c r="O73" s="308"/>
      <c r="P73" s="309"/>
      <c r="R73" s="2"/>
      <c r="S73" s="2"/>
    </row>
    <row r="74" spans="1:21" s="296" customFormat="1" ht="15.75" customHeight="1" thickTop="1" thickBot="1">
      <c r="A74" s="750"/>
      <c r="B74" s="792"/>
      <c r="C74" s="777"/>
      <c r="D74" s="778"/>
      <c r="E74" s="778"/>
      <c r="F74" s="778"/>
      <c r="G74" s="778"/>
      <c r="H74" s="778"/>
      <c r="I74" s="779"/>
      <c r="J74" s="360" t="s">
        <v>58</v>
      </c>
      <c r="K74" s="213">
        <f>M74/'生產管理報表 7-1 (週)'!$B$20</f>
        <v>0</v>
      </c>
      <c r="L74" s="361" t="s">
        <v>59</v>
      </c>
      <c r="M74" s="429">
        <f>SUM(M69:M73)</f>
        <v>0</v>
      </c>
      <c r="N74" s="765"/>
      <c r="O74" s="766"/>
      <c r="P74" s="767"/>
      <c r="R74" s="2"/>
      <c r="S74" s="2"/>
      <c r="T74" s="2"/>
    </row>
    <row r="75" spans="1:21" s="136" customFormat="1" ht="15.75" customHeight="1" thickTop="1">
      <c r="A75" s="859" t="s">
        <v>698</v>
      </c>
      <c r="B75" s="859"/>
      <c r="C75" s="859"/>
      <c r="D75" s="859"/>
      <c r="E75" s="859"/>
      <c r="F75" s="859"/>
      <c r="G75" s="859"/>
      <c r="H75" s="859"/>
      <c r="I75" s="859"/>
      <c r="J75" s="859"/>
      <c r="K75" s="859"/>
      <c r="L75" s="859"/>
      <c r="M75" s="859"/>
      <c r="R75" s="238"/>
      <c r="S75" s="238"/>
      <c r="T75" s="238"/>
      <c r="U75" s="238"/>
    </row>
    <row r="76" spans="1:21" s="137" customFormat="1" ht="15.75" customHeight="1">
      <c r="A76" s="733"/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</row>
    <row r="77" spans="1:21" s="136" customFormat="1" ht="15.75" customHeight="1">
      <c r="A77" s="734" t="s">
        <v>191</v>
      </c>
      <c r="B77" s="736">
        <v>1</v>
      </c>
      <c r="C77" s="737"/>
      <c r="D77" s="736">
        <v>2</v>
      </c>
      <c r="E77" s="737"/>
      <c r="F77" s="736">
        <v>3</v>
      </c>
      <c r="G77" s="737"/>
      <c r="H77" s="727">
        <v>4</v>
      </c>
      <c r="I77" s="728"/>
      <c r="J77" s="727">
        <v>5</v>
      </c>
      <c r="K77" s="728"/>
      <c r="L77" s="727">
        <v>6</v>
      </c>
      <c r="M77" s="728"/>
      <c r="N77" s="727">
        <v>7</v>
      </c>
      <c r="O77" s="728"/>
      <c r="P77" s="335">
        <v>8</v>
      </c>
    </row>
    <row r="78" spans="1:21" s="136" customFormat="1" ht="15.75" customHeight="1">
      <c r="A78" s="735"/>
      <c r="B78" s="731" t="s">
        <v>487</v>
      </c>
      <c r="C78" s="732"/>
      <c r="D78" s="731" t="s">
        <v>212</v>
      </c>
      <c r="E78" s="732"/>
      <c r="F78" s="731" t="s">
        <v>166</v>
      </c>
      <c r="G78" s="732"/>
      <c r="H78" s="729" t="s">
        <v>457</v>
      </c>
      <c r="I78" s="730"/>
      <c r="J78" s="729" t="s">
        <v>189</v>
      </c>
      <c r="K78" s="730"/>
      <c r="L78" s="729" t="s">
        <v>167</v>
      </c>
      <c r="M78" s="730"/>
      <c r="N78" s="729" t="s">
        <v>190</v>
      </c>
      <c r="O78" s="730"/>
      <c r="P78" s="336" t="s">
        <v>217</v>
      </c>
    </row>
    <row r="79" spans="1:21" s="136" customFormat="1" ht="15.75" customHeight="1">
      <c r="B79" s="239"/>
      <c r="C79" s="240"/>
    </row>
    <row r="80" spans="1:21" s="285" customFormat="1" ht="15.75" customHeight="1">
      <c r="A80" s="738" t="s">
        <v>191</v>
      </c>
      <c r="B80" s="739"/>
      <c r="C80" s="282" t="s">
        <v>47</v>
      </c>
      <c r="D80" s="740" t="s">
        <v>12</v>
      </c>
      <c r="E80" s="741"/>
      <c r="F80" s="742"/>
      <c r="G80" s="743" t="s">
        <v>53</v>
      </c>
      <c r="H80" s="744"/>
      <c r="I80" s="745"/>
      <c r="J80" s="283" t="s">
        <v>54</v>
      </c>
      <c r="K80" s="283" t="s">
        <v>55</v>
      </c>
      <c r="L80" s="283" t="s">
        <v>56</v>
      </c>
      <c r="M80" s="284" t="s">
        <v>11</v>
      </c>
      <c r="N80" s="284" t="s">
        <v>333</v>
      </c>
      <c r="O80" s="746" t="s">
        <v>51</v>
      </c>
      <c r="P80" s="747"/>
      <c r="R80" s="211"/>
      <c r="S80" s="268"/>
    </row>
    <row r="81" spans="1:20" s="305" customFormat="1" ht="20.100000000000001" customHeight="1">
      <c r="A81" s="748">
        <v>4</v>
      </c>
      <c r="B81" s="751" t="s">
        <v>457</v>
      </c>
      <c r="C81" s="286">
        <v>1</v>
      </c>
      <c r="D81" s="244"/>
      <c r="E81" s="245"/>
      <c r="F81" s="246"/>
      <c r="G81" s="367"/>
      <c r="H81" s="312"/>
      <c r="I81" s="313"/>
      <c r="J81" s="320"/>
      <c r="K81" s="321"/>
      <c r="L81" s="322"/>
      <c r="M81" s="330">
        <f t="shared" ref="M81:M85" si="8">L81*J81</f>
        <v>0</v>
      </c>
      <c r="N81" s="322"/>
      <c r="O81" s="754"/>
      <c r="P81" s="755"/>
      <c r="R81" s="323"/>
      <c r="S81" s="268"/>
    </row>
    <row r="82" spans="1:20" s="305" customFormat="1" ht="20.100000000000001" customHeight="1">
      <c r="A82" s="749"/>
      <c r="B82" s="752"/>
      <c r="C82" s="286">
        <v>2</v>
      </c>
      <c r="D82" s="244"/>
      <c r="E82" s="245"/>
      <c r="F82" s="246"/>
      <c r="G82" s="367"/>
      <c r="H82" s="312"/>
      <c r="I82" s="313"/>
      <c r="J82" s="320"/>
      <c r="K82" s="321"/>
      <c r="L82" s="322"/>
      <c r="M82" s="330">
        <f t="shared" si="8"/>
        <v>0</v>
      </c>
      <c r="N82" s="322"/>
      <c r="O82" s="756"/>
      <c r="P82" s="757"/>
      <c r="R82" s="323"/>
      <c r="S82" s="211"/>
      <c r="T82" s="347"/>
    </row>
    <row r="83" spans="1:20" s="305" customFormat="1" ht="20.100000000000001" customHeight="1">
      <c r="A83" s="749"/>
      <c r="B83" s="752"/>
      <c r="C83" s="286">
        <v>3</v>
      </c>
      <c r="D83" s="244"/>
      <c r="E83" s="245"/>
      <c r="F83" s="246"/>
      <c r="G83" s="367"/>
      <c r="H83" s="312"/>
      <c r="I83" s="313"/>
      <c r="J83" s="320"/>
      <c r="K83" s="321"/>
      <c r="L83" s="322"/>
      <c r="M83" s="330">
        <f t="shared" si="8"/>
        <v>0</v>
      </c>
      <c r="N83" s="322"/>
      <c r="O83" s="754"/>
      <c r="P83" s="755"/>
      <c r="R83" s="323"/>
      <c r="S83" s="268"/>
    </row>
    <row r="84" spans="1:20" s="305" customFormat="1" ht="20.100000000000001" customHeight="1">
      <c r="A84" s="749"/>
      <c r="B84" s="752"/>
      <c r="C84" s="286">
        <v>4</v>
      </c>
      <c r="D84" s="244"/>
      <c r="E84" s="245"/>
      <c r="F84" s="246"/>
      <c r="G84" s="367"/>
      <c r="H84" s="312"/>
      <c r="I84" s="313"/>
      <c r="J84" s="320"/>
      <c r="K84" s="321"/>
      <c r="L84" s="322"/>
      <c r="M84" s="330">
        <f t="shared" si="8"/>
        <v>0</v>
      </c>
      <c r="N84" s="322"/>
      <c r="O84" s="754"/>
      <c r="P84" s="755"/>
      <c r="R84" s="323"/>
      <c r="S84" s="211"/>
      <c r="T84" s="347"/>
    </row>
    <row r="85" spans="1:20" s="305" customFormat="1" ht="20.100000000000001" customHeight="1" thickBot="1">
      <c r="A85" s="749"/>
      <c r="B85" s="752"/>
      <c r="C85" s="286">
        <v>5</v>
      </c>
      <c r="D85" s="244"/>
      <c r="E85" s="252"/>
      <c r="F85" s="253"/>
      <c r="G85" s="367"/>
      <c r="H85" s="312"/>
      <c r="I85" s="313"/>
      <c r="J85" s="428"/>
      <c r="K85" s="422"/>
      <c r="L85" s="325"/>
      <c r="M85" s="330">
        <f t="shared" si="8"/>
        <v>0</v>
      </c>
      <c r="N85" s="322"/>
      <c r="O85" s="754"/>
      <c r="P85" s="755"/>
      <c r="R85" s="326"/>
      <c r="S85" s="268"/>
      <c r="T85" s="296"/>
    </row>
    <row r="86" spans="1:20" s="296" customFormat="1" ht="15.75" customHeight="1" thickTop="1" thickBot="1">
      <c r="A86" s="750"/>
      <c r="B86" s="753"/>
      <c r="C86" s="762"/>
      <c r="D86" s="763"/>
      <c r="E86" s="763"/>
      <c r="F86" s="763"/>
      <c r="G86" s="763"/>
      <c r="H86" s="763"/>
      <c r="I86" s="764"/>
      <c r="J86" s="360" t="s">
        <v>58</v>
      </c>
      <c r="K86" s="213">
        <f>M86/'生產管理報表 7-1 (週)'!$B$31</f>
        <v>0</v>
      </c>
      <c r="L86" s="361" t="s">
        <v>59</v>
      </c>
      <c r="M86" s="429">
        <f>SUM(M81:M85)</f>
        <v>0</v>
      </c>
      <c r="N86" s="765"/>
      <c r="O86" s="766"/>
      <c r="P86" s="767"/>
      <c r="R86" s="211"/>
      <c r="S86" s="211"/>
    </row>
    <row r="87" spans="1:20" s="296" customFormat="1" ht="15.75" customHeight="1" thickTop="1">
      <c r="B87" s="304"/>
      <c r="C87" s="305"/>
      <c r="M87" s="337"/>
      <c r="S87" s="268"/>
    </row>
    <row r="88" spans="1:20" s="296" customFormat="1" ht="15.75" customHeight="1">
      <c r="A88" s="738" t="s">
        <v>191</v>
      </c>
      <c r="B88" s="739"/>
      <c r="C88" s="282" t="s">
        <v>47</v>
      </c>
      <c r="D88" s="740" t="s">
        <v>12</v>
      </c>
      <c r="E88" s="741"/>
      <c r="F88" s="742"/>
      <c r="G88" s="743" t="s">
        <v>53</v>
      </c>
      <c r="H88" s="744"/>
      <c r="I88" s="745"/>
      <c r="J88" s="283" t="s">
        <v>54</v>
      </c>
      <c r="K88" s="283" t="s">
        <v>55</v>
      </c>
      <c r="L88" s="283" t="s">
        <v>56</v>
      </c>
      <c r="M88" s="338" t="s">
        <v>11</v>
      </c>
      <c r="N88" s="284" t="s">
        <v>333</v>
      </c>
      <c r="O88" s="746" t="s">
        <v>51</v>
      </c>
      <c r="P88" s="747"/>
      <c r="S88" s="211"/>
      <c r="T88" s="347"/>
    </row>
    <row r="89" spans="1:20" s="305" customFormat="1" ht="20.100000000000001" customHeight="1">
      <c r="A89" s="748">
        <v>5</v>
      </c>
      <c r="B89" s="768" t="s">
        <v>215</v>
      </c>
      <c r="C89" s="286">
        <v>1</v>
      </c>
      <c r="D89" s="244"/>
      <c r="E89" s="245"/>
      <c r="F89" s="246"/>
      <c r="G89" s="367"/>
      <c r="H89" s="312"/>
      <c r="I89" s="313"/>
      <c r="J89" s="320"/>
      <c r="K89" s="321"/>
      <c r="L89" s="322"/>
      <c r="M89" s="330">
        <f>L89*J89</f>
        <v>0</v>
      </c>
      <c r="N89" s="322"/>
      <c r="O89" s="756"/>
      <c r="P89" s="757"/>
      <c r="R89" s="437"/>
      <c r="S89" s="430"/>
    </row>
    <row r="90" spans="1:20" s="305" customFormat="1" ht="20.100000000000001" customHeight="1">
      <c r="A90" s="749"/>
      <c r="B90" s="769"/>
      <c r="C90" s="286">
        <v>2</v>
      </c>
      <c r="D90" s="244"/>
      <c r="E90" s="245"/>
      <c r="F90" s="246"/>
      <c r="G90" s="367"/>
      <c r="H90" s="312"/>
      <c r="I90" s="313"/>
      <c r="J90" s="320"/>
      <c r="K90" s="321"/>
      <c r="L90" s="322"/>
      <c r="M90" s="330">
        <f t="shared" ref="M90:M93" si="9">L90*J90</f>
        <v>0</v>
      </c>
      <c r="N90" s="322"/>
      <c r="O90" s="756"/>
      <c r="P90" s="757"/>
      <c r="S90" s="211"/>
      <c r="T90" s="348"/>
    </row>
    <row r="91" spans="1:20" s="296" customFormat="1" ht="20.100000000000001" customHeight="1">
      <c r="A91" s="749"/>
      <c r="B91" s="769"/>
      <c r="C91" s="286">
        <v>3</v>
      </c>
      <c r="D91" s="244"/>
      <c r="E91" s="288"/>
      <c r="F91" s="289"/>
      <c r="G91" s="367"/>
      <c r="H91" s="312"/>
      <c r="I91" s="313"/>
      <c r="J91" s="320"/>
      <c r="K91" s="321"/>
      <c r="L91" s="322"/>
      <c r="M91" s="330">
        <f t="shared" si="9"/>
        <v>0</v>
      </c>
      <c r="N91" s="295"/>
      <c r="O91" s="773"/>
      <c r="P91" s="774"/>
    </row>
    <row r="92" spans="1:20" s="296" customFormat="1" ht="20.100000000000001" customHeight="1">
      <c r="A92" s="749"/>
      <c r="B92" s="769"/>
      <c r="C92" s="286">
        <v>4</v>
      </c>
      <c r="D92" s="244"/>
      <c r="E92" s="288"/>
      <c r="F92" s="289"/>
      <c r="G92" s="367"/>
      <c r="H92" s="312"/>
      <c r="I92" s="313"/>
      <c r="J92" s="320"/>
      <c r="K92" s="321"/>
      <c r="L92" s="322"/>
      <c r="M92" s="330">
        <f t="shared" si="9"/>
        <v>0</v>
      </c>
      <c r="N92" s="295"/>
      <c r="O92" s="756"/>
      <c r="P92" s="757"/>
    </row>
    <row r="93" spans="1:20" s="296" customFormat="1" ht="20.100000000000001" customHeight="1" thickBot="1">
      <c r="A93" s="749"/>
      <c r="B93" s="769"/>
      <c r="C93" s="286">
        <v>5</v>
      </c>
      <c r="D93" s="251"/>
      <c r="E93" s="298"/>
      <c r="F93" s="299"/>
      <c r="G93" s="367"/>
      <c r="H93" s="312"/>
      <c r="I93" s="313"/>
      <c r="J93" s="428"/>
      <c r="K93" s="422"/>
      <c r="L93" s="325"/>
      <c r="M93" s="330">
        <f t="shared" si="9"/>
        <v>0</v>
      </c>
      <c r="N93" s="295"/>
      <c r="O93" s="860"/>
      <c r="P93" s="861"/>
      <c r="R93" s="212"/>
    </row>
    <row r="94" spans="1:20" s="296" customFormat="1" ht="15.75" customHeight="1" thickTop="1" thickBot="1">
      <c r="A94" s="750"/>
      <c r="B94" s="770"/>
      <c r="C94" s="777"/>
      <c r="D94" s="778"/>
      <c r="E94" s="778"/>
      <c r="F94" s="778"/>
      <c r="G94" s="778"/>
      <c r="H94" s="778"/>
      <c r="I94" s="779"/>
      <c r="J94" s="360" t="s">
        <v>58</v>
      </c>
      <c r="K94" s="213">
        <f>M94/'生產管理報表 7-1 (週)'!$B$31</f>
        <v>0</v>
      </c>
      <c r="L94" s="361" t="s">
        <v>59</v>
      </c>
      <c r="M94" s="429">
        <f>SUM(M89:M93)</f>
        <v>0</v>
      </c>
      <c r="N94" s="765"/>
      <c r="O94" s="766"/>
      <c r="P94" s="767"/>
      <c r="R94" s="211"/>
    </row>
    <row r="95" spans="1:20" s="296" customFormat="1" ht="15.75" customHeight="1" thickTop="1">
      <c r="B95" s="304"/>
      <c r="C95" s="305"/>
      <c r="M95" s="337"/>
      <c r="R95" s="211"/>
    </row>
    <row r="96" spans="1:20" s="296" customFormat="1" ht="15.75" customHeight="1">
      <c r="A96" s="738" t="s">
        <v>191</v>
      </c>
      <c r="B96" s="739"/>
      <c r="C96" s="310" t="s">
        <v>47</v>
      </c>
      <c r="D96" s="782" t="s">
        <v>12</v>
      </c>
      <c r="E96" s="783"/>
      <c r="F96" s="784"/>
      <c r="G96" s="785" t="s">
        <v>53</v>
      </c>
      <c r="H96" s="786"/>
      <c r="I96" s="787"/>
      <c r="J96" s="311" t="s">
        <v>54</v>
      </c>
      <c r="K96" s="283" t="s">
        <v>55</v>
      </c>
      <c r="L96" s="283" t="s">
        <v>56</v>
      </c>
      <c r="M96" s="338" t="s">
        <v>11</v>
      </c>
      <c r="N96" s="284" t="s">
        <v>333</v>
      </c>
      <c r="O96" s="746" t="s">
        <v>51</v>
      </c>
      <c r="P96" s="747"/>
      <c r="R96" s="211"/>
      <c r="S96" s="2"/>
    </row>
    <row r="97" spans="1:21" s="296" customFormat="1" ht="39.950000000000003" customHeight="1">
      <c r="A97" s="748">
        <v>6</v>
      </c>
      <c r="B97" s="768" t="s">
        <v>216</v>
      </c>
      <c r="C97" s="286">
        <v>1</v>
      </c>
      <c r="D97" s="349" t="s">
        <v>674</v>
      </c>
      <c r="E97" s="288"/>
      <c r="F97" s="289"/>
      <c r="G97" s="313" t="s">
        <v>335</v>
      </c>
      <c r="H97" s="312"/>
      <c r="I97" s="313"/>
      <c r="J97" s="320">
        <v>15.450000000000001</v>
      </c>
      <c r="K97" s="321">
        <v>3.0247813411078718E-3</v>
      </c>
      <c r="L97" s="322">
        <v>166</v>
      </c>
      <c r="M97" s="330">
        <f t="shared" ref="M97" si="10">L97*J97</f>
        <v>2564.7000000000003</v>
      </c>
      <c r="N97" s="295"/>
      <c r="O97" s="773" t="s">
        <v>525</v>
      </c>
      <c r="P97" s="774"/>
      <c r="R97" s="348"/>
      <c r="S97" s="438"/>
    </row>
    <row r="98" spans="1:21" s="296" customFormat="1" ht="20.100000000000001" customHeight="1">
      <c r="A98" s="749"/>
      <c r="B98" s="769"/>
      <c r="C98" s="286">
        <v>2</v>
      </c>
      <c r="D98" s="287"/>
      <c r="E98" s="288"/>
      <c r="F98" s="289"/>
      <c r="G98" s="290"/>
      <c r="H98" s="291"/>
      <c r="I98" s="292"/>
      <c r="J98" s="293"/>
      <c r="K98" s="294"/>
      <c r="L98" s="295"/>
      <c r="M98" s="339">
        <v>0</v>
      </c>
      <c r="N98" s="295"/>
      <c r="O98" s="306"/>
      <c r="P98" s="307"/>
      <c r="S98" s="2"/>
    </row>
    <row r="99" spans="1:21" s="296" customFormat="1" ht="20.100000000000001" customHeight="1">
      <c r="A99" s="749"/>
      <c r="B99" s="769"/>
      <c r="C99" s="286">
        <v>3</v>
      </c>
      <c r="D99" s="287"/>
      <c r="E99" s="288"/>
      <c r="F99" s="289"/>
      <c r="G99" s="290"/>
      <c r="H99" s="291"/>
      <c r="I99" s="292"/>
      <c r="J99" s="293"/>
      <c r="K99" s="294"/>
      <c r="L99" s="295"/>
      <c r="M99" s="339">
        <v>0</v>
      </c>
      <c r="N99" s="295"/>
      <c r="O99" s="306"/>
      <c r="P99" s="307"/>
      <c r="S99" s="2"/>
    </row>
    <row r="100" spans="1:21" s="296" customFormat="1" ht="20.100000000000001" customHeight="1">
      <c r="A100" s="749"/>
      <c r="B100" s="769"/>
      <c r="C100" s="286">
        <v>4</v>
      </c>
      <c r="D100" s="287"/>
      <c r="E100" s="288"/>
      <c r="F100" s="289"/>
      <c r="G100" s="290"/>
      <c r="H100" s="291"/>
      <c r="I100" s="292"/>
      <c r="J100" s="293"/>
      <c r="K100" s="294"/>
      <c r="L100" s="295"/>
      <c r="M100" s="339">
        <v>0</v>
      </c>
      <c r="N100" s="295"/>
      <c r="O100" s="306"/>
      <c r="P100" s="307"/>
      <c r="R100" s="2"/>
      <c r="S100" s="2"/>
    </row>
    <row r="101" spans="1:21" s="296" customFormat="1" ht="20.100000000000001" customHeight="1" thickBot="1">
      <c r="A101" s="749"/>
      <c r="B101" s="769"/>
      <c r="C101" s="286">
        <v>5</v>
      </c>
      <c r="D101" s="297"/>
      <c r="E101" s="298"/>
      <c r="F101" s="299"/>
      <c r="G101" s="290"/>
      <c r="H101" s="291"/>
      <c r="I101" s="292"/>
      <c r="J101" s="428"/>
      <c r="K101" s="422"/>
      <c r="L101" s="325"/>
      <c r="M101" s="330">
        <v>0</v>
      </c>
      <c r="N101" s="295"/>
      <c r="O101" s="308"/>
      <c r="P101" s="309"/>
      <c r="R101" s="2"/>
      <c r="S101" s="2"/>
    </row>
    <row r="102" spans="1:21" s="296" customFormat="1" ht="15.75" customHeight="1" thickTop="1" thickBot="1">
      <c r="A102" s="750"/>
      <c r="B102" s="770"/>
      <c r="C102" s="777"/>
      <c r="D102" s="778"/>
      <c r="E102" s="778"/>
      <c r="F102" s="778"/>
      <c r="G102" s="778"/>
      <c r="H102" s="778"/>
      <c r="I102" s="779"/>
      <c r="J102" s="360" t="s">
        <v>58</v>
      </c>
      <c r="K102" s="213">
        <f>M102/'生產管理報表 7-1 (週)'!$B$31</f>
        <v>2.9702973049060048E-2</v>
      </c>
      <c r="L102" s="361" t="s">
        <v>59</v>
      </c>
      <c r="M102" s="429">
        <f>SUM(M97:M101)</f>
        <v>2564.7000000000003</v>
      </c>
      <c r="N102" s="765"/>
      <c r="O102" s="766"/>
      <c r="P102" s="767"/>
      <c r="R102" s="2"/>
      <c r="S102" s="2"/>
    </row>
    <row r="103" spans="1:21" s="296" customFormat="1" ht="15.75" customHeight="1" thickTop="1">
      <c r="B103" s="304"/>
      <c r="C103" s="305"/>
      <c r="M103" s="337"/>
      <c r="R103" s="2"/>
      <c r="S103" s="2"/>
    </row>
    <row r="104" spans="1:21" s="296" customFormat="1" ht="15.75" customHeight="1">
      <c r="A104" s="738" t="s">
        <v>191</v>
      </c>
      <c r="B104" s="739"/>
      <c r="C104" s="310" t="s">
        <v>47</v>
      </c>
      <c r="D104" s="782" t="s">
        <v>12</v>
      </c>
      <c r="E104" s="783"/>
      <c r="F104" s="784"/>
      <c r="G104" s="785" t="s">
        <v>53</v>
      </c>
      <c r="H104" s="786"/>
      <c r="I104" s="787"/>
      <c r="J104" s="311" t="s">
        <v>54</v>
      </c>
      <c r="K104" s="283" t="s">
        <v>55</v>
      </c>
      <c r="L104" s="283" t="s">
        <v>56</v>
      </c>
      <c r="M104" s="338" t="s">
        <v>11</v>
      </c>
      <c r="N104" s="284" t="s">
        <v>333</v>
      </c>
      <c r="O104" s="746" t="s">
        <v>51</v>
      </c>
      <c r="P104" s="747"/>
      <c r="R104" s="2"/>
      <c r="S104" s="2"/>
    </row>
    <row r="105" spans="1:21" s="296" customFormat="1" ht="20.100000000000001" customHeight="1">
      <c r="A105" s="748">
        <v>7</v>
      </c>
      <c r="B105" s="790" t="s">
        <v>249</v>
      </c>
      <c r="C105" s="286">
        <v>1</v>
      </c>
      <c r="D105" s="287"/>
      <c r="E105" s="288"/>
      <c r="F105" s="289"/>
      <c r="G105" s="290"/>
      <c r="H105" s="291"/>
      <c r="I105" s="292"/>
      <c r="J105" s="293"/>
      <c r="K105" s="294"/>
      <c r="L105" s="295"/>
      <c r="M105" s="339">
        <f t="shared" ref="M105:M107" si="11">L105*J105</f>
        <v>0</v>
      </c>
      <c r="N105" s="295"/>
      <c r="O105" s="793"/>
      <c r="P105" s="794"/>
      <c r="R105" s="2"/>
      <c r="S105" s="2"/>
    </row>
    <row r="106" spans="1:21" s="296" customFormat="1" ht="20.100000000000001" customHeight="1">
      <c r="A106" s="749"/>
      <c r="B106" s="791"/>
      <c r="C106" s="286">
        <v>2</v>
      </c>
      <c r="D106" s="287"/>
      <c r="E106" s="288"/>
      <c r="F106" s="289"/>
      <c r="G106" s="290"/>
      <c r="H106" s="291"/>
      <c r="I106" s="292"/>
      <c r="J106" s="293"/>
      <c r="K106" s="294"/>
      <c r="L106" s="295"/>
      <c r="M106" s="339">
        <f t="shared" si="11"/>
        <v>0</v>
      </c>
      <c r="N106" s="295"/>
      <c r="O106" s="795"/>
      <c r="P106" s="796"/>
      <c r="R106" s="2"/>
      <c r="S106" s="2"/>
    </row>
    <row r="107" spans="1:21" s="296" customFormat="1" ht="20.100000000000001" customHeight="1">
      <c r="A107" s="749"/>
      <c r="B107" s="791"/>
      <c r="C107" s="286">
        <v>3</v>
      </c>
      <c r="D107" s="287"/>
      <c r="E107" s="288"/>
      <c r="F107" s="289"/>
      <c r="G107" s="290"/>
      <c r="H107" s="291"/>
      <c r="I107" s="292"/>
      <c r="J107" s="293"/>
      <c r="K107" s="294"/>
      <c r="L107" s="295"/>
      <c r="M107" s="339">
        <f t="shared" si="11"/>
        <v>0</v>
      </c>
      <c r="N107" s="295"/>
      <c r="O107" s="795"/>
      <c r="P107" s="796"/>
      <c r="R107" s="2"/>
      <c r="S107" s="2"/>
    </row>
    <row r="108" spans="1:21" s="296" customFormat="1" ht="20.100000000000001" customHeight="1">
      <c r="A108" s="749"/>
      <c r="B108" s="791"/>
      <c r="C108" s="286">
        <v>4</v>
      </c>
      <c r="D108" s="287"/>
      <c r="E108" s="288"/>
      <c r="F108" s="289"/>
      <c r="G108" s="290"/>
      <c r="H108" s="291"/>
      <c r="I108" s="292"/>
      <c r="J108" s="293"/>
      <c r="K108" s="294"/>
      <c r="L108" s="295"/>
      <c r="M108" s="340">
        <v>0</v>
      </c>
      <c r="N108" s="295"/>
      <c r="O108" s="306"/>
      <c r="P108" s="307"/>
      <c r="R108" s="2"/>
      <c r="S108" s="2"/>
    </row>
    <row r="109" spans="1:21" s="296" customFormat="1" ht="20.100000000000001" customHeight="1" thickBot="1">
      <c r="A109" s="749"/>
      <c r="B109" s="791"/>
      <c r="C109" s="286">
        <v>5</v>
      </c>
      <c r="D109" s="297"/>
      <c r="E109" s="298"/>
      <c r="F109" s="299"/>
      <c r="G109" s="290"/>
      <c r="H109" s="291"/>
      <c r="I109" s="292"/>
      <c r="J109" s="428"/>
      <c r="K109" s="422"/>
      <c r="L109" s="325"/>
      <c r="M109" s="341">
        <v>0</v>
      </c>
      <c r="N109" s="295"/>
      <c r="O109" s="308"/>
      <c r="P109" s="309"/>
      <c r="R109" s="2"/>
      <c r="S109" s="2"/>
    </row>
    <row r="110" spans="1:21" s="296" customFormat="1" ht="15.75" customHeight="1" thickTop="1" thickBot="1">
      <c r="A110" s="750"/>
      <c r="B110" s="792"/>
      <c r="C110" s="777"/>
      <c r="D110" s="778"/>
      <c r="E110" s="778"/>
      <c r="F110" s="778"/>
      <c r="G110" s="778"/>
      <c r="H110" s="778"/>
      <c r="I110" s="779"/>
      <c r="J110" s="360" t="s">
        <v>58</v>
      </c>
      <c r="K110" s="213">
        <f>M110/'生產管理報表 7-1 (週)'!$B$31</f>
        <v>0</v>
      </c>
      <c r="L110" s="361" t="s">
        <v>59</v>
      </c>
      <c r="M110" s="429">
        <f>SUM(M105:M109)</f>
        <v>0</v>
      </c>
      <c r="N110" s="765"/>
      <c r="O110" s="766"/>
      <c r="P110" s="767"/>
      <c r="R110" s="2"/>
      <c r="S110" s="2"/>
      <c r="T110" s="2"/>
    </row>
    <row r="111" spans="1:21" s="136" customFormat="1" ht="15.75" customHeight="1" thickTop="1">
      <c r="A111" s="859" t="s">
        <v>745</v>
      </c>
      <c r="B111" s="859"/>
      <c r="C111" s="859"/>
      <c r="D111" s="859"/>
      <c r="E111" s="859"/>
      <c r="F111" s="859"/>
      <c r="G111" s="859"/>
      <c r="H111" s="859"/>
      <c r="I111" s="859"/>
      <c r="J111" s="859"/>
      <c r="K111" s="859"/>
      <c r="L111" s="859"/>
      <c r="M111" s="859"/>
      <c r="R111" s="238"/>
      <c r="S111" s="238"/>
      <c r="T111" s="238"/>
      <c r="U111" s="238"/>
    </row>
    <row r="112" spans="1:21" s="137" customFormat="1" ht="15.75" customHeight="1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</row>
    <row r="113" spans="1:20" s="136" customFormat="1" ht="15.75" customHeight="1">
      <c r="A113" s="734" t="s">
        <v>191</v>
      </c>
      <c r="B113" s="736">
        <v>1</v>
      </c>
      <c r="C113" s="737"/>
      <c r="D113" s="736">
        <v>2</v>
      </c>
      <c r="E113" s="737"/>
      <c r="F113" s="736">
        <v>3</v>
      </c>
      <c r="G113" s="737"/>
      <c r="H113" s="727">
        <v>4</v>
      </c>
      <c r="I113" s="728"/>
      <c r="J113" s="727">
        <v>5</v>
      </c>
      <c r="K113" s="728"/>
      <c r="L113" s="727">
        <v>6</v>
      </c>
      <c r="M113" s="728"/>
      <c r="N113" s="727">
        <v>7</v>
      </c>
      <c r="O113" s="728"/>
      <c r="P113" s="335">
        <v>8</v>
      </c>
    </row>
    <row r="114" spans="1:20" s="136" customFormat="1" ht="15.75" customHeight="1">
      <c r="A114" s="735"/>
      <c r="B114" s="731" t="s">
        <v>487</v>
      </c>
      <c r="C114" s="732"/>
      <c r="D114" s="731" t="s">
        <v>212</v>
      </c>
      <c r="E114" s="732"/>
      <c r="F114" s="731" t="s">
        <v>166</v>
      </c>
      <c r="G114" s="732"/>
      <c r="H114" s="729" t="s">
        <v>457</v>
      </c>
      <c r="I114" s="730"/>
      <c r="J114" s="729" t="s">
        <v>189</v>
      </c>
      <c r="K114" s="730"/>
      <c r="L114" s="729" t="s">
        <v>167</v>
      </c>
      <c r="M114" s="730"/>
      <c r="N114" s="729" t="s">
        <v>190</v>
      </c>
      <c r="O114" s="730"/>
      <c r="P114" s="336" t="s">
        <v>217</v>
      </c>
    </row>
    <row r="115" spans="1:20" s="136" customFormat="1" ht="15.75" customHeight="1">
      <c r="B115" s="239"/>
      <c r="C115" s="240"/>
    </row>
    <row r="116" spans="1:20" s="285" customFormat="1" ht="15.75" customHeight="1">
      <c r="A116" s="738" t="s">
        <v>191</v>
      </c>
      <c r="B116" s="739"/>
      <c r="C116" s="282" t="s">
        <v>47</v>
      </c>
      <c r="D116" s="740" t="s">
        <v>12</v>
      </c>
      <c r="E116" s="741"/>
      <c r="F116" s="742"/>
      <c r="G116" s="743" t="s">
        <v>53</v>
      </c>
      <c r="H116" s="744"/>
      <c r="I116" s="745"/>
      <c r="J116" s="283" t="s">
        <v>54</v>
      </c>
      <c r="K116" s="283" t="s">
        <v>55</v>
      </c>
      <c r="L116" s="283" t="s">
        <v>56</v>
      </c>
      <c r="M116" s="284" t="s">
        <v>11</v>
      </c>
      <c r="N116" s="284" t="s">
        <v>333</v>
      </c>
      <c r="O116" s="746" t="s">
        <v>51</v>
      </c>
      <c r="P116" s="747"/>
      <c r="R116" s="211"/>
      <c r="S116" s="268"/>
    </row>
    <row r="117" spans="1:20" s="305" customFormat="1" ht="20.100000000000001" customHeight="1">
      <c r="A117" s="748">
        <v>4</v>
      </c>
      <c r="B117" s="751" t="s">
        <v>457</v>
      </c>
      <c r="C117" s="286">
        <v>1</v>
      </c>
      <c r="D117" s="244"/>
      <c r="E117" s="245"/>
      <c r="F117" s="246"/>
      <c r="G117" s="367"/>
      <c r="H117" s="312"/>
      <c r="I117" s="313"/>
      <c r="J117" s="320"/>
      <c r="K117" s="321"/>
      <c r="L117" s="322"/>
      <c r="M117" s="330">
        <f t="shared" ref="M117:M121" si="12">L117*J117</f>
        <v>0</v>
      </c>
      <c r="N117" s="322"/>
      <c r="O117" s="754"/>
      <c r="P117" s="755"/>
      <c r="R117" s="323"/>
      <c r="S117" s="268"/>
    </row>
    <row r="118" spans="1:20" s="305" customFormat="1" ht="20.100000000000001" customHeight="1">
      <c r="A118" s="749"/>
      <c r="B118" s="752"/>
      <c r="C118" s="286">
        <v>2</v>
      </c>
      <c r="D118" s="244"/>
      <c r="E118" s="245"/>
      <c r="F118" s="246"/>
      <c r="G118" s="367"/>
      <c r="H118" s="312"/>
      <c r="I118" s="313"/>
      <c r="J118" s="320"/>
      <c r="K118" s="321"/>
      <c r="L118" s="322"/>
      <c r="M118" s="330">
        <f t="shared" si="12"/>
        <v>0</v>
      </c>
      <c r="N118" s="322"/>
      <c r="O118" s="756"/>
      <c r="P118" s="757"/>
      <c r="R118" s="323"/>
      <c r="S118" s="211"/>
      <c r="T118" s="347"/>
    </row>
    <row r="119" spans="1:20" s="305" customFormat="1" ht="20.100000000000001" customHeight="1">
      <c r="A119" s="749"/>
      <c r="B119" s="752"/>
      <c r="C119" s="286">
        <v>3</v>
      </c>
      <c r="D119" s="244"/>
      <c r="E119" s="245"/>
      <c r="F119" s="246"/>
      <c r="G119" s="367"/>
      <c r="H119" s="312"/>
      <c r="I119" s="313"/>
      <c r="J119" s="320"/>
      <c r="K119" s="321"/>
      <c r="L119" s="322"/>
      <c r="M119" s="330">
        <f t="shared" si="12"/>
        <v>0</v>
      </c>
      <c r="N119" s="322"/>
      <c r="O119" s="754"/>
      <c r="P119" s="755"/>
      <c r="R119" s="323"/>
      <c r="S119" s="268"/>
    </row>
    <row r="120" spans="1:20" s="305" customFormat="1" ht="20.100000000000001" customHeight="1">
      <c r="A120" s="749"/>
      <c r="B120" s="752"/>
      <c r="C120" s="286">
        <v>4</v>
      </c>
      <c r="D120" s="244"/>
      <c r="E120" s="245"/>
      <c r="F120" s="246"/>
      <c r="G120" s="367"/>
      <c r="H120" s="312"/>
      <c r="I120" s="313"/>
      <c r="J120" s="320"/>
      <c r="K120" s="321"/>
      <c r="L120" s="322"/>
      <c r="M120" s="330">
        <f t="shared" si="12"/>
        <v>0</v>
      </c>
      <c r="N120" s="322"/>
      <c r="O120" s="754"/>
      <c r="P120" s="755"/>
      <c r="R120" s="323"/>
      <c r="S120" s="211"/>
      <c r="T120" s="347"/>
    </row>
    <row r="121" spans="1:20" s="305" customFormat="1" ht="20.100000000000001" customHeight="1" thickBot="1">
      <c r="A121" s="749"/>
      <c r="B121" s="752"/>
      <c r="C121" s="286">
        <v>5</v>
      </c>
      <c r="D121" s="244"/>
      <c r="E121" s="252"/>
      <c r="F121" s="253"/>
      <c r="G121" s="367"/>
      <c r="H121" s="312"/>
      <c r="I121" s="313"/>
      <c r="J121" s="428"/>
      <c r="K121" s="422"/>
      <c r="L121" s="325"/>
      <c r="M121" s="330">
        <f t="shared" si="12"/>
        <v>0</v>
      </c>
      <c r="N121" s="322"/>
      <c r="O121" s="754"/>
      <c r="P121" s="755"/>
      <c r="R121" s="326"/>
      <c r="S121" s="268"/>
      <c r="T121" s="296"/>
    </row>
    <row r="122" spans="1:20" s="296" customFormat="1" ht="15.75" customHeight="1" thickTop="1" thickBot="1">
      <c r="A122" s="750"/>
      <c r="B122" s="753"/>
      <c r="C122" s="762"/>
      <c r="D122" s="763"/>
      <c r="E122" s="763"/>
      <c r="F122" s="763"/>
      <c r="G122" s="763"/>
      <c r="H122" s="763"/>
      <c r="I122" s="764"/>
      <c r="J122" s="360" t="s">
        <v>58</v>
      </c>
      <c r="K122" s="213">
        <f>M122/'生產管理報表 7-1 (週)'!$B$42</f>
        <v>0</v>
      </c>
      <c r="L122" s="361" t="s">
        <v>59</v>
      </c>
      <c r="M122" s="429">
        <f>SUM(M117:M121)</f>
        <v>0</v>
      </c>
      <c r="N122" s="765"/>
      <c r="O122" s="766"/>
      <c r="P122" s="767"/>
      <c r="R122" s="211"/>
      <c r="S122" s="211"/>
    </row>
    <row r="123" spans="1:20" s="296" customFormat="1" ht="15.75" customHeight="1" thickTop="1">
      <c r="B123" s="304"/>
      <c r="C123" s="305"/>
      <c r="M123" s="337"/>
      <c r="S123" s="268"/>
    </row>
    <row r="124" spans="1:20" s="296" customFormat="1" ht="15.75" customHeight="1">
      <c r="A124" s="738" t="s">
        <v>191</v>
      </c>
      <c r="B124" s="739"/>
      <c r="C124" s="282" t="s">
        <v>47</v>
      </c>
      <c r="D124" s="740" t="s">
        <v>12</v>
      </c>
      <c r="E124" s="741"/>
      <c r="F124" s="742"/>
      <c r="G124" s="743" t="s">
        <v>53</v>
      </c>
      <c r="H124" s="744"/>
      <c r="I124" s="745"/>
      <c r="J124" s="283" t="s">
        <v>54</v>
      </c>
      <c r="K124" s="283" t="s">
        <v>55</v>
      </c>
      <c r="L124" s="283" t="s">
        <v>56</v>
      </c>
      <c r="M124" s="338" t="s">
        <v>11</v>
      </c>
      <c r="N124" s="284" t="s">
        <v>333</v>
      </c>
      <c r="O124" s="746" t="s">
        <v>51</v>
      </c>
      <c r="P124" s="747"/>
      <c r="S124" s="211"/>
      <c r="T124" s="347"/>
    </row>
    <row r="125" spans="1:20" s="305" customFormat="1" ht="39.950000000000003" customHeight="1">
      <c r="A125" s="748">
        <v>5</v>
      </c>
      <c r="B125" s="768" t="s">
        <v>215</v>
      </c>
      <c r="C125" s="286">
        <v>1</v>
      </c>
      <c r="D125" s="244" t="s">
        <v>618</v>
      </c>
      <c r="E125" s="245"/>
      <c r="F125" s="246"/>
      <c r="G125" s="313" t="s">
        <v>676</v>
      </c>
      <c r="H125" s="312"/>
      <c r="I125" s="313"/>
      <c r="J125" s="320">
        <v>130</v>
      </c>
      <c r="K125" s="321">
        <v>3.3469999211543006E-2</v>
      </c>
      <c r="L125" s="322">
        <v>8.4899999999999984</v>
      </c>
      <c r="M125" s="330">
        <f>L125*J125</f>
        <v>1103.6999999999998</v>
      </c>
      <c r="N125" s="322"/>
      <c r="O125" s="756" t="s">
        <v>774</v>
      </c>
      <c r="P125" s="757"/>
      <c r="R125" s="437"/>
      <c r="S125" s="430"/>
    </row>
    <row r="126" spans="1:20" s="305" customFormat="1" ht="20.100000000000001" customHeight="1">
      <c r="A126" s="749"/>
      <c r="B126" s="769"/>
      <c r="C126" s="286">
        <v>2</v>
      </c>
      <c r="D126" s="244"/>
      <c r="E126" s="245"/>
      <c r="F126" s="246"/>
      <c r="G126" s="367"/>
      <c r="H126" s="312"/>
      <c r="I126" s="313"/>
      <c r="J126" s="320"/>
      <c r="K126" s="321"/>
      <c r="L126" s="322"/>
      <c r="M126" s="330">
        <f t="shared" ref="M126:M129" si="13">L126*J126</f>
        <v>0</v>
      </c>
      <c r="N126" s="322"/>
      <c r="O126" s="756"/>
      <c r="P126" s="757"/>
      <c r="S126" s="211"/>
      <c r="T126" s="348"/>
    </row>
    <row r="127" spans="1:20" s="296" customFormat="1" ht="20.100000000000001" customHeight="1">
      <c r="A127" s="749"/>
      <c r="B127" s="769"/>
      <c r="C127" s="286">
        <v>3</v>
      </c>
      <c r="D127" s="244"/>
      <c r="E127" s="288"/>
      <c r="F127" s="289"/>
      <c r="G127" s="367"/>
      <c r="H127" s="312"/>
      <c r="I127" s="313"/>
      <c r="J127" s="320"/>
      <c r="K127" s="321"/>
      <c r="L127" s="322"/>
      <c r="M127" s="330">
        <f t="shared" si="13"/>
        <v>0</v>
      </c>
      <c r="N127" s="295"/>
      <c r="O127" s="773"/>
      <c r="P127" s="774"/>
    </row>
    <row r="128" spans="1:20" s="296" customFormat="1" ht="20.100000000000001" customHeight="1">
      <c r="A128" s="749"/>
      <c r="B128" s="769"/>
      <c r="C128" s="286">
        <v>4</v>
      </c>
      <c r="D128" s="244"/>
      <c r="E128" s="288"/>
      <c r="F128" s="289"/>
      <c r="G128" s="367"/>
      <c r="H128" s="312"/>
      <c r="I128" s="313"/>
      <c r="J128" s="320"/>
      <c r="K128" s="321"/>
      <c r="L128" s="322"/>
      <c r="M128" s="330">
        <f t="shared" si="13"/>
        <v>0</v>
      </c>
      <c r="N128" s="295"/>
      <c r="O128" s="756"/>
      <c r="P128" s="757"/>
    </row>
    <row r="129" spans="1:19" s="296" customFormat="1" ht="20.100000000000001" customHeight="1" thickBot="1">
      <c r="A129" s="749"/>
      <c r="B129" s="769"/>
      <c r="C129" s="286">
        <v>5</v>
      </c>
      <c r="D129" s="251"/>
      <c r="E129" s="298"/>
      <c r="F129" s="299"/>
      <c r="G129" s="367"/>
      <c r="H129" s="312"/>
      <c r="I129" s="313"/>
      <c r="J129" s="428"/>
      <c r="K129" s="422"/>
      <c r="L129" s="325"/>
      <c r="M129" s="330">
        <f t="shared" si="13"/>
        <v>0</v>
      </c>
      <c r="N129" s="295"/>
      <c r="O129" s="860"/>
      <c r="P129" s="861"/>
      <c r="R129" s="212"/>
    </row>
    <row r="130" spans="1:19" s="296" customFormat="1" ht="15.75" customHeight="1" thickTop="1" thickBot="1">
      <c r="A130" s="750"/>
      <c r="B130" s="770"/>
      <c r="C130" s="777"/>
      <c r="D130" s="778"/>
      <c r="E130" s="778"/>
      <c r="F130" s="778"/>
      <c r="G130" s="778"/>
      <c r="H130" s="778"/>
      <c r="I130" s="779"/>
      <c r="J130" s="360" t="s">
        <v>58</v>
      </c>
      <c r="K130" s="213">
        <f>M130/'生產管理報表 7-1 (週)'!$B$42</f>
        <v>1.3228646607980838E-2</v>
      </c>
      <c r="L130" s="361" t="s">
        <v>59</v>
      </c>
      <c r="M130" s="429">
        <f>SUM(M125:M129)</f>
        <v>1103.6999999999998</v>
      </c>
      <c r="N130" s="765"/>
      <c r="O130" s="766"/>
      <c r="P130" s="767"/>
      <c r="R130" s="211"/>
    </row>
    <row r="131" spans="1:19" s="296" customFormat="1" ht="15.75" customHeight="1" thickTop="1">
      <c r="B131" s="304"/>
      <c r="C131" s="305"/>
      <c r="M131" s="337"/>
      <c r="R131" s="211"/>
    </row>
    <row r="132" spans="1:19" s="296" customFormat="1" ht="15.75" customHeight="1">
      <c r="A132" s="738" t="s">
        <v>191</v>
      </c>
      <c r="B132" s="739"/>
      <c r="C132" s="310" t="s">
        <v>47</v>
      </c>
      <c r="D132" s="782" t="s">
        <v>12</v>
      </c>
      <c r="E132" s="783"/>
      <c r="F132" s="784"/>
      <c r="G132" s="785" t="s">
        <v>53</v>
      </c>
      <c r="H132" s="786"/>
      <c r="I132" s="787"/>
      <c r="J132" s="311" t="s">
        <v>54</v>
      </c>
      <c r="K132" s="283" t="s">
        <v>55</v>
      </c>
      <c r="L132" s="283" t="s">
        <v>56</v>
      </c>
      <c r="M132" s="338" t="s">
        <v>11</v>
      </c>
      <c r="N132" s="284" t="s">
        <v>333</v>
      </c>
      <c r="O132" s="746" t="s">
        <v>51</v>
      </c>
      <c r="P132" s="747"/>
      <c r="R132" s="211"/>
      <c r="S132" s="2"/>
    </row>
    <row r="133" spans="1:19" s="296" customFormat="1" ht="39.950000000000003" customHeight="1">
      <c r="A133" s="748">
        <v>6</v>
      </c>
      <c r="B133" s="768" t="s">
        <v>216</v>
      </c>
      <c r="C133" s="286">
        <v>1</v>
      </c>
      <c r="D133" s="349"/>
      <c r="E133" s="288"/>
      <c r="F133" s="289"/>
      <c r="G133" s="313"/>
      <c r="H133" s="312"/>
      <c r="I133" s="313"/>
      <c r="J133" s="320"/>
      <c r="K133" s="321"/>
      <c r="L133" s="322"/>
      <c r="M133" s="330">
        <f t="shared" ref="M133" si="14">L133*J133</f>
        <v>0</v>
      </c>
      <c r="N133" s="295"/>
      <c r="O133" s="773"/>
      <c r="P133" s="774"/>
      <c r="R133" s="348"/>
      <c r="S133" s="438"/>
    </row>
    <row r="134" spans="1:19" s="296" customFormat="1" ht="20.100000000000001" customHeight="1">
      <c r="A134" s="749"/>
      <c r="B134" s="769"/>
      <c r="C134" s="286">
        <v>2</v>
      </c>
      <c r="D134" s="287"/>
      <c r="E134" s="288"/>
      <c r="F134" s="289"/>
      <c r="G134" s="290"/>
      <c r="H134" s="291"/>
      <c r="I134" s="292"/>
      <c r="J134" s="293"/>
      <c r="K134" s="294"/>
      <c r="L134" s="295"/>
      <c r="M134" s="339">
        <v>0</v>
      </c>
      <c r="N134" s="295"/>
      <c r="O134" s="306"/>
      <c r="P134" s="307"/>
      <c r="S134" s="2"/>
    </row>
    <row r="135" spans="1:19" s="296" customFormat="1" ht="20.100000000000001" customHeight="1">
      <c r="A135" s="749"/>
      <c r="B135" s="769"/>
      <c r="C135" s="286">
        <v>3</v>
      </c>
      <c r="D135" s="287"/>
      <c r="E135" s="288"/>
      <c r="F135" s="289"/>
      <c r="G135" s="290"/>
      <c r="H135" s="291"/>
      <c r="I135" s="292"/>
      <c r="J135" s="293"/>
      <c r="K135" s="294"/>
      <c r="L135" s="295"/>
      <c r="M135" s="339">
        <v>0</v>
      </c>
      <c r="N135" s="295"/>
      <c r="O135" s="306"/>
      <c r="P135" s="307"/>
      <c r="S135" s="2"/>
    </row>
    <row r="136" spans="1:19" s="296" customFormat="1" ht="20.100000000000001" customHeight="1">
      <c r="A136" s="749"/>
      <c r="B136" s="769"/>
      <c r="C136" s="286">
        <v>4</v>
      </c>
      <c r="D136" s="287"/>
      <c r="E136" s="288"/>
      <c r="F136" s="289"/>
      <c r="G136" s="290"/>
      <c r="H136" s="291"/>
      <c r="I136" s="292"/>
      <c r="J136" s="293"/>
      <c r="K136" s="294"/>
      <c r="L136" s="295"/>
      <c r="M136" s="339">
        <v>0</v>
      </c>
      <c r="N136" s="295"/>
      <c r="O136" s="306"/>
      <c r="P136" s="307"/>
      <c r="R136" s="2"/>
      <c r="S136" s="2"/>
    </row>
    <row r="137" spans="1:19" s="296" customFormat="1" ht="20.100000000000001" customHeight="1" thickBot="1">
      <c r="A137" s="749"/>
      <c r="B137" s="769"/>
      <c r="C137" s="286">
        <v>5</v>
      </c>
      <c r="D137" s="297"/>
      <c r="E137" s="298"/>
      <c r="F137" s="299"/>
      <c r="G137" s="290"/>
      <c r="H137" s="291"/>
      <c r="I137" s="292"/>
      <c r="J137" s="428"/>
      <c r="K137" s="422"/>
      <c r="L137" s="325"/>
      <c r="M137" s="330">
        <v>0</v>
      </c>
      <c r="N137" s="295"/>
      <c r="O137" s="308"/>
      <c r="P137" s="309"/>
      <c r="R137" s="2"/>
      <c r="S137" s="2"/>
    </row>
    <row r="138" spans="1:19" s="296" customFormat="1" ht="15.75" customHeight="1" thickTop="1" thickBot="1">
      <c r="A138" s="750"/>
      <c r="B138" s="770"/>
      <c r="C138" s="777"/>
      <c r="D138" s="778"/>
      <c r="E138" s="778"/>
      <c r="F138" s="778"/>
      <c r="G138" s="778"/>
      <c r="H138" s="778"/>
      <c r="I138" s="779"/>
      <c r="J138" s="360" t="s">
        <v>58</v>
      </c>
      <c r="K138" s="213">
        <f>M138/'生產管理報表 7-1 (週)'!$B$42</f>
        <v>0</v>
      </c>
      <c r="L138" s="361" t="s">
        <v>59</v>
      </c>
      <c r="M138" s="429">
        <f>SUM(M133:M137)</f>
        <v>0</v>
      </c>
      <c r="N138" s="765"/>
      <c r="O138" s="766"/>
      <c r="P138" s="767"/>
      <c r="R138" s="2"/>
      <c r="S138" s="2"/>
    </row>
    <row r="139" spans="1:19" s="296" customFormat="1" ht="15.75" customHeight="1" thickTop="1">
      <c r="B139" s="304"/>
      <c r="C139" s="305"/>
      <c r="M139" s="337"/>
      <c r="R139" s="2"/>
      <c r="S139" s="2"/>
    </row>
    <row r="140" spans="1:19" s="296" customFormat="1" ht="15.75" customHeight="1">
      <c r="A140" s="738" t="s">
        <v>191</v>
      </c>
      <c r="B140" s="739"/>
      <c r="C140" s="310" t="s">
        <v>47</v>
      </c>
      <c r="D140" s="782" t="s">
        <v>12</v>
      </c>
      <c r="E140" s="783"/>
      <c r="F140" s="784"/>
      <c r="G140" s="785" t="s">
        <v>53</v>
      </c>
      <c r="H140" s="786"/>
      <c r="I140" s="787"/>
      <c r="J140" s="311" t="s">
        <v>54</v>
      </c>
      <c r="K140" s="283" t="s">
        <v>55</v>
      </c>
      <c r="L140" s="283" t="s">
        <v>56</v>
      </c>
      <c r="M140" s="338" t="s">
        <v>11</v>
      </c>
      <c r="N140" s="284" t="s">
        <v>333</v>
      </c>
      <c r="O140" s="746" t="s">
        <v>51</v>
      </c>
      <c r="P140" s="747"/>
      <c r="R140" s="2"/>
      <c r="S140" s="2"/>
    </row>
    <row r="141" spans="1:19" s="296" customFormat="1" ht="20.100000000000001" customHeight="1">
      <c r="A141" s="748">
        <v>7</v>
      </c>
      <c r="B141" s="790" t="s">
        <v>249</v>
      </c>
      <c r="C141" s="286">
        <v>1</v>
      </c>
      <c r="D141" s="287"/>
      <c r="E141" s="288"/>
      <c r="F141" s="289"/>
      <c r="G141" s="290"/>
      <c r="H141" s="291"/>
      <c r="I141" s="292"/>
      <c r="J141" s="293"/>
      <c r="K141" s="294"/>
      <c r="L141" s="295"/>
      <c r="M141" s="339">
        <f t="shared" ref="M141:M143" si="15">L141*J141</f>
        <v>0</v>
      </c>
      <c r="N141" s="295"/>
      <c r="O141" s="793"/>
      <c r="P141" s="794"/>
      <c r="R141" s="2"/>
      <c r="S141" s="2"/>
    </row>
    <row r="142" spans="1:19" s="296" customFormat="1" ht="20.100000000000001" customHeight="1">
      <c r="A142" s="749"/>
      <c r="B142" s="791"/>
      <c r="C142" s="286">
        <v>2</v>
      </c>
      <c r="D142" s="287"/>
      <c r="E142" s="288"/>
      <c r="F142" s="289"/>
      <c r="G142" s="290"/>
      <c r="H142" s="291"/>
      <c r="I142" s="292"/>
      <c r="J142" s="293"/>
      <c r="K142" s="294"/>
      <c r="L142" s="295"/>
      <c r="M142" s="339">
        <f t="shared" si="15"/>
        <v>0</v>
      </c>
      <c r="N142" s="295"/>
      <c r="O142" s="795"/>
      <c r="P142" s="796"/>
      <c r="R142" s="2"/>
      <c r="S142" s="2"/>
    </row>
    <row r="143" spans="1:19" s="296" customFormat="1" ht="20.100000000000001" customHeight="1">
      <c r="A143" s="749"/>
      <c r="B143" s="791"/>
      <c r="C143" s="286">
        <v>3</v>
      </c>
      <c r="D143" s="287"/>
      <c r="E143" s="288"/>
      <c r="F143" s="289"/>
      <c r="G143" s="290"/>
      <c r="H143" s="291"/>
      <c r="I143" s="292"/>
      <c r="J143" s="293"/>
      <c r="K143" s="294"/>
      <c r="L143" s="295"/>
      <c r="M143" s="339">
        <f t="shared" si="15"/>
        <v>0</v>
      </c>
      <c r="N143" s="295"/>
      <c r="O143" s="795"/>
      <c r="P143" s="796"/>
      <c r="R143" s="2"/>
      <c r="S143" s="2"/>
    </row>
    <row r="144" spans="1:19" s="296" customFormat="1" ht="20.100000000000001" customHeight="1">
      <c r="A144" s="749"/>
      <c r="B144" s="791"/>
      <c r="C144" s="286">
        <v>4</v>
      </c>
      <c r="D144" s="287"/>
      <c r="E144" s="288"/>
      <c r="F144" s="289"/>
      <c r="G144" s="290"/>
      <c r="H144" s="291"/>
      <c r="I144" s="292"/>
      <c r="J144" s="293"/>
      <c r="K144" s="294"/>
      <c r="L144" s="295"/>
      <c r="M144" s="340">
        <v>0</v>
      </c>
      <c r="N144" s="295"/>
      <c r="O144" s="306"/>
      <c r="P144" s="307"/>
      <c r="R144" s="2"/>
      <c r="S144" s="2"/>
    </row>
    <row r="145" spans="1:21" s="296" customFormat="1" ht="20.100000000000001" customHeight="1" thickBot="1">
      <c r="A145" s="749"/>
      <c r="B145" s="791"/>
      <c r="C145" s="286">
        <v>5</v>
      </c>
      <c r="D145" s="297"/>
      <c r="E145" s="298"/>
      <c r="F145" s="299"/>
      <c r="G145" s="290"/>
      <c r="H145" s="291"/>
      <c r="I145" s="292"/>
      <c r="J145" s="428"/>
      <c r="K145" s="422"/>
      <c r="L145" s="325"/>
      <c r="M145" s="341">
        <v>0</v>
      </c>
      <c r="N145" s="295"/>
      <c r="O145" s="308"/>
      <c r="P145" s="309"/>
      <c r="R145" s="2"/>
      <c r="S145" s="2"/>
    </row>
    <row r="146" spans="1:21" s="296" customFormat="1" ht="15.75" customHeight="1" thickTop="1" thickBot="1">
      <c r="A146" s="750"/>
      <c r="B146" s="792"/>
      <c r="C146" s="777"/>
      <c r="D146" s="778"/>
      <c r="E146" s="778"/>
      <c r="F146" s="778"/>
      <c r="G146" s="778"/>
      <c r="H146" s="778"/>
      <c r="I146" s="779"/>
      <c r="J146" s="360" t="s">
        <v>58</v>
      </c>
      <c r="K146" s="213">
        <f>M146/'生產管理報表 7-1 (週)'!$B$42</f>
        <v>0</v>
      </c>
      <c r="L146" s="361" t="s">
        <v>59</v>
      </c>
      <c r="M146" s="429">
        <f>SUM(M141:M145)</f>
        <v>0</v>
      </c>
      <c r="N146" s="765"/>
      <c r="O146" s="766"/>
      <c r="P146" s="767"/>
      <c r="R146" s="2"/>
      <c r="S146" s="2"/>
      <c r="T146" s="2"/>
    </row>
    <row r="147" spans="1:21" s="136" customFormat="1" ht="15.75" customHeight="1" thickTop="1">
      <c r="A147" s="859" t="s">
        <v>770</v>
      </c>
      <c r="B147" s="859"/>
      <c r="C147" s="859"/>
      <c r="D147" s="859"/>
      <c r="E147" s="859"/>
      <c r="F147" s="859"/>
      <c r="G147" s="859"/>
      <c r="H147" s="859"/>
      <c r="I147" s="859"/>
      <c r="J147" s="859"/>
      <c r="K147" s="859"/>
      <c r="L147" s="859"/>
      <c r="M147" s="859"/>
      <c r="R147" s="238"/>
      <c r="S147" s="238"/>
      <c r="T147" s="238"/>
      <c r="U147" s="238"/>
    </row>
    <row r="148" spans="1:21" s="137" customFormat="1" ht="15.75" customHeight="1">
      <c r="A148" s="733"/>
      <c r="B148" s="733"/>
      <c r="C148" s="733"/>
      <c r="D148" s="733"/>
      <c r="E148" s="733"/>
      <c r="F148" s="733"/>
      <c r="G148" s="733"/>
      <c r="H148" s="733"/>
      <c r="I148" s="733"/>
      <c r="J148" s="733"/>
      <c r="K148" s="733"/>
      <c r="L148" s="733"/>
      <c r="M148" s="733"/>
    </row>
    <row r="149" spans="1:21" s="136" customFormat="1" ht="15.75" customHeight="1">
      <c r="A149" s="734" t="s">
        <v>191</v>
      </c>
      <c r="B149" s="736">
        <v>1</v>
      </c>
      <c r="C149" s="737"/>
      <c r="D149" s="736">
        <v>2</v>
      </c>
      <c r="E149" s="737"/>
      <c r="F149" s="736">
        <v>3</v>
      </c>
      <c r="G149" s="737"/>
      <c r="H149" s="727">
        <v>4</v>
      </c>
      <c r="I149" s="728"/>
      <c r="J149" s="727">
        <v>5</v>
      </c>
      <c r="K149" s="728"/>
      <c r="L149" s="727">
        <v>6</v>
      </c>
      <c r="M149" s="728"/>
      <c r="N149" s="727">
        <v>7</v>
      </c>
      <c r="O149" s="728"/>
      <c r="P149" s="335">
        <v>8</v>
      </c>
    </row>
    <row r="150" spans="1:21" s="136" customFormat="1" ht="15.75" customHeight="1">
      <c r="A150" s="735"/>
      <c r="B150" s="731" t="s">
        <v>487</v>
      </c>
      <c r="C150" s="732"/>
      <c r="D150" s="731" t="s">
        <v>212</v>
      </c>
      <c r="E150" s="732"/>
      <c r="F150" s="731" t="s">
        <v>166</v>
      </c>
      <c r="G150" s="732"/>
      <c r="H150" s="729" t="s">
        <v>457</v>
      </c>
      <c r="I150" s="730"/>
      <c r="J150" s="729" t="s">
        <v>189</v>
      </c>
      <c r="K150" s="730"/>
      <c r="L150" s="729" t="s">
        <v>167</v>
      </c>
      <c r="M150" s="730"/>
      <c r="N150" s="729" t="s">
        <v>190</v>
      </c>
      <c r="O150" s="730"/>
      <c r="P150" s="336" t="s">
        <v>217</v>
      </c>
    </row>
    <row r="151" spans="1:21" s="136" customFormat="1" ht="15.75" customHeight="1">
      <c r="B151" s="239"/>
      <c r="C151" s="240"/>
    </row>
    <row r="152" spans="1:21" s="285" customFormat="1" ht="15.75" customHeight="1">
      <c r="A152" s="738" t="s">
        <v>191</v>
      </c>
      <c r="B152" s="739"/>
      <c r="C152" s="282" t="s">
        <v>47</v>
      </c>
      <c r="D152" s="740" t="s">
        <v>12</v>
      </c>
      <c r="E152" s="741"/>
      <c r="F152" s="742"/>
      <c r="G152" s="743" t="s">
        <v>53</v>
      </c>
      <c r="H152" s="744"/>
      <c r="I152" s="745"/>
      <c r="J152" s="283" t="s">
        <v>54</v>
      </c>
      <c r="K152" s="283" t="s">
        <v>55</v>
      </c>
      <c r="L152" s="283" t="s">
        <v>56</v>
      </c>
      <c r="M152" s="284" t="s">
        <v>11</v>
      </c>
      <c r="N152" s="284" t="s">
        <v>333</v>
      </c>
      <c r="O152" s="746" t="s">
        <v>51</v>
      </c>
      <c r="P152" s="747"/>
      <c r="R152" s="211"/>
      <c r="S152" s="268"/>
    </row>
    <row r="153" spans="1:21" s="305" customFormat="1" ht="20.100000000000001" customHeight="1">
      <c r="A153" s="748">
        <v>4</v>
      </c>
      <c r="B153" s="751" t="s">
        <v>457</v>
      </c>
      <c r="C153" s="286">
        <v>1</v>
      </c>
      <c r="D153" s="244"/>
      <c r="E153" s="245"/>
      <c r="F153" s="246"/>
      <c r="G153" s="367"/>
      <c r="H153" s="312"/>
      <c r="I153" s="313"/>
      <c r="J153" s="320"/>
      <c r="K153" s="321"/>
      <c r="L153" s="322"/>
      <c r="M153" s="330">
        <f t="shared" ref="M153:M157" si="16">L153*J153</f>
        <v>0</v>
      </c>
      <c r="N153" s="322"/>
      <c r="O153" s="754"/>
      <c r="P153" s="755"/>
      <c r="R153" s="323"/>
      <c r="S153" s="268"/>
    </row>
    <row r="154" spans="1:21" s="305" customFormat="1" ht="20.100000000000001" customHeight="1">
      <c r="A154" s="749"/>
      <c r="B154" s="752"/>
      <c r="C154" s="286">
        <v>2</v>
      </c>
      <c r="D154" s="244"/>
      <c r="E154" s="245"/>
      <c r="F154" s="246"/>
      <c r="G154" s="367"/>
      <c r="H154" s="312"/>
      <c r="I154" s="313"/>
      <c r="J154" s="320"/>
      <c r="K154" s="321"/>
      <c r="L154" s="322"/>
      <c r="M154" s="330">
        <f t="shared" si="16"/>
        <v>0</v>
      </c>
      <c r="N154" s="322"/>
      <c r="O154" s="756"/>
      <c r="P154" s="757"/>
      <c r="R154" s="323"/>
      <c r="S154" s="211"/>
      <c r="T154" s="347"/>
    </row>
    <row r="155" spans="1:21" s="305" customFormat="1" ht="20.100000000000001" customHeight="1">
      <c r="A155" s="749"/>
      <c r="B155" s="752"/>
      <c r="C155" s="286">
        <v>3</v>
      </c>
      <c r="D155" s="244"/>
      <c r="E155" s="245"/>
      <c r="F155" s="246"/>
      <c r="G155" s="367"/>
      <c r="H155" s="312"/>
      <c r="I155" s="313"/>
      <c r="J155" s="320"/>
      <c r="K155" s="321"/>
      <c r="L155" s="322"/>
      <c r="M155" s="330">
        <f t="shared" si="16"/>
        <v>0</v>
      </c>
      <c r="N155" s="322"/>
      <c r="O155" s="754"/>
      <c r="P155" s="755"/>
      <c r="R155" s="323"/>
      <c r="S155" s="268"/>
    </row>
    <row r="156" spans="1:21" s="305" customFormat="1" ht="20.100000000000001" customHeight="1">
      <c r="A156" s="749"/>
      <c r="B156" s="752"/>
      <c r="C156" s="286">
        <v>4</v>
      </c>
      <c r="D156" s="244"/>
      <c r="E156" s="245"/>
      <c r="F156" s="246"/>
      <c r="G156" s="367"/>
      <c r="H156" s="312"/>
      <c r="I156" s="313"/>
      <c r="J156" s="320"/>
      <c r="K156" s="321"/>
      <c r="L156" s="322"/>
      <c r="M156" s="330">
        <f t="shared" si="16"/>
        <v>0</v>
      </c>
      <c r="N156" s="322"/>
      <c r="O156" s="754"/>
      <c r="P156" s="755"/>
      <c r="R156" s="323"/>
      <c r="S156" s="211"/>
      <c r="T156" s="347"/>
    </row>
    <row r="157" spans="1:21" s="305" customFormat="1" ht="20.100000000000001" customHeight="1" thickBot="1">
      <c r="A157" s="749"/>
      <c r="B157" s="752"/>
      <c r="C157" s="286">
        <v>5</v>
      </c>
      <c r="D157" s="244"/>
      <c r="E157" s="252"/>
      <c r="F157" s="253"/>
      <c r="G157" s="367"/>
      <c r="H157" s="312"/>
      <c r="I157" s="313"/>
      <c r="J157" s="428"/>
      <c r="K157" s="422"/>
      <c r="L157" s="325"/>
      <c r="M157" s="330">
        <f t="shared" si="16"/>
        <v>0</v>
      </c>
      <c r="N157" s="322"/>
      <c r="O157" s="754"/>
      <c r="P157" s="755"/>
      <c r="R157" s="326"/>
      <c r="S157" s="268"/>
      <c r="T157" s="296"/>
    </row>
    <row r="158" spans="1:21" s="296" customFormat="1" ht="15.75" customHeight="1" thickTop="1" thickBot="1">
      <c r="A158" s="750"/>
      <c r="B158" s="753"/>
      <c r="C158" s="762"/>
      <c r="D158" s="763"/>
      <c r="E158" s="763"/>
      <c r="F158" s="763"/>
      <c r="G158" s="763"/>
      <c r="H158" s="763"/>
      <c r="I158" s="764"/>
      <c r="J158" s="360" t="s">
        <v>58</v>
      </c>
      <c r="K158" s="213">
        <f>M158/'生產管理報表 7-1 (週)'!$B$53</f>
        <v>0</v>
      </c>
      <c r="L158" s="361" t="s">
        <v>59</v>
      </c>
      <c r="M158" s="429">
        <f>SUM(M153:M157)</f>
        <v>0</v>
      </c>
      <c r="N158" s="765"/>
      <c r="O158" s="766"/>
      <c r="P158" s="767"/>
      <c r="R158" s="211"/>
      <c r="S158" s="211"/>
    </row>
    <row r="159" spans="1:21" s="296" customFormat="1" ht="15.75" customHeight="1" thickTop="1">
      <c r="B159" s="304"/>
      <c r="C159" s="305"/>
      <c r="M159" s="337"/>
      <c r="S159" s="268"/>
    </row>
    <row r="160" spans="1:21" s="296" customFormat="1" ht="15.75" customHeight="1">
      <c r="A160" s="738" t="s">
        <v>191</v>
      </c>
      <c r="B160" s="739"/>
      <c r="C160" s="282" t="s">
        <v>47</v>
      </c>
      <c r="D160" s="740" t="s">
        <v>12</v>
      </c>
      <c r="E160" s="741"/>
      <c r="F160" s="742"/>
      <c r="G160" s="743" t="s">
        <v>53</v>
      </c>
      <c r="H160" s="744"/>
      <c r="I160" s="745"/>
      <c r="J160" s="283" t="s">
        <v>54</v>
      </c>
      <c r="K160" s="283" t="s">
        <v>55</v>
      </c>
      <c r="L160" s="283" t="s">
        <v>56</v>
      </c>
      <c r="M160" s="338" t="s">
        <v>11</v>
      </c>
      <c r="N160" s="284" t="s">
        <v>333</v>
      </c>
      <c r="O160" s="746" t="s">
        <v>51</v>
      </c>
      <c r="P160" s="747"/>
      <c r="S160" s="211"/>
      <c r="T160" s="347"/>
    </row>
    <row r="161" spans="1:20" s="305" customFormat="1" ht="39.950000000000003" customHeight="1">
      <c r="A161" s="748">
        <v>5</v>
      </c>
      <c r="B161" s="768" t="s">
        <v>215</v>
      </c>
      <c r="C161" s="286">
        <v>1</v>
      </c>
      <c r="D161" s="244"/>
      <c r="E161" s="245"/>
      <c r="F161" s="246"/>
      <c r="G161" s="313"/>
      <c r="H161" s="312"/>
      <c r="I161" s="313"/>
      <c r="J161" s="320"/>
      <c r="K161" s="321"/>
      <c r="L161" s="322"/>
      <c r="M161" s="330">
        <f>L161*J161</f>
        <v>0</v>
      </c>
      <c r="N161" s="322"/>
      <c r="O161" s="756"/>
      <c r="P161" s="757"/>
      <c r="R161" s="437"/>
      <c r="S161" s="430"/>
    </row>
    <row r="162" spans="1:20" s="305" customFormat="1" ht="20.100000000000001" customHeight="1">
      <c r="A162" s="749"/>
      <c r="B162" s="769"/>
      <c r="C162" s="286">
        <v>2</v>
      </c>
      <c r="D162" s="244"/>
      <c r="E162" s="245"/>
      <c r="F162" s="246"/>
      <c r="G162" s="367"/>
      <c r="H162" s="312"/>
      <c r="I162" s="313"/>
      <c r="J162" s="320"/>
      <c r="K162" s="321"/>
      <c r="L162" s="322"/>
      <c r="M162" s="330">
        <f t="shared" ref="M162:M165" si="17">L162*J162</f>
        <v>0</v>
      </c>
      <c r="N162" s="322"/>
      <c r="O162" s="756"/>
      <c r="P162" s="757"/>
      <c r="S162" s="211"/>
      <c r="T162" s="348"/>
    </row>
    <row r="163" spans="1:20" s="296" customFormat="1" ht="20.100000000000001" customHeight="1">
      <c r="A163" s="749"/>
      <c r="B163" s="769"/>
      <c r="C163" s="286">
        <v>3</v>
      </c>
      <c r="D163" s="244"/>
      <c r="E163" s="288"/>
      <c r="F163" s="289"/>
      <c r="G163" s="367"/>
      <c r="H163" s="312"/>
      <c r="I163" s="313"/>
      <c r="J163" s="320"/>
      <c r="K163" s="321"/>
      <c r="L163" s="322"/>
      <c r="M163" s="330">
        <f t="shared" si="17"/>
        <v>0</v>
      </c>
      <c r="N163" s="295"/>
      <c r="O163" s="773"/>
      <c r="P163" s="774"/>
    </row>
    <row r="164" spans="1:20" s="296" customFormat="1" ht="20.100000000000001" customHeight="1">
      <c r="A164" s="749"/>
      <c r="B164" s="769"/>
      <c r="C164" s="286">
        <v>4</v>
      </c>
      <c r="D164" s="244"/>
      <c r="E164" s="288"/>
      <c r="F164" s="289"/>
      <c r="G164" s="367"/>
      <c r="H164" s="312"/>
      <c r="I164" s="313"/>
      <c r="J164" s="320"/>
      <c r="K164" s="321"/>
      <c r="L164" s="322"/>
      <c r="M164" s="330">
        <f t="shared" si="17"/>
        <v>0</v>
      </c>
      <c r="N164" s="295"/>
      <c r="O164" s="756"/>
      <c r="P164" s="757"/>
    </row>
    <row r="165" spans="1:20" s="296" customFormat="1" ht="20.100000000000001" customHeight="1" thickBot="1">
      <c r="A165" s="749"/>
      <c r="B165" s="769"/>
      <c r="C165" s="286">
        <v>5</v>
      </c>
      <c r="D165" s="251"/>
      <c r="E165" s="298"/>
      <c r="F165" s="299"/>
      <c r="G165" s="367"/>
      <c r="H165" s="312"/>
      <c r="I165" s="313"/>
      <c r="J165" s="428"/>
      <c r="K165" s="422"/>
      <c r="L165" s="325"/>
      <c r="M165" s="330">
        <f t="shared" si="17"/>
        <v>0</v>
      </c>
      <c r="N165" s="295"/>
      <c r="O165" s="860"/>
      <c r="P165" s="861"/>
      <c r="R165" s="212"/>
    </row>
    <row r="166" spans="1:20" s="296" customFormat="1" ht="15.75" customHeight="1" thickTop="1" thickBot="1">
      <c r="A166" s="750"/>
      <c r="B166" s="770"/>
      <c r="C166" s="777"/>
      <c r="D166" s="778"/>
      <c r="E166" s="778"/>
      <c r="F166" s="778"/>
      <c r="G166" s="778"/>
      <c r="H166" s="778"/>
      <c r="I166" s="779"/>
      <c r="J166" s="360" t="s">
        <v>58</v>
      </c>
      <c r="K166" s="213">
        <f>M166/'生產管理報表 7-1 (週)'!$B$53</f>
        <v>0</v>
      </c>
      <c r="L166" s="361" t="s">
        <v>59</v>
      </c>
      <c r="M166" s="429">
        <f>SUM(M161:M165)</f>
        <v>0</v>
      </c>
      <c r="N166" s="765"/>
      <c r="O166" s="766"/>
      <c r="P166" s="767"/>
      <c r="R166" s="211"/>
    </row>
    <row r="167" spans="1:20" s="296" customFormat="1" ht="15.75" customHeight="1" thickTop="1">
      <c r="B167" s="304"/>
      <c r="C167" s="305"/>
      <c r="M167" s="337"/>
      <c r="R167" s="211"/>
    </row>
    <row r="168" spans="1:20" s="296" customFormat="1" ht="15.75" customHeight="1">
      <c r="A168" s="738" t="s">
        <v>191</v>
      </c>
      <c r="B168" s="739"/>
      <c r="C168" s="310" t="s">
        <v>47</v>
      </c>
      <c r="D168" s="782" t="s">
        <v>12</v>
      </c>
      <c r="E168" s="783"/>
      <c r="F168" s="784"/>
      <c r="G168" s="785" t="s">
        <v>53</v>
      </c>
      <c r="H168" s="786"/>
      <c r="I168" s="787"/>
      <c r="J168" s="311" t="s">
        <v>54</v>
      </c>
      <c r="K168" s="283" t="s">
        <v>55</v>
      </c>
      <c r="L168" s="283" t="s">
        <v>56</v>
      </c>
      <c r="M168" s="338" t="s">
        <v>11</v>
      </c>
      <c r="N168" s="284" t="s">
        <v>333</v>
      </c>
      <c r="O168" s="746" t="s">
        <v>51</v>
      </c>
      <c r="P168" s="747"/>
      <c r="R168" s="211"/>
      <c r="S168" s="2"/>
    </row>
    <row r="169" spans="1:20" s="296" customFormat="1" ht="39.950000000000003" customHeight="1">
      <c r="A169" s="748">
        <v>6</v>
      </c>
      <c r="B169" s="768" t="s">
        <v>216</v>
      </c>
      <c r="C169" s="286">
        <v>1</v>
      </c>
      <c r="D169" s="349"/>
      <c r="E169" s="288"/>
      <c r="F169" s="289"/>
      <c r="G169" s="313"/>
      <c r="H169" s="312"/>
      <c r="I169" s="313"/>
      <c r="J169" s="320"/>
      <c r="K169" s="321"/>
      <c r="L169" s="322"/>
      <c r="M169" s="330">
        <f t="shared" ref="M169" si="18">L169*J169</f>
        <v>0</v>
      </c>
      <c r="N169" s="295"/>
      <c r="O169" s="773"/>
      <c r="P169" s="774"/>
      <c r="R169" s="348"/>
      <c r="S169" s="438"/>
    </row>
    <row r="170" spans="1:20" s="296" customFormat="1" ht="20.100000000000001" customHeight="1">
      <c r="A170" s="749"/>
      <c r="B170" s="769"/>
      <c r="C170" s="286">
        <v>2</v>
      </c>
      <c r="D170" s="287"/>
      <c r="E170" s="288"/>
      <c r="F170" s="289"/>
      <c r="G170" s="290"/>
      <c r="H170" s="291"/>
      <c r="I170" s="292"/>
      <c r="J170" s="293"/>
      <c r="K170" s="294"/>
      <c r="L170" s="295"/>
      <c r="M170" s="339">
        <v>0</v>
      </c>
      <c r="N170" s="295"/>
      <c r="O170" s="306"/>
      <c r="P170" s="307"/>
      <c r="S170" s="2"/>
    </row>
    <row r="171" spans="1:20" s="296" customFormat="1" ht="20.100000000000001" customHeight="1">
      <c r="A171" s="749"/>
      <c r="B171" s="769"/>
      <c r="C171" s="286">
        <v>3</v>
      </c>
      <c r="D171" s="287"/>
      <c r="E171" s="288"/>
      <c r="F171" s="289"/>
      <c r="G171" s="290"/>
      <c r="H171" s="291"/>
      <c r="I171" s="292"/>
      <c r="J171" s="293"/>
      <c r="K171" s="294"/>
      <c r="L171" s="295"/>
      <c r="M171" s="339">
        <v>0</v>
      </c>
      <c r="N171" s="295"/>
      <c r="O171" s="306"/>
      <c r="P171" s="307"/>
      <c r="S171" s="2"/>
    </row>
    <row r="172" spans="1:20" s="296" customFormat="1" ht="20.100000000000001" customHeight="1">
      <c r="A172" s="749"/>
      <c r="B172" s="769"/>
      <c r="C172" s="286">
        <v>4</v>
      </c>
      <c r="D172" s="287"/>
      <c r="E172" s="288"/>
      <c r="F172" s="289"/>
      <c r="G172" s="290"/>
      <c r="H172" s="291"/>
      <c r="I172" s="292"/>
      <c r="J172" s="293"/>
      <c r="K172" s="294"/>
      <c r="L172" s="295"/>
      <c r="M172" s="339">
        <v>0</v>
      </c>
      <c r="N172" s="295"/>
      <c r="O172" s="306"/>
      <c r="P172" s="307"/>
      <c r="R172" s="2"/>
      <c r="S172" s="2"/>
    </row>
    <row r="173" spans="1:20" s="296" customFormat="1" ht="20.100000000000001" customHeight="1" thickBot="1">
      <c r="A173" s="749"/>
      <c r="B173" s="769"/>
      <c r="C173" s="286">
        <v>5</v>
      </c>
      <c r="D173" s="297"/>
      <c r="E173" s="298"/>
      <c r="F173" s="299"/>
      <c r="G173" s="290"/>
      <c r="H173" s="291"/>
      <c r="I173" s="292"/>
      <c r="J173" s="428"/>
      <c r="K173" s="422"/>
      <c r="L173" s="325"/>
      <c r="M173" s="330">
        <v>0</v>
      </c>
      <c r="N173" s="295"/>
      <c r="O173" s="308"/>
      <c r="P173" s="309"/>
      <c r="R173" s="2"/>
      <c r="S173" s="2"/>
    </row>
    <row r="174" spans="1:20" s="296" customFormat="1" ht="15.75" customHeight="1" thickTop="1" thickBot="1">
      <c r="A174" s="750"/>
      <c r="B174" s="770"/>
      <c r="C174" s="777"/>
      <c r="D174" s="778"/>
      <c r="E174" s="778"/>
      <c r="F174" s="778"/>
      <c r="G174" s="778"/>
      <c r="H174" s="778"/>
      <c r="I174" s="779"/>
      <c r="J174" s="360" t="s">
        <v>58</v>
      </c>
      <c r="K174" s="213">
        <f>M174/'生產管理報表 7-1 (週)'!$B$53</f>
        <v>0</v>
      </c>
      <c r="L174" s="361" t="s">
        <v>59</v>
      </c>
      <c r="M174" s="429">
        <f>SUM(M169:M173)</f>
        <v>0</v>
      </c>
      <c r="N174" s="765"/>
      <c r="O174" s="766"/>
      <c r="P174" s="767"/>
      <c r="R174" s="2"/>
      <c r="S174" s="2"/>
    </row>
    <row r="175" spans="1:20" s="296" customFormat="1" ht="15.75" customHeight="1" thickTop="1">
      <c r="B175" s="304"/>
      <c r="C175" s="305"/>
      <c r="M175" s="337"/>
      <c r="R175" s="2"/>
      <c r="S175" s="2"/>
    </row>
    <row r="176" spans="1:20" s="296" customFormat="1" ht="15.75" customHeight="1">
      <c r="A176" s="738" t="s">
        <v>191</v>
      </c>
      <c r="B176" s="739"/>
      <c r="C176" s="310" t="s">
        <v>47</v>
      </c>
      <c r="D176" s="782" t="s">
        <v>12</v>
      </c>
      <c r="E176" s="783"/>
      <c r="F176" s="784"/>
      <c r="G176" s="785" t="s">
        <v>53</v>
      </c>
      <c r="H176" s="786"/>
      <c r="I176" s="787"/>
      <c r="J176" s="311" t="s">
        <v>54</v>
      </c>
      <c r="K176" s="283" t="s">
        <v>55</v>
      </c>
      <c r="L176" s="283" t="s">
        <v>56</v>
      </c>
      <c r="M176" s="338" t="s">
        <v>11</v>
      </c>
      <c r="N176" s="284" t="s">
        <v>333</v>
      </c>
      <c r="O176" s="746" t="s">
        <v>51</v>
      </c>
      <c r="P176" s="747"/>
      <c r="R176" s="2"/>
      <c r="S176" s="2"/>
    </row>
    <row r="177" spans="1:20" s="296" customFormat="1" ht="20.100000000000001" customHeight="1">
      <c r="A177" s="748">
        <v>7</v>
      </c>
      <c r="B177" s="790" t="s">
        <v>249</v>
      </c>
      <c r="C177" s="286">
        <v>1</v>
      </c>
      <c r="D177" s="287"/>
      <c r="E177" s="288"/>
      <c r="F177" s="289"/>
      <c r="G177" s="290"/>
      <c r="H177" s="291"/>
      <c r="I177" s="292"/>
      <c r="J177" s="293"/>
      <c r="K177" s="294"/>
      <c r="L177" s="295"/>
      <c r="M177" s="339">
        <f t="shared" ref="M177:M179" si="19">L177*J177</f>
        <v>0</v>
      </c>
      <c r="N177" s="295"/>
      <c r="O177" s="793"/>
      <c r="P177" s="794"/>
      <c r="R177" s="2"/>
      <c r="S177" s="2"/>
    </row>
    <row r="178" spans="1:20" s="296" customFormat="1" ht="20.100000000000001" customHeight="1">
      <c r="A178" s="749"/>
      <c r="B178" s="791"/>
      <c r="C178" s="286">
        <v>2</v>
      </c>
      <c r="D178" s="287"/>
      <c r="E178" s="288"/>
      <c r="F178" s="289"/>
      <c r="G178" s="290"/>
      <c r="H178" s="291"/>
      <c r="I178" s="292"/>
      <c r="J178" s="293"/>
      <c r="K178" s="294"/>
      <c r="L178" s="295"/>
      <c r="M178" s="339">
        <f t="shared" si="19"/>
        <v>0</v>
      </c>
      <c r="N178" s="295"/>
      <c r="O178" s="795"/>
      <c r="P178" s="796"/>
      <c r="R178" s="2"/>
      <c r="S178" s="2"/>
    </row>
    <row r="179" spans="1:20" s="296" customFormat="1" ht="20.100000000000001" customHeight="1">
      <c r="A179" s="749"/>
      <c r="B179" s="791"/>
      <c r="C179" s="286">
        <v>3</v>
      </c>
      <c r="D179" s="287"/>
      <c r="E179" s="288"/>
      <c r="F179" s="289"/>
      <c r="G179" s="290"/>
      <c r="H179" s="291"/>
      <c r="I179" s="292"/>
      <c r="J179" s="293"/>
      <c r="K179" s="294"/>
      <c r="L179" s="295"/>
      <c r="M179" s="339">
        <f t="shared" si="19"/>
        <v>0</v>
      </c>
      <c r="N179" s="295"/>
      <c r="O179" s="795"/>
      <c r="P179" s="796"/>
      <c r="R179" s="2"/>
      <c r="S179" s="2"/>
    </row>
    <row r="180" spans="1:20" s="296" customFormat="1" ht="20.100000000000001" customHeight="1">
      <c r="A180" s="749"/>
      <c r="B180" s="791"/>
      <c r="C180" s="286">
        <v>4</v>
      </c>
      <c r="D180" s="287"/>
      <c r="E180" s="288"/>
      <c r="F180" s="289"/>
      <c r="G180" s="290"/>
      <c r="H180" s="291"/>
      <c r="I180" s="292"/>
      <c r="J180" s="293"/>
      <c r="K180" s="294"/>
      <c r="L180" s="295"/>
      <c r="M180" s="340">
        <v>0</v>
      </c>
      <c r="N180" s="295"/>
      <c r="O180" s="306"/>
      <c r="P180" s="307"/>
      <c r="R180" s="2"/>
      <c r="S180" s="2"/>
    </row>
    <row r="181" spans="1:20" s="296" customFormat="1" ht="20.100000000000001" customHeight="1" thickBot="1">
      <c r="A181" s="749"/>
      <c r="B181" s="791"/>
      <c r="C181" s="286">
        <v>5</v>
      </c>
      <c r="D181" s="297"/>
      <c r="E181" s="298"/>
      <c r="F181" s="299"/>
      <c r="G181" s="290"/>
      <c r="H181" s="291"/>
      <c r="I181" s="292"/>
      <c r="J181" s="428"/>
      <c r="K181" s="422"/>
      <c r="L181" s="325"/>
      <c r="M181" s="341">
        <v>0</v>
      </c>
      <c r="N181" s="295"/>
      <c r="O181" s="308"/>
      <c r="P181" s="309"/>
      <c r="R181" s="2"/>
      <c r="S181" s="2"/>
    </row>
    <row r="182" spans="1:20" s="296" customFormat="1" ht="15.75" customHeight="1" thickTop="1" thickBot="1">
      <c r="A182" s="750"/>
      <c r="B182" s="792"/>
      <c r="C182" s="777"/>
      <c r="D182" s="778"/>
      <c r="E182" s="778"/>
      <c r="F182" s="778"/>
      <c r="G182" s="778"/>
      <c r="H182" s="778"/>
      <c r="I182" s="779"/>
      <c r="J182" s="360" t="s">
        <v>58</v>
      </c>
      <c r="K182" s="213">
        <f>M182/'生產管理報表 7-1 (週)'!$B$53</f>
        <v>0</v>
      </c>
      <c r="L182" s="361" t="s">
        <v>59</v>
      </c>
      <c r="M182" s="429">
        <f>SUM(M177:M181)</f>
        <v>0</v>
      </c>
      <c r="N182" s="765"/>
      <c r="O182" s="766"/>
      <c r="P182" s="767"/>
      <c r="R182" s="2"/>
      <c r="S182" s="2"/>
      <c r="T182" s="2"/>
    </row>
    <row r="183" spans="1:20" ht="15.75" customHeight="1" thickTop="1"/>
  </sheetData>
  <mergeCells count="311"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N77:O77"/>
    <mergeCell ref="B78:C78"/>
    <mergeCell ref="D78:E78"/>
    <mergeCell ref="F78:G78"/>
    <mergeCell ref="H78:I78"/>
    <mergeCell ref="J78:K78"/>
    <mergeCell ref="L78:M78"/>
    <mergeCell ref="N78:O78"/>
    <mergeCell ref="A75:M76"/>
    <mergeCell ref="A77:A78"/>
    <mergeCell ref="B77:C77"/>
    <mergeCell ref="D77:E77"/>
    <mergeCell ref="F77:G77"/>
    <mergeCell ref="H77:I77"/>
    <mergeCell ref="J77:K77"/>
    <mergeCell ref="L77:M77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</mergeCells>
  <phoneticPr fontId="12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3" manualBreakCount="3">
    <brk id="38" max="15" man="1"/>
    <brk id="74" max="15" man="1"/>
    <brk id="110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P32" sqref="P32"/>
    </sheetView>
  </sheetViews>
  <sheetFormatPr defaultColWidth="12.5703125" defaultRowHeight="15.75" customHeight="1"/>
  <cols>
    <col min="1" max="1" width="5.42578125" style="136" customWidth="1"/>
    <col min="2" max="2" width="11.42578125" style="239" customWidth="1"/>
    <col min="3" max="3" width="4" style="240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38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698" t="s">
        <v>372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</row>
    <row r="2" spans="1:75" s="137" customFormat="1" ht="15.75" customHeight="1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  <c r="Q2" s="698"/>
    </row>
    <row r="3" spans="1:75" ht="15.75" customHeight="1">
      <c r="A3" s="699" t="s">
        <v>460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</row>
    <row r="4" spans="1:75" s="137" customFormat="1" ht="15.75" customHeight="1">
      <c r="A4" s="699"/>
      <c r="B4" s="699"/>
      <c r="C4" s="699"/>
      <c r="D4" s="699"/>
      <c r="E4" s="699"/>
      <c r="F4" s="699"/>
      <c r="G4" s="699"/>
      <c r="H4" s="699"/>
      <c r="I4" s="699"/>
      <c r="J4" s="699"/>
      <c r="K4" s="699"/>
      <c r="L4" s="699"/>
      <c r="M4" s="699"/>
    </row>
    <row r="5" spans="1:75" ht="15.75" customHeight="1">
      <c r="A5" s="701" t="s">
        <v>191</v>
      </c>
      <c r="B5" s="711">
        <v>1</v>
      </c>
      <c r="C5" s="711"/>
      <c r="D5" s="711">
        <v>2</v>
      </c>
      <c r="E5" s="711"/>
      <c r="F5" s="711">
        <v>3</v>
      </c>
      <c r="G5" s="711"/>
      <c r="H5" s="704">
        <v>4</v>
      </c>
      <c r="I5" s="704"/>
      <c r="J5" s="704">
        <v>5</v>
      </c>
      <c r="K5" s="704"/>
      <c r="L5" s="704">
        <v>6</v>
      </c>
      <c r="M5" s="704"/>
      <c r="N5" s="704">
        <v>7</v>
      </c>
      <c r="O5" s="704"/>
      <c r="P5" s="704">
        <v>8</v>
      </c>
      <c r="Q5" s="704"/>
    </row>
    <row r="6" spans="1:75" ht="15.75" customHeight="1">
      <c r="A6" s="701"/>
      <c r="B6" s="712" t="s">
        <v>487</v>
      </c>
      <c r="C6" s="712"/>
      <c r="D6" s="712" t="s">
        <v>212</v>
      </c>
      <c r="E6" s="712"/>
      <c r="F6" s="712" t="s">
        <v>166</v>
      </c>
      <c r="G6" s="712"/>
      <c r="H6" s="701" t="s">
        <v>457</v>
      </c>
      <c r="I6" s="701"/>
      <c r="J6" s="701" t="s">
        <v>189</v>
      </c>
      <c r="K6" s="701"/>
      <c r="L6" s="701" t="s">
        <v>167</v>
      </c>
      <c r="M6" s="701"/>
      <c r="N6" s="701" t="s">
        <v>190</v>
      </c>
      <c r="O6" s="701"/>
      <c r="P6" s="797" t="s">
        <v>217</v>
      </c>
      <c r="Q6" s="797"/>
    </row>
    <row r="8" spans="1:75" s="242" customFormat="1" ht="15.75" customHeight="1">
      <c r="A8" s="736" t="s">
        <v>191</v>
      </c>
      <c r="B8" s="737"/>
      <c r="C8" s="241" t="s">
        <v>47</v>
      </c>
      <c r="D8" s="851" t="s">
        <v>12</v>
      </c>
      <c r="E8" s="725"/>
      <c r="F8" s="839"/>
      <c r="G8" s="852" t="s">
        <v>53</v>
      </c>
      <c r="H8" s="853"/>
      <c r="I8" s="854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855" t="s">
        <v>51</v>
      </c>
      <c r="P8" s="856"/>
    </row>
    <row r="9" spans="1:75" ht="20.100000000000001" customHeight="1">
      <c r="A9" s="840">
        <v>1</v>
      </c>
      <c r="B9" s="843" t="s">
        <v>488</v>
      </c>
      <c r="C9" s="243">
        <v>1</v>
      </c>
      <c r="D9" s="244"/>
      <c r="E9" s="245"/>
      <c r="F9" s="245"/>
      <c r="G9" s="244"/>
      <c r="H9" s="245"/>
      <c r="I9" s="246"/>
      <c r="J9" s="243"/>
      <c r="K9" s="249"/>
      <c r="L9" s="243"/>
      <c r="M9" s="330">
        <f>L9*J9</f>
        <v>0</v>
      </c>
      <c r="N9" s="250"/>
      <c r="O9" s="754"/>
      <c r="P9" s="755"/>
      <c r="S9" s="352"/>
      <c r="T9" s="351"/>
    </row>
    <row r="10" spans="1:75" ht="20.100000000000001" customHeight="1">
      <c r="A10" s="841"/>
      <c r="B10" s="844"/>
      <c r="C10" s="243">
        <v>2</v>
      </c>
      <c r="D10" s="244"/>
      <c r="E10" s="245"/>
      <c r="F10" s="246"/>
      <c r="G10" s="244"/>
      <c r="H10" s="245"/>
      <c r="I10" s="246"/>
      <c r="J10" s="243"/>
      <c r="K10" s="249"/>
      <c r="L10" s="243"/>
      <c r="M10" s="330">
        <f t="shared" ref="M10:M13" si="0">L10*J10</f>
        <v>0</v>
      </c>
      <c r="N10" s="250"/>
      <c r="O10" s="858"/>
      <c r="P10" s="811"/>
      <c r="S10" s="351"/>
      <c r="T10" s="351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ht="20.100000000000001" customHeight="1">
      <c r="A11" s="841"/>
      <c r="B11" s="844"/>
      <c r="C11" s="243">
        <v>3</v>
      </c>
      <c r="D11" s="244"/>
      <c r="E11" s="245"/>
      <c r="F11" s="246"/>
      <c r="G11" s="244"/>
      <c r="H11" s="245"/>
      <c r="I11" s="246"/>
      <c r="J11" s="243"/>
      <c r="K11" s="249"/>
      <c r="L11" s="243"/>
      <c r="M11" s="330">
        <f t="shared" si="0"/>
        <v>0</v>
      </c>
      <c r="N11" s="250"/>
      <c r="O11" s="858"/>
      <c r="P11" s="811"/>
      <c r="S11" s="352"/>
      <c r="T11" s="351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ht="20.100000000000001" customHeight="1">
      <c r="A12" s="841"/>
      <c r="B12" s="844"/>
      <c r="C12" s="243">
        <v>4</v>
      </c>
      <c r="D12" s="244"/>
      <c r="E12" s="245"/>
      <c r="F12" s="246"/>
      <c r="G12" s="244"/>
      <c r="H12" s="245"/>
      <c r="I12" s="246"/>
      <c r="J12" s="243"/>
      <c r="K12" s="249"/>
      <c r="L12" s="243"/>
      <c r="M12" s="330">
        <f t="shared" si="0"/>
        <v>0</v>
      </c>
      <c r="N12" s="250"/>
      <c r="O12" s="858"/>
      <c r="P12" s="811"/>
      <c r="S12" s="351"/>
      <c r="T12" s="351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ht="20.100000000000001" customHeight="1" thickBot="1">
      <c r="A13" s="841"/>
      <c r="B13" s="844"/>
      <c r="C13" s="243">
        <v>5</v>
      </c>
      <c r="D13" s="251"/>
      <c r="E13" s="252"/>
      <c r="F13" s="253"/>
      <c r="G13" s="244"/>
      <c r="H13" s="245"/>
      <c r="I13" s="275"/>
      <c r="J13" s="254"/>
      <c r="K13" s="255"/>
      <c r="L13" s="254"/>
      <c r="M13" s="331">
        <f t="shared" si="0"/>
        <v>0</v>
      </c>
      <c r="N13" s="250"/>
      <c r="O13" s="858"/>
      <c r="P13" s="811"/>
      <c r="S13" s="352"/>
      <c r="T13" s="351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ht="15.75" customHeight="1" thickTop="1" thickBot="1">
      <c r="A14" s="842"/>
      <c r="B14" s="845"/>
      <c r="C14" s="714"/>
      <c r="D14" s="715"/>
      <c r="E14" s="715"/>
      <c r="F14" s="715"/>
      <c r="G14" s="715"/>
      <c r="H14" s="715"/>
      <c r="I14" s="848"/>
      <c r="J14" s="357" t="s">
        <v>58</v>
      </c>
      <c r="K14" s="358">
        <f>M14/'生產管理報表 7-1 (週)'!$B$21</f>
        <v>0</v>
      </c>
      <c r="L14" s="357" t="s">
        <v>59</v>
      </c>
      <c r="M14" s="332">
        <f>SUM(M9:M13)</f>
        <v>0</v>
      </c>
      <c r="N14" s="800"/>
      <c r="O14" s="801"/>
      <c r="P14" s="802"/>
      <c r="S14" s="351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ht="15.75" customHeight="1" thickTop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S15" s="352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ht="15.75" customHeight="1">
      <c r="A16" s="736" t="s">
        <v>191</v>
      </c>
      <c r="B16" s="737"/>
      <c r="C16" s="259" t="s">
        <v>47</v>
      </c>
      <c r="D16" s="724" t="s">
        <v>12</v>
      </c>
      <c r="E16" s="725"/>
      <c r="F16" s="726"/>
      <c r="G16" s="724" t="s">
        <v>53</v>
      </c>
      <c r="H16" s="725"/>
      <c r="I16" s="726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333</v>
      </c>
      <c r="O16" s="803" t="s">
        <v>51</v>
      </c>
      <c r="P16" s="804"/>
      <c r="S16" s="351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ht="20.100000000000001" customHeight="1">
      <c r="A17" s="840">
        <v>2</v>
      </c>
      <c r="B17" s="843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05"/>
      <c r="P17" s="806"/>
      <c r="S17" s="352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ht="20.100000000000001" customHeight="1">
      <c r="A18" s="841"/>
      <c r="B18" s="844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05"/>
      <c r="P18" s="806"/>
      <c r="S18" s="351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ht="20.100000000000001" customHeight="1">
      <c r="A19" s="841"/>
      <c r="B19" s="844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67"/>
      <c r="O19" s="805"/>
      <c r="P19" s="806"/>
      <c r="S19" s="352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ht="20.100000000000001" customHeight="1">
      <c r="A20" s="841"/>
      <c r="B20" s="844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05"/>
      <c r="P20" s="806"/>
      <c r="S20" s="351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ht="20.100000000000001" customHeight="1" thickBot="1">
      <c r="A21" s="841"/>
      <c r="B21" s="844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73"/>
      <c r="O21" s="805"/>
      <c r="P21" s="806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ht="15.75" customHeight="1" thickTop="1" thickBot="1">
      <c r="A22" s="842"/>
      <c r="B22" s="845"/>
      <c r="C22" s="714"/>
      <c r="D22" s="715"/>
      <c r="E22" s="715"/>
      <c r="F22" s="715"/>
      <c r="G22" s="715"/>
      <c r="H22" s="715"/>
      <c r="I22" s="848"/>
      <c r="J22" s="357" t="s">
        <v>58</v>
      </c>
      <c r="K22" s="358">
        <f>M22/'生產管理報表 7-1 (週)'!$B$21</f>
        <v>0</v>
      </c>
      <c r="L22" s="357" t="s">
        <v>59</v>
      </c>
      <c r="M22" s="257">
        <f>SUM(M17:M21)</f>
        <v>0</v>
      </c>
      <c r="N22" s="807"/>
      <c r="O22" s="808"/>
      <c r="P22" s="809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ht="15.75" customHeight="1" thickTop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ht="15.75" customHeight="1">
      <c r="A24" s="736" t="s">
        <v>191</v>
      </c>
      <c r="B24" s="737"/>
      <c r="C24" s="259" t="s">
        <v>47</v>
      </c>
      <c r="D24" s="724" t="s">
        <v>12</v>
      </c>
      <c r="E24" s="725"/>
      <c r="F24" s="726"/>
      <c r="G24" s="724" t="s">
        <v>53</v>
      </c>
      <c r="H24" s="725"/>
      <c r="I24" s="839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333</v>
      </c>
      <c r="O24" s="815" t="s">
        <v>51</v>
      </c>
      <c r="P24" s="816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ht="20.100000000000001" customHeight="1">
      <c r="A25" s="840">
        <v>3</v>
      </c>
      <c r="B25" s="843" t="s">
        <v>447</v>
      </c>
      <c r="C25" s="263">
        <v>1</v>
      </c>
      <c r="D25" s="244"/>
      <c r="E25" s="245"/>
      <c r="F25" s="246"/>
      <c r="G25" s="244"/>
      <c r="H25" s="245"/>
      <c r="I25" s="246"/>
      <c r="J25" s="264"/>
      <c r="K25" s="265"/>
      <c r="L25" s="264"/>
      <c r="M25" s="333">
        <f t="shared" ref="M25:M29" si="2">L25*J25</f>
        <v>0</v>
      </c>
      <c r="N25" s="277"/>
      <c r="O25" s="810"/>
      <c r="P25" s="811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ht="20.100000000000001" customHeight="1">
      <c r="A26" s="841"/>
      <c r="B26" s="844"/>
      <c r="C26" s="263">
        <v>2</v>
      </c>
      <c r="D26" s="244"/>
      <c r="E26" s="245"/>
      <c r="F26" s="246"/>
      <c r="G26" s="244"/>
      <c r="H26" s="245"/>
      <c r="I26" s="246"/>
      <c r="J26" s="264"/>
      <c r="K26" s="265"/>
      <c r="L26" s="264"/>
      <c r="M26" s="333">
        <f t="shared" si="2"/>
        <v>0</v>
      </c>
      <c r="N26" s="277"/>
      <c r="O26" s="810"/>
      <c r="P26" s="811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ht="20.100000000000001" customHeight="1">
      <c r="A27" s="841"/>
      <c r="B27" s="844"/>
      <c r="C27" s="263">
        <v>3</v>
      </c>
      <c r="D27" s="244"/>
      <c r="E27" s="245"/>
      <c r="F27" s="246"/>
      <c r="G27" s="244"/>
      <c r="H27" s="245"/>
      <c r="I27" s="246"/>
      <c r="J27" s="264"/>
      <c r="K27" s="265"/>
      <c r="L27" s="264"/>
      <c r="M27" s="333">
        <f t="shared" si="2"/>
        <v>0</v>
      </c>
      <c r="N27" s="277"/>
      <c r="O27" s="810"/>
      <c r="P27" s="811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ht="20.100000000000001" customHeight="1">
      <c r="A28" s="841"/>
      <c r="B28" s="844"/>
      <c r="C28" s="263">
        <v>4</v>
      </c>
      <c r="D28" s="244"/>
      <c r="E28" s="245"/>
      <c r="F28" s="246"/>
      <c r="G28" s="244"/>
      <c r="H28" s="245"/>
      <c r="I28" s="275"/>
      <c r="J28" s="276"/>
      <c r="K28" s="265"/>
      <c r="L28" s="264"/>
      <c r="M28" s="333">
        <f t="shared" si="2"/>
        <v>0</v>
      </c>
      <c r="N28" s="277"/>
      <c r="O28" s="810"/>
      <c r="P28" s="811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ht="20.100000000000001" customHeight="1" thickBot="1">
      <c r="A29" s="841"/>
      <c r="B29" s="844"/>
      <c r="C29" s="269">
        <v>5</v>
      </c>
      <c r="D29" s="251"/>
      <c r="E29" s="252"/>
      <c r="F29" s="253"/>
      <c r="G29" s="251"/>
      <c r="H29" s="252"/>
      <c r="I29" s="278"/>
      <c r="J29" s="279"/>
      <c r="K29" s="271"/>
      <c r="L29" s="280"/>
      <c r="M29" s="333">
        <f t="shared" si="2"/>
        <v>0</v>
      </c>
      <c r="N29" s="277"/>
      <c r="O29" s="810"/>
      <c r="P29" s="811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ht="15.75" customHeight="1" thickTop="1" thickBot="1">
      <c r="A30" s="842"/>
      <c r="B30" s="845"/>
      <c r="C30" s="714"/>
      <c r="D30" s="715"/>
      <c r="E30" s="715"/>
      <c r="F30" s="715"/>
      <c r="G30" s="715"/>
      <c r="H30" s="715"/>
      <c r="I30" s="848"/>
      <c r="J30" s="359" t="s">
        <v>58</v>
      </c>
      <c r="K30" s="358">
        <f>M30/'生產管理報表 7-1 (週)'!$B$21</f>
        <v>0</v>
      </c>
      <c r="L30" s="359" t="s">
        <v>59</v>
      </c>
      <c r="M30" s="334">
        <f>SUM(M25:M29)</f>
        <v>0</v>
      </c>
      <c r="N30" s="812"/>
      <c r="O30" s="813"/>
      <c r="P30" s="814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 codeName="工作表31">
    <tabColor rgb="FF92D050"/>
    <outlinePr summaryBelow="0" summaryRight="0"/>
  </sheetPr>
  <dimension ref="A1:T143"/>
  <sheetViews>
    <sheetView view="pageBreakPreview" topLeftCell="A89" zoomScale="91" zoomScaleNormal="60" zoomScaleSheetLayoutView="91" workbookViewId="0">
      <selection activeCell="N98" sqref="N98:P98"/>
    </sheetView>
  </sheetViews>
  <sheetFormatPr defaultColWidth="12.5703125" defaultRowHeight="15.75" customHeight="1"/>
  <cols>
    <col min="1" max="1" width="5.42578125" style="296" customWidth="1"/>
    <col min="2" max="2" width="11.42578125" style="304" customWidth="1"/>
    <col min="3" max="3" width="4" style="305" customWidth="1"/>
    <col min="4" max="4" width="9.5703125" style="296" customWidth="1"/>
    <col min="5" max="5" width="10.28515625" style="296" customWidth="1"/>
    <col min="6" max="15" width="9.5703125" style="296" customWidth="1"/>
    <col min="16" max="16" width="35.42578125" style="296" customWidth="1"/>
    <col min="17" max="17" width="12.5703125" style="296"/>
    <col min="18" max="18" width="27.42578125" style="296" bestFit="1" customWidth="1"/>
    <col min="19" max="16384" width="12.5703125" style="296"/>
  </cols>
  <sheetData>
    <row r="1" spans="1:20" s="136" customFormat="1" ht="15.75" customHeight="1">
      <c r="A1" s="698" t="s">
        <v>372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</row>
    <row r="2" spans="1:20" s="137" customFormat="1" ht="15.75" customHeight="1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</row>
    <row r="3" spans="1:20" s="136" customFormat="1" ht="15.75" customHeight="1">
      <c r="A3" s="699" t="s">
        <v>647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</row>
    <row r="4" spans="1:20" s="137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20" s="136" customFormat="1" ht="15.75" customHeight="1">
      <c r="A5" s="734" t="s">
        <v>191</v>
      </c>
      <c r="B5" s="736">
        <v>1</v>
      </c>
      <c r="C5" s="737"/>
      <c r="D5" s="736">
        <v>2</v>
      </c>
      <c r="E5" s="737"/>
      <c r="F5" s="736">
        <v>3</v>
      </c>
      <c r="G5" s="737"/>
      <c r="H5" s="727">
        <v>4</v>
      </c>
      <c r="I5" s="728"/>
      <c r="J5" s="727">
        <v>5</v>
      </c>
      <c r="K5" s="728"/>
      <c r="L5" s="727">
        <v>6</v>
      </c>
      <c r="M5" s="728"/>
      <c r="N5" s="727">
        <v>7</v>
      </c>
      <c r="O5" s="728"/>
      <c r="P5" s="335">
        <v>8</v>
      </c>
    </row>
    <row r="6" spans="1:20" s="136" customFormat="1" ht="15.75" customHeight="1">
      <c r="A6" s="735"/>
      <c r="B6" s="731" t="s">
        <v>487</v>
      </c>
      <c r="C6" s="732"/>
      <c r="D6" s="731" t="s">
        <v>212</v>
      </c>
      <c r="E6" s="732"/>
      <c r="F6" s="731" t="s">
        <v>166</v>
      </c>
      <c r="G6" s="732"/>
      <c r="H6" s="729" t="s">
        <v>457</v>
      </c>
      <c r="I6" s="730"/>
      <c r="J6" s="729" t="s">
        <v>189</v>
      </c>
      <c r="K6" s="730"/>
      <c r="L6" s="729" t="s">
        <v>167</v>
      </c>
      <c r="M6" s="730"/>
      <c r="N6" s="729" t="s">
        <v>190</v>
      </c>
      <c r="O6" s="730"/>
      <c r="P6" s="336" t="s">
        <v>217</v>
      </c>
    </row>
    <row r="7" spans="1:20" s="136" customFormat="1" ht="15.75" customHeight="1">
      <c r="B7" s="239"/>
      <c r="C7" s="240"/>
    </row>
    <row r="8" spans="1:20" s="285" customFormat="1" ht="15.75" customHeight="1">
      <c r="A8" s="738" t="s">
        <v>191</v>
      </c>
      <c r="B8" s="739"/>
      <c r="C8" s="282" t="s">
        <v>47</v>
      </c>
      <c r="D8" s="740" t="s">
        <v>12</v>
      </c>
      <c r="E8" s="741"/>
      <c r="F8" s="742"/>
      <c r="G8" s="743" t="s">
        <v>53</v>
      </c>
      <c r="H8" s="744"/>
      <c r="I8" s="745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46" t="s">
        <v>51</v>
      </c>
      <c r="P8" s="747"/>
      <c r="R8" s="351"/>
      <c r="S8" s="352"/>
    </row>
    <row r="9" spans="1:20" s="305" customFormat="1" ht="60" customHeight="1">
      <c r="A9" s="748">
        <v>4</v>
      </c>
      <c r="B9" s="751" t="s">
        <v>457</v>
      </c>
      <c r="C9" s="286">
        <v>1</v>
      </c>
      <c r="D9" s="244" t="s">
        <v>519</v>
      </c>
      <c r="E9" s="245"/>
      <c r="F9" s="246"/>
      <c r="G9" s="313" t="s">
        <v>518</v>
      </c>
      <c r="H9" s="312"/>
      <c r="I9" s="313"/>
      <c r="J9" s="320">
        <v>191.21</v>
      </c>
      <c r="K9" s="321">
        <v>1.1825767032389461E-3</v>
      </c>
      <c r="L9" s="322">
        <v>24.329999999999917</v>
      </c>
      <c r="M9" s="330">
        <f t="shared" ref="M9:M13" si="0">L9*J9</f>
        <v>4652.1392999999844</v>
      </c>
      <c r="N9" s="322"/>
      <c r="O9" s="756" t="s">
        <v>537</v>
      </c>
      <c r="P9" s="757"/>
      <c r="R9" s="433"/>
      <c r="S9" s="352"/>
    </row>
    <row r="10" spans="1:20" s="305" customFormat="1" ht="60" customHeight="1">
      <c r="A10" s="749"/>
      <c r="B10" s="752"/>
      <c r="C10" s="286">
        <v>2</v>
      </c>
      <c r="D10" s="244" t="s">
        <v>533</v>
      </c>
      <c r="E10" s="245"/>
      <c r="F10" s="246"/>
      <c r="G10" s="313" t="s">
        <v>543</v>
      </c>
      <c r="H10" s="312"/>
      <c r="I10" s="313"/>
      <c r="J10" s="320">
        <v>118.30999999999997</v>
      </c>
      <c r="K10" s="321">
        <v>6.3662933703735852E-4</v>
      </c>
      <c r="L10" s="322">
        <v>37.50999999999987</v>
      </c>
      <c r="M10" s="330">
        <f t="shared" si="0"/>
        <v>4437.8080999999838</v>
      </c>
      <c r="N10" s="322"/>
      <c r="O10" s="756" t="s">
        <v>549</v>
      </c>
      <c r="P10" s="757"/>
      <c r="R10" s="433"/>
      <c r="S10" s="434"/>
      <c r="T10" s="347"/>
    </row>
    <row r="11" spans="1:20" s="305" customFormat="1" ht="60" customHeight="1">
      <c r="A11" s="749"/>
      <c r="B11" s="752"/>
      <c r="C11" s="286">
        <v>3</v>
      </c>
      <c r="D11" s="244" t="s">
        <v>503</v>
      </c>
      <c r="E11" s="245"/>
      <c r="F11" s="246"/>
      <c r="G11" s="313" t="s">
        <v>514</v>
      </c>
      <c r="H11" s="312"/>
      <c r="I11" s="313"/>
      <c r="J11" s="320">
        <v>629</v>
      </c>
      <c r="K11" s="321">
        <v>4.5141646809637274E-3</v>
      </c>
      <c r="L11" s="322">
        <v>6.8679999999999826</v>
      </c>
      <c r="M11" s="330">
        <f t="shared" si="0"/>
        <v>4319.9719999999888</v>
      </c>
      <c r="N11" s="322"/>
      <c r="O11" s="758" t="s">
        <v>537</v>
      </c>
      <c r="P11" s="759"/>
      <c r="R11" s="433"/>
      <c r="S11" s="435"/>
    </row>
    <row r="12" spans="1:20" s="305" customFormat="1" ht="60" customHeight="1">
      <c r="A12" s="749"/>
      <c r="B12" s="752"/>
      <c r="C12" s="286">
        <v>4</v>
      </c>
      <c r="D12" s="244" t="s">
        <v>356</v>
      </c>
      <c r="E12" s="245"/>
      <c r="F12" s="246"/>
      <c r="G12" s="367" t="s">
        <v>455</v>
      </c>
      <c r="H12" s="312"/>
      <c r="I12" s="313"/>
      <c r="J12" s="320">
        <v>99.51</v>
      </c>
      <c r="K12" s="321">
        <v>3.5828156329093114E-3</v>
      </c>
      <c r="L12" s="322">
        <v>40.589999999999819</v>
      </c>
      <c r="M12" s="330">
        <f t="shared" si="0"/>
        <v>4039.1108999999819</v>
      </c>
      <c r="N12" s="322"/>
      <c r="O12" s="758" t="s">
        <v>583</v>
      </c>
      <c r="P12" s="759"/>
      <c r="R12" s="433"/>
      <c r="S12" s="434"/>
      <c r="T12" s="347"/>
    </row>
    <row r="13" spans="1:20" s="305" customFormat="1" ht="60" customHeight="1" thickBot="1">
      <c r="A13" s="749"/>
      <c r="B13" s="752"/>
      <c r="C13" s="286">
        <v>5</v>
      </c>
      <c r="D13" s="244" t="s">
        <v>534</v>
      </c>
      <c r="E13" s="252"/>
      <c r="F13" s="253"/>
      <c r="G13" s="313" t="s">
        <v>542</v>
      </c>
      <c r="H13" s="312"/>
      <c r="I13" s="313"/>
      <c r="J13" s="324">
        <v>84.3</v>
      </c>
      <c r="K13" s="255">
        <v>0</v>
      </c>
      <c r="L13" s="325">
        <v>46.509999999999991</v>
      </c>
      <c r="M13" s="330">
        <f t="shared" si="0"/>
        <v>3920.7929999999992</v>
      </c>
      <c r="N13" s="322"/>
      <c r="O13" s="758" t="s">
        <v>650</v>
      </c>
      <c r="P13" s="759"/>
      <c r="R13" s="436"/>
      <c r="S13" s="435"/>
      <c r="T13" s="296"/>
    </row>
    <row r="14" spans="1:20" ht="15.75" customHeight="1" thickTop="1" thickBot="1">
      <c r="A14" s="750"/>
      <c r="B14" s="753"/>
      <c r="C14" s="762"/>
      <c r="D14" s="763"/>
      <c r="E14" s="763"/>
      <c r="F14" s="763"/>
      <c r="G14" s="763"/>
      <c r="H14" s="763"/>
      <c r="I14" s="764"/>
      <c r="J14" s="360" t="s">
        <v>58</v>
      </c>
      <c r="K14" s="358">
        <f>M14/'生產管理報表 7-1 (週)'!$B$10</f>
        <v>0.15968954293756313</v>
      </c>
      <c r="L14" s="361" t="s">
        <v>59</v>
      </c>
      <c r="M14" s="362">
        <f>SUM(M9:M13)</f>
        <v>21369.823299999938</v>
      </c>
      <c r="N14" s="765"/>
      <c r="O14" s="766"/>
      <c r="P14" s="767"/>
      <c r="R14" s="351"/>
      <c r="S14" s="351"/>
    </row>
    <row r="15" spans="1:20" ht="15.75" customHeight="1" thickTop="1">
      <c r="M15" s="337"/>
      <c r="S15" s="352"/>
    </row>
    <row r="16" spans="1:20" ht="15.75" customHeight="1">
      <c r="A16" s="738" t="s">
        <v>191</v>
      </c>
      <c r="B16" s="739"/>
      <c r="C16" s="282" t="s">
        <v>47</v>
      </c>
      <c r="D16" s="740" t="s">
        <v>12</v>
      </c>
      <c r="E16" s="741"/>
      <c r="F16" s="742"/>
      <c r="G16" s="743" t="s">
        <v>53</v>
      </c>
      <c r="H16" s="744"/>
      <c r="I16" s="745"/>
      <c r="J16" s="414" t="s">
        <v>54</v>
      </c>
      <c r="K16" s="283" t="s">
        <v>55</v>
      </c>
      <c r="L16" s="283" t="s">
        <v>56</v>
      </c>
      <c r="M16" s="338" t="s">
        <v>11</v>
      </c>
      <c r="N16" s="284" t="s">
        <v>333</v>
      </c>
      <c r="O16" s="746" t="s">
        <v>51</v>
      </c>
      <c r="P16" s="747"/>
      <c r="S16" s="351"/>
      <c r="T16" s="347"/>
    </row>
    <row r="17" spans="1:20" s="305" customFormat="1" ht="60" customHeight="1">
      <c r="A17" s="748">
        <v>5</v>
      </c>
      <c r="B17" s="768" t="s">
        <v>215</v>
      </c>
      <c r="C17" s="286">
        <v>1</v>
      </c>
      <c r="D17" s="244" t="s">
        <v>342</v>
      </c>
      <c r="E17" s="245"/>
      <c r="F17" s="246"/>
      <c r="G17" s="313" t="s">
        <v>337</v>
      </c>
      <c r="H17" s="312"/>
      <c r="I17" s="313"/>
      <c r="J17" s="320">
        <v>147.43000000000004</v>
      </c>
      <c r="K17" s="321">
        <v>0</v>
      </c>
      <c r="L17" s="322">
        <v>126.11000000000058</v>
      </c>
      <c r="M17" s="330">
        <f>L17*J17</f>
        <v>18592.397300000091</v>
      </c>
      <c r="N17" s="322"/>
      <c r="O17" s="823" t="s">
        <v>591</v>
      </c>
      <c r="P17" s="824"/>
      <c r="S17" s="435"/>
      <c r="T17" s="347"/>
    </row>
    <row r="18" spans="1:20" s="305" customFormat="1" ht="24.95" customHeight="1">
      <c r="A18" s="749"/>
      <c r="B18" s="769"/>
      <c r="C18" s="286">
        <v>2</v>
      </c>
      <c r="D18" s="244"/>
      <c r="E18" s="245"/>
      <c r="F18" s="246"/>
      <c r="G18" s="367"/>
      <c r="H18" s="312"/>
      <c r="I18" s="313"/>
      <c r="J18" s="320"/>
      <c r="K18" s="321"/>
      <c r="L18" s="322"/>
      <c r="M18" s="330">
        <f t="shared" ref="M18:M21" si="1">L18*J18</f>
        <v>0</v>
      </c>
      <c r="N18" s="322"/>
      <c r="O18" s="773"/>
      <c r="P18" s="774"/>
      <c r="S18" s="351"/>
      <c r="T18" s="348"/>
    </row>
    <row r="19" spans="1:20" ht="24.95" customHeight="1">
      <c r="A19" s="749"/>
      <c r="B19" s="769"/>
      <c r="C19" s="286">
        <v>3</v>
      </c>
      <c r="D19" s="244"/>
      <c r="E19" s="245"/>
      <c r="F19" s="246"/>
      <c r="G19" s="367"/>
      <c r="H19" s="312"/>
      <c r="I19" s="313"/>
      <c r="J19" s="320"/>
      <c r="K19" s="321"/>
      <c r="L19" s="322"/>
      <c r="M19" s="330">
        <f t="shared" si="1"/>
        <v>0</v>
      </c>
      <c r="N19" s="295"/>
      <c r="O19" s="795"/>
      <c r="P19" s="796"/>
    </row>
    <row r="20" spans="1:20" ht="24.95" customHeight="1">
      <c r="A20" s="749"/>
      <c r="B20" s="769"/>
      <c r="C20" s="286">
        <v>4</v>
      </c>
      <c r="D20" s="287"/>
      <c r="E20" s="288"/>
      <c r="F20" s="289"/>
      <c r="G20" s="367"/>
      <c r="H20" s="312"/>
      <c r="I20" s="313"/>
      <c r="J20" s="293"/>
      <c r="K20" s="294"/>
      <c r="L20" s="295"/>
      <c r="M20" s="330">
        <f t="shared" si="1"/>
        <v>0</v>
      </c>
      <c r="N20" s="295"/>
      <c r="O20" s="306"/>
      <c r="P20" s="307"/>
    </row>
    <row r="21" spans="1:20" ht="24.95" customHeight="1" thickBot="1">
      <c r="A21" s="749"/>
      <c r="B21" s="769"/>
      <c r="C21" s="286">
        <v>5</v>
      </c>
      <c r="D21" s="297"/>
      <c r="E21" s="298"/>
      <c r="F21" s="299"/>
      <c r="G21" s="367"/>
      <c r="H21" s="312"/>
      <c r="I21" s="313"/>
      <c r="J21" s="300"/>
      <c r="K21" s="255"/>
      <c r="L21" s="301"/>
      <c r="M21" s="330">
        <f t="shared" si="1"/>
        <v>0</v>
      </c>
      <c r="N21" s="295"/>
      <c r="O21" s="308"/>
      <c r="P21" s="309"/>
      <c r="R21" s="355"/>
    </row>
    <row r="22" spans="1:20" ht="15.75" customHeight="1" thickTop="1" thickBot="1">
      <c r="A22" s="750"/>
      <c r="B22" s="770"/>
      <c r="C22" s="777"/>
      <c r="D22" s="778"/>
      <c r="E22" s="778"/>
      <c r="F22" s="778"/>
      <c r="G22" s="778"/>
      <c r="H22" s="778"/>
      <c r="I22" s="779"/>
      <c r="J22" s="360" t="s">
        <v>58</v>
      </c>
      <c r="K22" s="358">
        <f>M22/'生產管理報表 7-1 (週)'!$B$10</f>
        <v>0.13893476727767823</v>
      </c>
      <c r="L22" s="361" t="s">
        <v>59</v>
      </c>
      <c r="M22" s="362">
        <f>SUM(M17:M21)</f>
        <v>18592.397300000091</v>
      </c>
      <c r="N22" s="765"/>
      <c r="O22" s="766"/>
      <c r="P22" s="767"/>
      <c r="R22" s="351"/>
    </row>
    <row r="23" spans="1:20" ht="15.75" customHeight="1" thickTop="1">
      <c r="K23" s="296" t="s">
        <v>493</v>
      </c>
      <c r="M23" s="337"/>
      <c r="R23" s="351"/>
    </row>
    <row r="24" spans="1:20" ht="24.95" customHeight="1">
      <c r="A24" s="738" t="s">
        <v>191</v>
      </c>
      <c r="B24" s="739"/>
      <c r="C24" s="310" t="s">
        <v>47</v>
      </c>
      <c r="D24" s="782" t="s">
        <v>12</v>
      </c>
      <c r="E24" s="783"/>
      <c r="F24" s="784"/>
      <c r="G24" s="785" t="s">
        <v>53</v>
      </c>
      <c r="H24" s="786"/>
      <c r="I24" s="787"/>
      <c r="J24" s="311" t="s">
        <v>54</v>
      </c>
      <c r="K24" s="283" t="s">
        <v>55</v>
      </c>
      <c r="L24" s="283" t="s">
        <v>56</v>
      </c>
      <c r="M24" s="338" t="s">
        <v>11</v>
      </c>
      <c r="N24" s="284" t="s">
        <v>333</v>
      </c>
      <c r="O24" s="746" t="s">
        <v>51</v>
      </c>
      <c r="P24" s="747"/>
      <c r="R24" s="351"/>
    </row>
    <row r="25" spans="1:20" ht="54.95" customHeight="1">
      <c r="A25" s="748">
        <v>6</v>
      </c>
      <c r="B25" s="768" t="s">
        <v>216</v>
      </c>
      <c r="C25" s="286">
        <v>1</v>
      </c>
      <c r="D25" s="356" t="s">
        <v>344</v>
      </c>
      <c r="E25" s="288"/>
      <c r="F25" s="289"/>
      <c r="G25" s="313" t="s">
        <v>504</v>
      </c>
      <c r="H25" s="312"/>
      <c r="I25" s="313"/>
      <c r="J25" s="320">
        <v>605.77999999999986</v>
      </c>
      <c r="K25" s="321">
        <v>4.2115396185548405E-4</v>
      </c>
      <c r="L25" s="322">
        <v>12.230000000000091</v>
      </c>
      <c r="M25" s="330">
        <f t="shared" ref="M25:M29" si="2">L25*J25</f>
        <v>7408.6894000000539</v>
      </c>
      <c r="N25" s="295"/>
      <c r="O25" s="760" t="s">
        <v>507</v>
      </c>
      <c r="P25" s="761"/>
      <c r="R25" s="348"/>
      <c r="S25" s="348"/>
    </row>
    <row r="26" spans="1:20" ht="54.95" customHeight="1">
      <c r="A26" s="749"/>
      <c r="B26" s="769"/>
      <c r="C26" s="286">
        <v>2</v>
      </c>
      <c r="D26" s="244" t="s">
        <v>342</v>
      </c>
      <c r="E26" s="288"/>
      <c r="F26" s="289"/>
      <c r="G26" s="313" t="s">
        <v>496</v>
      </c>
      <c r="H26" s="312"/>
      <c r="I26" s="313"/>
      <c r="J26" s="320">
        <v>3.2199999999999998</v>
      </c>
      <c r="K26" s="321">
        <v>0</v>
      </c>
      <c r="L26" s="322">
        <v>925</v>
      </c>
      <c r="M26" s="330">
        <f t="shared" si="2"/>
        <v>2978.4999999999995</v>
      </c>
      <c r="N26" s="295"/>
      <c r="O26" s="760" t="s">
        <v>648</v>
      </c>
      <c r="P26" s="761"/>
      <c r="R26" s="348"/>
      <c r="S26" s="348"/>
    </row>
    <row r="27" spans="1:20" ht="54.95" customHeight="1">
      <c r="A27" s="749"/>
      <c r="B27" s="769"/>
      <c r="C27" s="286">
        <v>3</v>
      </c>
      <c r="D27" s="244" t="s">
        <v>342</v>
      </c>
      <c r="E27" s="288"/>
      <c r="F27" s="289"/>
      <c r="G27" s="313" t="s">
        <v>554</v>
      </c>
      <c r="H27" s="312"/>
      <c r="I27" s="313"/>
      <c r="J27" s="320">
        <v>198</v>
      </c>
      <c r="K27" s="321">
        <v>2.0584263742054474E-3</v>
      </c>
      <c r="L27" s="322">
        <v>12.130000000000109</v>
      </c>
      <c r="M27" s="330">
        <f t="shared" si="2"/>
        <v>2401.7400000000216</v>
      </c>
      <c r="N27" s="295"/>
      <c r="O27" s="760" t="s">
        <v>649</v>
      </c>
      <c r="P27" s="761"/>
      <c r="R27" s="348"/>
    </row>
    <row r="28" spans="1:20" ht="54.95" customHeight="1">
      <c r="A28" s="749"/>
      <c r="B28" s="769"/>
      <c r="C28" s="286">
        <v>4</v>
      </c>
      <c r="D28" s="244"/>
      <c r="E28" s="288"/>
      <c r="F28" s="289"/>
      <c r="G28" s="367"/>
      <c r="H28" s="312"/>
      <c r="I28" s="313"/>
      <c r="J28" s="320"/>
      <c r="K28" s="321"/>
      <c r="L28" s="322"/>
      <c r="M28" s="330">
        <f t="shared" si="2"/>
        <v>0</v>
      </c>
      <c r="N28" s="295"/>
      <c r="O28" s="760"/>
      <c r="P28" s="761"/>
      <c r="R28" s="348"/>
      <c r="S28" s="348"/>
    </row>
    <row r="29" spans="1:20" ht="54.95" customHeight="1" thickBot="1">
      <c r="A29" s="749"/>
      <c r="B29" s="769"/>
      <c r="C29" s="286">
        <v>5</v>
      </c>
      <c r="D29" s="251"/>
      <c r="E29" s="298"/>
      <c r="F29" s="299"/>
      <c r="G29" s="367"/>
      <c r="H29" s="312"/>
      <c r="I29" s="313"/>
      <c r="J29" s="324"/>
      <c r="K29" s="255"/>
      <c r="L29" s="325"/>
      <c r="M29" s="330">
        <f t="shared" si="2"/>
        <v>0</v>
      </c>
      <c r="N29" s="295"/>
      <c r="O29" s="760"/>
      <c r="P29" s="761"/>
    </row>
    <row r="30" spans="1:20" ht="15.75" customHeight="1" thickTop="1" thickBot="1">
      <c r="A30" s="750"/>
      <c r="B30" s="770"/>
      <c r="C30" s="777"/>
      <c r="D30" s="778"/>
      <c r="E30" s="778"/>
      <c r="F30" s="778"/>
      <c r="G30" s="778"/>
      <c r="H30" s="778"/>
      <c r="I30" s="779"/>
      <c r="J30" s="360" t="s">
        <v>58</v>
      </c>
      <c r="K30" s="358">
        <f>M30/'生產管理報表 7-1 (週)'!$B$10</f>
        <v>9.5567392480347804E-2</v>
      </c>
      <c r="L30" s="361" t="s">
        <v>59</v>
      </c>
      <c r="M30" s="362">
        <f>SUM(M25:M29)</f>
        <v>12788.929400000075</v>
      </c>
      <c r="N30" s="765"/>
      <c r="O30" s="766"/>
      <c r="P30" s="767"/>
    </row>
    <row r="31" spans="1:20" s="136" customFormat="1" ht="15.75" customHeight="1" thickTop="1">
      <c r="A31" s="699" t="s">
        <v>699</v>
      </c>
      <c r="B31" s="699"/>
      <c r="C31" s="699"/>
      <c r="D31" s="699"/>
      <c r="E31" s="699"/>
      <c r="F31" s="699"/>
      <c r="G31" s="699"/>
      <c r="H31" s="699"/>
      <c r="I31" s="699"/>
      <c r="J31" s="699"/>
      <c r="K31" s="699"/>
      <c r="L31" s="699"/>
      <c r="M31" s="699"/>
    </row>
    <row r="32" spans="1:20" s="137" customFormat="1" ht="15.75" customHeight="1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</row>
    <row r="33" spans="1:20" s="136" customFormat="1" ht="15.75" customHeight="1">
      <c r="A33" s="734" t="s">
        <v>191</v>
      </c>
      <c r="B33" s="736">
        <v>1</v>
      </c>
      <c r="C33" s="737"/>
      <c r="D33" s="736">
        <v>2</v>
      </c>
      <c r="E33" s="737"/>
      <c r="F33" s="736">
        <v>3</v>
      </c>
      <c r="G33" s="737"/>
      <c r="H33" s="727">
        <v>4</v>
      </c>
      <c r="I33" s="728"/>
      <c r="J33" s="727">
        <v>5</v>
      </c>
      <c r="K33" s="728"/>
      <c r="L33" s="727">
        <v>6</v>
      </c>
      <c r="M33" s="728"/>
      <c r="N33" s="727">
        <v>7</v>
      </c>
      <c r="O33" s="728"/>
      <c r="P33" s="335">
        <v>8</v>
      </c>
    </row>
    <row r="34" spans="1:20" s="136" customFormat="1" ht="15.75" customHeight="1">
      <c r="A34" s="735"/>
      <c r="B34" s="731" t="s">
        <v>487</v>
      </c>
      <c r="C34" s="732"/>
      <c r="D34" s="731" t="s">
        <v>212</v>
      </c>
      <c r="E34" s="732"/>
      <c r="F34" s="731" t="s">
        <v>166</v>
      </c>
      <c r="G34" s="732"/>
      <c r="H34" s="729" t="s">
        <v>457</v>
      </c>
      <c r="I34" s="730"/>
      <c r="J34" s="729" t="s">
        <v>189</v>
      </c>
      <c r="K34" s="730"/>
      <c r="L34" s="729" t="s">
        <v>167</v>
      </c>
      <c r="M34" s="730"/>
      <c r="N34" s="729" t="s">
        <v>190</v>
      </c>
      <c r="O34" s="730"/>
      <c r="P34" s="336" t="s">
        <v>217</v>
      </c>
    </row>
    <row r="35" spans="1:20" s="136" customFormat="1" ht="15.75" customHeight="1">
      <c r="B35" s="239"/>
      <c r="C35" s="240"/>
    </row>
    <row r="36" spans="1:20" s="285" customFormat="1" ht="15.75" customHeight="1">
      <c r="A36" s="738" t="s">
        <v>191</v>
      </c>
      <c r="B36" s="739"/>
      <c r="C36" s="282" t="s">
        <v>47</v>
      </c>
      <c r="D36" s="740" t="s">
        <v>12</v>
      </c>
      <c r="E36" s="741"/>
      <c r="F36" s="742"/>
      <c r="G36" s="743" t="s">
        <v>53</v>
      </c>
      <c r="H36" s="744"/>
      <c r="I36" s="745"/>
      <c r="J36" s="283" t="s">
        <v>54</v>
      </c>
      <c r="K36" s="283" t="s">
        <v>55</v>
      </c>
      <c r="L36" s="283" t="s">
        <v>56</v>
      </c>
      <c r="M36" s="284" t="s">
        <v>11</v>
      </c>
      <c r="N36" s="284" t="s">
        <v>333</v>
      </c>
      <c r="O36" s="746" t="s">
        <v>51</v>
      </c>
      <c r="P36" s="747"/>
      <c r="R36" s="351"/>
      <c r="S36" s="352"/>
    </row>
    <row r="37" spans="1:20" s="305" customFormat="1" ht="60" customHeight="1">
      <c r="A37" s="748">
        <v>4</v>
      </c>
      <c r="B37" s="751" t="s">
        <v>457</v>
      </c>
      <c r="C37" s="286">
        <v>1</v>
      </c>
      <c r="D37" s="244" t="s">
        <v>533</v>
      </c>
      <c r="E37" s="245"/>
      <c r="F37" s="246"/>
      <c r="G37" s="313" t="s">
        <v>543</v>
      </c>
      <c r="H37" s="312"/>
      <c r="I37" s="313"/>
      <c r="J37" s="320">
        <v>118.30999999999997</v>
      </c>
      <c r="K37" s="321">
        <v>4.4240965793689632E-4</v>
      </c>
      <c r="L37" s="322">
        <v>52.540000000000049</v>
      </c>
      <c r="M37" s="330">
        <f t="shared" ref="M37:M41" si="3">L37*J37</f>
        <v>6216.0074000000041</v>
      </c>
      <c r="N37" s="322"/>
      <c r="O37" s="756" t="s">
        <v>710</v>
      </c>
      <c r="P37" s="757"/>
      <c r="R37" s="433"/>
      <c r="S37" s="352"/>
    </row>
    <row r="38" spans="1:20" s="305" customFormat="1" ht="60" customHeight="1">
      <c r="A38" s="749"/>
      <c r="B38" s="752"/>
      <c r="C38" s="286">
        <v>2</v>
      </c>
      <c r="D38" s="244" t="s">
        <v>503</v>
      </c>
      <c r="E38" s="245"/>
      <c r="F38" s="246"/>
      <c r="G38" s="313" t="s">
        <v>514</v>
      </c>
      <c r="H38" s="312"/>
      <c r="I38" s="313"/>
      <c r="J38" s="320">
        <v>629</v>
      </c>
      <c r="K38" s="321">
        <v>1.331174671703544E-3</v>
      </c>
      <c r="L38" s="322">
        <v>7.7980000000000382</v>
      </c>
      <c r="M38" s="330">
        <f t="shared" si="3"/>
        <v>4904.9420000000237</v>
      </c>
      <c r="N38" s="322"/>
      <c r="O38" s="756" t="s">
        <v>711</v>
      </c>
      <c r="P38" s="757"/>
      <c r="R38" s="433"/>
      <c r="S38" s="434"/>
      <c r="T38" s="347"/>
    </row>
    <row r="39" spans="1:20" s="305" customFormat="1" ht="60" customHeight="1">
      <c r="A39" s="749"/>
      <c r="B39" s="752"/>
      <c r="C39" s="286">
        <v>3</v>
      </c>
      <c r="D39" s="244" t="s">
        <v>472</v>
      </c>
      <c r="E39" s="245"/>
      <c r="F39" s="246"/>
      <c r="G39" s="313" t="s">
        <v>545</v>
      </c>
      <c r="H39" s="312"/>
      <c r="I39" s="313"/>
      <c r="J39" s="320">
        <v>421.40999999999997</v>
      </c>
      <c r="K39" s="321">
        <v>0</v>
      </c>
      <c r="L39" s="322">
        <v>10.129999999999995</v>
      </c>
      <c r="M39" s="330">
        <f t="shared" si="3"/>
        <v>4268.8832999999977</v>
      </c>
      <c r="N39" s="322"/>
      <c r="O39" s="758" t="s">
        <v>709</v>
      </c>
      <c r="P39" s="759"/>
      <c r="R39" s="433"/>
      <c r="S39" s="435"/>
    </row>
    <row r="40" spans="1:20" s="305" customFormat="1" ht="60" customHeight="1">
      <c r="A40" s="749"/>
      <c r="B40" s="752"/>
      <c r="C40" s="286">
        <v>4</v>
      </c>
      <c r="D40" s="244" t="s">
        <v>342</v>
      </c>
      <c r="E40" s="245"/>
      <c r="F40" s="246"/>
      <c r="G40" s="313" t="s">
        <v>397</v>
      </c>
      <c r="H40" s="312"/>
      <c r="I40" s="313"/>
      <c r="J40" s="320">
        <v>127.84000000000002</v>
      </c>
      <c r="K40" s="321">
        <v>1.1140989445142932E-3</v>
      </c>
      <c r="L40" s="322">
        <v>32.870000000000367</v>
      </c>
      <c r="M40" s="330">
        <f t="shared" si="3"/>
        <v>4202.1008000000475</v>
      </c>
      <c r="N40" s="322"/>
      <c r="O40" s="758" t="s">
        <v>712</v>
      </c>
      <c r="P40" s="759"/>
      <c r="R40" s="433"/>
      <c r="S40" s="434"/>
      <c r="T40" s="347"/>
    </row>
    <row r="41" spans="1:20" s="305" customFormat="1" ht="60" customHeight="1" thickBot="1">
      <c r="A41" s="749"/>
      <c r="B41" s="752"/>
      <c r="C41" s="286">
        <v>5</v>
      </c>
      <c r="D41" s="244" t="s">
        <v>369</v>
      </c>
      <c r="E41" s="252"/>
      <c r="F41" s="253"/>
      <c r="G41" s="367" t="s">
        <v>367</v>
      </c>
      <c r="H41" s="312"/>
      <c r="I41" s="313"/>
      <c r="J41" s="324">
        <v>152.75</v>
      </c>
      <c r="K41" s="255">
        <v>0</v>
      </c>
      <c r="L41" s="325">
        <v>27.097999999999956</v>
      </c>
      <c r="M41" s="330">
        <f t="shared" si="3"/>
        <v>4139.2194999999938</v>
      </c>
      <c r="N41" s="322"/>
      <c r="O41" s="758" t="s">
        <v>711</v>
      </c>
      <c r="P41" s="759"/>
      <c r="R41" s="436"/>
      <c r="S41" s="435"/>
      <c r="T41" s="296"/>
    </row>
    <row r="42" spans="1:20" ht="15.75" customHeight="1" thickTop="1" thickBot="1">
      <c r="A42" s="750"/>
      <c r="B42" s="753"/>
      <c r="C42" s="762"/>
      <c r="D42" s="763"/>
      <c r="E42" s="763"/>
      <c r="F42" s="763"/>
      <c r="G42" s="763"/>
      <c r="H42" s="763"/>
      <c r="I42" s="764"/>
      <c r="J42" s="360" t="s">
        <v>58</v>
      </c>
      <c r="K42" s="358">
        <f>M42/'生產管理報表 7-1 (週)'!$B$21</f>
        <v>0.15524548807944402</v>
      </c>
      <c r="L42" s="361" t="s">
        <v>59</v>
      </c>
      <c r="M42" s="362">
        <f>SUM(M37:M41)</f>
        <v>23731.153000000064</v>
      </c>
      <c r="N42" s="765"/>
      <c r="O42" s="766"/>
      <c r="P42" s="767"/>
      <c r="R42" s="351"/>
      <c r="S42" s="351"/>
    </row>
    <row r="43" spans="1:20" ht="15.75" customHeight="1" thickTop="1">
      <c r="M43" s="337"/>
      <c r="S43" s="352"/>
    </row>
    <row r="44" spans="1:20" ht="15.75" customHeight="1">
      <c r="A44" s="738" t="s">
        <v>191</v>
      </c>
      <c r="B44" s="739"/>
      <c r="C44" s="282" t="s">
        <v>47</v>
      </c>
      <c r="D44" s="740" t="s">
        <v>12</v>
      </c>
      <c r="E44" s="741"/>
      <c r="F44" s="742"/>
      <c r="G44" s="743" t="s">
        <v>53</v>
      </c>
      <c r="H44" s="744"/>
      <c r="I44" s="745"/>
      <c r="J44" s="414" t="s">
        <v>54</v>
      </c>
      <c r="K44" s="283" t="s">
        <v>55</v>
      </c>
      <c r="L44" s="283" t="s">
        <v>56</v>
      </c>
      <c r="M44" s="338" t="s">
        <v>11</v>
      </c>
      <c r="N44" s="284" t="s">
        <v>333</v>
      </c>
      <c r="O44" s="746" t="s">
        <v>51</v>
      </c>
      <c r="P44" s="747"/>
      <c r="S44" s="351"/>
      <c r="T44" s="347"/>
    </row>
    <row r="45" spans="1:20" s="305" customFormat="1" ht="60" customHeight="1">
      <c r="A45" s="748">
        <v>5</v>
      </c>
      <c r="B45" s="768" t="s">
        <v>215</v>
      </c>
      <c r="C45" s="286">
        <v>1</v>
      </c>
      <c r="D45" s="244" t="s">
        <v>342</v>
      </c>
      <c r="E45" s="245"/>
      <c r="F45" s="246"/>
      <c r="G45" s="313" t="s">
        <v>337</v>
      </c>
      <c r="H45" s="312"/>
      <c r="I45" s="313"/>
      <c r="J45" s="320">
        <v>147.43000000000004</v>
      </c>
      <c r="K45" s="321">
        <v>0</v>
      </c>
      <c r="L45" s="322">
        <v>124.89999999999873</v>
      </c>
      <c r="M45" s="330">
        <f>L45*J45</f>
        <v>18414.006999999816</v>
      </c>
      <c r="N45" s="322"/>
      <c r="O45" s="823" t="s">
        <v>707</v>
      </c>
      <c r="P45" s="824"/>
      <c r="S45" s="435"/>
      <c r="T45" s="347"/>
    </row>
    <row r="46" spans="1:20" s="305" customFormat="1" ht="24.95" customHeight="1">
      <c r="A46" s="749"/>
      <c r="B46" s="769"/>
      <c r="C46" s="286">
        <v>2</v>
      </c>
      <c r="D46" s="244"/>
      <c r="E46" s="245"/>
      <c r="F46" s="246"/>
      <c r="G46" s="367"/>
      <c r="H46" s="312"/>
      <c r="I46" s="313"/>
      <c r="J46" s="320"/>
      <c r="K46" s="321"/>
      <c r="L46" s="322"/>
      <c r="M46" s="330">
        <f t="shared" ref="M46:M49" si="4">L46*J46</f>
        <v>0</v>
      </c>
      <c r="N46" s="322"/>
      <c r="O46" s="773"/>
      <c r="P46" s="774"/>
      <c r="S46" s="351"/>
      <c r="T46" s="348"/>
    </row>
    <row r="47" spans="1:20" ht="24.95" customHeight="1">
      <c r="A47" s="749"/>
      <c r="B47" s="769"/>
      <c r="C47" s="286">
        <v>3</v>
      </c>
      <c r="D47" s="244"/>
      <c r="E47" s="245"/>
      <c r="F47" s="246"/>
      <c r="G47" s="367"/>
      <c r="H47" s="312"/>
      <c r="I47" s="313"/>
      <c r="J47" s="320"/>
      <c r="K47" s="321"/>
      <c r="L47" s="322"/>
      <c r="M47" s="330">
        <f t="shared" si="4"/>
        <v>0</v>
      </c>
      <c r="N47" s="295"/>
      <c r="O47" s="795"/>
      <c r="P47" s="796"/>
    </row>
    <row r="48" spans="1:20" ht="24.95" customHeight="1">
      <c r="A48" s="749"/>
      <c r="B48" s="769"/>
      <c r="C48" s="286">
        <v>4</v>
      </c>
      <c r="D48" s="287"/>
      <c r="E48" s="288"/>
      <c r="F48" s="289"/>
      <c r="G48" s="367"/>
      <c r="H48" s="312"/>
      <c r="I48" s="313"/>
      <c r="J48" s="293"/>
      <c r="K48" s="294"/>
      <c r="L48" s="295"/>
      <c r="M48" s="330">
        <f t="shared" si="4"/>
        <v>0</v>
      </c>
      <c r="N48" s="295"/>
      <c r="O48" s="306"/>
      <c r="P48" s="307"/>
    </row>
    <row r="49" spans="1:19" ht="24.95" customHeight="1" thickBot="1">
      <c r="A49" s="749"/>
      <c r="B49" s="769"/>
      <c r="C49" s="286">
        <v>5</v>
      </c>
      <c r="D49" s="297"/>
      <c r="E49" s="298"/>
      <c r="F49" s="299"/>
      <c r="G49" s="367"/>
      <c r="H49" s="312"/>
      <c r="I49" s="313"/>
      <c r="J49" s="300"/>
      <c r="K49" s="255"/>
      <c r="L49" s="301"/>
      <c r="M49" s="330">
        <f t="shared" si="4"/>
        <v>0</v>
      </c>
      <c r="N49" s="295"/>
      <c r="O49" s="308"/>
      <c r="P49" s="309"/>
      <c r="R49" s="355"/>
    </row>
    <row r="50" spans="1:19" ht="15.75" customHeight="1" thickTop="1" thickBot="1">
      <c r="A50" s="750"/>
      <c r="B50" s="770"/>
      <c r="C50" s="777"/>
      <c r="D50" s="778"/>
      <c r="E50" s="778"/>
      <c r="F50" s="778"/>
      <c r="G50" s="778"/>
      <c r="H50" s="778"/>
      <c r="I50" s="779"/>
      <c r="J50" s="360" t="s">
        <v>58</v>
      </c>
      <c r="K50" s="358">
        <f>M50/'生產管理報表 7-1 (週)'!$B$21</f>
        <v>0.12046155128717355</v>
      </c>
      <c r="L50" s="361" t="s">
        <v>59</v>
      </c>
      <c r="M50" s="362">
        <f>SUM(M45:M49)</f>
        <v>18414.006999999816</v>
      </c>
      <c r="N50" s="765"/>
      <c r="O50" s="766"/>
      <c r="P50" s="767"/>
      <c r="R50" s="351"/>
    </row>
    <row r="51" spans="1:19" ht="15.75" customHeight="1" thickTop="1">
      <c r="K51" s="296" t="s">
        <v>493</v>
      </c>
      <c r="M51" s="337"/>
      <c r="R51" s="351"/>
    </row>
    <row r="52" spans="1:19" ht="24.95" customHeight="1">
      <c r="A52" s="738" t="s">
        <v>191</v>
      </c>
      <c r="B52" s="739"/>
      <c r="C52" s="310" t="s">
        <v>47</v>
      </c>
      <c r="D52" s="782" t="s">
        <v>12</v>
      </c>
      <c r="E52" s="783"/>
      <c r="F52" s="784"/>
      <c r="G52" s="785" t="s">
        <v>53</v>
      </c>
      <c r="H52" s="786"/>
      <c r="I52" s="787"/>
      <c r="J52" s="311" t="s">
        <v>54</v>
      </c>
      <c r="K52" s="283" t="s">
        <v>55</v>
      </c>
      <c r="L52" s="283" t="s">
        <v>56</v>
      </c>
      <c r="M52" s="338" t="s">
        <v>11</v>
      </c>
      <c r="N52" s="284" t="s">
        <v>333</v>
      </c>
      <c r="O52" s="746" t="s">
        <v>51</v>
      </c>
      <c r="P52" s="747"/>
      <c r="R52" s="351"/>
    </row>
    <row r="53" spans="1:19" ht="54.95" customHeight="1">
      <c r="A53" s="748">
        <v>6</v>
      </c>
      <c r="B53" s="768" t="s">
        <v>216</v>
      </c>
      <c r="C53" s="286">
        <v>1</v>
      </c>
      <c r="D53" s="356" t="s">
        <v>344</v>
      </c>
      <c r="E53" s="288"/>
      <c r="F53" s="289"/>
      <c r="G53" s="313" t="s">
        <v>504</v>
      </c>
      <c r="H53" s="312"/>
      <c r="I53" s="313"/>
      <c r="J53" s="320">
        <v>605.77999999999986</v>
      </c>
      <c r="K53" s="321">
        <v>3.6409675043650233E-4</v>
      </c>
      <c r="L53" s="322">
        <v>9.5699999999999914</v>
      </c>
      <c r="M53" s="330">
        <f t="shared" ref="M53:M57" si="5">L53*J53</f>
        <v>5797.3145999999933</v>
      </c>
      <c r="N53" s="295"/>
      <c r="O53" s="760" t="s">
        <v>708</v>
      </c>
      <c r="P53" s="761"/>
      <c r="R53" s="348"/>
      <c r="S53" s="348"/>
    </row>
    <row r="54" spans="1:19" ht="60" customHeight="1">
      <c r="A54" s="749"/>
      <c r="B54" s="769"/>
      <c r="C54" s="286">
        <v>2</v>
      </c>
      <c r="D54" s="244" t="s">
        <v>495</v>
      </c>
      <c r="E54" s="288"/>
      <c r="F54" s="289"/>
      <c r="G54" s="313" t="s">
        <v>497</v>
      </c>
      <c r="H54" s="312"/>
      <c r="I54" s="313"/>
      <c r="J54" s="320">
        <v>327.16000000000003</v>
      </c>
      <c r="K54" s="321">
        <v>6.0437765436131986E-3</v>
      </c>
      <c r="L54" s="322">
        <v>7.2400000000000357</v>
      </c>
      <c r="M54" s="330">
        <f t="shared" si="5"/>
        <v>2368.6384000000121</v>
      </c>
      <c r="N54" s="295"/>
      <c r="O54" s="760" t="s">
        <v>709</v>
      </c>
      <c r="P54" s="761"/>
      <c r="R54" s="348"/>
      <c r="S54" s="348"/>
    </row>
    <row r="55" spans="1:19" ht="54.95" customHeight="1">
      <c r="A55" s="749"/>
      <c r="B55" s="769"/>
      <c r="C55" s="286">
        <v>3</v>
      </c>
      <c r="D55" s="244"/>
      <c r="E55" s="288"/>
      <c r="F55" s="289"/>
      <c r="G55" s="367"/>
      <c r="H55" s="312"/>
      <c r="I55" s="313"/>
      <c r="J55" s="320"/>
      <c r="K55" s="321"/>
      <c r="L55" s="322"/>
      <c r="M55" s="330">
        <f t="shared" si="5"/>
        <v>0</v>
      </c>
      <c r="N55" s="295"/>
      <c r="O55" s="760"/>
      <c r="P55" s="761"/>
      <c r="R55" s="348"/>
    </row>
    <row r="56" spans="1:19" ht="54.95" customHeight="1">
      <c r="A56" s="749"/>
      <c r="B56" s="769"/>
      <c r="C56" s="286">
        <v>4</v>
      </c>
      <c r="D56" s="244"/>
      <c r="E56" s="288"/>
      <c r="F56" s="289"/>
      <c r="G56" s="367"/>
      <c r="H56" s="312"/>
      <c r="I56" s="313"/>
      <c r="J56" s="320"/>
      <c r="K56" s="321"/>
      <c r="L56" s="322"/>
      <c r="M56" s="330">
        <f t="shared" si="5"/>
        <v>0</v>
      </c>
      <c r="N56" s="295"/>
      <c r="O56" s="760"/>
      <c r="P56" s="761"/>
      <c r="R56" s="348"/>
      <c r="S56" s="348"/>
    </row>
    <row r="57" spans="1:19" ht="54.95" customHeight="1" thickBot="1">
      <c r="A57" s="749"/>
      <c r="B57" s="769"/>
      <c r="C57" s="286">
        <v>5</v>
      </c>
      <c r="D57" s="251"/>
      <c r="E57" s="298"/>
      <c r="F57" s="299"/>
      <c r="G57" s="367"/>
      <c r="H57" s="312"/>
      <c r="I57" s="313"/>
      <c r="J57" s="324"/>
      <c r="K57" s="255"/>
      <c r="L57" s="325"/>
      <c r="M57" s="330">
        <f t="shared" si="5"/>
        <v>0</v>
      </c>
      <c r="N57" s="295"/>
      <c r="O57" s="760"/>
      <c r="P57" s="761"/>
    </row>
    <row r="58" spans="1:19" ht="15.75" customHeight="1" thickTop="1" thickBot="1">
      <c r="A58" s="750"/>
      <c r="B58" s="770"/>
      <c r="C58" s="777"/>
      <c r="D58" s="778"/>
      <c r="E58" s="778"/>
      <c r="F58" s="778"/>
      <c r="G58" s="778"/>
      <c r="H58" s="778"/>
      <c r="I58" s="779"/>
      <c r="J58" s="360" t="s">
        <v>58</v>
      </c>
      <c r="K58" s="358">
        <f>M58/'生產管理報表 7-1 (週)'!$B$21</f>
        <v>5.3420386237398476E-2</v>
      </c>
      <c r="L58" s="361" t="s">
        <v>59</v>
      </c>
      <c r="M58" s="362">
        <f>SUM(M53:M57)</f>
        <v>8165.953000000005</v>
      </c>
      <c r="N58" s="765"/>
      <c r="O58" s="766"/>
      <c r="P58" s="767"/>
    </row>
    <row r="59" spans="1:19" s="136" customFormat="1" ht="15.75" customHeight="1" thickTop="1">
      <c r="A59" s="699" t="s">
        <v>700</v>
      </c>
      <c r="B59" s="699"/>
      <c r="C59" s="699"/>
      <c r="D59" s="699"/>
      <c r="E59" s="699"/>
      <c r="F59" s="699"/>
      <c r="G59" s="699"/>
      <c r="H59" s="699"/>
      <c r="I59" s="699"/>
      <c r="J59" s="699"/>
      <c r="K59" s="699"/>
      <c r="L59" s="699"/>
      <c r="M59" s="699"/>
    </row>
    <row r="60" spans="1:19" s="137" customFormat="1" ht="15.75" customHeight="1">
      <c r="A60" s="733"/>
      <c r="B60" s="733"/>
      <c r="C60" s="733"/>
      <c r="D60" s="733"/>
      <c r="E60" s="733"/>
      <c r="F60" s="733"/>
      <c r="G60" s="733"/>
      <c r="H60" s="733"/>
      <c r="I60" s="733"/>
      <c r="J60" s="733"/>
      <c r="K60" s="733"/>
      <c r="L60" s="733"/>
      <c r="M60" s="733"/>
    </row>
    <row r="61" spans="1:19" s="136" customFormat="1" ht="15.75" customHeight="1">
      <c r="A61" s="734" t="s">
        <v>191</v>
      </c>
      <c r="B61" s="736">
        <v>1</v>
      </c>
      <c r="C61" s="737"/>
      <c r="D61" s="736">
        <v>2</v>
      </c>
      <c r="E61" s="737"/>
      <c r="F61" s="736">
        <v>3</v>
      </c>
      <c r="G61" s="737"/>
      <c r="H61" s="727">
        <v>4</v>
      </c>
      <c r="I61" s="728"/>
      <c r="J61" s="727">
        <v>5</v>
      </c>
      <c r="K61" s="728"/>
      <c r="L61" s="727">
        <v>6</v>
      </c>
      <c r="M61" s="728"/>
      <c r="N61" s="727">
        <v>7</v>
      </c>
      <c r="O61" s="728"/>
      <c r="P61" s="335">
        <v>8</v>
      </c>
    </row>
    <row r="62" spans="1:19" s="136" customFormat="1" ht="15.75" customHeight="1">
      <c r="A62" s="735"/>
      <c r="B62" s="731" t="s">
        <v>487</v>
      </c>
      <c r="C62" s="732"/>
      <c r="D62" s="731" t="s">
        <v>212</v>
      </c>
      <c r="E62" s="732"/>
      <c r="F62" s="731" t="s">
        <v>166</v>
      </c>
      <c r="G62" s="732"/>
      <c r="H62" s="729" t="s">
        <v>457</v>
      </c>
      <c r="I62" s="730"/>
      <c r="J62" s="729" t="s">
        <v>189</v>
      </c>
      <c r="K62" s="730"/>
      <c r="L62" s="729" t="s">
        <v>167</v>
      </c>
      <c r="M62" s="730"/>
      <c r="N62" s="729" t="s">
        <v>190</v>
      </c>
      <c r="O62" s="730"/>
      <c r="P62" s="336" t="s">
        <v>217</v>
      </c>
    </row>
    <row r="63" spans="1:19" s="136" customFormat="1" ht="15.75" customHeight="1">
      <c r="B63" s="239"/>
      <c r="C63" s="240"/>
    </row>
    <row r="64" spans="1:19" s="285" customFormat="1" ht="15.75" customHeight="1">
      <c r="A64" s="738" t="s">
        <v>191</v>
      </c>
      <c r="B64" s="739"/>
      <c r="C64" s="282" t="s">
        <v>47</v>
      </c>
      <c r="D64" s="740" t="s">
        <v>12</v>
      </c>
      <c r="E64" s="741"/>
      <c r="F64" s="742"/>
      <c r="G64" s="743" t="s">
        <v>53</v>
      </c>
      <c r="H64" s="744"/>
      <c r="I64" s="745"/>
      <c r="J64" s="283" t="s">
        <v>54</v>
      </c>
      <c r="K64" s="283" t="s">
        <v>55</v>
      </c>
      <c r="L64" s="283" t="s">
        <v>56</v>
      </c>
      <c r="M64" s="284" t="s">
        <v>11</v>
      </c>
      <c r="N64" s="284" t="s">
        <v>333</v>
      </c>
      <c r="O64" s="746" t="s">
        <v>51</v>
      </c>
      <c r="P64" s="747"/>
      <c r="R64" s="351"/>
      <c r="S64" s="352"/>
    </row>
    <row r="65" spans="1:20" s="305" customFormat="1" ht="60" customHeight="1">
      <c r="A65" s="748">
        <v>4</v>
      </c>
      <c r="B65" s="751" t="s">
        <v>457</v>
      </c>
      <c r="C65" s="286">
        <v>1</v>
      </c>
      <c r="D65" s="244" t="s">
        <v>369</v>
      </c>
      <c r="E65" s="245"/>
      <c r="F65" s="246"/>
      <c r="G65" s="313" t="s">
        <v>368</v>
      </c>
      <c r="H65" s="312"/>
      <c r="I65" s="313"/>
      <c r="J65" s="320">
        <v>426.69</v>
      </c>
      <c r="K65" s="321">
        <v>4.4060950982192026E-4</v>
      </c>
      <c r="L65" s="322">
        <v>16.09999999999981</v>
      </c>
      <c r="M65" s="330">
        <f t="shared" ref="M65:M69" si="6">L65*J65</f>
        <v>6869.7089999999189</v>
      </c>
      <c r="N65" s="322"/>
      <c r="O65" s="756" t="s">
        <v>750</v>
      </c>
      <c r="P65" s="757"/>
      <c r="R65" s="433"/>
      <c r="S65" s="352"/>
    </row>
    <row r="66" spans="1:20" s="305" customFormat="1" ht="60" customHeight="1">
      <c r="A66" s="749"/>
      <c r="B66" s="752"/>
      <c r="C66" s="286">
        <v>2</v>
      </c>
      <c r="D66" s="244" t="s">
        <v>734</v>
      </c>
      <c r="E66" s="245"/>
      <c r="F66" s="246"/>
      <c r="G66" s="313" t="s">
        <v>727</v>
      </c>
      <c r="H66" s="312"/>
      <c r="I66" s="313"/>
      <c r="J66" s="320">
        <v>896</v>
      </c>
      <c r="K66" s="321">
        <v>0</v>
      </c>
      <c r="L66" s="322">
        <v>6.1299999999999955</v>
      </c>
      <c r="M66" s="330">
        <f t="shared" si="6"/>
        <v>5492.4799999999959</v>
      </c>
      <c r="N66" s="322"/>
      <c r="O66" s="756" t="s">
        <v>750</v>
      </c>
      <c r="P66" s="757"/>
      <c r="R66" s="433"/>
      <c r="S66" s="434"/>
      <c r="T66" s="347"/>
    </row>
    <row r="67" spans="1:20" s="305" customFormat="1" ht="60" customHeight="1">
      <c r="A67" s="749"/>
      <c r="B67" s="752"/>
      <c r="C67" s="286">
        <v>3</v>
      </c>
      <c r="D67" s="244" t="s">
        <v>517</v>
      </c>
      <c r="E67" s="245"/>
      <c r="F67" s="246"/>
      <c r="G67" s="313" t="s">
        <v>581</v>
      </c>
      <c r="H67" s="312"/>
      <c r="I67" s="313"/>
      <c r="J67" s="320">
        <v>2465</v>
      </c>
      <c r="K67" s="321">
        <v>0</v>
      </c>
      <c r="L67" s="322">
        <v>2.2099999999999937</v>
      </c>
      <c r="M67" s="330">
        <f t="shared" si="6"/>
        <v>5447.6499999999842</v>
      </c>
      <c r="N67" s="322"/>
      <c r="O67" s="756" t="s">
        <v>750</v>
      </c>
      <c r="P67" s="757"/>
      <c r="R67" s="433"/>
      <c r="S67" s="435"/>
    </row>
    <row r="68" spans="1:20" s="305" customFormat="1" ht="60" customHeight="1">
      <c r="A68" s="749"/>
      <c r="B68" s="752"/>
      <c r="C68" s="286">
        <v>4</v>
      </c>
      <c r="D68" s="244" t="s">
        <v>503</v>
      </c>
      <c r="E68" s="245"/>
      <c r="F68" s="246"/>
      <c r="G68" s="313" t="s">
        <v>514</v>
      </c>
      <c r="H68" s="312"/>
      <c r="I68" s="313"/>
      <c r="J68" s="320">
        <v>629</v>
      </c>
      <c r="K68" s="321">
        <v>2.8429282160625439E-3</v>
      </c>
      <c r="L68" s="322">
        <v>7.3899999999999473</v>
      </c>
      <c r="M68" s="330">
        <f t="shared" si="6"/>
        <v>4648.3099999999667</v>
      </c>
      <c r="N68" s="322"/>
      <c r="O68" s="758" t="s">
        <v>711</v>
      </c>
      <c r="P68" s="759"/>
      <c r="R68" s="433"/>
      <c r="S68" s="434"/>
      <c r="T68" s="347"/>
    </row>
    <row r="69" spans="1:20" s="305" customFormat="1" ht="60" customHeight="1" thickBot="1">
      <c r="A69" s="749"/>
      <c r="B69" s="752"/>
      <c r="C69" s="286">
        <v>5</v>
      </c>
      <c r="D69" s="244" t="s">
        <v>519</v>
      </c>
      <c r="E69" s="252"/>
      <c r="F69" s="253"/>
      <c r="G69" s="313" t="s">
        <v>518</v>
      </c>
      <c r="H69" s="312"/>
      <c r="I69" s="313"/>
      <c r="J69" s="324">
        <v>191.21</v>
      </c>
      <c r="K69" s="255">
        <v>2.6617317005945586E-3</v>
      </c>
      <c r="L69" s="325">
        <v>23.480000000000128</v>
      </c>
      <c r="M69" s="330">
        <f t="shared" si="6"/>
        <v>4489.6108000000249</v>
      </c>
      <c r="N69" s="322"/>
      <c r="O69" s="758" t="s">
        <v>711</v>
      </c>
      <c r="P69" s="759"/>
      <c r="R69" s="436"/>
      <c r="S69" s="435"/>
      <c r="T69" s="296"/>
    </row>
    <row r="70" spans="1:20" ht="15.75" customHeight="1" thickTop="1" thickBot="1">
      <c r="A70" s="750"/>
      <c r="B70" s="753"/>
      <c r="C70" s="762"/>
      <c r="D70" s="763"/>
      <c r="E70" s="763"/>
      <c r="F70" s="763"/>
      <c r="G70" s="763"/>
      <c r="H70" s="763"/>
      <c r="I70" s="764"/>
      <c r="J70" s="360" t="s">
        <v>58</v>
      </c>
      <c r="K70" s="358">
        <f>M70/'生產管理報表 7-1 (週)'!$B$32</f>
        <v>0.1457574396351817</v>
      </c>
      <c r="L70" s="361" t="s">
        <v>59</v>
      </c>
      <c r="M70" s="362">
        <f>SUM(M65:M69)</f>
        <v>26947.759799999891</v>
      </c>
      <c r="N70" s="765"/>
      <c r="O70" s="766"/>
      <c r="P70" s="767"/>
      <c r="R70" s="351"/>
      <c r="S70" s="351"/>
    </row>
    <row r="71" spans="1:20" ht="15.75" customHeight="1" thickTop="1">
      <c r="M71" s="337"/>
      <c r="S71" s="352"/>
    </row>
    <row r="72" spans="1:20" ht="15.75" customHeight="1">
      <c r="A72" s="738" t="s">
        <v>191</v>
      </c>
      <c r="B72" s="739"/>
      <c r="C72" s="282" t="s">
        <v>47</v>
      </c>
      <c r="D72" s="740" t="s">
        <v>12</v>
      </c>
      <c r="E72" s="741"/>
      <c r="F72" s="742"/>
      <c r="G72" s="743" t="s">
        <v>53</v>
      </c>
      <c r="H72" s="744"/>
      <c r="I72" s="745"/>
      <c r="J72" s="414" t="s">
        <v>54</v>
      </c>
      <c r="K72" s="283" t="s">
        <v>55</v>
      </c>
      <c r="L72" s="283" t="s">
        <v>56</v>
      </c>
      <c r="M72" s="338" t="s">
        <v>11</v>
      </c>
      <c r="N72" s="284" t="s">
        <v>333</v>
      </c>
      <c r="O72" s="746" t="s">
        <v>51</v>
      </c>
      <c r="P72" s="747"/>
      <c r="S72" s="351"/>
      <c r="T72" s="347"/>
    </row>
    <row r="73" spans="1:20" s="305" customFormat="1" ht="60" customHeight="1">
      <c r="A73" s="748">
        <v>5</v>
      </c>
      <c r="B73" s="768" t="s">
        <v>215</v>
      </c>
      <c r="C73" s="286">
        <v>1</v>
      </c>
      <c r="D73" s="244" t="s">
        <v>342</v>
      </c>
      <c r="E73" s="245"/>
      <c r="F73" s="246"/>
      <c r="G73" s="313" t="s">
        <v>337</v>
      </c>
      <c r="H73" s="312"/>
      <c r="I73" s="313"/>
      <c r="J73" s="320">
        <v>147.43000000000004</v>
      </c>
      <c r="K73" s="321">
        <v>0</v>
      </c>
      <c r="L73" s="322">
        <v>150.84000000000015</v>
      </c>
      <c r="M73" s="330">
        <f>L73*J73</f>
        <v>22238.341200000028</v>
      </c>
      <c r="N73" s="322"/>
      <c r="O73" s="823" t="s">
        <v>707</v>
      </c>
      <c r="P73" s="824"/>
      <c r="S73" s="435"/>
      <c r="T73" s="347"/>
    </row>
    <row r="74" spans="1:20" s="305" customFormat="1" ht="24.95" customHeight="1">
      <c r="A74" s="749"/>
      <c r="B74" s="769"/>
      <c r="C74" s="286">
        <v>2</v>
      </c>
      <c r="D74" s="244"/>
      <c r="E74" s="245"/>
      <c r="F74" s="246"/>
      <c r="G74" s="367"/>
      <c r="H74" s="312"/>
      <c r="I74" s="313"/>
      <c r="J74" s="320"/>
      <c r="K74" s="321"/>
      <c r="L74" s="322"/>
      <c r="M74" s="330">
        <f t="shared" ref="M74:M77" si="7">L74*J74</f>
        <v>0</v>
      </c>
      <c r="N74" s="322"/>
      <c r="O74" s="773"/>
      <c r="P74" s="774"/>
      <c r="S74" s="351"/>
      <c r="T74" s="348"/>
    </row>
    <row r="75" spans="1:20" ht="24.95" customHeight="1">
      <c r="A75" s="749"/>
      <c r="B75" s="769"/>
      <c r="C75" s="286">
        <v>3</v>
      </c>
      <c r="D75" s="244"/>
      <c r="E75" s="245"/>
      <c r="F75" s="246"/>
      <c r="G75" s="367"/>
      <c r="H75" s="312"/>
      <c r="I75" s="313"/>
      <c r="J75" s="320"/>
      <c r="K75" s="321"/>
      <c r="L75" s="322"/>
      <c r="M75" s="330">
        <f t="shared" si="7"/>
        <v>0</v>
      </c>
      <c r="N75" s="295"/>
      <c r="O75" s="795"/>
      <c r="P75" s="796"/>
    </row>
    <row r="76" spans="1:20" ht="24.95" customHeight="1">
      <c r="A76" s="749"/>
      <c r="B76" s="769"/>
      <c r="C76" s="286">
        <v>4</v>
      </c>
      <c r="D76" s="287"/>
      <c r="E76" s="288"/>
      <c r="F76" s="289"/>
      <c r="G76" s="367"/>
      <c r="H76" s="312"/>
      <c r="I76" s="313"/>
      <c r="J76" s="293"/>
      <c r="K76" s="294"/>
      <c r="L76" s="295"/>
      <c r="M76" s="330">
        <f t="shared" si="7"/>
        <v>0</v>
      </c>
      <c r="N76" s="295"/>
      <c r="O76" s="306"/>
      <c r="P76" s="307"/>
    </row>
    <row r="77" spans="1:20" ht="24.95" customHeight="1" thickBot="1">
      <c r="A77" s="749"/>
      <c r="B77" s="769"/>
      <c r="C77" s="286">
        <v>5</v>
      </c>
      <c r="D77" s="297"/>
      <c r="E77" s="298"/>
      <c r="F77" s="299"/>
      <c r="G77" s="367"/>
      <c r="H77" s="312"/>
      <c r="I77" s="313"/>
      <c r="J77" s="300"/>
      <c r="K77" s="255"/>
      <c r="L77" s="301"/>
      <c r="M77" s="330">
        <f t="shared" si="7"/>
        <v>0</v>
      </c>
      <c r="N77" s="295"/>
      <c r="O77" s="308"/>
      <c r="P77" s="309"/>
      <c r="R77" s="355"/>
    </row>
    <row r="78" spans="1:20" ht="15.75" customHeight="1" thickTop="1" thickBot="1">
      <c r="A78" s="750"/>
      <c r="B78" s="770"/>
      <c r="C78" s="777"/>
      <c r="D78" s="778"/>
      <c r="E78" s="778"/>
      <c r="F78" s="778"/>
      <c r="G78" s="778"/>
      <c r="H78" s="778"/>
      <c r="I78" s="779"/>
      <c r="J78" s="360" t="s">
        <v>58</v>
      </c>
      <c r="K78" s="358">
        <f>M78/'生產管理報表 7-1 (週)'!$B$32</f>
        <v>0.12028471750908183</v>
      </c>
      <c r="L78" s="361" t="s">
        <v>59</v>
      </c>
      <c r="M78" s="362">
        <f>SUM(M73:M77)</f>
        <v>22238.341200000028</v>
      </c>
      <c r="N78" s="765"/>
      <c r="O78" s="766"/>
      <c r="P78" s="767"/>
      <c r="R78" s="351"/>
    </row>
    <row r="79" spans="1:20" ht="15.75" customHeight="1" thickTop="1">
      <c r="K79" s="296" t="s">
        <v>493</v>
      </c>
      <c r="M79" s="337"/>
      <c r="R79" s="351"/>
    </row>
    <row r="80" spans="1:20" ht="24.95" customHeight="1">
      <c r="A80" s="738" t="s">
        <v>191</v>
      </c>
      <c r="B80" s="739"/>
      <c r="C80" s="310" t="s">
        <v>47</v>
      </c>
      <c r="D80" s="782" t="s">
        <v>12</v>
      </c>
      <c r="E80" s="783"/>
      <c r="F80" s="784"/>
      <c r="G80" s="785" t="s">
        <v>53</v>
      </c>
      <c r="H80" s="786"/>
      <c r="I80" s="787"/>
      <c r="J80" s="311" t="s">
        <v>54</v>
      </c>
      <c r="K80" s="283" t="s">
        <v>55</v>
      </c>
      <c r="L80" s="283" t="s">
        <v>56</v>
      </c>
      <c r="M80" s="338" t="s">
        <v>11</v>
      </c>
      <c r="N80" s="284" t="s">
        <v>333</v>
      </c>
      <c r="O80" s="746" t="s">
        <v>51</v>
      </c>
      <c r="P80" s="747"/>
      <c r="R80" s="351"/>
    </row>
    <row r="81" spans="1:20" ht="54.95" customHeight="1">
      <c r="A81" s="748">
        <v>6</v>
      </c>
      <c r="B81" s="768" t="s">
        <v>216</v>
      </c>
      <c r="C81" s="286">
        <v>1</v>
      </c>
      <c r="D81" s="356" t="s">
        <v>342</v>
      </c>
      <c r="E81" s="288"/>
      <c r="F81" s="289"/>
      <c r="G81" s="313" t="s">
        <v>726</v>
      </c>
      <c r="H81" s="312"/>
      <c r="I81" s="313"/>
      <c r="J81" s="320">
        <v>39.389999999999993</v>
      </c>
      <c r="K81" s="321">
        <v>1.636732731873781E-4</v>
      </c>
      <c r="L81" s="322">
        <v>249.3700000000016</v>
      </c>
      <c r="M81" s="330">
        <f t="shared" ref="M81:M85" si="8">L81*J81</f>
        <v>9822.6843000000608</v>
      </c>
      <c r="N81" s="295"/>
      <c r="O81" s="760" t="s">
        <v>751</v>
      </c>
      <c r="P81" s="761"/>
      <c r="R81" s="348"/>
      <c r="S81" s="348"/>
    </row>
    <row r="82" spans="1:20" ht="54.95" customHeight="1">
      <c r="A82" s="749"/>
      <c r="B82" s="769"/>
      <c r="C82" s="286">
        <v>2</v>
      </c>
      <c r="D82" s="244" t="s">
        <v>344</v>
      </c>
      <c r="E82" s="288"/>
      <c r="F82" s="289"/>
      <c r="G82" s="313" t="s">
        <v>504</v>
      </c>
      <c r="H82" s="312"/>
      <c r="I82" s="313"/>
      <c r="J82" s="320">
        <v>605.77999999999986</v>
      </c>
      <c r="K82" s="321">
        <v>6.5288730821435324E-4</v>
      </c>
      <c r="L82" s="322">
        <v>7.3500000000001275</v>
      </c>
      <c r="M82" s="330">
        <f t="shared" si="8"/>
        <v>4452.4830000000766</v>
      </c>
      <c r="N82" s="295"/>
      <c r="O82" s="760" t="s">
        <v>708</v>
      </c>
      <c r="P82" s="761"/>
      <c r="R82" s="348"/>
      <c r="S82" s="348"/>
    </row>
    <row r="83" spans="1:20" ht="54.95" customHeight="1">
      <c r="A83" s="749"/>
      <c r="B83" s="769"/>
      <c r="C83" s="286">
        <v>3</v>
      </c>
      <c r="D83" s="244" t="s">
        <v>511</v>
      </c>
      <c r="E83" s="288"/>
      <c r="F83" s="289"/>
      <c r="G83" s="313" t="s">
        <v>509</v>
      </c>
      <c r="H83" s="312"/>
      <c r="I83" s="313"/>
      <c r="J83" s="320">
        <v>407.74000000000007</v>
      </c>
      <c r="K83" s="321">
        <v>1.5957616570389047E-4</v>
      </c>
      <c r="L83" s="322">
        <v>9.0500000000000007</v>
      </c>
      <c r="M83" s="330">
        <f t="shared" si="8"/>
        <v>3690.0470000000009</v>
      </c>
      <c r="N83" s="295"/>
      <c r="O83" s="760" t="s">
        <v>752</v>
      </c>
      <c r="P83" s="761"/>
      <c r="R83" s="348"/>
    </row>
    <row r="84" spans="1:20" ht="54.95" customHeight="1">
      <c r="A84" s="749"/>
      <c r="B84" s="769"/>
      <c r="C84" s="286">
        <v>4</v>
      </c>
      <c r="D84" s="244"/>
      <c r="E84" s="288"/>
      <c r="F84" s="289"/>
      <c r="G84" s="367"/>
      <c r="H84" s="312"/>
      <c r="I84" s="313"/>
      <c r="J84" s="320"/>
      <c r="K84" s="321"/>
      <c r="L84" s="322"/>
      <c r="M84" s="330">
        <f t="shared" si="8"/>
        <v>0</v>
      </c>
      <c r="N84" s="295"/>
      <c r="O84" s="760"/>
      <c r="P84" s="761"/>
      <c r="R84" s="348"/>
      <c r="S84" s="348"/>
    </row>
    <row r="85" spans="1:20" ht="54.95" customHeight="1" thickBot="1">
      <c r="A85" s="749"/>
      <c r="B85" s="769"/>
      <c r="C85" s="286">
        <v>5</v>
      </c>
      <c r="D85" s="251"/>
      <c r="E85" s="298"/>
      <c r="F85" s="299"/>
      <c r="G85" s="367"/>
      <c r="H85" s="312"/>
      <c r="I85" s="313"/>
      <c r="J85" s="324"/>
      <c r="K85" s="255"/>
      <c r="L85" s="325"/>
      <c r="M85" s="330">
        <f t="shared" si="8"/>
        <v>0</v>
      </c>
      <c r="N85" s="295"/>
      <c r="O85" s="760"/>
      <c r="P85" s="761"/>
    </row>
    <row r="86" spans="1:20" ht="15.75" customHeight="1" thickTop="1" thickBot="1">
      <c r="A86" s="750"/>
      <c r="B86" s="770"/>
      <c r="C86" s="777"/>
      <c r="D86" s="778"/>
      <c r="E86" s="778"/>
      <c r="F86" s="778"/>
      <c r="G86" s="778"/>
      <c r="H86" s="778"/>
      <c r="I86" s="779"/>
      <c r="J86" s="360" t="s">
        <v>58</v>
      </c>
      <c r="K86" s="358">
        <f>M86/'生產管理報表 7-1 (週)'!$B$32</f>
        <v>9.7171848728790575E-2</v>
      </c>
      <c r="L86" s="361" t="s">
        <v>59</v>
      </c>
      <c r="M86" s="362">
        <f>SUM(M81:M85)</f>
        <v>17965.214300000138</v>
      </c>
      <c r="N86" s="765"/>
      <c r="O86" s="766"/>
      <c r="P86" s="767"/>
    </row>
    <row r="87" spans="1:20" s="136" customFormat="1" ht="15.75" customHeight="1" thickTop="1">
      <c r="A87" s="699" t="s">
        <v>746</v>
      </c>
      <c r="B87" s="699"/>
      <c r="C87" s="699"/>
      <c r="D87" s="699"/>
      <c r="E87" s="699"/>
      <c r="F87" s="699"/>
      <c r="G87" s="699"/>
      <c r="H87" s="699"/>
      <c r="I87" s="699"/>
      <c r="J87" s="699"/>
      <c r="K87" s="699"/>
      <c r="L87" s="699"/>
      <c r="M87" s="699"/>
    </row>
    <row r="88" spans="1:20" s="137" customFormat="1" ht="15.75" customHeight="1">
      <c r="A88" s="733"/>
      <c r="B88" s="733"/>
      <c r="C88" s="733"/>
      <c r="D88" s="733"/>
      <c r="E88" s="733"/>
      <c r="F88" s="733"/>
      <c r="G88" s="733"/>
      <c r="H88" s="733"/>
      <c r="I88" s="733"/>
      <c r="J88" s="733"/>
      <c r="K88" s="733"/>
      <c r="L88" s="733"/>
      <c r="M88" s="733"/>
    </row>
    <row r="89" spans="1:20" s="136" customFormat="1" ht="15.75" customHeight="1">
      <c r="A89" s="734" t="s">
        <v>191</v>
      </c>
      <c r="B89" s="736">
        <v>1</v>
      </c>
      <c r="C89" s="737"/>
      <c r="D89" s="736">
        <v>2</v>
      </c>
      <c r="E89" s="737"/>
      <c r="F89" s="736">
        <v>3</v>
      </c>
      <c r="G89" s="737"/>
      <c r="H89" s="727">
        <v>4</v>
      </c>
      <c r="I89" s="728"/>
      <c r="J89" s="727">
        <v>5</v>
      </c>
      <c r="K89" s="728"/>
      <c r="L89" s="727">
        <v>6</v>
      </c>
      <c r="M89" s="728"/>
      <c r="N89" s="727">
        <v>7</v>
      </c>
      <c r="O89" s="728"/>
      <c r="P89" s="335">
        <v>8</v>
      </c>
    </row>
    <row r="90" spans="1:20" s="136" customFormat="1" ht="15.75" customHeight="1">
      <c r="A90" s="735"/>
      <c r="B90" s="731" t="s">
        <v>487</v>
      </c>
      <c r="C90" s="732"/>
      <c r="D90" s="731" t="s">
        <v>212</v>
      </c>
      <c r="E90" s="732"/>
      <c r="F90" s="731" t="s">
        <v>166</v>
      </c>
      <c r="G90" s="732"/>
      <c r="H90" s="729" t="s">
        <v>457</v>
      </c>
      <c r="I90" s="730"/>
      <c r="J90" s="729" t="s">
        <v>189</v>
      </c>
      <c r="K90" s="730"/>
      <c r="L90" s="729" t="s">
        <v>167</v>
      </c>
      <c r="M90" s="730"/>
      <c r="N90" s="729" t="s">
        <v>190</v>
      </c>
      <c r="O90" s="730"/>
      <c r="P90" s="336" t="s">
        <v>217</v>
      </c>
    </row>
    <row r="91" spans="1:20" s="136" customFormat="1" ht="15.75" customHeight="1">
      <c r="B91" s="239"/>
      <c r="C91" s="240"/>
    </row>
    <row r="92" spans="1:20" s="285" customFormat="1" ht="15.75" customHeight="1">
      <c r="A92" s="738" t="s">
        <v>191</v>
      </c>
      <c r="B92" s="739"/>
      <c r="C92" s="282" t="s">
        <v>47</v>
      </c>
      <c r="D92" s="740" t="s">
        <v>12</v>
      </c>
      <c r="E92" s="741"/>
      <c r="F92" s="742"/>
      <c r="G92" s="743" t="s">
        <v>53</v>
      </c>
      <c r="H92" s="744"/>
      <c r="I92" s="745"/>
      <c r="J92" s="283" t="s">
        <v>54</v>
      </c>
      <c r="K92" s="283" t="s">
        <v>55</v>
      </c>
      <c r="L92" s="283" t="s">
        <v>56</v>
      </c>
      <c r="M92" s="284" t="s">
        <v>11</v>
      </c>
      <c r="N92" s="284" t="s">
        <v>333</v>
      </c>
      <c r="O92" s="746" t="s">
        <v>51</v>
      </c>
      <c r="P92" s="747"/>
      <c r="R92" s="351"/>
      <c r="S92" s="352"/>
    </row>
    <row r="93" spans="1:20" s="305" customFormat="1" ht="60" customHeight="1">
      <c r="A93" s="748">
        <v>4</v>
      </c>
      <c r="B93" s="751" t="s">
        <v>457</v>
      </c>
      <c r="C93" s="286">
        <v>1</v>
      </c>
      <c r="D93" s="244" t="s">
        <v>369</v>
      </c>
      <c r="E93" s="245"/>
      <c r="F93" s="246"/>
      <c r="G93" s="313" t="s">
        <v>368</v>
      </c>
      <c r="H93" s="312"/>
      <c r="I93" s="313"/>
      <c r="J93" s="320">
        <v>426.69</v>
      </c>
      <c r="K93" s="321">
        <v>0</v>
      </c>
      <c r="L93" s="322">
        <v>17.579999999999814</v>
      </c>
      <c r="M93" s="330">
        <f t="shared" ref="M93:M97" si="9">L93*J93</f>
        <v>7501.2101999999204</v>
      </c>
      <c r="N93" s="322"/>
      <c r="O93" s="756" t="s">
        <v>750</v>
      </c>
      <c r="P93" s="757"/>
      <c r="R93" s="433"/>
      <c r="S93" s="352"/>
    </row>
    <row r="94" spans="1:20" s="305" customFormat="1" ht="60" customHeight="1">
      <c r="A94" s="749"/>
      <c r="B94" s="752"/>
      <c r="C94" s="286">
        <v>2</v>
      </c>
      <c r="D94" s="244" t="s">
        <v>713</v>
      </c>
      <c r="E94" s="245"/>
      <c r="F94" s="246"/>
      <c r="G94" s="313" t="s">
        <v>729</v>
      </c>
      <c r="H94" s="312"/>
      <c r="I94" s="313"/>
      <c r="J94" s="320">
        <v>760</v>
      </c>
      <c r="K94" s="321">
        <v>0</v>
      </c>
      <c r="L94" s="322">
        <v>8.7299999999999613</v>
      </c>
      <c r="M94" s="330">
        <f t="shared" si="9"/>
        <v>6634.7999999999702</v>
      </c>
      <c r="N94" s="322"/>
      <c r="O94" s="756" t="s">
        <v>750</v>
      </c>
      <c r="P94" s="757"/>
      <c r="R94" s="433"/>
      <c r="S94" s="434"/>
      <c r="T94" s="347"/>
    </row>
    <row r="95" spans="1:20" s="305" customFormat="1" ht="60" customHeight="1">
      <c r="A95" s="749"/>
      <c r="B95" s="752"/>
      <c r="C95" s="286">
        <v>3</v>
      </c>
      <c r="D95" s="244" t="s">
        <v>533</v>
      </c>
      <c r="E95" s="245"/>
      <c r="F95" s="246"/>
      <c r="G95" s="313" t="s">
        <v>543</v>
      </c>
      <c r="H95" s="312"/>
      <c r="I95" s="313"/>
      <c r="J95" s="320">
        <v>118.30999999999997</v>
      </c>
      <c r="K95" s="321">
        <v>1.7020375588383794E-3</v>
      </c>
      <c r="L95" s="322">
        <v>44.849999999999824</v>
      </c>
      <c r="M95" s="330">
        <f t="shared" si="9"/>
        <v>5306.2034999999778</v>
      </c>
      <c r="N95" s="322"/>
      <c r="O95" s="758" t="s">
        <v>549</v>
      </c>
      <c r="P95" s="759"/>
      <c r="R95" s="433"/>
      <c r="S95" s="435"/>
    </row>
    <row r="96" spans="1:20" s="305" customFormat="1" ht="60" customHeight="1">
      <c r="A96" s="749"/>
      <c r="B96" s="752"/>
      <c r="C96" s="286">
        <v>4</v>
      </c>
      <c r="D96" s="244" t="s">
        <v>517</v>
      </c>
      <c r="E96" s="245"/>
      <c r="F96" s="246"/>
      <c r="G96" s="313" t="s">
        <v>581</v>
      </c>
      <c r="H96" s="312"/>
      <c r="I96" s="313"/>
      <c r="J96" s="320">
        <v>2465</v>
      </c>
      <c r="K96" s="321">
        <v>0</v>
      </c>
      <c r="L96" s="322">
        <v>1.7299999999999898</v>
      </c>
      <c r="M96" s="330">
        <f t="shared" si="9"/>
        <v>4264.4499999999744</v>
      </c>
      <c r="N96" s="322"/>
      <c r="O96" s="758" t="s">
        <v>750</v>
      </c>
      <c r="P96" s="759"/>
      <c r="R96" s="433"/>
      <c r="S96" s="434"/>
      <c r="T96" s="347"/>
    </row>
    <row r="97" spans="1:20" s="305" customFormat="1" ht="60" customHeight="1" thickBot="1">
      <c r="A97" s="749"/>
      <c r="B97" s="752"/>
      <c r="C97" s="286">
        <v>5</v>
      </c>
      <c r="D97" s="244" t="s">
        <v>503</v>
      </c>
      <c r="E97" s="252"/>
      <c r="F97" s="253"/>
      <c r="G97" s="313" t="s">
        <v>514</v>
      </c>
      <c r="H97" s="312"/>
      <c r="I97" s="313"/>
      <c r="J97" s="324">
        <v>629</v>
      </c>
      <c r="K97" s="255">
        <v>7.251631617113851E-3</v>
      </c>
      <c r="L97" s="325">
        <v>5.6500000000000226</v>
      </c>
      <c r="M97" s="330">
        <f t="shared" si="9"/>
        <v>3553.850000000014</v>
      </c>
      <c r="N97" s="322"/>
      <c r="O97" s="758" t="s">
        <v>711</v>
      </c>
      <c r="P97" s="759"/>
      <c r="R97" s="436"/>
      <c r="S97" s="435"/>
      <c r="T97" s="296"/>
    </row>
    <row r="98" spans="1:20" ht="15.75" customHeight="1" thickTop="1" thickBot="1">
      <c r="A98" s="750"/>
      <c r="B98" s="753"/>
      <c r="C98" s="762"/>
      <c r="D98" s="763"/>
      <c r="E98" s="763"/>
      <c r="F98" s="763"/>
      <c r="G98" s="763"/>
      <c r="H98" s="763"/>
      <c r="I98" s="764"/>
      <c r="J98" s="360" t="s">
        <v>58</v>
      </c>
      <c r="K98" s="358">
        <f>M98/'生產管理報表 7-1 (週)'!$B$43</f>
        <v>0.1557392994302233</v>
      </c>
      <c r="L98" s="361" t="s">
        <v>59</v>
      </c>
      <c r="M98" s="362">
        <f>SUM(M93:M97)</f>
        <v>27260.513699999858</v>
      </c>
      <c r="N98" s="765"/>
      <c r="O98" s="766"/>
      <c r="P98" s="767"/>
      <c r="R98" s="351"/>
      <c r="S98" s="351"/>
    </row>
    <row r="99" spans="1:20" ht="15.75" customHeight="1" thickTop="1">
      <c r="M99" s="337"/>
      <c r="S99" s="352"/>
    </row>
    <row r="100" spans="1:20" ht="15.75" customHeight="1">
      <c r="A100" s="738" t="s">
        <v>191</v>
      </c>
      <c r="B100" s="739"/>
      <c r="C100" s="282" t="s">
        <v>47</v>
      </c>
      <c r="D100" s="740" t="s">
        <v>12</v>
      </c>
      <c r="E100" s="741"/>
      <c r="F100" s="742"/>
      <c r="G100" s="743" t="s">
        <v>53</v>
      </c>
      <c r="H100" s="744"/>
      <c r="I100" s="745"/>
      <c r="J100" s="414" t="s">
        <v>54</v>
      </c>
      <c r="K100" s="283" t="s">
        <v>55</v>
      </c>
      <c r="L100" s="283" t="s">
        <v>56</v>
      </c>
      <c r="M100" s="338" t="s">
        <v>11</v>
      </c>
      <c r="N100" s="284" t="s">
        <v>333</v>
      </c>
      <c r="O100" s="746" t="s">
        <v>51</v>
      </c>
      <c r="P100" s="747"/>
      <c r="S100" s="351"/>
      <c r="T100" s="347"/>
    </row>
    <row r="101" spans="1:20" s="305" customFormat="1" ht="60" customHeight="1">
      <c r="A101" s="748">
        <v>5</v>
      </c>
      <c r="B101" s="768" t="s">
        <v>215</v>
      </c>
      <c r="C101" s="286">
        <v>1</v>
      </c>
      <c r="D101" s="244" t="s">
        <v>342</v>
      </c>
      <c r="E101" s="245"/>
      <c r="F101" s="246"/>
      <c r="G101" s="313" t="s">
        <v>337</v>
      </c>
      <c r="H101" s="312"/>
      <c r="I101" s="313"/>
      <c r="J101" s="320">
        <v>147.43000000000004</v>
      </c>
      <c r="K101" s="321">
        <v>0</v>
      </c>
      <c r="L101" s="322">
        <v>111.64999999999964</v>
      </c>
      <c r="M101" s="330">
        <f>L101*J101</f>
        <v>16460.559499999952</v>
      </c>
      <c r="N101" s="322"/>
      <c r="O101" s="823" t="s">
        <v>707</v>
      </c>
      <c r="P101" s="824"/>
      <c r="S101" s="435"/>
      <c r="T101" s="347"/>
    </row>
    <row r="102" spans="1:20" s="305" customFormat="1" ht="24.95" customHeight="1">
      <c r="A102" s="749"/>
      <c r="B102" s="769"/>
      <c r="C102" s="286">
        <v>2</v>
      </c>
      <c r="D102" s="244"/>
      <c r="E102" s="245"/>
      <c r="F102" s="246"/>
      <c r="G102" s="367"/>
      <c r="H102" s="312"/>
      <c r="I102" s="313"/>
      <c r="J102" s="320"/>
      <c r="K102" s="321"/>
      <c r="L102" s="322"/>
      <c r="M102" s="330">
        <f t="shared" ref="M102:M105" si="10">L102*J102</f>
        <v>0</v>
      </c>
      <c r="N102" s="322"/>
      <c r="O102" s="773"/>
      <c r="P102" s="774"/>
      <c r="S102" s="351"/>
      <c r="T102" s="348"/>
    </row>
    <row r="103" spans="1:20" ht="24.95" customHeight="1">
      <c r="A103" s="749"/>
      <c r="B103" s="769"/>
      <c r="C103" s="286">
        <v>3</v>
      </c>
      <c r="D103" s="244"/>
      <c r="E103" s="245"/>
      <c r="F103" s="246"/>
      <c r="G103" s="367"/>
      <c r="H103" s="312"/>
      <c r="I103" s="313"/>
      <c r="J103" s="320"/>
      <c r="K103" s="321"/>
      <c r="L103" s="322"/>
      <c r="M103" s="330">
        <f t="shared" si="10"/>
        <v>0</v>
      </c>
      <c r="N103" s="295"/>
      <c r="O103" s="795"/>
      <c r="P103" s="796"/>
    </row>
    <row r="104" spans="1:20" ht="24.95" customHeight="1">
      <c r="A104" s="749"/>
      <c r="B104" s="769"/>
      <c r="C104" s="286">
        <v>4</v>
      </c>
      <c r="D104" s="287"/>
      <c r="E104" s="288"/>
      <c r="F104" s="289"/>
      <c r="G104" s="367"/>
      <c r="H104" s="312"/>
      <c r="I104" s="313"/>
      <c r="J104" s="293"/>
      <c r="K104" s="294"/>
      <c r="L104" s="295"/>
      <c r="M104" s="330">
        <f t="shared" si="10"/>
        <v>0</v>
      </c>
      <c r="N104" s="295"/>
      <c r="O104" s="306"/>
      <c r="P104" s="307"/>
    </row>
    <row r="105" spans="1:20" ht="24.95" customHeight="1" thickBot="1">
      <c r="A105" s="749"/>
      <c r="B105" s="769"/>
      <c r="C105" s="286">
        <v>5</v>
      </c>
      <c r="D105" s="297"/>
      <c r="E105" s="298"/>
      <c r="F105" s="299"/>
      <c r="G105" s="367"/>
      <c r="H105" s="312"/>
      <c r="I105" s="313"/>
      <c r="J105" s="300"/>
      <c r="K105" s="255"/>
      <c r="L105" s="301"/>
      <c r="M105" s="330">
        <f t="shared" si="10"/>
        <v>0</v>
      </c>
      <c r="N105" s="295"/>
      <c r="O105" s="308"/>
      <c r="P105" s="309"/>
      <c r="R105" s="355"/>
    </row>
    <row r="106" spans="1:20" ht="15.75" customHeight="1" thickTop="1" thickBot="1">
      <c r="A106" s="750"/>
      <c r="B106" s="770"/>
      <c r="C106" s="777"/>
      <c r="D106" s="778"/>
      <c r="E106" s="778"/>
      <c r="F106" s="778"/>
      <c r="G106" s="778"/>
      <c r="H106" s="778"/>
      <c r="I106" s="779"/>
      <c r="J106" s="360" t="s">
        <v>58</v>
      </c>
      <c r="K106" s="358">
        <f>M106/'生產管理報表 7-1 (週)'!$B$43</f>
        <v>9.4039167162118187E-2</v>
      </c>
      <c r="L106" s="361" t="s">
        <v>59</v>
      </c>
      <c r="M106" s="362">
        <f>SUM(M101:M105)</f>
        <v>16460.559499999952</v>
      </c>
      <c r="N106" s="765"/>
      <c r="O106" s="766"/>
      <c r="P106" s="767"/>
      <c r="R106" s="351"/>
    </row>
    <row r="107" spans="1:20" ht="15.75" customHeight="1" thickTop="1">
      <c r="K107" s="296" t="s">
        <v>493</v>
      </c>
      <c r="M107" s="337"/>
      <c r="R107" s="351"/>
    </row>
    <row r="108" spans="1:20" ht="24.95" customHeight="1">
      <c r="A108" s="738" t="s">
        <v>191</v>
      </c>
      <c r="B108" s="739"/>
      <c r="C108" s="310" t="s">
        <v>47</v>
      </c>
      <c r="D108" s="782" t="s">
        <v>12</v>
      </c>
      <c r="E108" s="783"/>
      <c r="F108" s="784"/>
      <c r="G108" s="785" t="s">
        <v>53</v>
      </c>
      <c r="H108" s="786"/>
      <c r="I108" s="787"/>
      <c r="J108" s="311" t="s">
        <v>54</v>
      </c>
      <c r="K108" s="283" t="s">
        <v>55</v>
      </c>
      <c r="L108" s="283" t="s">
        <v>56</v>
      </c>
      <c r="M108" s="338" t="s">
        <v>11</v>
      </c>
      <c r="N108" s="284" t="s">
        <v>333</v>
      </c>
      <c r="O108" s="746" t="s">
        <v>51</v>
      </c>
      <c r="P108" s="747"/>
      <c r="R108" s="351"/>
    </row>
    <row r="109" spans="1:20" ht="54.95" customHeight="1">
      <c r="A109" s="748">
        <v>6</v>
      </c>
      <c r="B109" s="768" t="s">
        <v>216</v>
      </c>
      <c r="C109" s="286">
        <v>1</v>
      </c>
      <c r="D109" s="356" t="s">
        <v>717</v>
      </c>
      <c r="E109" s="288"/>
      <c r="F109" s="289"/>
      <c r="G109" s="313" t="s">
        <v>731</v>
      </c>
      <c r="H109" s="312"/>
      <c r="I109" s="313"/>
      <c r="J109" s="320">
        <v>97.830000000000013</v>
      </c>
      <c r="K109" s="321">
        <v>0</v>
      </c>
      <c r="L109" s="322">
        <v>118.50999999999976</v>
      </c>
      <c r="M109" s="330">
        <f t="shared" ref="M109:M113" si="11">L109*J109</f>
        <v>11593.833299999978</v>
      </c>
      <c r="N109" s="295"/>
      <c r="O109" s="760" t="s">
        <v>778</v>
      </c>
      <c r="P109" s="761"/>
      <c r="R109" s="348"/>
      <c r="S109" s="348"/>
    </row>
    <row r="110" spans="1:20" ht="54.95" customHeight="1">
      <c r="A110" s="749"/>
      <c r="B110" s="769"/>
      <c r="C110" s="286">
        <v>2</v>
      </c>
      <c r="D110" s="244" t="s">
        <v>342</v>
      </c>
      <c r="E110" s="288"/>
      <c r="F110" s="289"/>
      <c r="G110" s="313" t="s">
        <v>726</v>
      </c>
      <c r="H110" s="312"/>
      <c r="I110" s="313"/>
      <c r="J110" s="320">
        <v>39.389999999999993</v>
      </c>
      <c r="K110" s="321">
        <v>0</v>
      </c>
      <c r="L110" s="322">
        <v>263.05999999999767</v>
      </c>
      <c r="M110" s="330">
        <f t="shared" si="11"/>
        <v>10361.933399999907</v>
      </c>
      <c r="N110" s="295"/>
      <c r="O110" s="760" t="s">
        <v>780</v>
      </c>
      <c r="P110" s="761"/>
      <c r="R110" s="348"/>
      <c r="S110" s="348"/>
    </row>
    <row r="111" spans="1:20" ht="54.95" customHeight="1">
      <c r="A111" s="749"/>
      <c r="B111" s="769"/>
      <c r="C111" s="286">
        <v>3</v>
      </c>
      <c r="D111" s="244" t="s">
        <v>344</v>
      </c>
      <c r="E111" s="288"/>
      <c r="F111" s="289"/>
      <c r="G111" s="313" t="s">
        <v>504</v>
      </c>
      <c r="H111" s="312"/>
      <c r="I111" s="313"/>
      <c r="J111" s="320">
        <v>605.77999999999986</v>
      </c>
      <c r="K111" s="321">
        <v>4.4643670620820344E-4</v>
      </c>
      <c r="L111" s="322">
        <v>10.309999999999954</v>
      </c>
      <c r="M111" s="330">
        <f t="shared" si="11"/>
        <v>6245.591799999971</v>
      </c>
      <c r="N111" s="295"/>
      <c r="O111" s="760" t="s">
        <v>708</v>
      </c>
      <c r="P111" s="761"/>
      <c r="R111" s="348"/>
    </row>
    <row r="112" spans="1:20" ht="54.95" customHeight="1">
      <c r="A112" s="749"/>
      <c r="B112" s="769"/>
      <c r="C112" s="286">
        <v>4</v>
      </c>
      <c r="D112" s="244" t="s">
        <v>511</v>
      </c>
      <c r="E112" s="288"/>
      <c r="F112" s="289"/>
      <c r="G112" s="313" t="s">
        <v>509</v>
      </c>
      <c r="H112" s="312"/>
      <c r="I112" s="313"/>
      <c r="J112" s="320">
        <v>407.74000000000007</v>
      </c>
      <c r="K112" s="321">
        <v>3.444089511886414E-4</v>
      </c>
      <c r="L112" s="322">
        <v>13.979999999999881</v>
      </c>
      <c r="M112" s="330">
        <f t="shared" si="11"/>
        <v>5700.2051999999521</v>
      </c>
      <c r="N112" s="295"/>
      <c r="O112" s="760" t="s">
        <v>752</v>
      </c>
      <c r="P112" s="761"/>
      <c r="R112" s="348"/>
      <c r="S112" s="348"/>
    </row>
    <row r="113" spans="1:20" ht="54.95" customHeight="1" thickBot="1">
      <c r="A113" s="749"/>
      <c r="B113" s="769"/>
      <c r="C113" s="286">
        <v>5</v>
      </c>
      <c r="D113" s="251" t="s">
        <v>342</v>
      </c>
      <c r="E113" s="298"/>
      <c r="F113" s="299"/>
      <c r="G113" s="313" t="s">
        <v>496</v>
      </c>
      <c r="H113" s="312"/>
      <c r="I113" s="313"/>
      <c r="J113" s="324">
        <v>3.2199999999999998</v>
      </c>
      <c r="K113" s="255">
        <v>1.9879942434601473E-4</v>
      </c>
      <c r="L113" s="325">
        <v>796</v>
      </c>
      <c r="M113" s="330">
        <f t="shared" si="11"/>
        <v>2563.12</v>
      </c>
      <c r="N113" s="295"/>
      <c r="O113" s="760" t="s">
        <v>779</v>
      </c>
      <c r="P113" s="761"/>
    </row>
    <row r="114" spans="1:20" ht="15.75" customHeight="1" thickTop="1" thickBot="1">
      <c r="A114" s="750"/>
      <c r="B114" s="770"/>
      <c r="C114" s="777"/>
      <c r="D114" s="778"/>
      <c r="E114" s="778"/>
      <c r="F114" s="778"/>
      <c r="G114" s="778"/>
      <c r="H114" s="778"/>
      <c r="I114" s="779"/>
      <c r="J114" s="360" t="s">
        <v>58</v>
      </c>
      <c r="K114" s="358">
        <f>M114/'生產管理報表 7-1 (週)'!$B$43</f>
        <v>0.20832271746158193</v>
      </c>
      <c r="L114" s="361" t="s">
        <v>59</v>
      </c>
      <c r="M114" s="362">
        <f>SUM(M109:M113)</f>
        <v>36464.683699999812</v>
      </c>
      <c r="N114" s="765"/>
      <c r="O114" s="766"/>
      <c r="P114" s="767"/>
    </row>
    <row r="115" spans="1:20" s="136" customFormat="1" ht="15.75" customHeight="1" thickTop="1">
      <c r="A115" s="699" t="s">
        <v>771</v>
      </c>
      <c r="B115" s="699"/>
      <c r="C115" s="699"/>
      <c r="D115" s="699"/>
      <c r="E115" s="699"/>
      <c r="F115" s="699"/>
      <c r="G115" s="699"/>
      <c r="H115" s="699"/>
      <c r="I115" s="699"/>
      <c r="J115" s="699"/>
      <c r="K115" s="699"/>
      <c r="L115" s="699"/>
      <c r="M115" s="699"/>
    </row>
    <row r="116" spans="1:20" s="137" customFormat="1" ht="15.75" customHeight="1">
      <c r="A116" s="733"/>
      <c r="B116" s="733"/>
      <c r="C116" s="733"/>
      <c r="D116" s="733"/>
      <c r="E116" s="733"/>
      <c r="F116" s="733"/>
      <c r="G116" s="733"/>
      <c r="H116" s="733"/>
      <c r="I116" s="733"/>
      <c r="J116" s="733"/>
      <c r="K116" s="733"/>
      <c r="L116" s="733"/>
      <c r="M116" s="733"/>
    </row>
    <row r="117" spans="1:20" s="136" customFormat="1" ht="15.75" customHeight="1">
      <c r="A117" s="734" t="s">
        <v>191</v>
      </c>
      <c r="B117" s="736">
        <v>1</v>
      </c>
      <c r="C117" s="737"/>
      <c r="D117" s="736">
        <v>2</v>
      </c>
      <c r="E117" s="737"/>
      <c r="F117" s="736">
        <v>3</v>
      </c>
      <c r="G117" s="737"/>
      <c r="H117" s="727">
        <v>4</v>
      </c>
      <c r="I117" s="728"/>
      <c r="J117" s="727">
        <v>5</v>
      </c>
      <c r="K117" s="728"/>
      <c r="L117" s="727">
        <v>6</v>
      </c>
      <c r="M117" s="728"/>
      <c r="N117" s="727">
        <v>7</v>
      </c>
      <c r="O117" s="728"/>
      <c r="P117" s="335">
        <v>8</v>
      </c>
    </row>
    <row r="118" spans="1:20" s="136" customFormat="1" ht="15.75" customHeight="1">
      <c r="A118" s="735"/>
      <c r="B118" s="731" t="s">
        <v>487</v>
      </c>
      <c r="C118" s="732"/>
      <c r="D118" s="731" t="s">
        <v>212</v>
      </c>
      <c r="E118" s="732"/>
      <c r="F118" s="731" t="s">
        <v>166</v>
      </c>
      <c r="G118" s="732"/>
      <c r="H118" s="729" t="s">
        <v>457</v>
      </c>
      <c r="I118" s="730"/>
      <c r="J118" s="729" t="s">
        <v>189</v>
      </c>
      <c r="K118" s="730"/>
      <c r="L118" s="729" t="s">
        <v>167</v>
      </c>
      <c r="M118" s="730"/>
      <c r="N118" s="729" t="s">
        <v>190</v>
      </c>
      <c r="O118" s="730"/>
      <c r="P118" s="336" t="s">
        <v>217</v>
      </c>
    </row>
    <row r="119" spans="1:20" s="136" customFormat="1" ht="15.75" customHeight="1">
      <c r="B119" s="239"/>
      <c r="C119" s="240"/>
    </row>
    <row r="120" spans="1:20" s="285" customFormat="1" ht="15.75" customHeight="1">
      <c r="A120" s="738" t="s">
        <v>191</v>
      </c>
      <c r="B120" s="739"/>
      <c r="C120" s="282" t="s">
        <v>47</v>
      </c>
      <c r="D120" s="740" t="s">
        <v>12</v>
      </c>
      <c r="E120" s="741"/>
      <c r="F120" s="742"/>
      <c r="G120" s="743" t="s">
        <v>53</v>
      </c>
      <c r="H120" s="744"/>
      <c r="I120" s="745"/>
      <c r="J120" s="283" t="s">
        <v>54</v>
      </c>
      <c r="K120" s="283" t="s">
        <v>55</v>
      </c>
      <c r="L120" s="283" t="s">
        <v>56</v>
      </c>
      <c r="M120" s="284" t="s">
        <v>11</v>
      </c>
      <c r="N120" s="284" t="s">
        <v>333</v>
      </c>
      <c r="O120" s="746" t="s">
        <v>51</v>
      </c>
      <c r="P120" s="747"/>
      <c r="R120" s="351"/>
      <c r="S120" s="352"/>
    </row>
    <row r="121" spans="1:20" s="305" customFormat="1" ht="60" customHeight="1">
      <c r="A121" s="748">
        <v>4</v>
      </c>
      <c r="B121" s="751" t="s">
        <v>457</v>
      </c>
      <c r="C121" s="286">
        <v>1</v>
      </c>
      <c r="D121" s="244"/>
      <c r="E121" s="245"/>
      <c r="F121" s="246"/>
      <c r="G121" s="313"/>
      <c r="H121" s="312"/>
      <c r="I121" s="313"/>
      <c r="J121" s="320"/>
      <c r="K121" s="321"/>
      <c r="L121" s="322"/>
      <c r="M121" s="330">
        <f t="shared" ref="M121:M125" si="12">L121*J121</f>
        <v>0</v>
      </c>
      <c r="N121" s="322"/>
      <c r="O121" s="756"/>
      <c r="P121" s="757"/>
      <c r="R121" s="433"/>
      <c r="S121" s="352"/>
    </row>
    <row r="122" spans="1:20" s="305" customFormat="1" ht="60" customHeight="1">
      <c r="A122" s="749"/>
      <c r="B122" s="752"/>
      <c r="C122" s="286">
        <v>2</v>
      </c>
      <c r="D122" s="244"/>
      <c r="E122" s="245"/>
      <c r="F122" s="246"/>
      <c r="G122" s="313"/>
      <c r="H122" s="312"/>
      <c r="I122" s="313"/>
      <c r="J122" s="320"/>
      <c r="K122" s="321"/>
      <c r="L122" s="322"/>
      <c r="M122" s="330">
        <f t="shared" si="12"/>
        <v>0</v>
      </c>
      <c r="N122" s="322"/>
      <c r="O122" s="756"/>
      <c r="P122" s="757"/>
      <c r="R122" s="433"/>
      <c r="S122" s="434"/>
      <c r="T122" s="347"/>
    </row>
    <row r="123" spans="1:20" s="305" customFormat="1" ht="60" customHeight="1">
      <c r="A123" s="749"/>
      <c r="B123" s="752"/>
      <c r="C123" s="286">
        <v>3</v>
      </c>
      <c r="D123" s="244"/>
      <c r="E123" s="245"/>
      <c r="F123" s="246"/>
      <c r="G123" s="313"/>
      <c r="H123" s="312"/>
      <c r="I123" s="313"/>
      <c r="J123" s="320"/>
      <c r="K123" s="321"/>
      <c r="L123" s="322"/>
      <c r="M123" s="330">
        <f t="shared" si="12"/>
        <v>0</v>
      </c>
      <c r="N123" s="322"/>
      <c r="O123" s="758"/>
      <c r="P123" s="759"/>
      <c r="R123" s="433"/>
      <c r="S123" s="435"/>
    </row>
    <row r="124" spans="1:20" s="305" customFormat="1" ht="60" customHeight="1">
      <c r="A124" s="749"/>
      <c r="B124" s="752"/>
      <c r="C124" s="286">
        <v>4</v>
      </c>
      <c r="D124" s="244"/>
      <c r="E124" s="245"/>
      <c r="F124" s="246"/>
      <c r="G124" s="367"/>
      <c r="H124" s="312"/>
      <c r="I124" s="313"/>
      <c r="J124" s="320"/>
      <c r="K124" s="321"/>
      <c r="L124" s="322"/>
      <c r="M124" s="330">
        <f t="shared" si="12"/>
        <v>0</v>
      </c>
      <c r="N124" s="322"/>
      <c r="O124" s="758"/>
      <c r="P124" s="759"/>
      <c r="R124" s="433"/>
      <c r="S124" s="434"/>
      <c r="T124" s="347"/>
    </row>
    <row r="125" spans="1:20" s="305" customFormat="1" ht="60" customHeight="1" thickBot="1">
      <c r="A125" s="749"/>
      <c r="B125" s="752"/>
      <c r="C125" s="286">
        <v>5</v>
      </c>
      <c r="D125" s="244"/>
      <c r="E125" s="252"/>
      <c r="F125" s="253"/>
      <c r="G125" s="313"/>
      <c r="H125" s="312"/>
      <c r="I125" s="313"/>
      <c r="J125" s="324"/>
      <c r="K125" s="255"/>
      <c r="L125" s="325"/>
      <c r="M125" s="330">
        <f t="shared" si="12"/>
        <v>0</v>
      </c>
      <c r="N125" s="322"/>
      <c r="O125" s="758"/>
      <c r="P125" s="759"/>
      <c r="R125" s="436"/>
      <c r="S125" s="435"/>
      <c r="T125" s="296"/>
    </row>
    <row r="126" spans="1:20" ht="15.75" customHeight="1" thickTop="1" thickBot="1">
      <c r="A126" s="750"/>
      <c r="B126" s="753"/>
      <c r="C126" s="762"/>
      <c r="D126" s="763"/>
      <c r="E126" s="763"/>
      <c r="F126" s="763"/>
      <c r="G126" s="763"/>
      <c r="H126" s="763"/>
      <c r="I126" s="764"/>
      <c r="J126" s="360" t="s">
        <v>58</v>
      </c>
      <c r="K126" s="358">
        <f>M126/'生產管理報表 7-1 (週)'!$B$54</f>
        <v>0</v>
      </c>
      <c r="L126" s="361" t="s">
        <v>59</v>
      </c>
      <c r="M126" s="362">
        <f>SUM(M121:M125)</f>
        <v>0</v>
      </c>
      <c r="N126" s="765"/>
      <c r="O126" s="766"/>
      <c r="P126" s="767"/>
      <c r="R126" s="351"/>
      <c r="S126" s="351"/>
    </row>
    <row r="127" spans="1:20" ht="15.75" customHeight="1" thickTop="1">
      <c r="M127" s="337"/>
      <c r="S127" s="352"/>
    </row>
    <row r="128" spans="1:20" ht="15.75" customHeight="1">
      <c r="A128" s="738" t="s">
        <v>191</v>
      </c>
      <c r="B128" s="739"/>
      <c r="C128" s="282" t="s">
        <v>47</v>
      </c>
      <c r="D128" s="740" t="s">
        <v>12</v>
      </c>
      <c r="E128" s="741"/>
      <c r="F128" s="742"/>
      <c r="G128" s="743" t="s">
        <v>53</v>
      </c>
      <c r="H128" s="744"/>
      <c r="I128" s="745"/>
      <c r="J128" s="414" t="s">
        <v>54</v>
      </c>
      <c r="K128" s="283" t="s">
        <v>55</v>
      </c>
      <c r="L128" s="283" t="s">
        <v>56</v>
      </c>
      <c r="M128" s="338" t="s">
        <v>11</v>
      </c>
      <c r="N128" s="284" t="s">
        <v>333</v>
      </c>
      <c r="O128" s="746" t="s">
        <v>51</v>
      </c>
      <c r="P128" s="747"/>
      <c r="S128" s="351"/>
      <c r="T128" s="347"/>
    </row>
    <row r="129" spans="1:20" s="305" customFormat="1" ht="60" customHeight="1">
      <c r="A129" s="748">
        <v>5</v>
      </c>
      <c r="B129" s="768" t="s">
        <v>215</v>
      </c>
      <c r="C129" s="286">
        <v>1</v>
      </c>
      <c r="D129" s="244"/>
      <c r="E129" s="245"/>
      <c r="F129" s="246"/>
      <c r="G129" s="313"/>
      <c r="H129" s="312"/>
      <c r="I129" s="313"/>
      <c r="J129" s="320"/>
      <c r="K129" s="321"/>
      <c r="L129" s="322"/>
      <c r="M129" s="330">
        <f>L129*J129</f>
        <v>0</v>
      </c>
      <c r="N129" s="322"/>
      <c r="O129" s="823"/>
      <c r="P129" s="824"/>
      <c r="S129" s="435"/>
      <c r="T129" s="347"/>
    </row>
    <row r="130" spans="1:20" s="305" customFormat="1" ht="24.95" customHeight="1">
      <c r="A130" s="749"/>
      <c r="B130" s="769"/>
      <c r="C130" s="286">
        <v>2</v>
      </c>
      <c r="D130" s="244"/>
      <c r="E130" s="245"/>
      <c r="F130" s="246"/>
      <c r="G130" s="367"/>
      <c r="H130" s="312"/>
      <c r="I130" s="313"/>
      <c r="J130" s="320"/>
      <c r="K130" s="321"/>
      <c r="L130" s="322"/>
      <c r="M130" s="330">
        <f t="shared" ref="M130:M133" si="13">L130*J130</f>
        <v>0</v>
      </c>
      <c r="N130" s="322"/>
      <c r="O130" s="773"/>
      <c r="P130" s="774"/>
      <c r="S130" s="351"/>
      <c r="T130" s="348"/>
    </row>
    <row r="131" spans="1:20" ht="24.95" customHeight="1">
      <c r="A131" s="749"/>
      <c r="B131" s="769"/>
      <c r="C131" s="286">
        <v>3</v>
      </c>
      <c r="D131" s="244"/>
      <c r="E131" s="245"/>
      <c r="F131" s="246"/>
      <c r="G131" s="367"/>
      <c r="H131" s="312"/>
      <c r="I131" s="313"/>
      <c r="J131" s="320"/>
      <c r="K131" s="321"/>
      <c r="L131" s="322"/>
      <c r="M131" s="330">
        <f t="shared" si="13"/>
        <v>0</v>
      </c>
      <c r="N131" s="295"/>
      <c r="O131" s="795"/>
      <c r="P131" s="796"/>
    </row>
    <row r="132" spans="1:20" ht="24.95" customHeight="1">
      <c r="A132" s="749"/>
      <c r="B132" s="769"/>
      <c r="C132" s="286">
        <v>4</v>
      </c>
      <c r="D132" s="287"/>
      <c r="E132" s="288"/>
      <c r="F132" s="289"/>
      <c r="G132" s="367"/>
      <c r="H132" s="312"/>
      <c r="I132" s="313"/>
      <c r="J132" s="293"/>
      <c r="K132" s="294"/>
      <c r="L132" s="295"/>
      <c r="M132" s="330">
        <f t="shared" si="13"/>
        <v>0</v>
      </c>
      <c r="N132" s="295"/>
      <c r="O132" s="306"/>
      <c r="P132" s="307"/>
    </row>
    <row r="133" spans="1:20" ht="24.95" customHeight="1" thickBot="1">
      <c r="A133" s="749"/>
      <c r="B133" s="769"/>
      <c r="C133" s="286">
        <v>5</v>
      </c>
      <c r="D133" s="297"/>
      <c r="E133" s="298"/>
      <c r="F133" s="299"/>
      <c r="G133" s="367"/>
      <c r="H133" s="312"/>
      <c r="I133" s="313"/>
      <c r="J133" s="300"/>
      <c r="K133" s="255"/>
      <c r="L133" s="301"/>
      <c r="M133" s="330">
        <f t="shared" si="13"/>
        <v>0</v>
      </c>
      <c r="N133" s="295"/>
      <c r="O133" s="308"/>
      <c r="P133" s="309"/>
      <c r="R133" s="355"/>
    </row>
    <row r="134" spans="1:20" ht="15.75" customHeight="1" thickTop="1" thickBot="1">
      <c r="A134" s="750"/>
      <c r="B134" s="770"/>
      <c r="C134" s="777"/>
      <c r="D134" s="778"/>
      <c r="E134" s="778"/>
      <c r="F134" s="778"/>
      <c r="G134" s="778"/>
      <c r="H134" s="778"/>
      <c r="I134" s="779"/>
      <c r="J134" s="360" t="s">
        <v>58</v>
      </c>
      <c r="K134" s="358">
        <f>M134/'生產管理報表 7-1 (週)'!$B$54</f>
        <v>0</v>
      </c>
      <c r="L134" s="361" t="s">
        <v>59</v>
      </c>
      <c r="M134" s="362">
        <f>SUM(M129:M133)</f>
        <v>0</v>
      </c>
      <c r="N134" s="765"/>
      <c r="O134" s="766"/>
      <c r="P134" s="767"/>
      <c r="R134" s="351"/>
    </row>
    <row r="135" spans="1:20" ht="15.75" customHeight="1" thickTop="1">
      <c r="K135" s="296" t="s">
        <v>493</v>
      </c>
      <c r="M135" s="337"/>
      <c r="R135" s="351"/>
    </row>
    <row r="136" spans="1:20" ht="24.95" customHeight="1">
      <c r="A136" s="738" t="s">
        <v>191</v>
      </c>
      <c r="B136" s="739"/>
      <c r="C136" s="310" t="s">
        <v>47</v>
      </c>
      <c r="D136" s="782" t="s">
        <v>12</v>
      </c>
      <c r="E136" s="783"/>
      <c r="F136" s="784"/>
      <c r="G136" s="785" t="s">
        <v>53</v>
      </c>
      <c r="H136" s="786"/>
      <c r="I136" s="787"/>
      <c r="J136" s="311" t="s">
        <v>54</v>
      </c>
      <c r="K136" s="283" t="s">
        <v>55</v>
      </c>
      <c r="L136" s="283" t="s">
        <v>56</v>
      </c>
      <c r="M136" s="338" t="s">
        <v>11</v>
      </c>
      <c r="N136" s="284" t="s">
        <v>333</v>
      </c>
      <c r="O136" s="746" t="s">
        <v>51</v>
      </c>
      <c r="P136" s="747"/>
      <c r="R136" s="351"/>
    </row>
    <row r="137" spans="1:20" ht="54.95" customHeight="1">
      <c r="A137" s="748">
        <v>6</v>
      </c>
      <c r="B137" s="768" t="s">
        <v>216</v>
      </c>
      <c r="C137" s="286">
        <v>1</v>
      </c>
      <c r="D137" s="356"/>
      <c r="E137" s="288"/>
      <c r="F137" s="289"/>
      <c r="G137" s="313"/>
      <c r="H137" s="312"/>
      <c r="I137" s="313"/>
      <c r="J137" s="320"/>
      <c r="K137" s="321"/>
      <c r="L137" s="322"/>
      <c r="M137" s="330">
        <f t="shared" ref="M137:M141" si="14">L137*J137</f>
        <v>0</v>
      </c>
      <c r="N137" s="295"/>
      <c r="O137" s="760"/>
      <c r="P137" s="761"/>
      <c r="R137" s="348"/>
      <c r="S137" s="348"/>
    </row>
    <row r="138" spans="1:20" ht="54.95" customHeight="1">
      <c r="A138" s="749"/>
      <c r="B138" s="769"/>
      <c r="C138" s="286">
        <v>2</v>
      </c>
      <c r="D138" s="244"/>
      <c r="E138" s="288"/>
      <c r="F138" s="289"/>
      <c r="G138" s="313"/>
      <c r="H138" s="312"/>
      <c r="I138" s="313"/>
      <c r="J138" s="320"/>
      <c r="K138" s="321"/>
      <c r="L138" s="322"/>
      <c r="M138" s="330">
        <f t="shared" si="14"/>
        <v>0</v>
      </c>
      <c r="N138" s="295"/>
      <c r="O138" s="760"/>
      <c r="P138" s="761"/>
      <c r="R138" s="348"/>
      <c r="S138" s="348"/>
    </row>
    <row r="139" spans="1:20" ht="54.95" customHeight="1">
      <c r="A139" s="749"/>
      <c r="B139" s="769"/>
      <c r="C139" s="286">
        <v>3</v>
      </c>
      <c r="D139" s="244"/>
      <c r="E139" s="288"/>
      <c r="F139" s="289"/>
      <c r="G139" s="313"/>
      <c r="H139" s="312"/>
      <c r="I139" s="313"/>
      <c r="J139" s="320"/>
      <c r="K139" s="321"/>
      <c r="L139" s="322"/>
      <c r="M139" s="330">
        <f t="shared" si="14"/>
        <v>0</v>
      </c>
      <c r="N139" s="295"/>
      <c r="O139" s="760"/>
      <c r="P139" s="761"/>
      <c r="R139" s="348"/>
    </row>
    <row r="140" spans="1:20" ht="54.95" customHeight="1">
      <c r="A140" s="749"/>
      <c r="B140" s="769"/>
      <c r="C140" s="286">
        <v>4</v>
      </c>
      <c r="D140" s="244"/>
      <c r="E140" s="288"/>
      <c r="F140" s="289"/>
      <c r="G140" s="367"/>
      <c r="H140" s="312"/>
      <c r="I140" s="313"/>
      <c r="J140" s="320"/>
      <c r="K140" s="321"/>
      <c r="L140" s="322"/>
      <c r="M140" s="330">
        <f t="shared" si="14"/>
        <v>0</v>
      </c>
      <c r="N140" s="295"/>
      <c r="O140" s="760"/>
      <c r="P140" s="761"/>
      <c r="R140" s="348"/>
      <c r="S140" s="348"/>
    </row>
    <row r="141" spans="1:20" ht="54.95" customHeight="1" thickBot="1">
      <c r="A141" s="749"/>
      <c r="B141" s="769"/>
      <c r="C141" s="286">
        <v>5</v>
      </c>
      <c r="D141" s="251"/>
      <c r="E141" s="298"/>
      <c r="F141" s="299"/>
      <c r="G141" s="367"/>
      <c r="H141" s="312"/>
      <c r="I141" s="313"/>
      <c r="J141" s="324"/>
      <c r="K141" s="255"/>
      <c r="L141" s="325"/>
      <c r="M141" s="330">
        <f t="shared" si="14"/>
        <v>0</v>
      </c>
      <c r="N141" s="295"/>
      <c r="O141" s="760"/>
      <c r="P141" s="761"/>
    </row>
    <row r="142" spans="1:20" ht="15.75" customHeight="1" thickTop="1" thickBot="1">
      <c r="A142" s="750"/>
      <c r="B142" s="770"/>
      <c r="C142" s="777"/>
      <c r="D142" s="778"/>
      <c r="E142" s="778"/>
      <c r="F142" s="778"/>
      <c r="G142" s="778"/>
      <c r="H142" s="778"/>
      <c r="I142" s="779"/>
      <c r="J142" s="360" t="s">
        <v>58</v>
      </c>
      <c r="K142" s="358">
        <f>M142/'生產管理報表 7-1 (週)'!$B$54</f>
        <v>0</v>
      </c>
      <c r="L142" s="361" t="s">
        <v>59</v>
      </c>
      <c r="M142" s="362">
        <f>SUM(M137:M141)</f>
        <v>0</v>
      </c>
      <c r="N142" s="765"/>
      <c r="O142" s="766"/>
      <c r="P142" s="767"/>
    </row>
    <row r="143" spans="1:20" ht="15.75" customHeight="1" thickTop="1"/>
  </sheetData>
  <mergeCells count="26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N61:O61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3" manualBreakCount="3">
    <brk id="30" max="15" man="1"/>
    <brk id="58" max="15" man="1"/>
    <brk id="86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19" sqref="R19"/>
    </sheetView>
  </sheetViews>
  <sheetFormatPr defaultColWidth="12.5703125" defaultRowHeight="15.75" customHeight="1"/>
  <cols>
    <col min="1" max="1" width="5.42578125" style="99" customWidth="1"/>
    <col min="2" max="2" width="7.85546875" style="133" customWidth="1"/>
    <col min="3" max="3" width="4" style="130" customWidth="1"/>
    <col min="4" max="17" width="8.5703125" style="99" customWidth="1"/>
    <col min="18" max="16384" width="12.5703125" style="99"/>
  </cols>
  <sheetData>
    <row r="1" spans="1:17" ht="15.75" customHeight="1">
      <c r="A1" s="508" t="s">
        <v>372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7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7" ht="15.75" customHeight="1">
      <c r="A3" s="674" t="s">
        <v>393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674"/>
      <c r="N3" s="674"/>
      <c r="O3" s="674"/>
      <c r="P3" s="674"/>
      <c r="Q3" s="674"/>
    </row>
    <row r="4" spans="1:17" s="100" customFormat="1" ht="15.75" customHeight="1">
      <c r="A4" s="869"/>
      <c r="B4" s="869"/>
      <c r="C4" s="869"/>
      <c r="D4" s="869"/>
      <c r="E4" s="869"/>
      <c r="F4" s="869"/>
      <c r="G4" s="869"/>
      <c r="H4" s="869"/>
      <c r="I4" s="869"/>
      <c r="J4" s="869"/>
      <c r="K4" s="869"/>
      <c r="L4" s="869"/>
      <c r="M4" s="869"/>
      <c r="N4" s="869"/>
      <c r="O4" s="869"/>
      <c r="P4" s="869"/>
      <c r="Q4" s="869"/>
    </row>
    <row r="5" spans="1:17" ht="15.75" customHeight="1">
      <c r="A5" s="558" t="s">
        <v>191</v>
      </c>
      <c r="B5" s="868">
        <v>1</v>
      </c>
      <c r="C5" s="868"/>
      <c r="D5" s="868">
        <v>2</v>
      </c>
      <c r="E5" s="868"/>
      <c r="F5" s="868">
        <v>3</v>
      </c>
      <c r="G5" s="868"/>
      <c r="H5" s="868">
        <v>4</v>
      </c>
      <c r="I5" s="868"/>
      <c r="J5" s="868">
        <v>5</v>
      </c>
      <c r="K5" s="868"/>
      <c r="L5" s="868">
        <v>6</v>
      </c>
      <c r="M5" s="868"/>
      <c r="N5" s="868">
        <v>7</v>
      </c>
      <c r="O5" s="868"/>
      <c r="P5" s="870">
        <v>8</v>
      </c>
      <c r="Q5" s="870"/>
    </row>
    <row r="6" spans="1:17" ht="15.75" customHeight="1">
      <c r="A6" s="558"/>
      <c r="B6" s="558" t="s">
        <v>251</v>
      </c>
      <c r="C6" s="558"/>
      <c r="D6" s="558" t="s">
        <v>340</v>
      </c>
      <c r="E6" s="558"/>
      <c r="F6" s="558" t="s">
        <v>166</v>
      </c>
      <c r="G6" s="558"/>
      <c r="H6" s="558" t="s">
        <v>457</v>
      </c>
      <c r="I6" s="558"/>
      <c r="J6" s="558" t="s">
        <v>189</v>
      </c>
      <c r="K6" s="558"/>
      <c r="L6" s="558" t="s">
        <v>167</v>
      </c>
      <c r="M6" s="558"/>
      <c r="N6" s="558" t="s">
        <v>190</v>
      </c>
      <c r="O6" s="558"/>
      <c r="P6" s="867" t="s">
        <v>218</v>
      </c>
      <c r="Q6" s="867"/>
    </row>
    <row r="8" spans="1:17" s="106" customFormat="1" ht="15.75" customHeight="1">
      <c r="A8" s="131" t="s">
        <v>193</v>
      </c>
      <c r="B8" s="131" t="s">
        <v>18</v>
      </c>
      <c r="C8" s="864" t="s">
        <v>12</v>
      </c>
      <c r="D8" s="864"/>
      <c r="E8" s="864"/>
      <c r="F8" s="864" t="s">
        <v>53</v>
      </c>
      <c r="G8" s="864"/>
      <c r="H8" s="864"/>
      <c r="I8" s="131" t="s">
        <v>54</v>
      </c>
      <c r="J8" s="134" t="s">
        <v>19</v>
      </c>
      <c r="K8" s="131" t="s">
        <v>57</v>
      </c>
      <c r="L8" s="131" t="s">
        <v>2</v>
      </c>
      <c r="M8" s="864" t="s">
        <v>50</v>
      </c>
      <c r="N8" s="864"/>
      <c r="O8" s="864"/>
      <c r="P8" s="864"/>
      <c r="Q8" s="864"/>
    </row>
    <row r="9" spans="1:17" ht="15.75" customHeight="1">
      <c r="A9" s="864" t="s">
        <v>192</v>
      </c>
      <c r="B9" s="129">
        <v>1</v>
      </c>
      <c r="C9" s="862"/>
      <c r="D9" s="863"/>
      <c r="E9" s="863"/>
      <c r="F9" s="862"/>
      <c r="G9" s="863"/>
      <c r="H9" s="863"/>
      <c r="I9" s="108"/>
      <c r="J9" s="118"/>
      <c r="K9" s="118"/>
      <c r="L9" s="135">
        <f t="shared" ref="L9:L13" si="0">K9-J9</f>
        <v>0</v>
      </c>
      <c r="M9" s="862"/>
      <c r="N9" s="862"/>
      <c r="O9" s="862"/>
      <c r="P9" s="862"/>
      <c r="Q9" s="862"/>
    </row>
    <row r="10" spans="1:17" ht="15.75" customHeight="1">
      <c r="A10" s="864"/>
      <c r="B10" s="129">
        <v>2</v>
      </c>
      <c r="C10" s="862"/>
      <c r="D10" s="863"/>
      <c r="E10" s="863"/>
      <c r="F10" s="862"/>
      <c r="G10" s="863"/>
      <c r="H10" s="863"/>
      <c r="I10" s="108"/>
      <c r="J10" s="118"/>
      <c r="K10" s="118"/>
      <c r="L10" s="135">
        <f t="shared" si="0"/>
        <v>0</v>
      </c>
      <c r="M10" s="862"/>
      <c r="N10" s="862"/>
      <c r="O10" s="862"/>
      <c r="P10" s="862"/>
      <c r="Q10" s="862"/>
    </row>
    <row r="11" spans="1:17" ht="15.75" customHeight="1">
      <c r="A11" s="864"/>
      <c r="B11" s="129">
        <v>3</v>
      </c>
      <c r="C11" s="862"/>
      <c r="D11" s="863"/>
      <c r="E11" s="863"/>
      <c r="F11" s="862"/>
      <c r="G11" s="863"/>
      <c r="H11" s="863"/>
      <c r="I11" s="108"/>
      <c r="J11" s="118"/>
      <c r="K11" s="118"/>
      <c r="L11" s="135">
        <f t="shared" si="0"/>
        <v>0</v>
      </c>
      <c r="M11" s="862"/>
      <c r="N11" s="862"/>
      <c r="O11" s="862"/>
      <c r="P11" s="862"/>
      <c r="Q11" s="862"/>
    </row>
    <row r="12" spans="1:17" ht="15.75" customHeight="1">
      <c r="A12" s="864"/>
      <c r="B12" s="129">
        <v>4</v>
      </c>
      <c r="C12" s="862"/>
      <c r="D12" s="863"/>
      <c r="E12" s="863"/>
      <c r="F12" s="862"/>
      <c r="G12" s="863"/>
      <c r="H12" s="863"/>
      <c r="I12" s="108"/>
      <c r="J12" s="118"/>
      <c r="K12" s="118"/>
      <c r="L12" s="135">
        <f t="shared" si="0"/>
        <v>0</v>
      </c>
      <c r="M12" s="862"/>
      <c r="N12" s="862"/>
      <c r="O12" s="862"/>
      <c r="P12" s="862"/>
      <c r="Q12" s="862"/>
    </row>
    <row r="13" spans="1:17" ht="15.75" customHeight="1">
      <c r="A13" s="864"/>
      <c r="B13" s="129">
        <v>5</v>
      </c>
      <c r="C13" s="862"/>
      <c r="D13" s="863"/>
      <c r="E13" s="863"/>
      <c r="F13" s="862"/>
      <c r="G13" s="863"/>
      <c r="H13" s="863"/>
      <c r="I13" s="108"/>
      <c r="J13" s="118"/>
      <c r="K13" s="118"/>
      <c r="L13" s="135">
        <f t="shared" si="0"/>
        <v>0</v>
      </c>
      <c r="M13" s="862"/>
      <c r="N13" s="862"/>
      <c r="O13" s="862"/>
      <c r="P13" s="862"/>
      <c r="Q13" s="862"/>
    </row>
    <row r="14" spans="1:17" ht="15.75" customHeight="1">
      <c r="A14" s="865"/>
      <c r="B14" s="865"/>
      <c r="C14" s="865"/>
      <c r="D14" s="865"/>
      <c r="E14" s="865"/>
      <c r="F14" s="865"/>
      <c r="G14" s="865"/>
      <c r="H14" s="865"/>
      <c r="I14" s="865"/>
      <c r="J14" s="865"/>
      <c r="K14" s="865"/>
      <c r="L14" s="865"/>
      <c r="M14" s="865"/>
      <c r="N14" s="865"/>
      <c r="O14" s="866"/>
    </row>
    <row r="15" spans="1:17" s="106" customFormat="1" ht="15.75" customHeight="1">
      <c r="A15" s="131" t="s">
        <v>193</v>
      </c>
      <c r="B15" s="131" t="s">
        <v>18</v>
      </c>
      <c r="C15" s="864" t="s">
        <v>12</v>
      </c>
      <c r="D15" s="864"/>
      <c r="E15" s="864"/>
      <c r="F15" s="864" t="s">
        <v>53</v>
      </c>
      <c r="G15" s="864"/>
      <c r="H15" s="864"/>
      <c r="I15" s="131" t="s">
        <v>54</v>
      </c>
      <c r="J15" s="134" t="s">
        <v>19</v>
      </c>
      <c r="K15" s="131" t="s">
        <v>57</v>
      </c>
      <c r="L15" s="131" t="s">
        <v>2</v>
      </c>
      <c r="M15" s="864" t="s">
        <v>50</v>
      </c>
      <c r="N15" s="864"/>
      <c r="O15" s="864"/>
      <c r="P15" s="864"/>
      <c r="Q15" s="864"/>
    </row>
    <row r="16" spans="1:17" ht="15.75" customHeight="1">
      <c r="A16" s="864" t="s">
        <v>194</v>
      </c>
      <c r="B16" s="129">
        <v>1</v>
      </c>
      <c r="C16" s="862"/>
      <c r="D16" s="863"/>
      <c r="E16" s="863"/>
      <c r="F16" s="862"/>
      <c r="G16" s="863"/>
      <c r="H16" s="863"/>
      <c r="I16" s="108"/>
      <c r="J16" s="118"/>
      <c r="K16" s="118"/>
      <c r="L16" s="135">
        <f t="shared" ref="L16:L19" si="1">K16-J16</f>
        <v>0</v>
      </c>
      <c r="M16" s="862"/>
      <c r="N16" s="862"/>
      <c r="O16" s="862"/>
      <c r="P16" s="862"/>
      <c r="Q16" s="862"/>
    </row>
    <row r="17" spans="1:17" ht="15.75" customHeight="1">
      <c r="A17" s="864"/>
      <c r="B17" s="129">
        <v>2</v>
      </c>
      <c r="C17" s="862"/>
      <c r="D17" s="863"/>
      <c r="E17" s="863"/>
      <c r="F17" s="862"/>
      <c r="G17" s="863"/>
      <c r="H17" s="863"/>
      <c r="I17" s="108"/>
      <c r="J17" s="118"/>
      <c r="K17" s="118"/>
      <c r="L17" s="135">
        <f t="shared" si="1"/>
        <v>0</v>
      </c>
      <c r="M17" s="862"/>
      <c r="N17" s="862"/>
      <c r="O17" s="862"/>
      <c r="P17" s="862"/>
      <c r="Q17" s="862"/>
    </row>
    <row r="18" spans="1:17" ht="15.75" customHeight="1">
      <c r="A18" s="864"/>
      <c r="B18" s="129">
        <v>3</v>
      </c>
      <c r="C18" s="862"/>
      <c r="D18" s="863"/>
      <c r="E18" s="863"/>
      <c r="F18" s="862"/>
      <c r="G18" s="863"/>
      <c r="H18" s="863"/>
      <c r="I18" s="108"/>
      <c r="J18" s="118"/>
      <c r="K18" s="118"/>
      <c r="L18" s="135">
        <f t="shared" si="1"/>
        <v>0</v>
      </c>
      <c r="M18" s="862"/>
      <c r="N18" s="862"/>
      <c r="O18" s="862"/>
      <c r="P18" s="862"/>
      <c r="Q18" s="862"/>
    </row>
    <row r="19" spans="1:17" ht="15.75" customHeight="1">
      <c r="A19" s="864"/>
      <c r="B19" s="129">
        <v>4</v>
      </c>
      <c r="C19" s="862"/>
      <c r="D19" s="863"/>
      <c r="E19" s="863"/>
      <c r="F19" s="862"/>
      <c r="G19" s="863"/>
      <c r="H19" s="863"/>
      <c r="I19" s="108"/>
      <c r="J19" s="118"/>
      <c r="K19" s="118"/>
      <c r="L19" s="135">
        <f t="shared" si="1"/>
        <v>0</v>
      </c>
      <c r="M19" s="862"/>
      <c r="N19" s="862"/>
      <c r="O19" s="862"/>
      <c r="P19" s="862"/>
      <c r="Q19" s="862"/>
    </row>
    <row r="20" spans="1:17" ht="15.75" customHeight="1">
      <c r="A20" s="864"/>
      <c r="B20" s="129">
        <v>5</v>
      </c>
      <c r="C20" s="862"/>
      <c r="D20" s="863"/>
      <c r="E20" s="863"/>
      <c r="F20" s="862"/>
      <c r="G20" s="863"/>
      <c r="H20" s="863"/>
      <c r="I20" s="108"/>
      <c r="J20" s="118"/>
      <c r="K20" s="118"/>
      <c r="L20" s="135">
        <f>K20-J20</f>
        <v>0</v>
      </c>
      <c r="M20" s="862"/>
      <c r="N20" s="862"/>
      <c r="O20" s="862"/>
      <c r="P20" s="862"/>
      <c r="Q20" s="862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 codeName="工作表33">
    <tabColor rgb="FFFFFFCC"/>
  </sheetPr>
  <dimension ref="A1:AL47"/>
  <sheetViews>
    <sheetView topLeftCell="A19" zoomScale="70" zoomScaleNormal="70" workbookViewId="0">
      <selection activeCell="T32" sqref="T32"/>
    </sheetView>
  </sheetViews>
  <sheetFormatPr defaultColWidth="9.140625" defaultRowHeight="15"/>
  <cols>
    <col min="1" max="1" width="20.28515625" style="231" customWidth="1"/>
    <col min="2" max="2" width="22.5703125" style="231" bestFit="1" customWidth="1"/>
    <col min="3" max="4" width="15.7109375" style="231" customWidth="1"/>
    <col min="5" max="5" width="18.85546875" style="231" bestFit="1" customWidth="1"/>
    <col min="6" max="6" width="15.7109375" style="231" customWidth="1"/>
    <col min="7" max="10" width="20.28515625" style="231" customWidth="1"/>
    <col min="11" max="11" width="18.85546875" style="346" bestFit="1" customWidth="1"/>
    <col min="12" max="12" width="17.5703125" style="346" customWidth="1"/>
    <col min="13" max="13" width="18.85546875" style="231" bestFit="1" customWidth="1"/>
    <col min="14" max="14" width="15.42578125" style="231" customWidth="1"/>
    <col min="15" max="15" width="9.140625" style="231"/>
    <col min="16" max="17" width="12.42578125" style="231" bestFit="1" customWidth="1"/>
    <col min="18" max="19" width="9.140625" style="231"/>
    <col min="20" max="20" width="13.85546875" style="231" bestFit="1" customWidth="1"/>
    <col min="21" max="21" width="9.140625" style="231"/>
    <col min="22" max="23" width="12.42578125" style="231" bestFit="1" customWidth="1"/>
    <col min="24" max="25" width="9.140625" style="231"/>
    <col min="26" max="26" width="13.85546875" style="231" bestFit="1" customWidth="1"/>
    <col min="27" max="28" width="9.140625" style="231"/>
    <col min="29" max="29" width="12.42578125" style="231" bestFit="1" customWidth="1"/>
    <col min="30" max="31" width="9.140625" style="231"/>
    <col min="32" max="32" width="13.85546875" style="231" bestFit="1" customWidth="1"/>
    <col min="33" max="34" width="9.140625" style="231"/>
    <col min="35" max="35" width="12.42578125" style="231" bestFit="1" customWidth="1"/>
    <col min="36" max="37" width="9.140625" style="231"/>
    <col min="38" max="38" width="13.85546875" style="231" bestFit="1" customWidth="1"/>
    <col min="39" max="16384" width="9.140625" style="231"/>
  </cols>
  <sheetData>
    <row r="1" spans="1:38" ht="27">
      <c r="A1" s="872" t="s">
        <v>438</v>
      </c>
      <c r="B1" s="873"/>
      <c r="C1" s="873"/>
      <c r="D1" s="873"/>
      <c r="E1" s="873"/>
      <c r="F1" s="873"/>
      <c r="G1" s="873"/>
      <c r="H1" s="873"/>
      <c r="I1" s="873"/>
      <c r="J1" s="873"/>
      <c r="K1" s="873"/>
      <c r="L1" s="873"/>
      <c r="M1" s="873"/>
      <c r="N1" s="873"/>
    </row>
    <row r="2" spans="1:38" ht="16.5" customHeight="1">
      <c r="A2" s="875" t="s">
        <v>439</v>
      </c>
      <c r="B2" s="875" t="s">
        <v>135</v>
      </c>
      <c r="C2" s="875" t="s">
        <v>440</v>
      </c>
      <c r="D2" s="875" t="s">
        <v>441</v>
      </c>
      <c r="E2" s="875" t="s">
        <v>434</v>
      </c>
      <c r="F2" s="875" t="s">
        <v>435</v>
      </c>
      <c r="G2" s="875" t="s">
        <v>442</v>
      </c>
      <c r="H2" s="875"/>
      <c r="I2" s="875" t="s">
        <v>443</v>
      </c>
      <c r="J2" s="875"/>
      <c r="K2" s="871" t="s">
        <v>452</v>
      </c>
      <c r="L2" s="871"/>
      <c r="M2" s="874" t="s">
        <v>436</v>
      </c>
      <c r="N2" s="874" t="s">
        <v>437</v>
      </c>
    </row>
    <row r="3" spans="1:38" ht="37.5" customHeight="1">
      <c r="A3" s="875"/>
      <c r="B3" s="875"/>
      <c r="C3" s="875"/>
      <c r="D3" s="875"/>
      <c r="E3" s="875"/>
      <c r="F3" s="875"/>
      <c r="G3" s="232" t="s">
        <v>444</v>
      </c>
      <c r="H3" s="232" t="s">
        <v>445</v>
      </c>
      <c r="I3" s="232" t="s">
        <v>444</v>
      </c>
      <c r="J3" s="232" t="s">
        <v>445</v>
      </c>
      <c r="K3" s="343" t="s">
        <v>453</v>
      </c>
      <c r="L3" s="343" t="s">
        <v>454</v>
      </c>
      <c r="M3" s="874"/>
      <c r="N3" s="874"/>
      <c r="P3" s="420" t="s">
        <v>500</v>
      </c>
      <c r="Q3" s="363">
        <v>353129.03079999995</v>
      </c>
      <c r="S3" s="421" t="s">
        <v>501</v>
      </c>
      <c r="T3" s="363">
        <v>819267.9188799999</v>
      </c>
      <c r="V3" s="440" t="s">
        <v>526</v>
      </c>
      <c r="W3" s="363">
        <v>275849.81519999995</v>
      </c>
      <c r="Y3" s="421" t="s">
        <v>594</v>
      </c>
      <c r="Z3" s="363">
        <v>611955.97399999993</v>
      </c>
      <c r="AB3" s="421" t="s">
        <v>592</v>
      </c>
      <c r="AC3" s="363">
        <f>C47</f>
        <v>323176.05859999999</v>
      </c>
      <c r="AE3" s="421" t="s">
        <v>593</v>
      </c>
      <c r="AF3" s="363">
        <f>E47</f>
        <v>691147.1679</v>
      </c>
      <c r="AH3" s="421" t="s">
        <v>781</v>
      </c>
      <c r="AI3" s="363">
        <f>C47</f>
        <v>323176.05859999999</v>
      </c>
      <c r="AK3" s="421" t="s">
        <v>782</v>
      </c>
      <c r="AL3" s="363">
        <f>E47</f>
        <v>691147.1679</v>
      </c>
    </row>
    <row r="4" spans="1:38" ht="18.75">
      <c r="A4" s="234">
        <v>46112</v>
      </c>
      <c r="B4" s="365">
        <v>5566321.9800000004</v>
      </c>
      <c r="C4" s="366">
        <v>11196.816200000003</v>
      </c>
      <c r="D4" s="314">
        <f t="shared" ref="D4:D45" si="0">C4/B4</f>
        <v>2.0115286611573271E-3</v>
      </c>
      <c r="E4" s="366">
        <v>24923.591999999993</v>
      </c>
      <c r="F4" s="230">
        <f t="shared" ref="F4:F45" si="1">E4/B4</f>
        <v>4.4775692260619086E-3</v>
      </c>
      <c r="G4" s="365">
        <v>2102.6657</v>
      </c>
      <c r="H4" s="230">
        <f t="shared" ref="H4:H45" si="2">G4/C4</f>
        <v>0.18779139198516087</v>
      </c>
      <c r="I4" s="233">
        <v>15202.679400000026</v>
      </c>
      <c r="J4" s="230">
        <f t="shared" ref="J4:J45" si="3">I4/E4</f>
        <v>0.60997144392349345</v>
      </c>
      <c r="K4" s="344">
        <v>779.36860000000001</v>
      </c>
      <c r="L4" s="345">
        <f t="shared" ref="L4:L45" si="4">K4/C4</f>
        <v>6.9606268967780299E-2</v>
      </c>
      <c r="M4" s="876">
        <f>SUM(C4:C10)</f>
        <v>60576.4522</v>
      </c>
      <c r="N4" s="876">
        <f>SUM(E4:E10)</f>
        <v>133821.05619999993</v>
      </c>
    </row>
    <row r="5" spans="1:38" ht="18.75">
      <c r="A5" s="235">
        <f t="shared" ref="A5:A10" si="5">A4+1</f>
        <v>46113</v>
      </c>
      <c r="B5" s="365">
        <v>4658389.7300000004</v>
      </c>
      <c r="C5" s="366">
        <v>9364.2979000000032</v>
      </c>
      <c r="D5" s="314">
        <f t="shared" si="0"/>
        <v>2.0102006149665804E-3</v>
      </c>
      <c r="E5" s="366">
        <v>20737.639899999976</v>
      </c>
      <c r="F5" s="230">
        <f t="shared" si="1"/>
        <v>4.4516756007874792E-3</v>
      </c>
      <c r="G5" s="365">
        <v>2218.7337000000002</v>
      </c>
      <c r="H5" s="230">
        <f t="shared" si="2"/>
        <v>0.23693540334721724</v>
      </c>
      <c r="I5" s="233">
        <v>12772.654599999985</v>
      </c>
      <c r="J5" s="230">
        <f t="shared" si="3"/>
        <v>0.61591650070073789</v>
      </c>
      <c r="K5" s="344">
        <v>1409.2616</v>
      </c>
      <c r="L5" s="345">
        <f t="shared" si="4"/>
        <v>0.15049303375963718</v>
      </c>
      <c r="M5" s="876"/>
      <c r="N5" s="876"/>
    </row>
    <row r="6" spans="1:38" s="346" customFormat="1" ht="18.75">
      <c r="A6" s="234">
        <f t="shared" si="5"/>
        <v>46114</v>
      </c>
      <c r="B6" s="365">
        <v>3718970.84</v>
      </c>
      <c r="C6" s="366">
        <v>7496.5574999999981</v>
      </c>
      <c r="D6" s="314">
        <f t="shared" si="0"/>
        <v>2.0157613013174359E-3</v>
      </c>
      <c r="E6" s="366">
        <v>16488.269899999992</v>
      </c>
      <c r="F6" s="230">
        <f t="shared" si="1"/>
        <v>4.4335571880956166E-3</v>
      </c>
      <c r="G6" s="365">
        <v>2324.154</v>
      </c>
      <c r="H6" s="230">
        <f t="shared" si="2"/>
        <v>0.31002950354212594</v>
      </c>
      <c r="I6" s="233">
        <v>9058.1026999999885</v>
      </c>
      <c r="J6" s="230">
        <f t="shared" si="3"/>
        <v>0.54936647416233719</v>
      </c>
      <c r="K6" s="344">
        <v>1276.5318</v>
      </c>
      <c r="L6" s="345">
        <f t="shared" si="4"/>
        <v>0.17028239962142627</v>
      </c>
      <c r="M6" s="876"/>
      <c r="N6" s="876"/>
      <c r="O6" s="231"/>
      <c r="P6" s="231"/>
      <c r="Q6" s="231"/>
      <c r="R6" s="231"/>
      <c r="S6" s="231"/>
    </row>
    <row r="7" spans="1:38" s="346" customFormat="1" ht="18.75">
      <c r="A7" s="234">
        <f t="shared" si="5"/>
        <v>46115</v>
      </c>
      <c r="B7" s="365">
        <v>3549995.84</v>
      </c>
      <c r="C7" s="366">
        <v>7136.2804999999998</v>
      </c>
      <c r="D7" s="314">
        <f t="shared" si="0"/>
        <v>2.0102222147956096E-3</v>
      </c>
      <c r="E7" s="366">
        <v>15659.664999999992</v>
      </c>
      <c r="F7" s="230">
        <f t="shared" si="1"/>
        <v>4.4111784085921609E-3</v>
      </c>
      <c r="G7" s="365">
        <v>2275.0208000000002</v>
      </c>
      <c r="H7" s="230">
        <f t="shared" si="2"/>
        <v>0.31879643744384772</v>
      </c>
      <c r="I7" s="233">
        <v>7682.5221999999976</v>
      </c>
      <c r="J7" s="230">
        <f t="shared" si="3"/>
        <v>0.49059301077002615</v>
      </c>
      <c r="K7" s="344">
        <v>1200.6416999999999</v>
      </c>
      <c r="L7" s="345">
        <f t="shared" si="4"/>
        <v>0.16824474598497074</v>
      </c>
      <c r="M7" s="876"/>
      <c r="N7" s="876"/>
      <c r="O7" s="231"/>
      <c r="P7" s="231"/>
      <c r="Q7" s="231"/>
      <c r="R7" s="231"/>
      <c r="S7" s="231"/>
    </row>
    <row r="8" spans="1:38" s="346" customFormat="1" ht="18.75">
      <c r="A8" s="234">
        <f t="shared" si="5"/>
        <v>46116</v>
      </c>
      <c r="B8" s="365">
        <v>3467991.88</v>
      </c>
      <c r="C8" s="366">
        <v>6956.0736999999999</v>
      </c>
      <c r="D8" s="314">
        <f t="shared" si="0"/>
        <v>2.0057929605071627E-3</v>
      </c>
      <c r="E8" s="366">
        <v>15271.984300000015</v>
      </c>
      <c r="F8" s="230">
        <f t="shared" si="1"/>
        <v>4.4036966718618772E-3</v>
      </c>
      <c r="G8" s="365">
        <v>1897.5771000000002</v>
      </c>
      <c r="H8" s="230">
        <f t="shared" si="2"/>
        <v>0.27279427761094599</v>
      </c>
      <c r="I8" s="233">
        <v>8295.1485000000048</v>
      </c>
      <c r="J8" s="230">
        <f t="shared" si="3"/>
        <v>0.54316114638750623</v>
      </c>
      <c r="K8" s="344">
        <v>884.4283999999999</v>
      </c>
      <c r="L8" s="345">
        <f t="shared" si="4"/>
        <v>0.12714477133846352</v>
      </c>
      <c r="M8" s="876"/>
      <c r="N8" s="876"/>
      <c r="O8" s="231"/>
      <c r="P8" s="231"/>
      <c r="Q8" s="231"/>
      <c r="R8" s="231"/>
      <c r="S8" s="231"/>
    </row>
    <row r="9" spans="1:38" s="346" customFormat="1" ht="18.75">
      <c r="A9" s="234">
        <f t="shared" si="5"/>
        <v>46117</v>
      </c>
      <c r="B9" s="365">
        <v>3900098.74</v>
      </c>
      <c r="C9" s="366">
        <v>7832.2422000000006</v>
      </c>
      <c r="D9" s="314">
        <f t="shared" si="0"/>
        <v>2.0082163868497338E-3</v>
      </c>
      <c r="E9" s="366">
        <v>17207.015900000017</v>
      </c>
      <c r="F9" s="230">
        <f t="shared" si="1"/>
        <v>4.411943657611093E-3</v>
      </c>
      <c r="G9" s="365">
        <v>1971.9782</v>
      </c>
      <c r="H9" s="230">
        <f t="shared" si="2"/>
        <v>0.25177696879700678</v>
      </c>
      <c r="I9" s="233">
        <v>9575.5978000000014</v>
      </c>
      <c r="J9" s="230">
        <f t="shared" si="3"/>
        <v>0.55649380785427138</v>
      </c>
      <c r="K9" s="344">
        <v>984.58799999999997</v>
      </c>
      <c r="L9" s="345">
        <f t="shared" si="4"/>
        <v>0.12570959565065543</v>
      </c>
      <c r="M9" s="876"/>
      <c r="N9" s="876"/>
      <c r="O9" s="231"/>
      <c r="P9" s="231"/>
      <c r="Q9" s="231"/>
      <c r="R9" s="231"/>
      <c r="S9" s="231"/>
    </row>
    <row r="10" spans="1:38" s="346" customFormat="1" ht="18.75">
      <c r="A10" s="234">
        <f t="shared" si="5"/>
        <v>46118</v>
      </c>
      <c r="B10" s="365">
        <v>5259985.6399999997</v>
      </c>
      <c r="C10" s="366">
        <v>10594.1842</v>
      </c>
      <c r="D10" s="314">
        <f t="shared" si="0"/>
        <v>2.0141089586700849E-3</v>
      </c>
      <c r="E10" s="366">
        <v>23532.889199999954</v>
      </c>
      <c r="F10" s="230">
        <f t="shared" si="1"/>
        <v>4.4739455220261697E-3</v>
      </c>
      <c r="G10" s="365">
        <v>2112.5313999999998</v>
      </c>
      <c r="H10" s="230">
        <f t="shared" si="2"/>
        <v>0.19940482061846723</v>
      </c>
      <c r="I10" s="233">
        <v>13443.48359999998</v>
      </c>
      <c r="J10" s="230">
        <f t="shared" si="3"/>
        <v>0.57126362537754205</v>
      </c>
      <c r="K10" s="344">
        <v>951.99349999999993</v>
      </c>
      <c r="L10" s="345">
        <f t="shared" si="4"/>
        <v>8.9860010174261457E-2</v>
      </c>
      <c r="M10" s="876"/>
      <c r="N10" s="876"/>
      <c r="O10" s="231"/>
      <c r="P10" s="231"/>
      <c r="Q10" s="231"/>
      <c r="R10" s="231"/>
      <c r="S10" s="231"/>
    </row>
    <row r="11" spans="1:38" s="346" customFormat="1" ht="18.75">
      <c r="A11" s="234">
        <f t="shared" ref="A11:A45" si="6">A10+1</f>
        <v>46119</v>
      </c>
      <c r="B11" s="365">
        <v>5422854.0800000001</v>
      </c>
      <c r="C11" s="366">
        <v>10955.024700000002</v>
      </c>
      <c r="D11" s="314">
        <f t="shared" si="0"/>
        <v>2.0201584882033191E-3</v>
      </c>
      <c r="E11" s="366">
        <v>23468.15120000004</v>
      </c>
      <c r="F11" s="230">
        <f t="shared" si="1"/>
        <v>4.327638334682987E-3</v>
      </c>
      <c r="G11" s="365">
        <v>2513.9836000000005</v>
      </c>
      <c r="H11" s="230">
        <f t="shared" si="2"/>
        <v>0.22948223932347683</v>
      </c>
      <c r="I11" s="233">
        <v>9756.1253000000124</v>
      </c>
      <c r="J11" s="230">
        <f t="shared" si="3"/>
        <v>0.41571767698513873</v>
      </c>
      <c r="K11" s="344">
        <v>1242.9255000000003</v>
      </c>
      <c r="L11" s="345">
        <f t="shared" si="4"/>
        <v>0.11345711525415365</v>
      </c>
      <c r="M11" s="876">
        <f>SUM(C11:C17)</f>
        <v>71083.854800000001</v>
      </c>
      <c r="N11" s="876">
        <f>SUM(E11:E17)</f>
        <v>152862.11080000008</v>
      </c>
      <c r="O11" s="231"/>
      <c r="P11" s="231"/>
      <c r="Q11" s="231"/>
      <c r="R11" s="231"/>
      <c r="S11" s="231"/>
    </row>
    <row r="12" spans="1:38" s="346" customFormat="1" ht="18.75">
      <c r="A12" s="235">
        <f t="shared" si="6"/>
        <v>46120</v>
      </c>
      <c r="B12" s="365">
        <v>5000122.24</v>
      </c>
      <c r="C12" s="366">
        <v>10078.112899999998</v>
      </c>
      <c r="D12" s="314">
        <f t="shared" si="0"/>
        <v>2.0155733032638816E-3</v>
      </c>
      <c r="E12" s="366">
        <v>21671.584299999995</v>
      </c>
      <c r="F12" s="230">
        <f t="shared" si="1"/>
        <v>4.3342108972119842E-3</v>
      </c>
      <c r="G12" s="365">
        <v>2300.8387000000002</v>
      </c>
      <c r="H12" s="230">
        <f t="shared" si="2"/>
        <v>0.22830054821076678</v>
      </c>
      <c r="I12" s="233">
        <v>11021.887400000005</v>
      </c>
      <c r="J12" s="230">
        <f t="shared" si="3"/>
        <v>0.50858706255269059</v>
      </c>
      <c r="K12" s="344">
        <v>1023.7827</v>
      </c>
      <c r="L12" s="345">
        <f t="shared" si="4"/>
        <v>0.10158476196471268</v>
      </c>
      <c r="M12" s="876"/>
      <c r="N12" s="876"/>
      <c r="O12" s="231"/>
      <c r="P12" s="231"/>
      <c r="Q12" s="231"/>
      <c r="R12" s="231"/>
      <c r="S12" s="231"/>
    </row>
    <row r="13" spans="1:38" s="346" customFormat="1" ht="18.75">
      <c r="A13" s="234">
        <f t="shared" si="6"/>
        <v>46121</v>
      </c>
      <c r="B13" s="365">
        <v>4626484.24</v>
      </c>
      <c r="C13" s="366">
        <v>9317.1794999999984</v>
      </c>
      <c r="D13" s="314">
        <f t="shared" si="0"/>
        <v>2.0138790097769788E-3</v>
      </c>
      <c r="E13" s="366">
        <v>19375.781000000039</v>
      </c>
      <c r="F13" s="230">
        <f t="shared" si="1"/>
        <v>4.1880140501678303E-3</v>
      </c>
      <c r="G13" s="365">
        <v>2140.0788999999995</v>
      </c>
      <c r="H13" s="230">
        <f t="shared" si="2"/>
        <v>0.2296917108873989</v>
      </c>
      <c r="I13" s="233">
        <v>7792.2087000000283</v>
      </c>
      <c r="J13" s="230">
        <f t="shared" si="3"/>
        <v>0.40216230251570312</v>
      </c>
      <c r="K13" s="344">
        <v>1421.2710000000002</v>
      </c>
      <c r="L13" s="345">
        <f t="shared" si="4"/>
        <v>0.1525430523260822</v>
      </c>
      <c r="M13" s="876"/>
      <c r="N13" s="876"/>
      <c r="O13" s="231"/>
      <c r="P13" s="231"/>
      <c r="Q13" s="231"/>
      <c r="R13" s="231"/>
      <c r="S13" s="231"/>
    </row>
    <row r="14" spans="1:38" s="346" customFormat="1" ht="18.75">
      <c r="A14" s="234">
        <f t="shared" si="6"/>
        <v>46122</v>
      </c>
      <c r="B14" s="365">
        <v>4119112.49</v>
      </c>
      <c r="C14" s="366">
        <v>8261.1710999999996</v>
      </c>
      <c r="D14" s="314">
        <f t="shared" si="0"/>
        <v>2.0055706466030501E-3</v>
      </c>
      <c r="E14" s="366">
        <v>17153.316599999998</v>
      </c>
      <c r="F14" s="230">
        <f t="shared" si="1"/>
        <v>4.1643234171543581E-3</v>
      </c>
      <c r="G14" s="365">
        <v>2375.9339</v>
      </c>
      <c r="H14" s="230">
        <f t="shared" si="2"/>
        <v>0.28760255310533395</v>
      </c>
      <c r="I14" s="233">
        <v>8363.6842999999881</v>
      </c>
      <c r="J14" s="230">
        <f t="shared" si="3"/>
        <v>0.48758409204666514</v>
      </c>
      <c r="K14" s="344">
        <v>1305.6834000000001</v>
      </c>
      <c r="L14" s="345">
        <f t="shared" si="4"/>
        <v>0.15805064248094319</v>
      </c>
      <c r="M14" s="876"/>
      <c r="N14" s="876"/>
      <c r="O14" s="231"/>
      <c r="P14" s="231"/>
      <c r="Q14" s="231"/>
      <c r="R14" s="231"/>
      <c r="S14" s="231"/>
    </row>
    <row r="15" spans="1:38" s="346" customFormat="1" ht="18.75">
      <c r="A15" s="234">
        <f t="shared" si="6"/>
        <v>46123</v>
      </c>
      <c r="B15" s="365">
        <v>4445689.26</v>
      </c>
      <c r="C15" s="366">
        <v>8946.0885999999991</v>
      </c>
      <c r="D15" s="314">
        <f t="shared" si="0"/>
        <v>2.0123063212024853E-3</v>
      </c>
      <c r="E15" s="366">
        <v>20198.092199999988</v>
      </c>
      <c r="F15" s="230">
        <f t="shared" si="1"/>
        <v>4.5432982421267989E-3</v>
      </c>
      <c r="G15" s="365">
        <v>2691.6942000000004</v>
      </c>
      <c r="H15" s="230">
        <f t="shared" si="2"/>
        <v>0.30087944803050581</v>
      </c>
      <c r="I15" s="233">
        <v>12340.632800000003</v>
      </c>
      <c r="J15" s="230">
        <f t="shared" si="3"/>
        <v>0.61098012019174808</v>
      </c>
      <c r="K15" s="344">
        <v>816.87919999999997</v>
      </c>
      <c r="L15" s="345">
        <f t="shared" si="4"/>
        <v>9.1311324593856588E-2</v>
      </c>
      <c r="M15" s="876"/>
      <c r="N15" s="876"/>
      <c r="O15" s="231"/>
      <c r="P15" s="231"/>
      <c r="Q15" s="231"/>
      <c r="R15" s="231"/>
      <c r="S15" s="231"/>
    </row>
    <row r="16" spans="1:38" s="346" customFormat="1" ht="18.75">
      <c r="A16" s="234">
        <f t="shared" si="6"/>
        <v>46124</v>
      </c>
      <c r="B16" s="365">
        <v>5887717.4000000004</v>
      </c>
      <c r="C16" s="366">
        <v>11894.409300000003</v>
      </c>
      <c r="D16" s="314">
        <f t="shared" si="0"/>
        <v>2.0202072368486982E-3</v>
      </c>
      <c r="E16" s="366">
        <v>25799.621900000006</v>
      </c>
      <c r="F16" s="230">
        <f t="shared" si="1"/>
        <v>4.3819395781461937E-3</v>
      </c>
      <c r="G16" s="365">
        <v>1949.4360000000001</v>
      </c>
      <c r="H16" s="230">
        <f t="shared" si="2"/>
        <v>0.16389515030393309</v>
      </c>
      <c r="I16" s="233">
        <v>12084.79210000001</v>
      </c>
      <c r="J16" s="230">
        <f t="shared" si="3"/>
        <v>0.46840965913535371</v>
      </c>
      <c r="K16" s="344">
        <v>1248.6454000000001</v>
      </c>
      <c r="L16" s="345">
        <f t="shared" si="4"/>
        <v>0.10497750401106508</v>
      </c>
      <c r="M16" s="876"/>
      <c r="N16" s="876"/>
      <c r="O16" s="231"/>
      <c r="P16" s="231"/>
      <c r="Q16" s="231"/>
      <c r="R16" s="231"/>
      <c r="S16" s="231"/>
    </row>
    <row r="17" spans="1:20" s="346" customFormat="1" ht="18.75">
      <c r="A17" s="234">
        <f t="shared" si="6"/>
        <v>46125</v>
      </c>
      <c r="B17" s="365">
        <v>5758150.04</v>
      </c>
      <c r="C17" s="366">
        <v>11631.868699999999</v>
      </c>
      <c r="D17" s="314">
        <f t="shared" si="0"/>
        <v>2.0200704426243119E-3</v>
      </c>
      <c r="E17" s="366">
        <v>25195.563600000034</v>
      </c>
      <c r="F17" s="230">
        <f t="shared" si="1"/>
        <v>4.3756351302023447E-3</v>
      </c>
      <c r="G17" s="365">
        <v>2732.4296999999997</v>
      </c>
      <c r="H17" s="230">
        <f t="shared" si="2"/>
        <v>0.23490891880510995</v>
      </c>
      <c r="I17" s="233">
        <v>13360.399300000001</v>
      </c>
      <c r="J17" s="230">
        <f t="shared" si="3"/>
        <v>0.53026792780297172</v>
      </c>
      <c r="K17" s="344">
        <v>1754.7526000000003</v>
      </c>
      <c r="L17" s="345">
        <f t="shared" si="4"/>
        <v>0.15085732527224971</v>
      </c>
      <c r="M17" s="876"/>
      <c r="N17" s="876"/>
      <c r="O17" s="231"/>
      <c r="P17" s="231"/>
      <c r="Q17" s="231"/>
      <c r="R17" s="231"/>
      <c r="S17" s="231"/>
      <c r="T17" s="419"/>
    </row>
    <row r="18" spans="1:20" s="346" customFormat="1" ht="18.75">
      <c r="A18" s="234">
        <f t="shared" si="6"/>
        <v>46126</v>
      </c>
      <c r="B18" s="365">
        <v>6972503.2699999996</v>
      </c>
      <c r="C18" s="366">
        <v>14121.3467</v>
      </c>
      <c r="D18" s="314">
        <f t="shared" si="0"/>
        <v>2.0252907963139617E-3</v>
      </c>
      <c r="E18" s="366">
        <v>30032.073400000001</v>
      </c>
      <c r="F18" s="230">
        <f t="shared" si="1"/>
        <v>4.3072153912378161E-3</v>
      </c>
      <c r="G18" s="365">
        <v>2161.0824000000002</v>
      </c>
      <c r="H18" s="230">
        <f t="shared" si="2"/>
        <v>0.15303656555645648</v>
      </c>
      <c r="I18" s="233">
        <v>13749.23179999999</v>
      </c>
      <c r="J18" s="230">
        <f t="shared" si="3"/>
        <v>0.45781826705311629</v>
      </c>
      <c r="K18" s="344">
        <v>1690.5286999999998</v>
      </c>
      <c r="L18" s="345">
        <f t="shared" si="4"/>
        <v>0.11971441080757544</v>
      </c>
      <c r="M18" s="876">
        <f t="shared" ref="M18" si="7">SUM(C18:C24)</f>
        <v>86344.891999999993</v>
      </c>
      <c r="N18" s="876">
        <f t="shared" ref="N18" si="8">SUM(E18:E24)</f>
        <v>184880.85320000001</v>
      </c>
      <c r="O18" s="231"/>
      <c r="P18" s="231"/>
      <c r="Q18" s="231"/>
      <c r="R18" s="231"/>
      <c r="S18" s="231"/>
    </row>
    <row r="19" spans="1:20" s="346" customFormat="1" ht="18.75">
      <c r="A19" s="235">
        <f t="shared" si="6"/>
        <v>46127</v>
      </c>
      <c r="B19" s="365">
        <v>6457162.1799999997</v>
      </c>
      <c r="C19" s="366">
        <v>13031.0597</v>
      </c>
      <c r="D19" s="314">
        <f t="shared" si="0"/>
        <v>2.018078427759112E-3</v>
      </c>
      <c r="E19" s="366">
        <v>27743.454699999987</v>
      </c>
      <c r="F19" s="230">
        <f t="shared" si="1"/>
        <v>4.2965398617260666E-3</v>
      </c>
      <c r="G19" s="365">
        <v>3652.4171000000001</v>
      </c>
      <c r="H19" s="230">
        <f t="shared" si="2"/>
        <v>0.28028550126280216</v>
      </c>
      <c r="I19" s="233">
        <v>15086.268700000002</v>
      </c>
      <c r="J19" s="230">
        <f t="shared" si="3"/>
        <v>0.54377758152808597</v>
      </c>
      <c r="K19" s="344">
        <v>1987.8314</v>
      </c>
      <c r="L19" s="345">
        <f t="shared" si="4"/>
        <v>0.15254564446512359</v>
      </c>
      <c r="M19" s="876"/>
      <c r="N19" s="876"/>
      <c r="O19" s="231"/>
      <c r="P19" s="231"/>
      <c r="Q19" s="231"/>
      <c r="R19" s="231"/>
      <c r="S19" s="231"/>
    </row>
    <row r="20" spans="1:20" s="346" customFormat="1" ht="18.75">
      <c r="A20" s="234">
        <f t="shared" si="6"/>
        <v>46128</v>
      </c>
      <c r="B20" s="365">
        <v>5781414.5899999999</v>
      </c>
      <c r="C20" s="366">
        <v>11645.642600000003</v>
      </c>
      <c r="D20" s="314">
        <f t="shared" si="0"/>
        <v>2.0143240756584457E-3</v>
      </c>
      <c r="E20" s="366">
        <v>24807.316399999992</v>
      </c>
      <c r="F20" s="230">
        <f t="shared" si="1"/>
        <v>4.2908731096553297E-3</v>
      </c>
      <c r="G20" s="365">
        <v>2649.4097000000006</v>
      </c>
      <c r="H20" s="230">
        <f t="shared" si="2"/>
        <v>0.2275022333245913</v>
      </c>
      <c r="I20" s="233">
        <v>13751.185599999997</v>
      </c>
      <c r="J20" s="230">
        <f t="shared" si="3"/>
        <v>0.55431975705360859</v>
      </c>
      <c r="K20" s="344">
        <v>1754.9627</v>
      </c>
      <c r="L20" s="345">
        <f t="shared" si="4"/>
        <v>0.15069693964333059</v>
      </c>
      <c r="M20" s="876"/>
      <c r="N20" s="876"/>
      <c r="O20" s="231"/>
      <c r="P20" s="231"/>
      <c r="Q20" s="231"/>
      <c r="R20" s="231"/>
      <c r="S20" s="231"/>
    </row>
    <row r="21" spans="1:20" s="346" customFormat="1" ht="18.75">
      <c r="A21" s="234">
        <f t="shared" si="6"/>
        <v>46129</v>
      </c>
      <c r="B21" s="365">
        <v>5012455.33</v>
      </c>
      <c r="C21" s="366">
        <v>10068.3451</v>
      </c>
      <c r="D21" s="314">
        <f t="shared" si="0"/>
        <v>2.0086653021604084E-3</v>
      </c>
      <c r="E21" s="366">
        <v>21435.907899999995</v>
      </c>
      <c r="F21" s="230">
        <f t="shared" si="1"/>
        <v>4.2765284653419533E-3</v>
      </c>
      <c r="G21" s="365">
        <v>2789.5031000000004</v>
      </c>
      <c r="H21" s="230">
        <f t="shared" si="2"/>
        <v>0.2770567627841839</v>
      </c>
      <c r="I21" s="233">
        <v>11774.2269</v>
      </c>
      <c r="J21" s="230">
        <f t="shared" si="3"/>
        <v>0.54927586715373056</v>
      </c>
      <c r="K21" s="344">
        <v>1447.5068999999999</v>
      </c>
      <c r="L21" s="345">
        <f t="shared" si="4"/>
        <v>0.14376810544565063</v>
      </c>
      <c r="M21" s="876"/>
      <c r="N21" s="876"/>
      <c r="O21" s="231"/>
      <c r="P21" s="231"/>
      <c r="Q21" s="231"/>
      <c r="R21" s="231"/>
      <c r="S21" s="231"/>
    </row>
    <row r="22" spans="1:20" s="346" customFormat="1" ht="18.75">
      <c r="A22" s="234">
        <f t="shared" si="6"/>
        <v>46130</v>
      </c>
      <c r="B22" s="365">
        <v>5245500.34</v>
      </c>
      <c r="C22" s="366">
        <v>10543.284200000004</v>
      </c>
      <c r="D22" s="314">
        <f t="shared" si="0"/>
        <v>2.0099673084760499E-3</v>
      </c>
      <c r="E22" s="366">
        <v>23124.978400000018</v>
      </c>
      <c r="F22" s="230">
        <f t="shared" si="1"/>
        <v>4.4085362503284136E-3</v>
      </c>
      <c r="G22" s="365">
        <v>2425.5087999999996</v>
      </c>
      <c r="H22" s="230">
        <f t="shared" si="2"/>
        <v>0.2300524916135713</v>
      </c>
      <c r="I22" s="233">
        <v>15095.9316</v>
      </c>
      <c r="J22" s="230">
        <f t="shared" si="3"/>
        <v>0.65279765191045491</v>
      </c>
      <c r="K22" s="344">
        <v>1618.8221000000001</v>
      </c>
      <c r="L22" s="345">
        <f t="shared" si="4"/>
        <v>0.15354059221888372</v>
      </c>
      <c r="M22" s="876"/>
      <c r="N22" s="876"/>
      <c r="O22" s="231"/>
      <c r="P22" s="231"/>
      <c r="Q22" s="231"/>
      <c r="R22" s="231"/>
      <c r="S22" s="231"/>
    </row>
    <row r="23" spans="1:20" s="346" customFormat="1" ht="18.75">
      <c r="A23" s="234">
        <f t="shared" si="6"/>
        <v>46131</v>
      </c>
      <c r="B23" s="365">
        <v>6890291.8600000003</v>
      </c>
      <c r="C23" s="366">
        <v>13890.290999999999</v>
      </c>
      <c r="D23" s="314">
        <f t="shared" si="0"/>
        <v>2.0159220076927187E-3</v>
      </c>
      <c r="E23" s="366">
        <v>29710.683599999986</v>
      </c>
      <c r="F23" s="230">
        <f t="shared" si="1"/>
        <v>4.3119630058747593E-3</v>
      </c>
      <c r="G23" s="365">
        <v>2328.6743000000001</v>
      </c>
      <c r="H23" s="230">
        <f t="shared" si="2"/>
        <v>0.1676476252369371</v>
      </c>
      <c r="I23" s="233">
        <v>13961.493099999972</v>
      </c>
      <c r="J23" s="230">
        <f t="shared" si="3"/>
        <v>0.46991490629990013</v>
      </c>
      <c r="K23" s="344">
        <v>2325.0833000000002</v>
      </c>
      <c r="L23" s="345">
        <f t="shared" si="4"/>
        <v>0.16738909933564389</v>
      </c>
      <c r="M23" s="876"/>
      <c r="N23" s="876"/>
      <c r="O23" s="231"/>
      <c r="P23" s="231"/>
      <c r="Q23" s="231"/>
      <c r="R23" s="231"/>
      <c r="S23" s="231"/>
    </row>
    <row r="24" spans="1:20" s="346" customFormat="1" ht="18.75">
      <c r="A24" s="234">
        <f t="shared" si="6"/>
        <v>46132</v>
      </c>
      <c r="B24" s="365">
        <v>6483243.2699999996</v>
      </c>
      <c r="C24" s="366">
        <v>13044.922700000001</v>
      </c>
      <c r="D24" s="314">
        <f t="shared" si="0"/>
        <v>2.0120982904286424E-3</v>
      </c>
      <c r="E24" s="366">
        <v>28026.438800000036</v>
      </c>
      <c r="F24" s="230">
        <f t="shared" si="1"/>
        <v>4.3229040825426314E-3</v>
      </c>
      <c r="G24" s="365">
        <v>2446.1591999999996</v>
      </c>
      <c r="H24" s="230">
        <f t="shared" si="2"/>
        <v>0.18751810618241527</v>
      </c>
      <c r="I24" s="233">
        <v>15820.354300000008</v>
      </c>
      <c r="J24" s="230">
        <f t="shared" si="3"/>
        <v>0.5644796476960886</v>
      </c>
      <c r="K24" s="344">
        <v>1964.3041999999998</v>
      </c>
      <c r="L24" s="345">
        <f t="shared" si="4"/>
        <v>0.15057998005614856</v>
      </c>
      <c r="M24" s="876"/>
      <c r="N24" s="876"/>
      <c r="O24" s="231"/>
      <c r="P24" s="231"/>
      <c r="Q24" s="231"/>
      <c r="R24" s="231"/>
      <c r="S24" s="231"/>
    </row>
    <row r="25" spans="1:20" s="346" customFormat="1" ht="18.75">
      <c r="A25" s="234">
        <f t="shared" si="6"/>
        <v>46133</v>
      </c>
      <c r="B25" s="365">
        <v>6566952</v>
      </c>
      <c r="C25" s="366">
        <v>13229.339899999999</v>
      </c>
      <c r="D25" s="314">
        <f t="shared" si="0"/>
        <v>2.0145327543128074E-3</v>
      </c>
      <c r="E25" s="366">
        <v>29163.456900000005</v>
      </c>
      <c r="F25" s="230">
        <f t="shared" si="1"/>
        <v>4.4409426016818769E-3</v>
      </c>
      <c r="G25" s="365">
        <v>1916.1831000000004</v>
      </c>
      <c r="H25" s="230">
        <f t="shared" si="2"/>
        <v>0.14484343999657917</v>
      </c>
      <c r="I25" s="233">
        <v>21035.432700000001</v>
      </c>
      <c r="J25" s="230">
        <f t="shared" si="3"/>
        <v>0.72129421323848608</v>
      </c>
      <c r="K25" s="344">
        <v>1866.5634</v>
      </c>
      <c r="L25" s="345">
        <f t="shared" si="4"/>
        <v>0.14109270863922699</v>
      </c>
      <c r="M25" s="876">
        <f>SUM(C25:C31)</f>
        <v>83432.571200000006</v>
      </c>
      <c r="N25" s="876">
        <f t="shared" ref="N25" si="9">SUM(E25:E31)</f>
        <v>175039.40109999999</v>
      </c>
      <c r="O25" s="231"/>
      <c r="P25" s="231"/>
      <c r="Q25" s="231"/>
      <c r="R25" s="231"/>
      <c r="S25" s="231"/>
    </row>
    <row r="26" spans="1:20" s="346" customFormat="1" ht="18.75">
      <c r="A26" s="235">
        <f t="shared" si="6"/>
        <v>46134</v>
      </c>
      <c r="B26" s="365">
        <v>6140458.7199999997</v>
      </c>
      <c r="C26" s="366">
        <v>12331.309900000002</v>
      </c>
      <c r="D26" s="314">
        <f t="shared" si="0"/>
        <v>2.0082066279243716E-3</v>
      </c>
      <c r="E26" s="366">
        <v>27154.033399999982</v>
      </c>
      <c r="F26" s="230">
        <f t="shared" si="1"/>
        <v>4.4221506304662501E-3</v>
      </c>
      <c r="G26" s="365">
        <v>2417.6876999999999</v>
      </c>
      <c r="H26" s="230">
        <f t="shared" si="2"/>
        <v>0.19606089860737339</v>
      </c>
      <c r="I26" s="233">
        <v>15669.151899999997</v>
      </c>
      <c r="J26" s="230">
        <f t="shared" si="3"/>
        <v>0.57704694065817885</v>
      </c>
      <c r="K26" s="344">
        <v>1862.9151000000002</v>
      </c>
      <c r="L26" s="345">
        <f t="shared" si="4"/>
        <v>0.15107195546192539</v>
      </c>
      <c r="M26" s="876"/>
      <c r="N26" s="876"/>
      <c r="O26" s="231"/>
      <c r="P26" s="231"/>
      <c r="Q26" s="231"/>
      <c r="R26" s="231"/>
      <c r="S26" s="231"/>
    </row>
    <row r="27" spans="1:20" s="346" customFormat="1" ht="18.75">
      <c r="A27" s="234">
        <f t="shared" si="6"/>
        <v>46135</v>
      </c>
      <c r="B27" s="365">
        <v>5473020.1600000001</v>
      </c>
      <c r="C27" s="366">
        <v>10978.960399999998</v>
      </c>
      <c r="D27" s="314">
        <f t="shared" si="0"/>
        <v>2.0060149751028869E-3</v>
      </c>
      <c r="E27" s="366">
        <v>22943.692700000003</v>
      </c>
      <c r="F27" s="230">
        <f t="shared" si="1"/>
        <v>4.1921447444476442E-3</v>
      </c>
      <c r="G27" s="365">
        <v>2291.0895</v>
      </c>
      <c r="H27" s="230">
        <f t="shared" si="2"/>
        <v>0.2086800039828908</v>
      </c>
      <c r="I27" s="233">
        <v>11461.246000000016</v>
      </c>
      <c r="J27" s="230">
        <f t="shared" si="3"/>
        <v>0.49953798413626826</v>
      </c>
      <c r="K27" s="344">
        <v>1593.1442</v>
      </c>
      <c r="L27" s="345">
        <f t="shared" si="4"/>
        <v>0.14510883926678525</v>
      </c>
      <c r="M27" s="876"/>
      <c r="N27" s="876"/>
      <c r="O27" s="231"/>
      <c r="P27" s="231"/>
      <c r="Q27" s="231"/>
      <c r="R27" s="231"/>
      <c r="S27" s="231"/>
    </row>
    <row r="28" spans="1:20" s="346" customFormat="1" ht="18.75">
      <c r="A28" s="234">
        <f t="shared" si="6"/>
        <v>46136</v>
      </c>
      <c r="B28" s="365">
        <v>4824962</v>
      </c>
      <c r="C28" s="366">
        <v>9682.5776000000005</v>
      </c>
      <c r="D28" s="314">
        <f t="shared" si="0"/>
        <v>2.0067676387917669E-3</v>
      </c>
      <c r="E28" s="366">
        <v>20064.63389999999</v>
      </c>
      <c r="F28" s="230">
        <f t="shared" si="1"/>
        <v>4.1585060980791127E-3</v>
      </c>
      <c r="G28" s="365">
        <v>1959.8060000000003</v>
      </c>
      <c r="H28" s="230">
        <f t="shared" si="2"/>
        <v>0.20240540080980091</v>
      </c>
      <c r="I28" s="233">
        <v>10960.333000000008</v>
      </c>
      <c r="J28" s="230">
        <f t="shared" si="3"/>
        <v>0.54625133230066125</v>
      </c>
      <c r="K28" s="344">
        <v>1157.5082</v>
      </c>
      <c r="L28" s="345">
        <f t="shared" si="4"/>
        <v>0.11954546070459585</v>
      </c>
      <c r="M28" s="876"/>
      <c r="N28" s="876"/>
      <c r="O28" s="231"/>
      <c r="P28" s="231"/>
      <c r="Q28" s="231"/>
      <c r="R28" s="231"/>
      <c r="S28" s="231"/>
    </row>
    <row r="29" spans="1:20" s="346" customFormat="1" ht="18.75">
      <c r="A29" s="234">
        <f t="shared" si="6"/>
        <v>46137</v>
      </c>
      <c r="B29" s="365">
        <v>5186632.5599999996</v>
      </c>
      <c r="C29" s="366">
        <v>10423.6286</v>
      </c>
      <c r="D29" s="314">
        <f t="shared" si="0"/>
        <v>2.0097102463722629E-3</v>
      </c>
      <c r="E29" s="366">
        <v>21628.616499999982</v>
      </c>
      <c r="F29" s="230">
        <f t="shared" si="1"/>
        <v>4.1700691633339811E-3</v>
      </c>
      <c r="G29" s="365">
        <v>2024.8037000000002</v>
      </c>
      <c r="H29" s="230">
        <f t="shared" si="2"/>
        <v>0.19425132817951707</v>
      </c>
      <c r="I29" s="233">
        <v>9375.5830999999962</v>
      </c>
      <c r="J29" s="230">
        <f t="shared" si="3"/>
        <v>0.43348048174972281</v>
      </c>
      <c r="K29" s="344">
        <v>1453.0642</v>
      </c>
      <c r="L29" s="345">
        <f t="shared" si="4"/>
        <v>0.13940099515825036</v>
      </c>
      <c r="M29" s="876"/>
      <c r="N29" s="876"/>
      <c r="O29" s="231"/>
      <c r="P29" s="231"/>
      <c r="Q29" s="231"/>
      <c r="R29" s="231"/>
      <c r="S29" s="231"/>
    </row>
    <row r="30" spans="1:20" s="346" customFormat="1" ht="18.75">
      <c r="A30" s="234">
        <f t="shared" si="6"/>
        <v>46138</v>
      </c>
      <c r="B30" s="365">
        <v>6854398.3499999996</v>
      </c>
      <c r="C30" s="366">
        <v>13807.873499999998</v>
      </c>
      <c r="D30" s="314">
        <f t="shared" si="0"/>
        <v>2.0144544852722193E-3</v>
      </c>
      <c r="E30" s="366">
        <v>27689.844000000041</v>
      </c>
      <c r="F30" s="230">
        <f t="shared" si="1"/>
        <v>4.0397191097012973E-3</v>
      </c>
      <c r="G30" s="365">
        <v>2277.1902999999998</v>
      </c>
      <c r="H30" s="230">
        <f t="shared" si="2"/>
        <v>0.16491969599808401</v>
      </c>
      <c r="I30" s="233">
        <v>11105.414899999985</v>
      </c>
      <c r="J30" s="230">
        <f t="shared" si="3"/>
        <v>0.40106455276526543</v>
      </c>
      <c r="K30" s="344">
        <v>2266.7319000000002</v>
      </c>
      <c r="L30" s="345">
        <f t="shared" si="4"/>
        <v>0.16416227306833311</v>
      </c>
      <c r="M30" s="876"/>
      <c r="N30" s="876"/>
      <c r="O30" s="231"/>
      <c r="P30" s="231"/>
      <c r="Q30" s="231"/>
      <c r="R30" s="231"/>
      <c r="S30" s="231"/>
    </row>
    <row r="31" spans="1:20" s="346" customFormat="1" ht="18.75">
      <c r="A31" s="234">
        <f t="shared" si="6"/>
        <v>46139</v>
      </c>
      <c r="B31" s="365">
        <v>6472656.5999999996</v>
      </c>
      <c r="C31" s="366">
        <v>12978.881300000005</v>
      </c>
      <c r="D31" s="314">
        <f t="shared" si="0"/>
        <v>2.0051861394902375E-3</v>
      </c>
      <c r="E31" s="366">
        <v>26395.123699999989</v>
      </c>
      <c r="F31" s="230">
        <f t="shared" si="1"/>
        <v>4.0779428496175727E-3</v>
      </c>
      <c r="G31" s="365">
        <v>2236.1087000000002</v>
      </c>
      <c r="H31" s="230">
        <f t="shared" si="2"/>
        <v>0.17228824644540044</v>
      </c>
      <c r="I31" s="233">
        <v>15896.927699999998</v>
      </c>
      <c r="J31" s="230">
        <f t="shared" si="3"/>
        <v>0.60226759611662684</v>
      </c>
      <c r="K31" s="344">
        <v>1863.7713000000003</v>
      </c>
      <c r="L31" s="345">
        <f t="shared" si="4"/>
        <v>0.14360030397997398</v>
      </c>
      <c r="M31" s="876"/>
      <c r="N31" s="876"/>
      <c r="O31" s="231"/>
      <c r="P31" s="231"/>
      <c r="Q31" s="231"/>
      <c r="R31" s="231"/>
      <c r="S31" s="231"/>
    </row>
    <row r="32" spans="1:20" s="346" customFormat="1" ht="18.75">
      <c r="A32" s="234">
        <f t="shared" si="6"/>
        <v>46140</v>
      </c>
      <c r="B32" s="365">
        <v>6434818.2699999996</v>
      </c>
      <c r="C32" s="366">
        <v>12869.442900000002</v>
      </c>
      <c r="D32" s="314">
        <f t="shared" si="0"/>
        <v>1.9999699074640695E-3</v>
      </c>
      <c r="E32" s="366">
        <v>27506.072999999997</v>
      </c>
      <c r="F32" s="230">
        <f t="shared" si="1"/>
        <v>4.2745687361890328E-3</v>
      </c>
      <c r="G32" s="365">
        <v>1912.8076999999998</v>
      </c>
      <c r="H32" s="230">
        <f t="shared" si="2"/>
        <v>0.14863174069485163</v>
      </c>
      <c r="I32" s="233">
        <v>16208.570599999992</v>
      </c>
      <c r="J32" s="230">
        <f t="shared" si="3"/>
        <v>0.58927243449110289</v>
      </c>
      <c r="K32" s="344">
        <v>2125.9883999999997</v>
      </c>
      <c r="L32" s="345">
        <f t="shared" si="4"/>
        <v>0.16519661468795976</v>
      </c>
      <c r="M32" s="876">
        <f>SUM(C32:C38)</f>
        <v>75350.5579</v>
      </c>
      <c r="N32" s="876">
        <f>SUM(E32:E38)</f>
        <v>201506.50119999994</v>
      </c>
      <c r="O32" s="231"/>
      <c r="P32" s="231"/>
      <c r="Q32" s="231"/>
      <c r="R32" s="231"/>
      <c r="S32" s="231"/>
    </row>
    <row r="33" spans="1:19" s="346" customFormat="1" ht="18.75">
      <c r="A33" s="234">
        <f t="shared" si="6"/>
        <v>46141</v>
      </c>
      <c r="B33" s="365">
        <v>5586966.5599999996</v>
      </c>
      <c r="C33" s="366">
        <v>11174.522699999996</v>
      </c>
      <c r="D33" s="314">
        <f t="shared" si="0"/>
        <v>2.0001055277481376E-3</v>
      </c>
      <c r="E33" s="366">
        <v>23373.221999999972</v>
      </c>
      <c r="F33" s="230">
        <f t="shared" si="1"/>
        <v>4.1835263821589754E-3</v>
      </c>
      <c r="G33" s="365">
        <v>2183.4666999999999</v>
      </c>
      <c r="H33" s="230">
        <f t="shared" si="2"/>
        <v>0.19539686469114254</v>
      </c>
      <c r="I33" s="233">
        <v>12466.232900000005</v>
      </c>
      <c r="J33" s="230">
        <f t="shared" si="3"/>
        <v>0.53335534570287402</v>
      </c>
      <c r="K33" s="344">
        <v>1735.7776999999999</v>
      </c>
      <c r="L33" s="345">
        <f t="shared" si="4"/>
        <v>0.15533349804730368</v>
      </c>
      <c r="M33" s="876"/>
      <c r="N33" s="876"/>
      <c r="O33" s="231"/>
      <c r="P33" s="231"/>
      <c r="Q33" s="231"/>
      <c r="R33" s="231"/>
      <c r="S33" s="231"/>
    </row>
    <row r="34" spans="1:19" s="346" customFormat="1" ht="18.75">
      <c r="A34" s="234">
        <f t="shared" si="6"/>
        <v>46142</v>
      </c>
      <c r="B34" s="365">
        <v>4446498.88</v>
      </c>
      <c r="C34" s="366">
        <v>8891.139000000001</v>
      </c>
      <c r="D34" s="314">
        <f t="shared" si="0"/>
        <v>1.9995819722324996E-3</v>
      </c>
      <c r="E34" s="366">
        <v>18588.04359999999</v>
      </c>
      <c r="F34" s="230">
        <f t="shared" si="1"/>
        <v>4.1803774388896259E-3</v>
      </c>
      <c r="G34" s="365">
        <v>2523.2577000000001</v>
      </c>
      <c r="H34" s="230">
        <f t="shared" si="2"/>
        <v>0.28379465218123345</v>
      </c>
      <c r="I34" s="233">
        <v>11850.714200000002</v>
      </c>
      <c r="J34" s="230">
        <f t="shared" si="3"/>
        <v>0.63754499693555744</v>
      </c>
      <c r="K34" s="344">
        <v>1556.9276</v>
      </c>
      <c r="L34" s="345">
        <f t="shared" si="4"/>
        <v>0.17511002808526555</v>
      </c>
      <c r="M34" s="876"/>
      <c r="N34" s="876"/>
      <c r="O34" s="231"/>
      <c r="P34" s="231"/>
      <c r="Q34" s="231"/>
      <c r="R34" s="231"/>
      <c r="S34" s="231"/>
    </row>
    <row r="35" spans="1:19" s="346" customFormat="1" ht="18.75">
      <c r="A35" s="234">
        <f t="shared" si="6"/>
        <v>46143</v>
      </c>
      <c r="B35" s="365">
        <v>4128529.58</v>
      </c>
      <c r="C35" s="366">
        <v>8250.4066999999995</v>
      </c>
      <c r="D35" s="314">
        <f t="shared" si="0"/>
        <v>1.9983886611755846E-3</v>
      </c>
      <c r="E35" s="366">
        <v>26762.687600000001</v>
      </c>
      <c r="F35" s="230">
        <f t="shared" si="1"/>
        <v>6.4823775829650227E-3</v>
      </c>
      <c r="G35" s="365"/>
      <c r="H35" s="230">
        <f t="shared" si="2"/>
        <v>0</v>
      </c>
      <c r="I35" s="233"/>
      <c r="J35" s="230">
        <f t="shared" si="3"/>
        <v>0</v>
      </c>
      <c r="K35" s="344"/>
      <c r="L35" s="345">
        <f t="shared" si="4"/>
        <v>0</v>
      </c>
      <c r="M35" s="876"/>
      <c r="N35" s="876"/>
      <c r="O35" s="231"/>
      <c r="P35" s="231"/>
      <c r="Q35" s="231"/>
      <c r="R35" s="231"/>
      <c r="S35" s="231"/>
    </row>
    <row r="36" spans="1:19" s="346" customFormat="1" ht="18.75">
      <c r="A36" s="234">
        <f t="shared" si="6"/>
        <v>46144</v>
      </c>
      <c r="B36" s="365">
        <v>4422738.33</v>
      </c>
      <c r="C36" s="366">
        <v>8863.4772999999986</v>
      </c>
      <c r="D36" s="314">
        <f t="shared" si="0"/>
        <v>2.004070021479204E-3</v>
      </c>
      <c r="E36" s="366">
        <v>28128.679200000013</v>
      </c>
      <c r="F36" s="230">
        <f t="shared" si="1"/>
        <v>6.3600143398038229E-3</v>
      </c>
      <c r="G36" s="365"/>
      <c r="H36" s="230">
        <f t="shared" si="2"/>
        <v>0</v>
      </c>
      <c r="I36" s="233"/>
      <c r="J36" s="230">
        <f t="shared" si="3"/>
        <v>0</v>
      </c>
      <c r="K36" s="344"/>
      <c r="L36" s="345">
        <f t="shared" si="4"/>
        <v>0</v>
      </c>
      <c r="M36" s="876"/>
      <c r="N36" s="876"/>
      <c r="O36" s="231"/>
      <c r="P36" s="231"/>
      <c r="Q36" s="231"/>
      <c r="R36" s="231"/>
      <c r="S36" s="231"/>
    </row>
    <row r="37" spans="1:19" s="346" customFormat="1" ht="18.75">
      <c r="A37" s="234">
        <f t="shared" si="6"/>
        <v>46145</v>
      </c>
      <c r="B37" s="365">
        <v>6472238.8600000003</v>
      </c>
      <c r="C37" s="366">
        <v>12998.566500000001</v>
      </c>
      <c r="D37" s="314">
        <f t="shared" si="0"/>
        <v>2.0083570432380487E-3</v>
      </c>
      <c r="E37" s="366">
        <v>39638.562199999993</v>
      </c>
      <c r="F37" s="230">
        <f t="shared" si="1"/>
        <v>6.1243973001330158E-3</v>
      </c>
      <c r="G37" s="365"/>
      <c r="H37" s="230">
        <f t="shared" si="2"/>
        <v>0</v>
      </c>
      <c r="I37" s="233"/>
      <c r="J37" s="230">
        <f t="shared" si="3"/>
        <v>0</v>
      </c>
      <c r="K37" s="344"/>
      <c r="L37" s="345">
        <f t="shared" si="4"/>
        <v>0</v>
      </c>
      <c r="M37" s="876"/>
      <c r="N37" s="876"/>
      <c r="O37" s="231"/>
      <c r="P37" s="231"/>
      <c r="Q37" s="231"/>
      <c r="R37" s="231"/>
      <c r="S37" s="231"/>
    </row>
    <row r="38" spans="1:19" s="346" customFormat="1" ht="18.75">
      <c r="A38" s="234">
        <f t="shared" si="6"/>
        <v>46146</v>
      </c>
      <c r="B38" s="365">
        <v>6132490.6700000009</v>
      </c>
      <c r="C38" s="366">
        <v>12303.002800000002</v>
      </c>
      <c r="D38" s="314">
        <f t="shared" si="0"/>
        <v>2.0062000029100737E-3</v>
      </c>
      <c r="E38" s="366">
        <v>37509.23359999997</v>
      </c>
      <c r="F38" s="230">
        <f t="shared" si="1"/>
        <v>6.1164762603707259E-3</v>
      </c>
      <c r="G38" s="365"/>
      <c r="H38" s="230">
        <f t="shared" si="2"/>
        <v>0</v>
      </c>
      <c r="I38" s="233"/>
      <c r="J38" s="230">
        <f t="shared" si="3"/>
        <v>0</v>
      </c>
      <c r="K38" s="344"/>
      <c r="L38" s="345">
        <f t="shared" si="4"/>
        <v>0</v>
      </c>
      <c r="M38" s="876"/>
      <c r="N38" s="876"/>
      <c r="O38" s="231"/>
      <c r="P38" s="231"/>
      <c r="Q38" s="231"/>
      <c r="R38" s="231"/>
      <c r="S38" s="231"/>
    </row>
    <row r="39" spans="1:19" s="346" customFormat="1" ht="18.75">
      <c r="A39" s="234">
        <f t="shared" si="6"/>
        <v>46147</v>
      </c>
      <c r="B39" s="365"/>
      <c r="C39" s="366"/>
      <c r="D39" s="314" t="e">
        <f t="shared" si="0"/>
        <v>#DIV/0!</v>
      </c>
      <c r="E39" s="366"/>
      <c r="F39" s="230" t="e">
        <f t="shared" si="1"/>
        <v>#DIV/0!</v>
      </c>
      <c r="G39" s="365"/>
      <c r="H39" s="230" t="e">
        <f t="shared" si="2"/>
        <v>#DIV/0!</v>
      </c>
      <c r="I39" s="233"/>
      <c r="J39" s="230" t="e">
        <f t="shared" si="3"/>
        <v>#DIV/0!</v>
      </c>
      <c r="K39" s="344"/>
      <c r="L39" s="345" t="e">
        <f t="shared" si="4"/>
        <v>#DIV/0!</v>
      </c>
      <c r="M39" s="876">
        <f>SUM(C39:C45)</f>
        <v>0</v>
      </c>
      <c r="N39" s="876">
        <f>SUM(E39:E45)</f>
        <v>0</v>
      </c>
      <c r="O39" s="231"/>
      <c r="P39" s="231"/>
      <c r="Q39" s="231"/>
      <c r="R39" s="231"/>
      <c r="S39" s="231"/>
    </row>
    <row r="40" spans="1:19" s="346" customFormat="1" ht="18.75">
      <c r="A40" s="234">
        <f t="shared" si="6"/>
        <v>46148</v>
      </c>
      <c r="B40" s="365"/>
      <c r="C40" s="366"/>
      <c r="D40" s="314" t="e">
        <f t="shared" si="0"/>
        <v>#DIV/0!</v>
      </c>
      <c r="E40" s="366"/>
      <c r="F40" s="230" t="e">
        <f t="shared" si="1"/>
        <v>#DIV/0!</v>
      </c>
      <c r="G40" s="365"/>
      <c r="H40" s="230" t="e">
        <f t="shared" si="2"/>
        <v>#DIV/0!</v>
      </c>
      <c r="I40" s="233"/>
      <c r="J40" s="230" t="e">
        <f t="shared" si="3"/>
        <v>#DIV/0!</v>
      </c>
      <c r="K40" s="344"/>
      <c r="L40" s="345" t="e">
        <f t="shared" si="4"/>
        <v>#DIV/0!</v>
      </c>
      <c r="M40" s="876"/>
      <c r="N40" s="876"/>
      <c r="O40" s="231"/>
      <c r="P40" s="231"/>
      <c r="Q40" s="231"/>
      <c r="R40" s="231"/>
      <c r="S40" s="231"/>
    </row>
    <row r="41" spans="1:19" s="346" customFormat="1" ht="18.75">
      <c r="A41" s="234">
        <f t="shared" si="6"/>
        <v>46149</v>
      </c>
      <c r="B41" s="365"/>
      <c r="C41" s="366"/>
      <c r="D41" s="314" t="e">
        <f t="shared" si="0"/>
        <v>#DIV/0!</v>
      </c>
      <c r="E41" s="366"/>
      <c r="F41" s="230" t="e">
        <f t="shared" si="1"/>
        <v>#DIV/0!</v>
      </c>
      <c r="G41" s="365"/>
      <c r="H41" s="230" t="e">
        <f t="shared" si="2"/>
        <v>#DIV/0!</v>
      </c>
      <c r="I41" s="233"/>
      <c r="J41" s="230" t="e">
        <f t="shared" si="3"/>
        <v>#DIV/0!</v>
      </c>
      <c r="K41" s="344"/>
      <c r="L41" s="345" t="e">
        <f t="shared" si="4"/>
        <v>#DIV/0!</v>
      </c>
      <c r="M41" s="876"/>
      <c r="N41" s="876"/>
      <c r="O41" s="231"/>
      <c r="P41" s="231"/>
      <c r="Q41" s="231"/>
      <c r="R41" s="231"/>
      <c r="S41" s="231"/>
    </row>
    <row r="42" spans="1:19" s="346" customFormat="1" ht="18.75">
      <c r="A42" s="234">
        <f t="shared" si="6"/>
        <v>46150</v>
      </c>
      <c r="B42" s="365"/>
      <c r="C42" s="366"/>
      <c r="D42" s="314" t="e">
        <f t="shared" si="0"/>
        <v>#DIV/0!</v>
      </c>
      <c r="E42" s="366"/>
      <c r="F42" s="230" t="e">
        <f t="shared" si="1"/>
        <v>#DIV/0!</v>
      </c>
      <c r="G42" s="365"/>
      <c r="H42" s="230" t="e">
        <f t="shared" si="2"/>
        <v>#DIV/0!</v>
      </c>
      <c r="I42" s="233"/>
      <c r="J42" s="230" t="e">
        <f t="shared" si="3"/>
        <v>#DIV/0!</v>
      </c>
      <c r="K42" s="344"/>
      <c r="L42" s="345" t="e">
        <f t="shared" si="4"/>
        <v>#DIV/0!</v>
      </c>
      <c r="M42" s="876"/>
      <c r="N42" s="876"/>
      <c r="O42" s="231"/>
      <c r="P42" s="231"/>
      <c r="Q42" s="231"/>
      <c r="R42" s="231"/>
      <c r="S42" s="231"/>
    </row>
    <row r="43" spans="1:19" s="346" customFormat="1" ht="18.75">
      <c r="A43" s="234">
        <f t="shared" si="6"/>
        <v>46151</v>
      </c>
      <c r="B43" s="365"/>
      <c r="C43" s="366"/>
      <c r="D43" s="314" t="e">
        <f t="shared" si="0"/>
        <v>#DIV/0!</v>
      </c>
      <c r="E43" s="366"/>
      <c r="F43" s="230" t="e">
        <f t="shared" si="1"/>
        <v>#DIV/0!</v>
      </c>
      <c r="G43" s="365"/>
      <c r="H43" s="230" t="e">
        <f t="shared" si="2"/>
        <v>#DIV/0!</v>
      </c>
      <c r="I43" s="233"/>
      <c r="J43" s="230" t="e">
        <f t="shared" si="3"/>
        <v>#DIV/0!</v>
      </c>
      <c r="K43" s="344"/>
      <c r="L43" s="345" t="e">
        <f t="shared" si="4"/>
        <v>#DIV/0!</v>
      </c>
      <c r="M43" s="876"/>
      <c r="N43" s="876"/>
      <c r="O43" s="231"/>
      <c r="P43" s="231"/>
      <c r="Q43" s="231"/>
      <c r="R43" s="231"/>
      <c r="S43" s="231"/>
    </row>
    <row r="44" spans="1:19" s="346" customFormat="1" ht="18.75">
      <c r="A44" s="234">
        <f t="shared" si="6"/>
        <v>46152</v>
      </c>
      <c r="B44" s="365"/>
      <c r="C44" s="366"/>
      <c r="D44" s="314" t="e">
        <f t="shared" si="0"/>
        <v>#DIV/0!</v>
      </c>
      <c r="E44" s="366"/>
      <c r="F44" s="230" t="e">
        <f t="shared" si="1"/>
        <v>#DIV/0!</v>
      </c>
      <c r="G44" s="365"/>
      <c r="H44" s="230" t="e">
        <f t="shared" si="2"/>
        <v>#DIV/0!</v>
      </c>
      <c r="I44" s="233"/>
      <c r="J44" s="230" t="e">
        <f t="shared" si="3"/>
        <v>#DIV/0!</v>
      </c>
      <c r="K44" s="344"/>
      <c r="L44" s="345" t="e">
        <f t="shared" si="4"/>
        <v>#DIV/0!</v>
      </c>
      <c r="M44" s="876"/>
      <c r="N44" s="876"/>
      <c r="O44" s="231"/>
      <c r="P44" s="231"/>
      <c r="Q44" s="231"/>
      <c r="R44" s="231"/>
      <c r="S44" s="231"/>
    </row>
    <row r="45" spans="1:19" s="346" customFormat="1" ht="18.75">
      <c r="A45" s="234">
        <f t="shared" si="6"/>
        <v>46153</v>
      </c>
      <c r="B45" s="365"/>
      <c r="C45" s="366"/>
      <c r="D45" s="314" t="e">
        <f t="shared" si="0"/>
        <v>#DIV/0!</v>
      </c>
      <c r="E45" s="366"/>
      <c r="F45" s="230" t="e">
        <f t="shared" si="1"/>
        <v>#DIV/0!</v>
      </c>
      <c r="G45" s="365"/>
      <c r="H45" s="230" t="e">
        <f t="shared" si="2"/>
        <v>#DIV/0!</v>
      </c>
      <c r="I45" s="233"/>
      <c r="J45" s="230" t="e">
        <f t="shared" si="3"/>
        <v>#DIV/0!</v>
      </c>
      <c r="K45" s="344"/>
      <c r="L45" s="345" t="e">
        <f t="shared" si="4"/>
        <v>#DIV/0!</v>
      </c>
      <c r="M45" s="876"/>
      <c r="N45" s="876"/>
      <c r="O45" s="231"/>
      <c r="P45" s="231"/>
      <c r="Q45" s="231"/>
      <c r="R45" s="231"/>
      <c r="S45" s="231"/>
    </row>
    <row r="47" spans="1:19" ht="18.75">
      <c r="A47" s="234" t="s">
        <v>466</v>
      </c>
      <c r="B47" s="368">
        <f>SUM(B5:B34)</f>
        <v>160645497.36000001</v>
      </c>
      <c r="C47" s="368">
        <f>SUM(C5:C34)</f>
        <v>323176.05859999999</v>
      </c>
      <c r="D47" s="369">
        <f>C47/B47</f>
        <v>2.0117343088413837E-3</v>
      </c>
      <c r="E47" s="368">
        <f>SUM(E5:E34)</f>
        <v>691147.1679</v>
      </c>
      <c r="F47" s="370">
        <f>E47/B47</f>
        <v>4.3023127274533397E-3</v>
      </c>
      <c r="G47" s="368">
        <f>SUM(G5:G34)</f>
        <v>69699.545900000012</v>
      </c>
      <c r="H47" s="371">
        <f>G47/C47</f>
        <v>0.21567051161505815</v>
      </c>
      <c r="I47" s="368">
        <f>SUM(I5:I34)</f>
        <v>370815.53829999996</v>
      </c>
      <c r="J47" s="371">
        <f>I47/E47</f>
        <v>0.53652182273522986</v>
      </c>
      <c r="K47" s="368">
        <f>SUM(K5:K34)</f>
        <v>45792.816099999996</v>
      </c>
      <c r="L47" s="372">
        <f>K47/C47</f>
        <v>0.14169618968179346</v>
      </c>
    </row>
  </sheetData>
  <mergeCells count="24">
    <mergeCell ref="M32:M38"/>
    <mergeCell ref="N32:N38"/>
    <mergeCell ref="M25:M31"/>
    <mergeCell ref="N25:N31"/>
    <mergeCell ref="M39:M45"/>
    <mergeCell ref="N39:N45"/>
    <mergeCell ref="M4:M10"/>
    <mergeCell ref="N4:N10"/>
    <mergeCell ref="M11:M17"/>
    <mergeCell ref="N11:N17"/>
    <mergeCell ref="M18:M24"/>
    <mergeCell ref="N18:N24"/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</mergeCells>
  <phoneticPr fontId="15" type="noConversion"/>
  <conditionalFormatting sqref="A4:A45">
    <cfRule type="timePeriod" dxfId="6" priority="4" timePeriod="yesterday">
      <formula>FLOOR(A4,1)=TODAY()-1</formula>
    </cfRule>
  </conditionalFormatting>
  <conditionalFormatting sqref="D4:D45">
    <cfRule type="cellIs" dxfId="5" priority="7" operator="greaterThan">
      <formula>0.0025</formula>
    </cfRule>
  </conditionalFormatting>
  <conditionalFormatting sqref="D47">
    <cfRule type="cellIs" dxfId="4" priority="19" operator="greaterThan">
      <formula>0.0025</formula>
    </cfRule>
  </conditionalFormatting>
  <conditionalFormatting sqref="H47 J47">
    <cfRule type="cellIs" dxfId="3" priority="18" operator="greaterThan">
      <formula>0.16</formula>
    </cfRule>
  </conditionalFormatting>
  <conditionalFormatting sqref="H4:J45">
    <cfRule type="cellIs" dxfId="2" priority="2" operator="greaterThan">
      <formula>0.16</formula>
    </cfRule>
  </conditionalFormatting>
  <conditionalFormatting sqref="L4:L45">
    <cfRule type="cellIs" dxfId="1" priority="6" operator="greaterThan">
      <formula>0.15</formula>
    </cfRule>
  </conditionalFormatting>
  <conditionalFormatting sqref="L47">
    <cfRule type="cellIs" dxfId="0" priority="17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 codeName="工作表34">
    <tabColor rgb="FF92D050"/>
    <pageSetUpPr fitToPage="1"/>
  </sheetPr>
  <dimension ref="B2:AH200"/>
  <sheetViews>
    <sheetView zoomScale="70" zoomScaleNormal="70" workbookViewId="0">
      <pane xSplit="3" ySplit="2" topLeftCell="D108" activePane="bottomRight" state="frozen"/>
      <selection pane="topRight" activeCell="D1" sqref="D1"/>
      <selection pane="bottomLeft" activeCell="A4" sqref="A4"/>
      <selection pane="bottomRight" activeCell="U122" sqref="U122"/>
    </sheetView>
  </sheetViews>
  <sheetFormatPr defaultColWidth="8.85546875" defaultRowHeight="16.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7.28515625" style="146" bestFit="1" customWidth="1"/>
    <col min="9" max="9" width="16.85546875" style="146" customWidth="1"/>
    <col min="10" max="10" width="14" style="146" customWidth="1"/>
    <col min="11" max="11" width="11.5703125" style="146" bestFit="1" customWidth="1"/>
    <col min="12" max="12" width="10.85546875" style="146" bestFit="1" customWidth="1"/>
    <col min="13" max="13" width="19.140625" style="146" bestFit="1" customWidth="1"/>
    <col min="14" max="14" width="15.28515625" style="146" bestFit="1" customWidth="1"/>
    <col min="15" max="15" width="12.5703125" style="146" bestFit="1" customWidth="1"/>
    <col min="16" max="16" width="12.85546875" style="146" bestFit="1" customWidth="1"/>
    <col min="17" max="17" width="13.42578125" style="146" bestFit="1" customWidth="1"/>
    <col min="18" max="18" width="12.85546875" style="146" bestFit="1" customWidth="1"/>
    <col min="19" max="19" width="10.85546875" style="146" bestFit="1" customWidth="1"/>
    <col min="20" max="20" width="12.42578125" style="146" bestFit="1" customWidth="1"/>
    <col min="21" max="21" width="25.28515625" style="146" bestFit="1" customWidth="1"/>
    <col min="22" max="22" width="88.28515625" style="146" customWidth="1"/>
    <col min="23" max="23" width="117.7109375" style="146" bestFit="1" customWidth="1"/>
    <col min="24" max="24" width="7.42578125" style="146" bestFit="1" customWidth="1"/>
    <col min="25" max="25" width="69.5703125" style="146" bestFit="1" customWidth="1"/>
    <col min="26" max="26" width="11.42578125" style="146" bestFit="1" customWidth="1"/>
    <col min="27" max="27" width="21.5703125" style="146" customWidth="1"/>
    <col min="28" max="28" width="19.42578125" style="146" bestFit="1" customWidth="1"/>
    <col min="29" max="34" width="14.42578125" style="146" customWidth="1"/>
    <col min="35" max="16384" width="8.85546875" style="146"/>
  </cols>
  <sheetData>
    <row r="2" spans="2:34" ht="41.1" customHeight="1">
      <c r="B2" s="908" t="s">
        <v>474</v>
      </c>
      <c r="C2" s="909"/>
      <c r="D2" s="909"/>
      <c r="E2" s="909"/>
      <c r="F2" s="909"/>
      <c r="G2" s="909"/>
      <c r="H2" s="909"/>
      <c r="I2" s="909"/>
      <c r="J2" s="909"/>
      <c r="K2" s="909"/>
      <c r="L2" s="909"/>
      <c r="M2" s="909"/>
      <c r="N2" s="909"/>
      <c r="O2" s="909"/>
      <c r="P2" s="909"/>
      <c r="Q2" s="909"/>
      <c r="R2" s="909"/>
      <c r="S2" s="909"/>
      <c r="T2" s="909"/>
      <c r="U2" s="909"/>
      <c r="V2" s="909"/>
      <c r="W2" s="909"/>
      <c r="X2" s="909"/>
      <c r="Y2" s="909"/>
      <c r="AA2" s="147"/>
      <c r="AB2" s="147"/>
    </row>
    <row r="3" spans="2:34" ht="17.100000000000001" customHeight="1">
      <c r="B3" s="899" t="s">
        <v>475</v>
      </c>
      <c r="C3" s="900"/>
      <c r="D3" s="905" t="s">
        <v>170</v>
      </c>
      <c r="E3" s="905"/>
      <c r="F3" s="905"/>
      <c r="G3" s="905" t="s">
        <v>184</v>
      </c>
      <c r="H3" s="905"/>
      <c r="I3" s="905"/>
      <c r="J3" s="905"/>
      <c r="K3" s="905"/>
      <c r="L3" s="905"/>
      <c r="M3" s="905"/>
      <c r="N3" s="905"/>
      <c r="O3" s="905"/>
      <c r="P3" s="905"/>
      <c r="Q3" s="905"/>
      <c r="R3" s="905"/>
      <c r="S3" s="905"/>
      <c r="T3" s="905" t="s">
        <v>171</v>
      </c>
      <c r="U3" s="890" t="s">
        <v>245</v>
      </c>
      <c r="V3" s="883" t="s">
        <v>476</v>
      </c>
      <c r="W3" s="883" t="s">
        <v>477</v>
      </c>
      <c r="X3" s="886" t="s">
        <v>246</v>
      </c>
      <c r="Y3" s="889" t="s">
        <v>172</v>
      </c>
      <c r="AA3" s="890" t="s">
        <v>247</v>
      </c>
      <c r="AB3" s="891"/>
      <c r="AC3" s="891"/>
      <c r="AD3" s="891"/>
      <c r="AE3" s="891"/>
      <c r="AF3" s="891"/>
      <c r="AG3" s="891"/>
      <c r="AH3" s="892"/>
    </row>
    <row r="4" spans="2:34" ht="17.100000000000001" customHeight="1">
      <c r="B4" s="901"/>
      <c r="C4" s="902"/>
      <c r="D4" s="906" t="s">
        <v>169</v>
      </c>
      <c r="E4" s="905" t="s">
        <v>173</v>
      </c>
      <c r="F4" s="905"/>
      <c r="G4" s="905" t="s">
        <v>185</v>
      </c>
      <c r="H4" s="905"/>
      <c r="I4" s="905"/>
      <c r="J4" s="905"/>
      <c r="K4" s="905"/>
      <c r="L4" s="905"/>
      <c r="M4" s="905"/>
      <c r="N4" s="905"/>
      <c r="O4" s="905" t="s">
        <v>174</v>
      </c>
      <c r="P4" s="905"/>
      <c r="Q4" s="905"/>
      <c r="R4" s="905"/>
      <c r="S4" s="905"/>
      <c r="T4" s="905"/>
      <c r="U4" s="893"/>
      <c r="V4" s="884"/>
      <c r="W4" s="884"/>
      <c r="X4" s="887"/>
      <c r="Y4" s="889"/>
      <c r="AA4" s="893"/>
      <c r="AB4" s="894"/>
      <c r="AC4" s="894"/>
      <c r="AD4" s="894"/>
      <c r="AE4" s="894"/>
      <c r="AF4" s="894"/>
      <c r="AG4" s="894"/>
      <c r="AH4" s="895"/>
    </row>
    <row r="5" spans="2:34" ht="17.100000000000001" customHeight="1">
      <c r="B5" s="901"/>
      <c r="C5" s="902"/>
      <c r="D5" s="906"/>
      <c r="E5" s="906" t="s">
        <v>175</v>
      </c>
      <c r="F5" s="889" t="s">
        <v>248</v>
      </c>
      <c r="G5" s="907" t="s">
        <v>186</v>
      </c>
      <c r="H5" s="907"/>
      <c r="I5" s="907"/>
      <c r="J5" s="907"/>
      <c r="K5" s="907"/>
      <c r="L5" s="907"/>
      <c r="M5" s="907"/>
      <c r="N5" s="907"/>
      <c r="O5" s="907" t="s">
        <v>168</v>
      </c>
      <c r="P5" s="907"/>
      <c r="Q5" s="907" t="s">
        <v>176</v>
      </c>
      <c r="R5" s="907"/>
      <c r="S5" s="907"/>
      <c r="T5" s="905"/>
      <c r="U5" s="893"/>
      <c r="V5" s="884"/>
      <c r="W5" s="884"/>
      <c r="X5" s="887"/>
      <c r="Y5" s="889"/>
      <c r="AA5" s="896"/>
      <c r="AB5" s="897"/>
      <c r="AC5" s="897"/>
      <c r="AD5" s="897"/>
      <c r="AE5" s="897"/>
      <c r="AF5" s="897"/>
      <c r="AG5" s="897"/>
      <c r="AH5" s="898"/>
    </row>
    <row r="6" spans="2:34" ht="38.450000000000003" customHeight="1">
      <c r="B6" s="903"/>
      <c r="C6" s="904"/>
      <c r="D6" s="906"/>
      <c r="E6" s="906"/>
      <c r="F6" s="889"/>
      <c r="G6" s="385" t="s">
        <v>177</v>
      </c>
      <c r="H6" s="385" t="s">
        <v>252</v>
      </c>
      <c r="I6" s="385" t="s">
        <v>253</v>
      </c>
      <c r="J6" s="385" t="s">
        <v>178</v>
      </c>
      <c r="K6" s="385" t="s">
        <v>250</v>
      </c>
      <c r="L6" s="385" t="s">
        <v>179</v>
      </c>
      <c r="M6" s="385" t="s">
        <v>187</v>
      </c>
      <c r="N6" s="385" t="s">
        <v>180</v>
      </c>
      <c r="O6" s="386" t="s">
        <v>181</v>
      </c>
      <c r="P6" s="386" t="s">
        <v>182</v>
      </c>
      <c r="Q6" s="386" t="s">
        <v>181</v>
      </c>
      <c r="R6" s="386" t="s">
        <v>182</v>
      </c>
      <c r="S6" s="385" t="s">
        <v>183</v>
      </c>
      <c r="T6" s="905"/>
      <c r="U6" s="896"/>
      <c r="V6" s="885"/>
      <c r="W6" s="885"/>
      <c r="X6" s="888"/>
      <c r="Y6" s="889"/>
      <c r="AA6" s="161" t="s">
        <v>244</v>
      </c>
      <c r="AB6" s="161" t="s">
        <v>478</v>
      </c>
      <c r="AC6" s="156" t="s">
        <v>394</v>
      </c>
      <c r="AD6" s="156" t="s">
        <v>339</v>
      </c>
      <c r="AE6" s="156" t="s">
        <v>457</v>
      </c>
      <c r="AF6" s="156" t="s">
        <v>215</v>
      </c>
      <c r="AG6" s="156" t="s">
        <v>216</v>
      </c>
      <c r="AH6" s="156" t="s">
        <v>395</v>
      </c>
    </row>
    <row r="7" spans="2:34" s="148" customFormat="1" ht="27" customHeight="1">
      <c r="B7" s="877" t="s">
        <v>535</v>
      </c>
      <c r="C7" s="878"/>
      <c r="D7" s="384">
        <v>1</v>
      </c>
      <c r="E7" s="387" t="s">
        <v>335</v>
      </c>
      <c r="F7" s="388">
        <v>1467.75</v>
      </c>
      <c r="G7" s="389">
        <v>18693</v>
      </c>
      <c r="H7" s="389">
        <v>18408</v>
      </c>
      <c r="I7" s="390">
        <f>H7/G7</f>
        <v>0.98475365109934199</v>
      </c>
      <c r="J7" s="389">
        <v>380</v>
      </c>
      <c r="K7" s="390">
        <f>J7/G7</f>
        <v>2.0328465200877333E-2</v>
      </c>
      <c r="L7" s="389">
        <v>15.450000000000001</v>
      </c>
      <c r="M7" s="390">
        <f>(H7+J7)/G7</f>
        <v>1.0050821163002193</v>
      </c>
      <c r="N7" s="391">
        <v>1467.75</v>
      </c>
      <c r="O7" s="389">
        <v>95</v>
      </c>
      <c r="P7" s="390">
        <f>O7/G7</f>
        <v>5.0821163002193331E-3</v>
      </c>
      <c r="Q7" s="392">
        <f>((H7+J7)-G7)-O7</f>
        <v>0</v>
      </c>
      <c r="R7" s="390">
        <f>Q7/G7</f>
        <v>0</v>
      </c>
      <c r="S7" s="393">
        <f>Q7*L7</f>
        <v>0</v>
      </c>
      <c r="T7" s="394" t="s">
        <v>429</v>
      </c>
      <c r="U7" s="394" t="s">
        <v>512</v>
      </c>
      <c r="V7" s="395" t="s">
        <v>520</v>
      </c>
      <c r="W7" s="395" t="s">
        <v>515</v>
      </c>
      <c r="X7" s="395">
        <v>1</v>
      </c>
      <c r="Y7" s="396" t="s">
        <v>341</v>
      </c>
      <c r="Z7" s="397" t="s">
        <v>479</v>
      </c>
      <c r="AA7" s="407">
        <f>SUM(X7:X26)</f>
        <v>20</v>
      </c>
      <c r="AB7" s="399">
        <f>SUMIF($U$7:$U$26,TRIM(AB6),$X$7:$X$26)</f>
        <v>16</v>
      </c>
      <c r="AC7" s="399">
        <f t="shared" ref="AC7:AG7" si="0">SUMIF($U$7:$U$26,TRIM(AC6),$X$7:$X$26)</f>
        <v>0</v>
      </c>
      <c r="AD7" s="399">
        <f t="shared" si="0"/>
        <v>3</v>
      </c>
      <c r="AE7" s="399">
        <f t="shared" si="0"/>
        <v>0</v>
      </c>
      <c r="AF7" s="399">
        <f t="shared" si="0"/>
        <v>0</v>
      </c>
      <c r="AG7" s="399">
        <f t="shared" si="0"/>
        <v>1</v>
      </c>
      <c r="AH7" s="399">
        <f>SUMIF($U$7:$U$26,TRIM(AH6),$X$7:$X$26)</f>
        <v>0</v>
      </c>
    </row>
    <row r="8" spans="2:34" s="148" customFormat="1" ht="27" customHeight="1">
      <c r="B8" s="879"/>
      <c r="C8" s="880"/>
      <c r="D8" s="384">
        <v>2</v>
      </c>
      <c r="E8" s="387" t="s">
        <v>481</v>
      </c>
      <c r="F8" s="388">
        <v>1416.1</v>
      </c>
      <c r="G8" s="389">
        <v>133012</v>
      </c>
      <c r="H8" s="389">
        <v>133650</v>
      </c>
      <c r="I8" s="390">
        <f t="shared" ref="I8:I9" si="1">H8/G8</f>
        <v>1.0047965597088984</v>
      </c>
      <c r="J8" s="389">
        <v>690</v>
      </c>
      <c r="K8" s="390">
        <f t="shared" ref="K8:K13" si="2">J8/G8</f>
        <v>5.1875018795296667E-3</v>
      </c>
      <c r="L8" s="389">
        <v>2.4499999999999997</v>
      </c>
      <c r="M8" s="390">
        <f t="shared" ref="M8:M13" si="3">(H8+J8)/G8</f>
        <v>1.0099840615884281</v>
      </c>
      <c r="N8" s="391">
        <v>3253.6000000000008</v>
      </c>
      <c r="O8" s="389">
        <v>578</v>
      </c>
      <c r="P8" s="390">
        <f t="shared" ref="P8:P26" si="4">O8/G8</f>
        <v>4.3454725889393439E-3</v>
      </c>
      <c r="Q8" s="392">
        <f t="shared" ref="Q8:Q26" si="5">((H8+J8)-G8)-O8</f>
        <v>750</v>
      </c>
      <c r="R8" s="390">
        <f t="shared" ref="R8:R26" si="6">Q8/G8</f>
        <v>5.6385889994887677E-3</v>
      </c>
      <c r="S8" s="393">
        <f t="shared" ref="S8:S26" si="7">Q8*L8</f>
        <v>1837.4999999999998</v>
      </c>
      <c r="T8" s="394" t="s">
        <v>429</v>
      </c>
      <c r="U8" s="394" t="s">
        <v>339</v>
      </c>
      <c r="V8" s="395" t="s">
        <v>521</v>
      </c>
      <c r="W8" s="395" t="s">
        <v>522</v>
      </c>
      <c r="X8" s="395">
        <v>1</v>
      </c>
      <c r="Y8" s="396" t="s">
        <v>342</v>
      </c>
      <c r="AA8" s="408"/>
      <c r="AB8" s="405">
        <f>SUMIF($U7:$U$26,TRIM(AB6),$F$7:$F$26)</f>
        <v>17420.757000000005</v>
      </c>
      <c r="AC8" s="405">
        <f>SUMIF($U7:$U$26,TRIM(AC6),$F$7:$F$26)</f>
        <v>0</v>
      </c>
      <c r="AD8" s="405">
        <f>SUMIF($U7:$U$26,TRIM(AD6),$F$7:$F$26)</f>
        <v>3765.37</v>
      </c>
      <c r="AE8" s="405">
        <f>SUMIF($U7:$U$26,TRIM(AE6),$F$7:$F$26)</f>
        <v>0</v>
      </c>
      <c r="AF8" s="405">
        <f>SUMIF($U7:$U$26,TRIM(AF6),$F$7:$F$26)</f>
        <v>0</v>
      </c>
      <c r="AG8" s="405">
        <f>SUMIF($U7:$U$26,TRIM(AG6),$F$7:$F$26)</f>
        <v>1467.75</v>
      </c>
      <c r="AH8" s="405">
        <f>SUMIF($U7:$U$26,TRIM(AH6),$F$7:$F$26)</f>
        <v>0</v>
      </c>
    </row>
    <row r="9" spans="2:34" s="148" customFormat="1" ht="27" customHeight="1">
      <c r="B9" s="879"/>
      <c r="C9" s="880"/>
      <c r="D9" s="384">
        <v>3</v>
      </c>
      <c r="E9" s="387" t="s">
        <v>480</v>
      </c>
      <c r="F9" s="388">
        <v>1334.9699999999998</v>
      </c>
      <c r="G9" s="389">
        <v>329361</v>
      </c>
      <c r="H9" s="389">
        <v>331194</v>
      </c>
      <c r="I9" s="390">
        <f t="shared" si="1"/>
        <v>1.0055653219415779</v>
      </c>
      <c r="J9" s="389">
        <v>1110</v>
      </c>
      <c r="K9" s="390">
        <f t="shared" si="2"/>
        <v>3.3701622232140418E-3</v>
      </c>
      <c r="L9" s="389">
        <v>1.17</v>
      </c>
      <c r="M9" s="390">
        <f t="shared" si="3"/>
        <v>1.0089354841647917</v>
      </c>
      <c r="N9" s="391">
        <v>3443.3099999999995</v>
      </c>
      <c r="O9" s="389">
        <v>1141</v>
      </c>
      <c r="P9" s="390">
        <f t="shared" si="4"/>
        <v>3.4642838708893887E-3</v>
      </c>
      <c r="Q9" s="392">
        <f t="shared" si="5"/>
        <v>1802</v>
      </c>
      <c r="R9" s="390">
        <f t="shared" si="6"/>
        <v>5.4712002939024352E-3</v>
      </c>
      <c r="S9" s="393">
        <f t="shared" si="7"/>
        <v>2108.3399999999997</v>
      </c>
      <c r="T9" s="394" t="s">
        <v>429</v>
      </c>
      <c r="U9" s="394" t="s">
        <v>339</v>
      </c>
      <c r="V9" s="395" t="s">
        <v>523</v>
      </c>
      <c r="W9" s="395" t="s">
        <v>557</v>
      </c>
      <c r="X9" s="395">
        <v>1</v>
      </c>
      <c r="Y9" s="396" t="s">
        <v>342</v>
      </c>
      <c r="AA9" s="384"/>
      <c r="AB9" s="406">
        <f>AB7/$AA7</f>
        <v>0.8</v>
      </c>
      <c r="AC9" s="406">
        <f t="shared" ref="AC9:AH9" si="8">AC7/$AA7</f>
        <v>0</v>
      </c>
      <c r="AD9" s="406">
        <f t="shared" si="8"/>
        <v>0.15</v>
      </c>
      <c r="AE9" s="406">
        <f t="shared" si="8"/>
        <v>0</v>
      </c>
      <c r="AF9" s="406">
        <f t="shared" si="8"/>
        <v>0</v>
      </c>
      <c r="AG9" s="406">
        <f t="shared" si="8"/>
        <v>0.05</v>
      </c>
      <c r="AH9" s="406">
        <f t="shared" si="8"/>
        <v>0</v>
      </c>
    </row>
    <row r="10" spans="2:34" s="148" customFormat="1" ht="27" customHeight="1">
      <c r="B10" s="879"/>
      <c r="C10" s="880"/>
      <c r="D10" s="384">
        <v>4</v>
      </c>
      <c r="E10" s="387" t="s">
        <v>336</v>
      </c>
      <c r="F10" s="388">
        <v>1266.5297999999998</v>
      </c>
      <c r="G10" s="389">
        <v>556.61999999999989</v>
      </c>
      <c r="H10" s="389">
        <v>559.29</v>
      </c>
      <c r="I10" s="390">
        <f>H10/G10</f>
        <v>1.0047968093133557</v>
      </c>
      <c r="J10" s="389">
        <v>7.26</v>
      </c>
      <c r="K10" s="390">
        <f t="shared" si="2"/>
        <v>1.3043009593618629E-2</v>
      </c>
      <c r="L10" s="389">
        <v>141.66999999999999</v>
      </c>
      <c r="M10" s="390">
        <f t="shared" si="3"/>
        <v>1.0178398189069744</v>
      </c>
      <c r="N10" s="391">
        <v>1406.7831000000008</v>
      </c>
      <c r="O10" s="389">
        <v>8.94</v>
      </c>
      <c r="P10" s="390">
        <f t="shared" si="4"/>
        <v>1.606122668966261E-2</v>
      </c>
      <c r="Q10" s="392">
        <f t="shared" si="5"/>
        <v>0.99000000000006416</v>
      </c>
      <c r="R10" s="390">
        <f t="shared" si="6"/>
        <v>1.7785922173117466E-3</v>
      </c>
      <c r="S10" s="393">
        <f t="shared" si="7"/>
        <v>140.25330000000909</v>
      </c>
      <c r="T10" s="394" t="s">
        <v>429</v>
      </c>
      <c r="U10" s="394" t="s">
        <v>478</v>
      </c>
      <c r="V10" s="395" t="s">
        <v>494</v>
      </c>
      <c r="W10" s="395" t="s">
        <v>636</v>
      </c>
      <c r="X10" s="395">
        <v>1</v>
      </c>
      <c r="Y10" s="396" t="s">
        <v>344</v>
      </c>
    </row>
    <row r="11" spans="2:34" s="148" customFormat="1" ht="27" customHeight="1">
      <c r="B11" s="879"/>
      <c r="C11" s="880"/>
      <c r="D11" s="384">
        <v>5</v>
      </c>
      <c r="E11" s="387" t="s">
        <v>620</v>
      </c>
      <c r="F11" s="388">
        <v>1264.3548000000001</v>
      </c>
      <c r="G11" s="389">
        <v>1549.1</v>
      </c>
      <c r="H11" s="389">
        <v>1533.4199999999998</v>
      </c>
      <c r="I11" s="390">
        <f t="shared" ref="I11:I26" si="9">H11/G11</f>
        <v>0.98987799367374596</v>
      </c>
      <c r="J11" s="389">
        <v>32.340000000000003</v>
      </c>
      <c r="K11" s="390">
        <f t="shared" si="2"/>
        <v>2.0876638047898785E-2</v>
      </c>
      <c r="L11" s="389">
        <v>98.470000000000013</v>
      </c>
      <c r="M11" s="390">
        <f t="shared" si="3"/>
        <v>1.0107546317216447</v>
      </c>
      <c r="N11" s="391">
        <v>1640.5101999999997</v>
      </c>
      <c r="O11" s="389">
        <v>12.839999999999998</v>
      </c>
      <c r="P11" s="390">
        <f t="shared" si="4"/>
        <v>8.2886837518559159E-3</v>
      </c>
      <c r="Q11" s="392">
        <f t="shared" si="5"/>
        <v>3.8199999999998564</v>
      </c>
      <c r="R11" s="390">
        <f t="shared" si="6"/>
        <v>2.465947969788817E-3</v>
      </c>
      <c r="S11" s="393">
        <f t="shared" si="7"/>
        <v>376.15539999998589</v>
      </c>
      <c r="T11" s="394" t="s">
        <v>429</v>
      </c>
      <c r="U11" s="394" t="s">
        <v>478</v>
      </c>
      <c r="V11" s="395" t="s">
        <v>494</v>
      </c>
      <c r="W11" s="395" t="s">
        <v>491</v>
      </c>
      <c r="X11" s="395">
        <v>1</v>
      </c>
      <c r="Y11" s="396" t="s">
        <v>618</v>
      </c>
    </row>
    <row r="12" spans="2:34" s="148" customFormat="1" ht="27" customHeight="1">
      <c r="B12" s="879"/>
      <c r="C12" s="880"/>
      <c r="D12" s="384">
        <v>6</v>
      </c>
      <c r="E12" s="387" t="s">
        <v>621</v>
      </c>
      <c r="F12" s="388">
        <v>1167.4331999999999</v>
      </c>
      <c r="G12" s="389">
        <v>1770.3999999999999</v>
      </c>
      <c r="H12" s="389">
        <v>1694.88</v>
      </c>
      <c r="I12" s="390">
        <f t="shared" si="9"/>
        <v>0.95734297333935847</v>
      </c>
      <c r="J12" s="389">
        <v>85.960000000000008</v>
      </c>
      <c r="K12" s="390">
        <f t="shared" si="2"/>
        <v>4.8553999096249446E-2</v>
      </c>
      <c r="L12" s="389">
        <v>139.97999999999999</v>
      </c>
      <c r="M12" s="390">
        <f t="shared" si="3"/>
        <v>1.0058969724356079</v>
      </c>
      <c r="N12" s="391">
        <v>1461.3911999999914</v>
      </c>
      <c r="O12" s="389">
        <v>8.34</v>
      </c>
      <c r="P12" s="390">
        <f t="shared" si="4"/>
        <v>4.7107998192498874E-3</v>
      </c>
      <c r="Q12" s="392">
        <f t="shared" si="5"/>
        <v>2.1000000000002821</v>
      </c>
      <c r="R12" s="390">
        <f t="shared" si="6"/>
        <v>1.1861726163580446E-3</v>
      </c>
      <c r="S12" s="393">
        <f t="shared" si="7"/>
        <v>293.95800000003948</v>
      </c>
      <c r="T12" s="394" t="s">
        <v>429</v>
      </c>
      <c r="U12" s="394" t="s">
        <v>478</v>
      </c>
      <c r="V12" s="395" t="s">
        <v>494</v>
      </c>
      <c r="W12" s="395" t="s">
        <v>491</v>
      </c>
      <c r="X12" s="395">
        <v>1</v>
      </c>
      <c r="Y12" s="396" t="s">
        <v>618</v>
      </c>
    </row>
    <row r="13" spans="2:34" s="148" customFormat="1" ht="27" customHeight="1">
      <c r="B13" s="879"/>
      <c r="C13" s="880"/>
      <c r="D13" s="384">
        <v>7</v>
      </c>
      <c r="E13" s="387" t="s">
        <v>366</v>
      </c>
      <c r="F13" s="388">
        <v>1160.4144000000001</v>
      </c>
      <c r="G13" s="389">
        <v>235.97</v>
      </c>
      <c r="H13" s="389">
        <v>238.49</v>
      </c>
      <c r="I13" s="390">
        <f t="shared" si="9"/>
        <v>1.010679323642836</v>
      </c>
      <c r="J13" s="389">
        <v>3.86</v>
      </c>
      <c r="K13" s="390">
        <f t="shared" si="2"/>
        <v>1.6358011611645549E-2</v>
      </c>
      <c r="L13" s="389">
        <v>253.92000000000002</v>
      </c>
      <c r="M13" s="390">
        <f t="shared" si="3"/>
        <v>1.0270373352544817</v>
      </c>
      <c r="N13" s="391">
        <v>1620.0096000000017</v>
      </c>
      <c r="O13" s="389">
        <v>4.57</v>
      </c>
      <c r="P13" s="390">
        <f t="shared" si="4"/>
        <v>1.9366868669746157E-2</v>
      </c>
      <c r="Q13" s="392">
        <f t="shared" si="5"/>
        <v>1.8100000000000236</v>
      </c>
      <c r="R13" s="390">
        <f t="shared" si="6"/>
        <v>7.6704665847354475E-3</v>
      </c>
      <c r="S13" s="393">
        <f t="shared" si="7"/>
        <v>459.595200000006</v>
      </c>
      <c r="T13" s="394" t="s">
        <v>429</v>
      </c>
      <c r="U13" s="394" t="s">
        <v>478</v>
      </c>
      <c r="V13" s="395" t="s">
        <v>558</v>
      </c>
      <c r="W13" s="395" t="s">
        <v>587</v>
      </c>
      <c r="X13" s="395">
        <v>1</v>
      </c>
      <c r="Y13" s="396" t="s">
        <v>358</v>
      </c>
      <c r="AC13" s="400"/>
    </row>
    <row r="14" spans="2:34" s="148" customFormat="1" ht="27" customHeight="1">
      <c r="B14" s="879"/>
      <c r="C14" s="880"/>
      <c r="D14" s="384">
        <v>8</v>
      </c>
      <c r="E14" s="387" t="s">
        <v>365</v>
      </c>
      <c r="F14" s="388">
        <v>1151.4855</v>
      </c>
      <c r="G14" s="389">
        <v>292.14</v>
      </c>
      <c r="H14" s="389">
        <v>299.86</v>
      </c>
      <c r="I14" s="390">
        <f t="shared" si="9"/>
        <v>1.0264256863147807</v>
      </c>
      <c r="J14" s="389">
        <v>3.6900000000000004</v>
      </c>
      <c r="K14" s="390">
        <f>J14/G14</f>
        <v>1.2630930375847199E-2</v>
      </c>
      <c r="L14" s="389">
        <v>183.65000000000003</v>
      </c>
      <c r="M14" s="390">
        <f>(H14+J14)/G14</f>
        <v>1.0390566166906279</v>
      </c>
      <c r="N14" s="391">
        <v>2095.4464999999982</v>
      </c>
      <c r="O14" s="389">
        <v>6.27</v>
      </c>
      <c r="P14" s="390">
        <f t="shared" si="4"/>
        <v>2.146231258985418E-2</v>
      </c>
      <c r="Q14" s="392">
        <f t="shared" si="5"/>
        <v>5.1400000000000254</v>
      </c>
      <c r="R14" s="390">
        <f t="shared" si="6"/>
        <v>1.759430410077369E-2</v>
      </c>
      <c r="S14" s="393">
        <f t="shared" si="7"/>
        <v>943.9610000000049</v>
      </c>
      <c r="T14" s="394" t="s">
        <v>429</v>
      </c>
      <c r="U14" s="394" t="s">
        <v>478</v>
      </c>
      <c r="V14" s="395" t="s">
        <v>524</v>
      </c>
      <c r="W14" s="395" t="s">
        <v>582</v>
      </c>
      <c r="X14" s="395">
        <v>1</v>
      </c>
      <c r="Y14" s="396" t="s">
        <v>358</v>
      </c>
      <c r="AC14" s="400"/>
    </row>
    <row r="15" spans="2:34" s="148" customFormat="1" ht="27" customHeight="1">
      <c r="B15" s="879"/>
      <c r="C15" s="880"/>
      <c r="D15" s="384">
        <v>9</v>
      </c>
      <c r="E15" s="387" t="s">
        <v>470</v>
      </c>
      <c r="F15" s="388">
        <v>1106.0049000000001</v>
      </c>
      <c r="G15" s="389">
        <v>415.09</v>
      </c>
      <c r="H15" s="389">
        <v>419.52</v>
      </c>
      <c r="I15" s="390">
        <f t="shared" si="9"/>
        <v>1.0106723843021996</v>
      </c>
      <c r="J15" s="389">
        <v>5.3100000000000005</v>
      </c>
      <c r="K15" s="390">
        <f t="shared" ref="K15:K26" si="10">J15/G15</f>
        <v>1.2792406466067602E-2</v>
      </c>
      <c r="L15" s="389">
        <v>181.60999999999999</v>
      </c>
      <c r="M15" s="390">
        <f t="shared" ref="M15:M26" si="11">(H15+J15)/G15</f>
        <v>1.0234647907682672</v>
      </c>
      <c r="N15" s="391">
        <v>1768.8814000000004</v>
      </c>
      <c r="O15" s="389">
        <v>6.0900000000000007</v>
      </c>
      <c r="P15" s="390">
        <f t="shared" si="4"/>
        <v>1.4671517020405216E-2</v>
      </c>
      <c r="Q15" s="392">
        <f t="shared" si="5"/>
        <v>3.6500000000000083</v>
      </c>
      <c r="R15" s="390">
        <f t="shared" si="6"/>
        <v>8.7932737478619294E-3</v>
      </c>
      <c r="S15" s="393">
        <f t="shared" si="7"/>
        <v>662.87650000000144</v>
      </c>
      <c r="T15" s="394" t="s">
        <v>429</v>
      </c>
      <c r="U15" s="394" t="s">
        <v>478</v>
      </c>
      <c r="V15" s="395" t="s">
        <v>489</v>
      </c>
      <c r="W15" s="395" t="s">
        <v>490</v>
      </c>
      <c r="X15" s="395">
        <v>1</v>
      </c>
      <c r="Y15" s="396" t="s">
        <v>469</v>
      </c>
      <c r="AC15" s="400"/>
    </row>
    <row r="16" spans="2:34" s="148" customFormat="1" ht="27" customHeight="1">
      <c r="B16" s="879"/>
      <c r="C16" s="880"/>
      <c r="D16" s="384">
        <v>10</v>
      </c>
      <c r="E16" s="387" t="s">
        <v>433</v>
      </c>
      <c r="F16" s="388">
        <v>1073.5159999999998</v>
      </c>
      <c r="G16" s="389">
        <v>1567.4999999999998</v>
      </c>
      <c r="H16" s="389">
        <v>1573.4299999999998</v>
      </c>
      <c r="I16" s="390">
        <f t="shared" si="9"/>
        <v>1.0037830940988837</v>
      </c>
      <c r="J16" s="389">
        <v>9.1999999999999993</v>
      </c>
      <c r="K16" s="390">
        <f t="shared" si="10"/>
        <v>5.8692185007974485E-3</v>
      </c>
      <c r="L16" s="389">
        <v>157.87000000000003</v>
      </c>
      <c r="M16" s="390">
        <f t="shared" si="11"/>
        <v>1.009652312599681</v>
      </c>
      <c r="N16" s="391">
        <v>2388.5731000000037</v>
      </c>
      <c r="O16" s="389">
        <v>6.8000000000000007</v>
      </c>
      <c r="P16" s="390">
        <f t="shared" si="4"/>
        <v>4.3381180223285498E-3</v>
      </c>
      <c r="Q16" s="392">
        <f t="shared" si="5"/>
        <v>8.3300000000001084</v>
      </c>
      <c r="R16" s="390">
        <f t="shared" si="6"/>
        <v>5.314194577352542E-3</v>
      </c>
      <c r="S16" s="393">
        <f t="shared" si="7"/>
        <v>1315.0571000000175</v>
      </c>
      <c r="T16" s="394" t="s">
        <v>429</v>
      </c>
      <c r="U16" s="394" t="s">
        <v>478</v>
      </c>
      <c r="V16" s="395" t="s">
        <v>489</v>
      </c>
      <c r="W16" s="395" t="s">
        <v>490</v>
      </c>
      <c r="X16" s="395">
        <v>1</v>
      </c>
      <c r="Y16" s="396" t="s">
        <v>342</v>
      </c>
      <c r="AC16" s="400"/>
    </row>
    <row r="17" spans="2:34" s="148" customFormat="1" ht="27" customHeight="1">
      <c r="B17" s="879"/>
      <c r="C17" s="880"/>
      <c r="D17" s="384">
        <v>11</v>
      </c>
      <c r="E17" s="387" t="s">
        <v>540</v>
      </c>
      <c r="F17" s="388">
        <v>1048.4370000000001</v>
      </c>
      <c r="G17" s="389">
        <v>185.54</v>
      </c>
      <c r="H17" s="389">
        <v>190.96</v>
      </c>
      <c r="I17" s="390">
        <f t="shared" si="9"/>
        <v>1.0292120297509972</v>
      </c>
      <c r="J17" s="389">
        <v>1.7</v>
      </c>
      <c r="K17" s="390">
        <f t="shared" si="10"/>
        <v>9.1624447558477963E-3</v>
      </c>
      <c r="L17" s="389">
        <v>203.57999999999998</v>
      </c>
      <c r="M17" s="390">
        <f t="shared" si="11"/>
        <v>1.0383744745068448</v>
      </c>
      <c r="N17" s="391">
        <v>1449.4896000000003</v>
      </c>
      <c r="O17" s="389">
        <v>5.15</v>
      </c>
      <c r="P17" s="390">
        <f t="shared" si="4"/>
        <v>2.7756817936833031E-2</v>
      </c>
      <c r="Q17" s="392">
        <f t="shared" si="5"/>
        <v>1.9700000000000042</v>
      </c>
      <c r="R17" s="390">
        <f t="shared" si="6"/>
        <v>1.0617656570011881E-2</v>
      </c>
      <c r="S17" s="393">
        <f t="shared" si="7"/>
        <v>401.05260000000084</v>
      </c>
      <c r="T17" s="394" t="s">
        <v>429</v>
      </c>
      <c r="U17" s="394" t="s">
        <v>478</v>
      </c>
      <c r="V17" s="395" t="s">
        <v>494</v>
      </c>
      <c r="W17" s="395" t="s">
        <v>560</v>
      </c>
      <c r="X17" s="395">
        <v>1</v>
      </c>
      <c r="Y17" s="396" t="s">
        <v>344</v>
      </c>
      <c r="AC17" s="400"/>
    </row>
    <row r="18" spans="2:34" s="148" customFormat="1" ht="27" customHeight="1">
      <c r="B18" s="879"/>
      <c r="C18" s="880"/>
      <c r="D18" s="384">
        <v>12</v>
      </c>
      <c r="E18" s="387" t="s">
        <v>541</v>
      </c>
      <c r="F18" s="388">
        <v>1040.298</v>
      </c>
      <c r="G18" s="389">
        <v>529.13000000000011</v>
      </c>
      <c r="H18" s="389">
        <v>540.48</v>
      </c>
      <c r="I18" s="390">
        <f t="shared" si="9"/>
        <v>1.0214503052179993</v>
      </c>
      <c r="J18" s="389">
        <v>0</v>
      </c>
      <c r="K18" s="390">
        <f t="shared" si="10"/>
        <v>0</v>
      </c>
      <c r="L18" s="389">
        <v>110.66999999999999</v>
      </c>
      <c r="M18" s="390">
        <f t="shared" si="11"/>
        <v>1.0214503052179993</v>
      </c>
      <c r="N18" s="391">
        <v>1256.1044999999995</v>
      </c>
      <c r="O18" s="389">
        <v>9.4</v>
      </c>
      <c r="P18" s="390">
        <f t="shared" si="4"/>
        <v>1.7765010488915763E-2</v>
      </c>
      <c r="Q18" s="392">
        <f t="shared" si="5"/>
        <v>1.9499999999999087</v>
      </c>
      <c r="R18" s="390">
        <f t="shared" si="6"/>
        <v>3.6852947290834169E-3</v>
      </c>
      <c r="S18" s="393">
        <f t="shared" si="7"/>
        <v>215.80649999998988</v>
      </c>
      <c r="T18" s="394" t="s">
        <v>429</v>
      </c>
      <c r="U18" s="394" t="s">
        <v>478</v>
      </c>
      <c r="V18" s="417" t="s">
        <v>547</v>
      </c>
      <c r="W18" s="395" t="s">
        <v>515</v>
      </c>
      <c r="X18" s="395">
        <v>1</v>
      </c>
      <c r="Y18" s="396" t="s">
        <v>511</v>
      </c>
    </row>
    <row r="19" spans="2:34" s="148" customFormat="1" ht="27" customHeight="1">
      <c r="B19" s="879"/>
      <c r="C19" s="880"/>
      <c r="D19" s="384">
        <v>13</v>
      </c>
      <c r="E19" s="387" t="s">
        <v>580</v>
      </c>
      <c r="F19" s="388">
        <v>1033.7229</v>
      </c>
      <c r="G19" s="389">
        <v>470.92</v>
      </c>
      <c r="H19" s="389">
        <v>471.48</v>
      </c>
      <c r="I19" s="390">
        <f t="shared" si="9"/>
        <v>1.0011891616410431</v>
      </c>
      <c r="J19" s="389">
        <v>5.6</v>
      </c>
      <c r="K19" s="390">
        <f t="shared" si="10"/>
        <v>1.1891616410430645E-2</v>
      </c>
      <c r="L19" s="389">
        <v>370.50999999999993</v>
      </c>
      <c r="M19" s="390">
        <f t="shared" si="11"/>
        <v>1.0130807780514737</v>
      </c>
      <c r="N19" s="391">
        <v>2282.3415999999906</v>
      </c>
      <c r="O19" s="389">
        <v>2.79</v>
      </c>
      <c r="P19" s="390">
        <f t="shared" si="4"/>
        <v>5.9245731759109826E-3</v>
      </c>
      <c r="Q19" s="392">
        <f t="shared" si="5"/>
        <v>3.370000000000025</v>
      </c>
      <c r="R19" s="390">
        <f t="shared" si="6"/>
        <v>7.1562048755627813E-3</v>
      </c>
      <c r="S19" s="393">
        <f t="shared" si="7"/>
        <v>1248.6187000000091</v>
      </c>
      <c r="T19" s="394" t="s">
        <v>429</v>
      </c>
      <c r="U19" s="394" t="s">
        <v>478</v>
      </c>
      <c r="V19" s="417" t="s">
        <v>547</v>
      </c>
      <c r="W19" s="395" t="s">
        <v>515</v>
      </c>
      <c r="X19" s="395">
        <v>1</v>
      </c>
      <c r="Y19" s="396" t="s">
        <v>361</v>
      </c>
    </row>
    <row r="20" spans="2:34" s="148" customFormat="1" ht="27" customHeight="1">
      <c r="B20" s="879"/>
      <c r="C20" s="880"/>
      <c r="D20" s="384">
        <v>14</v>
      </c>
      <c r="E20" s="387" t="s">
        <v>622</v>
      </c>
      <c r="F20" s="388">
        <v>1030.8368</v>
      </c>
      <c r="G20" s="389">
        <v>176.58999999999997</v>
      </c>
      <c r="H20" s="389">
        <v>180.09</v>
      </c>
      <c r="I20" s="390">
        <f t="shared" si="9"/>
        <v>1.0198199218528796</v>
      </c>
      <c r="J20" s="389">
        <v>3.54</v>
      </c>
      <c r="K20" s="390">
        <f t="shared" si="10"/>
        <v>2.0046435245483891E-2</v>
      </c>
      <c r="L20" s="389">
        <v>207.82999999999998</v>
      </c>
      <c r="M20" s="390">
        <f t="shared" si="11"/>
        <v>1.0398663570983635</v>
      </c>
      <c r="N20" s="391">
        <v>1463.1231999999986</v>
      </c>
      <c r="O20" s="389">
        <v>4.9599999999999991</v>
      </c>
      <c r="P20" s="390">
        <f t="shared" si="4"/>
        <v>2.8087660682937877E-2</v>
      </c>
      <c r="Q20" s="392">
        <f t="shared" si="5"/>
        <v>2.0800000000000214</v>
      </c>
      <c r="R20" s="390">
        <f t="shared" si="6"/>
        <v>1.1778696415425685E-2</v>
      </c>
      <c r="S20" s="393">
        <f t="shared" si="7"/>
        <v>432.28640000000439</v>
      </c>
      <c r="T20" s="394" t="s">
        <v>429</v>
      </c>
      <c r="U20" s="394" t="s">
        <v>478</v>
      </c>
      <c r="V20" s="395" t="s">
        <v>494</v>
      </c>
      <c r="W20" s="395" t="s">
        <v>560</v>
      </c>
      <c r="X20" s="395">
        <v>1</v>
      </c>
      <c r="Y20" s="396" t="s">
        <v>361</v>
      </c>
    </row>
    <row r="21" spans="2:34" s="148" customFormat="1" ht="27" customHeight="1">
      <c r="B21" s="879"/>
      <c r="C21" s="880"/>
      <c r="D21" s="384">
        <v>15</v>
      </c>
      <c r="E21" s="387" t="s">
        <v>585</v>
      </c>
      <c r="F21" s="388">
        <v>1029.4928000000002</v>
      </c>
      <c r="G21" s="389">
        <v>69.58</v>
      </c>
      <c r="H21" s="389">
        <v>72.91</v>
      </c>
      <c r="I21" s="390">
        <f t="shared" si="9"/>
        <v>1.047858580051739</v>
      </c>
      <c r="J21" s="389">
        <v>3.58</v>
      </c>
      <c r="K21" s="390">
        <f t="shared" si="10"/>
        <v>5.1451566542109806E-2</v>
      </c>
      <c r="L21" s="389">
        <v>216.28</v>
      </c>
      <c r="M21" s="390">
        <f t="shared" si="11"/>
        <v>1.0993101465938488</v>
      </c>
      <c r="N21" s="391">
        <v>1494.4947999999999</v>
      </c>
      <c r="O21" s="389">
        <v>4.76</v>
      </c>
      <c r="P21" s="390">
        <f t="shared" si="4"/>
        <v>6.8410462776659964E-2</v>
      </c>
      <c r="Q21" s="392">
        <f t="shared" si="5"/>
        <v>2.1499999999999968</v>
      </c>
      <c r="R21" s="390">
        <f t="shared" si="6"/>
        <v>3.0899683817188803E-2</v>
      </c>
      <c r="S21" s="393">
        <f t="shared" si="7"/>
        <v>465.00199999999933</v>
      </c>
      <c r="T21" s="394" t="s">
        <v>429</v>
      </c>
      <c r="U21" s="394" t="s">
        <v>478</v>
      </c>
      <c r="V21" s="395" t="s">
        <v>561</v>
      </c>
      <c r="W21" s="395" t="s">
        <v>490</v>
      </c>
      <c r="X21" s="395">
        <v>1</v>
      </c>
      <c r="Y21" s="396" t="s">
        <v>344</v>
      </c>
    </row>
    <row r="22" spans="2:34" s="148" customFormat="1" ht="27" customHeight="1">
      <c r="B22" s="879"/>
      <c r="C22" s="880"/>
      <c r="D22" s="384">
        <v>16</v>
      </c>
      <c r="E22" s="387" t="s">
        <v>367</v>
      </c>
      <c r="F22" s="388">
        <v>1015.7874999999998</v>
      </c>
      <c r="G22" s="389">
        <v>1078.07</v>
      </c>
      <c r="H22" s="389">
        <v>1090.1400000000001</v>
      </c>
      <c r="I22" s="390">
        <f t="shared" si="9"/>
        <v>1.0111959334737077</v>
      </c>
      <c r="J22" s="389">
        <v>1.08</v>
      </c>
      <c r="K22" s="390">
        <f t="shared" si="10"/>
        <v>1.0017902362555308E-3</v>
      </c>
      <c r="L22" s="389">
        <v>152.75</v>
      </c>
      <c r="M22" s="390">
        <f t="shared" si="11"/>
        <v>1.0121977237099633</v>
      </c>
      <c r="N22" s="391">
        <v>2008.6625000000008</v>
      </c>
      <c r="O22" s="389">
        <v>6.65</v>
      </c>
      <c r="P22" s="390">
        <f t="shared" si="4"/>
        <v>6.168430621388222E-3</v>
      </c>
      <c r="Q22" s="392">
        <f t="shared" si="5"/>
        <v>6.5000000000000906</v>
      </c>
      <c r="R22" s="390">
        <f t="shared" si="6"/>
        <v>6.0292930885750377E-3</v>
      </c>
      <c r="S22" s="393">
        <f t="shared" si="7"/>
        <v>992.87500000001387</v>
      </c>
      <c r="T22" s="394" t="s">
        <v>429</v>
      </c>
      <c r="U22" s="394" t="s">
        <v>478</v>
      </c>
      <c r="V22" s="395" t="s">
        <v>494</v>
      </c>
      <c r="W22" s="395" t="s">
        <v>637</v>
      </c>
      <c r="X22" s="395">
        <v>1</v>
      </c>
      <c r="Y22" s="396" t="s">
        <v>369</v>
      </c>
    </row>
    <row r="23" spans="2:34" s="148" customFormat="1" ht="27" customHeight="1">
      <c r="B23" s="879"/>
      <c r="C23" s="880"/>
      <c r="D23" s="384">
        <v>17</v>
      </c>
      <c r="E23" s="387" t="s">
        <v>516</v>
      </c>
      <c r="F23" s="388">
        <v>1015.2799999999999</v>
      </c>
      <c r="G23" s="389">
        <v>202.95</v>
      </c>
      <c r="H23" s="389">
        <v>209</v>
      </c>
      <c r="I23" s="390">
        <f t="shared" si="9"/>
        <v>1.0298102981029811</v>
      </c>
      <c r="J23" s="389">
        <v>4.5999999999999996</v>
      </c>
      <c r="K23" s="390">
        <f t="shared" si="10"/>
        <v>2.2665681202266568E-2</v>
      </c>
      <c r="L23" s="389">
        <v>145.04</v>
      </c>
      <c r="M23" s="390">
        <f t="shared" si="11"/>
        <v>1.0524759793052476</v>
      </c>
      <c r="N23" s="391">
        <v>1544.6760000000008</v>
      </c>
      <c r="O23" s="389">
        <v>7</v>
      </c>
      <c r="P23" s="390">
        <f t="shared" si="4"/>
        <v>3.4491254003449129E-2</v>
      </c>
      <c r="Q23" s="392">
        <f t="shared" si="5"/>
        <v>3.6500000000000057</v>
      </c>
      <c r="R23" s="390">
        <f t="shared" si="6"/>
        <v>1.7984725301798503E-2</v>
      </c>
      <c r="S23" s="393">
        <f t="shared" si="7"/>
        <v>529.39600000000075</v>
      </c>
      <c r="T23" s="394" t="s">
        <v>429</v>
      </c>
      <c r="U23" s="394" t="s">
        <v>478</v>
      </c>
      <c r="V23" s="395" t="s">
        <v>559</v>
      </c>
      <c r="W23" s="395" t="s">
        <v>546</v>
      </c>
      <c r="X23" s="395">
        <v>1</v>
      </c>
      <c r="Y23" s="396" t="s">
        <v>343</v>
      </c>
    </row>
    <row r="24" spans="2:34" s="148" customFormat="1" ht="27" customHeight="1">
      <c r="B24" s="879"/>
      <c r="C24" s="880"/>
      <c r="D24" s="384">
        <v>18</v>
      </c>
      <c r="E24" s="387" t="s">
        <v>623</v>
      </c>
      <c r="F24" s="388">
        <v>1014.3000000000002</v>
      </c>
      <c r="G24" s="389">
        <v>22130</v>
      </c>
      <c r="H24" s="389">
        <v>22063</v>
      </c>
      <c r="I24" s="390">
        <f t="shared" si="9"/>
        <v>0.99697243560777227</v>
      </c>
      <c r="J24" s="389">
        <v>130</v>
      </c>
      <c r="K24" s="390">
        <f t="shared" si="10"/>
        <v>5.8743786714866696E-3</v>
      </c>
      <c r="L24" s="389">
        <v>16.099999999999998</v>
      </c>
      <c r="M24" s="390">
        <f t="shared" si="11"/>
        <v>1.0028468142792588</v>
      </c>
      <c r="N24" s="391">
        <v>1014.3000000000002</v>
      </c>
      <c r="O24" s="389">
        <v>63</v>
      </c>
      <c r="P24" s="390">
        <f t="shared" si="4"/>
        <v>2.8468142792589246E-3</v>
      </c>
      <c r="Q24" s="392">
        <f t="shared" si="5"/>
        <v>0</v>
      </c>
      <c r="R24" s="390">
        <f t="shared" si="6"/>
        <v>0</v>
      </c>
      <c r="S24" s="393">
        <f t="shared" si="7"/>
        <v>0</v>
      </c>
      <c r="T24" s="394" t="s">
        <v>429</v>
      </c>
      <c r="U24" s="394" t="s">
        <v>339</v>
      </c>
      <c r="V24" s="417" t="s">
        <v>638</v>
      </c>
      <c r="W24" s="395" t="s">
        <v>639</v>
      </c>
      <c r="X24" s="395">
        <v>1</v>
      </c>
      <c r="Y24" s="396" t="s">
        <v>618</v>
      </c>
    </row>
    <row r="25" spans="2:34" s="148" customFormat="1" ht="27" customHeight="1">
      <c r="B25" s="879"/>
      <c r="C25" s="880"/>
      <c r="D25" s="384">
        <v>19</v>
      </c>
      <c r="E25" s="387" t="s">
        <v>553</v>
      </c>
      <c r="F25" s="388">
        <v>1013.6825999999999</v>
      </c>
      <c r="G25" s="389">
        <v>101.79999999999998</v>
      </c>
      <c r="H25" s="389">
        <v>103.71000000000001</v>
      </c>
      <c r="I25" s="390">
        <f t="shared" si="9"/>
        <v>1.0187622789783892</v>
      </c>
      <c r="J25" s="389">
        <v>0.91</v>
      </c>
      <c r="K25" s="390">
        <f t="shared" si="10"/>
        <v>8.9390962671905723E-3</v>
      </c>
      <c r="L25" s="389">
        <v>536.34</v>
      </c>
      <c r="M25" s="390">
        <f t="shared" si="11"/>
        <v>1.0277013752455797</v>
      </c>
      <c r="N25" s="391">
        <v>1512.4788000000012</v>
      </c>
      <c r="O25" s="389">
        <v>1.8900000000000001</v>
      </c>
      <c r="P25" s="390">
        <f t="shared" si="4"/>
        <v>1.8565815324165034E-2</v>
      </c>
      <c r="Q25" s="392">
        <f t="shared" si="5"/>
        <v>0.93000000000002148</v>
      </c>
      <c r="R25" s="390">
        <f t="shared" si="6"/>
        <v>9.1355599214147515E-3</v>
      </c>
      <c r="S25" s="393">
        <f t="shared" si="7"/>
        <v>498.79620000001154</v>
      </c>
      <c r="T25" s="394" t="s">
        <v>429</v>
      </c>
      <c r="U25" s="394" t="s">
        <v>478</v>
      </c>
      <c r="V25" s="395" t="s">
        <v>494</v>
      </c>
      <c r="W25" s="395" t="s">
        <v>560</v>
      </c>
      <c r="X25" s="395">
        <v>1</v>
      </c>
      <c r="Y25" s="396" t="s">
        <v>345</v>
      </c>
    </row>
    <row r="26" spans="2:34" s="148" customFormat="1" ht="27" customHeight="1">
      <c r="B26" s="881"/>
      <c r="C26" s="882"/>
      <c r="D26" s="384">
        <v>20</v>
      </c>
      <c r="E26" s="387" t="s">
        <v>624</v>
      </c>
      <c r="F26" s="388">
        <v>1003.4807999999998</v>
      </c>
      <c r="G26" s="389">
        <v>243.93</v>
      </c>
      <c r="H26" s="389">
        <v>243.41000000000003</v>
      </c>
      <c r="I26" s="390">
        <f t="shared" si="9"/>
        <v>0.99786824088877968</v>
      </c>
      <c r="J26" s="389">
        <v>10.59</v>
      </c>
      <c r="K26" s="390">
        <f t="shared" si="10"/>
        <v>4.3414094207354564E-2</v>
      </c>
      <c r="L26" s="389">
        <v>155.81999999999996</v>
      </c>
      <c r="M26" s="390">
        <f t="shared" si="11"/>
        <v>1.0412823350961342</v>
      </c>
      <c r="N26" s="391">
        <v>1569.1074000000006</v>
      </c>
      <c r="O26" s="389">
        <v>6.44</v>
      </c>
      <c r="P26" s="390">
        <f t="shared" si="4"/>
        <v>2.6401016685114582E-2</v>
      </c>
      <c r="Q26" s="392">
        <f t="shared" si="5"/>
        <v>3.6300000000000212</v>
      </c>
      <c r="R26" s="390">
        <f t="shared" si="6"/>
        <v>1.4881318411019641E-2</v>
      </c>
      <c r="S26" s="393">
        <f t="shared" si="7"/>
        <v>565.62660000000312</v>
      </c>
      <c r="T26" s="394" t="s">
        <v>429</v>
      </c>
      <c r="U26" s="394" t="s">
        <v>478</v>
      </c>
      <c r="V26" s="395" t="s">
        <v>489</v>
      </c>
      <c r="W26" s="395" t="s">
        <v>490</v>
      </c>
      <c r="X26" s="395">
        <v>1</v>
      </c>
      <c r="Y26" s="396" t="s">
        <v>533</v>
      </c>
    </row>
    <row r="27" spans="2:34" ht="17.100000000000001" customHeight="1">
      <c r="B27" s="899" t="s">
        <v>475</v>
      </c>
      <c r="C27" s="900"/>
      <c r="D27" s="905" t="s">
        <v>170</v>
      </c>
      <c r="E27" s="905"/>
      <c r="F27" s="905"/>
      <c r="G27" s="905" t="s">
        <v>184</v>
      </c>
      <c r="H27" s="905"/>
      <c r="I27" s="905"/>
      <c r="J27" s="905"/>
      <c r="K27" s="905"/>
      <c r="L27" s="905"/>
      <c r="M27" s="905"/>
      <c r="N27" s="905"/>
      <c r="O27" s="905"/>
      <c r="P27" s="905"/>
      <c r="Q27" s="905"/>
      <c r="R27" s="905"/>
      <c r="S27" s="905"/>
      <c r="T27" s="905" t="s">
        <v>171</v>
      </c>
      <c r="U27" s="890" t="s">
        <v>245</v>
      </c>
      <c r="V27" s="883" t="s">
        <v>476</v>
      </c>
      <c r="W27" s="883" t="s">
        <v>477</v>
      </c>
      <c r="X27" s="886" t="s">
        <v>246</v>
      </c>
      <c r="Y27" s="889" t="s">
        <v>172</v>
      </c>
      <c r="AA27" s="890" t="s">
        <v>247</v>
      </c>
      <c r="AB27" s="891"/>
      <c r="AC27" s="891"/>
      <c r="AD27" s="891"/>
      <c r="AE27" s="891"/>
      <c r="AF27" s="891"/>
      <c r="AG27" s="891"/>
      <c r="AH27" s="892"/>
    </row>
    <row r="28" spans="2:34" ht="17.100000000000001" customHeight="1">
      <c r="B28" s="901"/>
      <c r="C28" s="902"/>
      <c r="D28" s="906" t="s">
        <v>169</v>
      </c>
      <c r="E28" s="905" t="s">
        <v>173</v>
      </c>
      <c r="F28" s="905"/>
      <c r="G28" s="905" t="s">
        <v>185</v>
      </c>
      <c r="H28" s="905"/>
      <c r="I28" s="905"/>
      <c r="J28" s="905"/>
      <c r="K28" s="905"/>
      <c r="L28" s="905"/>
      <c r="M28" s="905"/>
      <c r="N28" s="905"/>
      <c r="O28" s="905" t="s">
        <v>174</v>
      </c>
      <c r="P28" s="905"/>
      <c r="Q28" s="905"/>
      <c r="R28" s="905"/>
      <c r="S28" s="905"/>
      <c r="T28" s="905"/>
      <c r="U28" s="893"/>
      <c r="V28" s="884"/>
      <c r="W28" s="884"/>
      <c r="X28" s="887"/>
      <c r="Y28" s="889"/>
      <c r="AA28" s="893"/>
      <c r="AB28" s="894"/>
      <c r="AC28" s="894"/>
      <c r="AD28" s="894"/>
      <c r="AE28" s="894"/>
      <c r="AF28" s="894"/>
      <c r="AG28" s="894"/>
      <c r="AH28" s="895"/>
    </row>
    <row r="29" spans="2:34" ht="17.100000000000001" customHeight="1">
      <c r="B29" s="901"/>
      <c r="C29" s="902"/>
      <c r="D29" s="906"/>
      <c r="E29" s="906" t="s">
        <v>175</v>
      </c>
      <c r="F29" s="889" t="s">
        <v>248</v>
      </c>
      <c r="G29" s="907" t="s">
        <v>186</v>
      </c>
      <c r="H29" s="907"/>
      <c r="I29" s="907"/>
      <c r="J29" s="907"/>
      <c r="K29" s="907"/>
      <c r="L29" s="907"/>
      <c r="M29" s="907"/>
      <c r="N29" s="907"/>
      <c r="O29" s="907" t="s">
        <v>168</v>
      </c>
      <c r="P29" s="907"/>
      <c r="Q29" s="907" t="s">
        <v>176</v>
      </c>
      <c r="R29" s="907"/>
      <c r="S29" s="907"/>
      <c r="T29" s="905"/>
      <c r="U29" s="893"/>
      <c r="V29" s="884"/>
      <c r="W29" s="884"/>
      <c r="X29" s="887"/>
      <c r="Y29" s="889"/>
      <c r="AA29" s="896"/>
      <c r="AB29" s="897"/>
      <c r="AC29" s="897"/>
      <c r="AD29" s="897"/>
      <c r="AE29" s="897"/>
      <c r="AF29" s="897"/>
      <c r="AG29" s="897"/>
      <c r="AH29" s="898"/>
    </row>
    <row r="30" spans="2:34" ht="38.450000000000003" customHeight="1">
      <c r="B30" s="903"/>
      <c r="C30" s="904"/>
      <c r="D30" s="906"/>
      <c r="E30" s="906"/>
      <c r="F30" s="889"/>
      <c r="G30" s="385" t="s">
        <v>177</v>
      </c>
      <c r="H30" s="385" t="s">
        <v>252</v>
      </c>
      <c r="I30" s="385" t="s">
        <v>253</v>
      </c>
      <c r="J30" s="385" t="s">
        <v>178</v>
      </c>
      <c r="K30" s="385" t="s">
        <v>250</v>
      </c>
      <c r="L30" s="385" t="s">
        <v>179</v>
      </c>
      <c r="M30" s="385" t="s">
        <v>187</v>
      </c>
      <c r="N30" s="385" t="s">
        <v>180</v>
      </c>
      <c r="O30" s="386" t="s">
        <v>181</v>
      </c>
      <c r="P30" s="386" t="s">
        <v>182</v>
      </c>
      <c r="Q30" s="386" t="s">
        <v>181</v>
      </c>
      <c r="R30" s="386" t="s">
        <v>182</v>
      </c>
      <c r="S30" s="385" t="s">
        <v>183</v>
      </c>
      <c r="T30" s="905"/>
      <c r="U30" s="896"/>
      <c r="V30" s="885"/>
      <c r="W30" s="885"/>
      <c r="X30" s="888"/>
      <c r="Y30" s="889"/>
      <c r="AA30" s="161" t="s">
        <v>244</v>
      </c>
      <c r="AB30" s="161" t="s">
        <v>478</v>
      </c>
      <c r="AC30" s="156" t="s">
        <v>394</v>
      </c>
      <c r="AD30" s="156" t="s">
        <v>339</v>
      </c>
      <c r="AE30" s="156" t="s">
        <v>457</v>
      </c>
      <c r="AF30" s="156" t="s">
        <v>215</v>
      </c>
      <c r="AG30" s="156" t="s">
        <v>216</v>
      </c>
      <c r="AH30" s="156" t="s">
        <v>395</v>
      </c>
    </row>
    <row r="31" spans="2:34" s="148" customFormat="1" ht="27" customHeight="1">
      <c r="B31" s="877" t="s">
        <v>660</v>
      </c>
      <c r="C31" s="878"/>
      <c r="D31" s="384">
        <v>1</v>
      </c>
      <c r="E31" s="387" t="s">
        <v>623</v>
      </c>
      <c r="F31" s="388">
        <v>1851.5000000000002</v>
      </c>
      <c r="G31" s="389">
        <v>15244</v>
      </c>
      <c r="H31" s="389">
        <v>15233</v>
      </c>
      <c r="I31" s="390">
        <f>H31/G31</f>
        <v>0.99927840461821049</v>
      </c>
      <c r="J31" s="389">
        <v>126</v>
      </c>
      <c r="K31" s="390">
        <f>J31/G31</f>
        <v>8.2655471004985572E-3</v>
      </c>
      <c r="L31" s="389">
        <v>16.099999999999998</v>
      </c>
      <c r="M31" s="390">
        <f>(H31+J31)/G31</f>
        <v>1.007543951718709</v>
      </c>
      <c r="N31" s="391">
        <v>1851.5000000000002</v>
      </c>
      <c r="O31" s="389">
        <v>115</v>
      </c>
      <c r="P31" s="390">
        <f>O31/G31</f>
        <v>7.5439517187090004E-3</v>
      </c>
      <c r="Q31" s="392">
        <f>((H31+J31)-G31)-O31</f>
        <v>0</v>
      </c>
      <c r="R31" s="390">
        <f>Q31/G31</f>
        <v>0</v>
      </c>
      <c r="S31" s="393">
        <f>Q31*L31</f>
        <v>0</v>
      </c>
      <c r="T31" s="394" t="s">
        <v>429</v>
      </c>
      <c r="U31" s="394" t="s">
        <v>339</v>
      </c>
      <c r="V31" s="395" t="s">
        <v>688</v>
      </c>
      <c r="W31" s="395" t="s">
        <v>689</v>
      </c>
      <c r="X31" s="395">
        <v>1</v>
      </c>
      <c r="Y31" s="396" t="s">
        <v>618</v>
      </c>
      <c r="Z31" s="397" t="s">
        <v>479</v>
      </c>
      <c r="AA31" s="407">
        <f>SUM(X31:X50)</f>
        <v>20</v>
      </c>
      <c r="AB31" s="399">
        <f>SUMIF($U$31:$U$50,TRIM(AB30),$X$31:$X$50)</f>
        <v>15</v>
      </c>
      <c r="AC31" s="399">
        <f t="shared" ref="AC31:AH31" si="12">SUMIF($U$31:$U$50,TRIM(AC30),$X$31:$X$50)</f>
        <v>0</v>
      </c>
      <c r="AD31" s="399">
        <f t="shared" si="12"/>
        <v>4</v>
      </c>
      <c r="AE31" s="399">
        <f t="shared" si="12"/>
        <v>0</v>
      </c>
      <c r="AF31" s="399">
        <f t="shared" si="12"/>
        <v>0</v>
      </c>
      <c r="AG31" s="399">
        <f t="shared" si="12"/>
        <v>1</v>
      </c>
      <c r="AH31" s="399">
        <f t="shared" si="12"/>
        <v>0</v>
      </c>
    </row>
    <row r="32" spans="2:34" s="148" customFormat="1" ht="27" customHeight="1">
      <c r="B32" s="879"/>
      <c r="C32" s="880"/>
      <c r="D32" s="384">
        <v>2</v>
      </c>
      <c r="E32" s="387" t="s">
        <v>670</v>
      </c>
      <c r="F32" s="388">
        <v>1799.1599999999999</v>
      </c>
      <c r="G32" s="389">
        <v>192936</v>
      </c>
      <c r="H32" s="389">
        <v>190203</v>
      </c>
      <c r="I32" s="390">
        <f t="shared" ref="I32:I33" si="13">H32/G32</f>
        <v>0.985834680930464</v>
      </c>
      <c r="J32" s="389">
        <v>4284</v>
      </c>
      <c r="K32" s="390">
        <f t="shared" ref="K32:K37" si="14">J32/G32</f>
        <v>2.2204254260480158E-2</v>
      </c>
      <c r="L32" s="389">
        <v>1.1599999999999999</v>
      </c>
      <c r="M32" s="390">
        <f t="shared" ref="M32:M37" si="15">(H32+J32)/G32</f>
        <v>1.0080389351909442</v>
      </c>
      <c r="N32" s="391">
        <v>1799.1599999999999</v>
      </c>
      <c r="O32" s="389">
        <v>1551</v>
      </c>
      <c r="P32" s="390">
        <f t="shared" ref="P32:P50" si="16">O32/G32</f>
        <v>8.0389351909441464E-3</v>
      </c>
      <c r="Q32" s="392">
        <f t="shared" ref="Q32:Q50" si="17">((H32+J32)-G32)-O32</f>
        <v>0</v>
      </c>
      <c r="R32" s="390">
        <f t="shared" ref="R32:R50" si="18">Q32/G32</f>
        <v>0</v>
      </c>
      <c r="S32" s="393">
        <f t="shared" ref="S32:S50" si="19">Q32*L32</f>
        <v>0</v>
      </c>
      <c r="T32" s="394" t="s">
        <v>429</v>
      </c>
      <c r="U32" s="394" t="s">
        <v>339</v>
      </c>
      <c r="V32" s="395" t="s">
        <v>695</v>
      </c>
      <c r="W32" s="395" t="s">
        <v>696</v>
      </c>
      <c r="X32" s="395">
        <v>1</v>
      </c>
      <c r="Y32" s="396" t="s">
        <v>342</v>
      </c>
      <c r="AA32" s="408"/>
      <c r="AB32" s="405">
        <f>SUMIF($U$31:$U$50,TRIM(AB30),$F$31:$F$50)</f>
        <v>16166.722199999998</v>
      </c>
      <c r="AC32" s="405">
        <f t="shared" ref="AC32:AH32" si="20">SUMIF($U$31:$U$50,TRIM(AC30),$F$31:$F$50)</f>
        <v>0</v>
      </c>
      <c r="AD32" s="405">
        <f t="shared" si="20"/>
        <v>6782</v>
      </c>
      <c r="AE32" s="405">
        <f t="shared" si="20"/>
        <v>0</v>
      </c>
      <c r="AF32" s="405">
        <f t="shared" si="20"/>
        <v>0</v>
      </c>
      <c r="AG32" s="405">
        <f t="shared" si="20"/>
        <v>1699.5</v>
      </c>
      <c r="AH32" s="405">
        <f t="shared" si="20"/>
        <v>0</v>
      </c>
    </row>
    <row r="33" spans="2:34" s="148" customFormat="1" ht="27" customHeight="1">
      <c r="B33" s="879"/>
      <c r="C33" s="880"/>
      <c r="D33" s="384">
        <v>3</v>
      </c>
      <c r="E33" s="387" t="s">
        <v>335</v>
      </c>
      <c r="F33" s="388">
        <v>1699.5</v>
      </c>
      <c r="G33" s="389">
        <v>27423</v>
      </c>
      <c r="H33" s="389">
        <v>27216</v>
      </c>
      <c r="I33" s="390">
        <f t="shared" si="13"/>
        <v>0.99245159172957009</v>
      </c>
      <c r="J33" s="389">
        <v>327</v>
      </c>
      <c r="K33" s="390">
        <f t="shared" si="14"/>
        <v>1.1924297122853079E-2</v>
      </c>
      <c r="L33" s="389">
        <v>15.450000000000001</v>
      </c>
      <c r="M33" s="390">
        <f t="shared" si="15"/>
        <v>1.0043758888524232</v>
      </c>
      <c r="N33" s="391">
        <v>1854</v>
      </c>
      <c r="O33" s="389">
        <v>110</v>
      </c>
      <c r="P33" s="390">
        <f t="shared" si="16"/>
        <v>4.0112314480545532E-3</v>
      </c>
      <c r="Q33" s="392">
        <f t="shared" si="17"/>
        <v>10</v>
      </c>
      <c r="R33" s="390">
        <f t="shared" si="18"/>
        <v>3.6465740436859568E-4</v>
      </c>
      <c r="S33" s="393">
        <f t="shared" si="19"/>
        <v>154.5</v>
      </c>
      <c r="T33" s="394" t="s">
        <v>429</v>
      </c>
      <c r="U33" s="394" t="s">
        <v>512</v>
      </c>
      <c r="V33" s="395" t="s">
        <v>520</v>
      </c>
      <c r="W33" s="395" t="s">
        <v>515</v>
      </c>
      <c r="X33" s="395">
        <v>1</v>
      </c>
      <c r="Y33" s="396" t="s">
        <v>674</v>
      </c>
      <c r="AA33" s="384"/>
      <c r="AB33" s="406">
        <f>AB31/$AA31</f>
        <v>0.75</v>
      </c>
      <c r="AC33" s="406">
        <f t="shared" ref="AC33:AH33" si="21">AC31/$AA31</f>
        <v>0</v>
      </c>
      <c r="AD33" s="406">
        <f t="shared" si="21"/>
        <v>0.2</v>
      </c>
      <c r="AE33" s="406">
        <f t="shared" si="21"/>
        <v>0</v>
      </c>
      <c r="AF33" s="406">
        <f t="shared" si="21"/>
        <v>0</v>
      </c>
      <c r="AG33" s="406">
        <f t="shared" si="21"/>
        <v>0.05</v>
      </c>
      <c r="AH33" s="406">
        <f t="shared" si="21"/>
        <v>0</v>
      </c>
    </row>
    <row r="34" spans="2:34" s="148" customFormat="1" ht="27" customHeight="1">
      <c r="B34" s="879"/>
      <c r="C34" s="880"/>
      <c r="D34" s="384">
        <v>4</v>
      </c>
      <c r="E34" s="387" t="s">
        <v>481</v>
      </c>
      <c r="F34" s="388">
        <v>1572.9</v>
      </c>
      <c r="G34" s="389">
        <v>157578</v>
      </c>
      <c r="H34" s="389">
        <v>157920</v>
      </c>
      <c r="I34" s="390">
        <f>H34/G34</f>
        <v>1.0021703537295816</v>
      </c>
      <c r="J34" s="389">
        <v>300</v>
      </c>
      <c r="K34" s="390">
        <f t="shared" si="14"/>
        <v>1.9038190610364391E-3</v>
      </c>
      <c r="L34" s="389">
        <v>2.4499999999999997</v>
      </c>
      <c r="M34" s="390">
        <f t="shared" si="15"/>
        <v>1.0040741727906179</v>
      </c>
      <c r="N34" s="391">
        <v>1572.9</v>
      </c>
      <c r="O34" s="389">
        <v>642</v>
      </c>
      <c r="P34" s="390">
        <f t="shared" si="16"/>
        <v>4.07417279061798E-3</v>
      </c>
      <c r="Q34" s="392">
        <f t="shared" si="17"/>
        <v>0</v>
      </c>
      <c r="R34" s="390">
        <f t="shared" si="18"/>
        <v>0</v>
      </c>
      <c r="S34" s="393">
        <f t="shared" si="19"/>
        <v>0</v>
      </c>
      <c r="T34" s="394" t="s">
        <v>429</v>
      </c>
      <c r="U34" s="394" t="s">
        <v>339</v>
      </c>
      <c r="V34" s="395" t="s">
        <v>521</v>
      </c>
      <c r="W34" s="395" t="s">
        <v>522</v>
      </c>
      <c r="X34" s="395">
        <v>1</v>
      </c>
      <c r="Y34" s="396" t="s">
        <v>342</v>
      </c>
    </row>
    <row r="35" spans="2:34" s="148" customFormat="1" ht="27" customHeight="1">
      <c r="B35" s="879"/>
      <c r="C35" s="880"/>
      <c r="D35" s="384">
        <v>5</v>
      </c>
      <c r="E35" s="387" t="s">
        <v>480</v>
      </c>
      <c r="F35" s="388">
        <v>1558.44</v>
      </c>
      <c r="G35" s="389">
        <v>345228</v>
      </c>
      <c r="H35" s="389">
        <v>345876</v>
      </c>
      <c r="I35" s="390">
        <f t="shared" ref="I35:I50" si="22">H35/G35</f>
        <v>1.0018770204039069</v>
      </c>
      <c r="J35" s="389">
        <v>684</v>
      </c>
      <c r="K35" s="390">
        <f t="shared" si="14"/>
        <v>1.9812993152351489E-3</v>
      </c>
      <c r="L35" s="389">
        <v>1.17</v>
      </c>
      <c r="M35" s="390">
        <f t="shared" si="15"/>
        <v>1.0038583197191422</v>
      </c>
      <c r="N35" s="391">
        <v>1558.44</v>
      </c>
      <c r="O35" s="389">
        <v>1332</v>
      </c>
      <c r="P35" s="390">
        <f t="shared" si="16"/>
        <v>3.8583197191421319E-3</v>
      </c>
      <c r="Q35" s="392">
        <f t="shared" si="17"/>
        <v>0</v>
      </c>
      <c r="R35" s="390">
        <f t="shared" si="18"/>
        <v>0</v>
      </c>
      <c r="S35" s="393">
        <f t="shared" si="19"/>
        <v>0</v>
      </c>
      <c r="T35" s="394" t="s">
        <v>429</v>
      </c>
      <c r="U35" s="394" t="s">
        <v>339</v>
      </c>
      <c r="V35" s="395" t="s">
        <v>523</v>
      </c>
      <c r="W35" s="395" t="s">
        <v>690</v>
      </c>
      <c r="X35" s="395">
        <v>1</v>
      </c>
      <c r="Y35" s="396" t="s">
        <v>342</v>
      </c>
    </row>
    <row r="36" spans="2:34" s="148" customFormat="1" ht="27" customHeight="1">
      <c r="B36" s="879"/>
      <c r="C36" s="880"/>
      <c r="D36" s="384">
        <v>6</v>
      </c>
      <c r="E36" s="387" t="s">
        <v>620</v>
      </c>
      <c r="F36" s="388">
        <v>1403.1974999999998</v>
      </c>
      <c r="G36" s="389">
        <v>1067.08</v>
      </c>
      <c r="H36" s="389">
        <v>1036.5999999999999</v>
      </c>
      <c r="I36" s="390">
        <f t="shared" si="22"/>
        <v>0.9714360685234471</v>
      </c>
      <c r="J36" s="389">
        <v>49.55</v>
      </c>
      <c r="K36" s="390">
        <f t="shared" si="14"/>
        <v>4.6435131386587697E-2</v>
      </c>
      <c r="L36" s="389">
        <v>98.470000000000013</v>
      </c>
      <c r="M36" s="390">
        <f t="shared" si="15"/>
        <v>1.0178711999100347</v>
      </c>
      <c r="N36" s="391">
        <v>1877.8229000000022</v>
      </c>
      <c r="O36" s="389">
        <v>14.25</v>
      </c>
      <c r="P36" s="390">
        <f t="shared" si="16"/>
        <v>1.3354200247404132E-2</v>
      </c>
      <c r="Q36" s="392">
        <f t="shared" si="17"/>
        <v>4.8199999999999363</v>
      </c>
      <c r="R36" s="390">
        <f t="shared" si="18"/>
        <v>4.5169996626306715E-3</v>
      </c>
      <c r="S36" s="393">
        <f t="shared" si="19"/>
        <v>474.62539999999382</v>
      </c>
      <c r="T36" s="394" t="s">
        <v>429</v>
      </c>
      <c r="U36" s="394" t="s">
        <v>478</v>
      </c>
      <c r="V36" s="395" t="s">
        <v>494</v>
      </c>
      <c r="W36" s="395" t="s">
        <v>491</v>
      </c>
      <c r="X36" s="395">
        <v>1</v>
      </c>
      <c r="Y36" s="396" t="s">
        <v>618</v>
      </c>
    </row>
    <row r="37" spans="2:34" s="148" customFormat="1" ht="27" customHeight="1">
      <c r="B37" s="879"/>
      <c r="C37" s="880"/>
      <c r="D37" s="384">
        <v>7</v>
      </c>
      <c r="E37" s="387" t="s">
        <v>336</v>
      </c>
      <c r="F37" s="388">
        <v>1140.4434999999999</v>
      </c>
      <c r="G37" s="389">
        <v>674.49</v>
      </c>
      <c r="H37" s="389">
        <v>680.27</v>
      </c>
      <c r="I37" s="390">
        <f t="shared" si="22"/>
        <v>1.0085694376491867</v>
      </c>
      <c r="J37" s="389">
        <v>4.6400000000000006</v>
      </c>
      <c r="K37" s="390">
        <f t="shared" si="14"/>
        <v>6.8792717460599865E-3</v>
      </c>
      <c r="L37" s="389">
        <v>141.66999999999999</v>
      </c>
      <c r="M37" s="390">
        <f t="shared" si="15"/>
        <v>1.0154487093952467</v>
      </c>
      <c r="N37" s="391">
        <v>1476.2014000000001</v>
      </c>
      <c r="O37" s="389">
        <v>8.0500000000000007</v>
      </c>
      <c r="P37" s="390">
        <f t="shared" si="16"/>
        <v>1.1934943438746314E-2</v>
      </c>
      <c r="Q37" s="392">
        <f t="shared" si="17"/>
        <v>2.3699999999999584</v>
      </c>
      <c r="R37" s="390">
        <f t="shared" si="18"/>
        <v>3.5137659565004052E-3</v>
      </c>
      <c r="S37" s="393">
        <f t="shared" si="19"/>
        <v>335.75789999999409</v>
      </c>
      <c r="T37" s="394" t="s">
        <v>429</v>
      </c>
      <c r="U37" s="394" t="s">
        <v>478</v>
      </c>
      <c r="V37" s="395" t="s">
        <v>494</v>
      </c>
      <c r="W37" s="417" t="s">
        <v>691</v>
      </c>
      <c r="X37" s="395">
        <v>1</v>
      </c>
      <c r="Y37" s="396" t="s">
        <v>344</v>
      </c>
    </row>
    <row r="38" spans="2:34" s="148" customFormat="1" ht="27" customHeight="1">
      <c r="B38" s="879"/>
      <c r="C38" s="880"/>
      <c r="D38" s="384">
        <v>8</v>
      </c>
      <c r="E38" s="387" t="s">
        <v>470</v>
      </c>
      <c r="F38" s="388">
        <v>1136.8786000000002</v>
      </c>
      <c r="G38" s="389">
        <v>500.37</v>
      </c>
      <c r="H38" s="389">
        <v>503.33</v>
      </c>
      <c r="I38" s="390">
        <f t="shared" si="22"/>
        <v>1.0059156224393948</v>
      </c>
      <c r="J38" s="389">
        <v>5.83</v>
      </c>
      <c r="K38" s="390">
        <f>J38/G38</f>
        <v>1.1651377980294583E-2</v>
      </c>
      <c r="L38" s="389">
        <v>181.60999999999999</v>
      </c>
      <c r="M38" s="390">
        <f>(H38+J38)/G38</f>
        <v>1.0175670004196893</v>
      </c>
      <c r="N38" s="391">
        <v>1596.3519000000026</v>
      </c>
      <c r="O38" s="389">
        <v>6.2600000000000007</v>
      </c>
      <c r="P38" s="390">
        <f t="shared" si="16"/>
        <v>1.2510742050882349E-2</v>
      </c>
      <c r="Q38" s="392">
        <f t="shared" si="17"/>
        <v>2.5299999999999629</v>
      </c>
      <c r="R38" s="390">
        <f t="shared" si="18"/>
        <v>5.0562583688070085E-3</v>
      </c>
      <c r="S38" s="393">
        <f t="shared" si="19"/>
        <v>459.47329999999323</v>
      </c>
      <c r="T38" s="394" t="s">
        <v>429</v>
      </c>
      <c r="U38" s="394" t="s">
        <v>478</v>
      </c>
      <c r="V38" s="395" t="s">
        <v>489</v>
      </c>
      <c r="W38" s="395" t="s">
        <v>490</v>
      </c>
      <c r="X38" s="395">
        <v>1</v>
      </c>
      <c r="Y38" s="396" t="s">
        <v>469</v>
      </c>
    </row>
    <row r="39" spans="2:34" s="148" customFormat="1" ht="27" customHeight="1">
      <c r="B39" s="879"/>
      <c r="C39" s="880"/>
      <c r="D39" s="384">
        <v>9</v>
      </c>
      <c r="E39" s="387" t="s">
        <v>366</v>
      </c>
      <c r="F39" s="388">
        <v>1112.1695999999999</v>
      </c>
      <c r="G39" s="389">
        <v>269.95</v>
      </c>
      <c r="H39" s="389">
        <v>273.33000000000004</v>
      </c>
      <c r="I39" s="390">
        <f t="shared" si="22"/>
        <v>1.0125208371920729</v>
      </c>
      <c r="J39" s="389">
        <v>3.1399999999999997</v>
      </c>
      <c r="K39" s="390">
        <f t="shared" ref="K39:K50" si="23">J39/G39</f>
        <v>1.1631783663641414E-2</v>
      </c>
      <c r="L39" s="389">
        <v>253.92000000000002</v>
      </c>
      <c r="M39" s="390">
        <f t="shared" ref="M39:M50" si="24">(H39+J39)/G39</f>
        <v>1.0241526208557141</v>
      </c>
      <c r="N39" s="391">
        <v>1655.5583999999992</v>
      </c>
      <c r="O39" s="389">
        <v>4.38</v>
      </c>
      <c r="P39" s="390">
        <f t="shared" si="16"/>
        <v>1.6225226893869234E-2</v>
      </c>
      <c r="Q39" s="392">
        <f t="shared" si="17"/>
        <v>2.1400000000000388</v>
      </c>
      <c r="R39" s="390">
        <f t="shared" si="18"/>
        <v>7.9273939618449297E-3</v>
      </c>
      <c r="S39" s="393">
        <f t="shared" si="19"/>
        <v>543.38880000000984</v>
      </c>
      <c r="T39" s="394" t="s">
        <v>429</v>
      </c>
      <c r="U39" s="394" t="s">
        <v>478</v>
      </c>
      <c r="V39" s="395" t="s">
        <v>558</v>
      </c>
      <c r="W39" s="395" t="s">
        <v>587</v>
      </c>
      <c r="X39" s="395">
        <v>1</v>
      </c>
      <c r="Y39" s="396" t="s">
        <v>358</v>
      </c>
    </row>
    <row r="40" spans="2:34" s="148" customFormat="1" ht="27" customHeight="1">
      <c r="B40" s="879"/>
      <c r="C40" s="880"/>
      <c r="D40" s="384">
        <v>10</v>
      </c>
      <c r="E40" s="387" t="s">
        <v>502</v>
      </c>
      <c r="F40" s="388">
        <v>1092.2447</v>
      </c>
      <c r="G40" s="389">
        <v>291.83</v>
      </c>
      <c r="H40" s="389">
        <v>290.44</v>
      </c>
      <c r="I40" s="390">
        <f t="shared" si="22"/>
        <v>0.99523695302059423</v>
      </c>
      <c r="J40" s="389">
        <v>12.280000000000001</v>
      </c>
      <c r="K40" s="390">
        <f t="shared" si="23"/>
        <v>4.207929273892335E-2</v>
      </c>
      <c r="L40" s="389">
        <v>153.19000000000003</v>
      </c>
      <c r="M40" s="390">
        <f t="shared" si="24"/>
        <v>1.0373162457595178</v>
      </c>
      <c r="N40" s="391">
        <v>1668.2391000000011</v>
      </c>
      <c r="O40" s="389">
        <v>7.13</v>
      </c>
      <c r="P40" s="390">
        <f t="shared" si="16"/>
        <v>2.4432032347599632E-2</v>
      </c>
      <c r="Q40" s="392">
        <f t="shared" si="17"/>
        <v>3.7600000000000433</v>
      </c>
      <c r="R40" s="390">
        <f t="shared" si="18"/>
        <v>1.2884213411918047E-2</v>
      </c>
      <c r="S40" s="393">
        <f t="shared" si="19"/>
        <v>575.99440000000675</v>
      </c>
      <c r="T40" s="394" t="s">
        <v>429</v>
      </c>
      <c r="U40" s="394" t="s">
        <v>478</v>
      </c>
      <c r="V40" s="395" t="s">
        <v>692</v>
      </c>
      <c r="W40" s="395" t="s">
        <v>491</v>
      </c>
      <c r="X40" s="395">
        <v>1</v>
      </c>
      <c r="Y40" s="396" t="s">
        <v>503</v>
      </c>
    </row>
    <row r="41" spans="2:34" s="148" customFormat="1" ht="27" customHeight="1">
      <c r="B41" s="879"/>
      <c r="C41" s="880"/>
      <c r="D41" s="384">
        <v>11</v>
      </c>
      <c r="E41" s="387" t="s">
        <v>621</v>
      </c>
      <c r="F41" s="388">
        <v>1061.0483999999999</v>
      </c>
      <c r="G41" s="389">
        <v>1219.52</v>
      </c>
      <c r="H41" s="389">
        <v>1160.2</v>
      </c>
      <c r="I41" s="390">
        <f t="shared" si="22"/>
        <v>0.95135791130936764</v>
      </c>
      <c r="J41" s="389">
        <v>73.8</v>
      </c>
      <c r="K41" s="390">
        <f t="shared" si="23"/>
        <v>6.0515612700078721E-2</v>
      </c>
      <c r="L41" s="389">
        <v>139.97999999999999</v>
      </c>
      <c r="M41" s="390">
        <f t="shared" si="24"/>
        <v>1.0118735240094463</v>
      </c>
      <c r="N41" s="391">
        <v>2026.9104000000025</v>
      </c>
      <c r="O41" s="389">
        <v>7.58</v>
      </c>
      <c r="P41" s="390">
        <f t="shared" si="16"/>
        <v>6.2155602204145895E-3</v>
      </c>
      <c r="Q41" s="392">
        <f t="shared" si="17"/>
        <v>6.9000000000000181</v>
      </c>
      <c r="R41" s="390">
        <f t="shared" si="18"/>
        <v>5.6579637890317655E-3</v>
      </c>
      <c r="S41" s="393">
        <f t="shared" si="19"/>
        <v>965.86200000000247</v>
      </c>
      <c r="T41" s="394" t="s">
        <v>429</v>
      </c>
      <c r="U41" s="394" t="s">
        <v>478</v>
      </c>
      <c r="V41" s="395" t="s">
        <v>693</v>
      </c>
      <c r="W41" s="395" t="s">
        <v>491</v>
      </c>
      <c r="X41" s="395">
        <v>1</v>
      </c>
      <c r="Y41" s="396" t="s">
        <v>618</v>
      </c>
    </row>
    <row r="42" spans="2:34" s="148" customFormat="1" ht="27" customHeight="1">
      <c r="B42" s="879"/>
      <c r="C42" s="880"/>
      <c r="D42" s="384">
        <v>12</v>
      </c>
      <c r="E42" s="387" t="s">
        <v>671</v>
      </c>
      <c r="F42" s="388">
        <v>1038.5495999999998</v>
      </c>
      <c r="G42" s="389">
        <v>268.02</v>
      </c>
      <c r="H42" s="389">
        <v>272.64000000000004</v>
      </c>
      <c r="I42" s="390">
        <f t="shared" si="22"/>
        <v>1.0172375195880907</v>
      </c>
      <c r="J42" s="389">
        <v>3.88</v>
      </c>
      <c r="K42" s="390">
        <f t="shared" si="23"/>
        <v>1.4476531602119246E-2</v>
      </c>
      <c r="L42" s="389">
        <v>174.83999999999997</v>
      </c>
      <c r="M42" s="390">
        <f t="shared" si="24"/>
        <v>1.0317140511902099</v>
      </c>
      <c r="N42" s="391">
        <v>1486.1400000000026</v>
      </c>
      <c r="O42" s="389">
        <v>5.9399999999999995</v>
      </c>
      <c r="P42" s="390">
        <f t="shared" si="16"/>
        <v>2.2162525184687708E-2</v>
      </c>
      <c r="Q42" s="392">
        <f t="shared" si="17"/>
        <v>2.5600000000000573</v>
      </c>
      <c r="R42" s="390">
        <f t="shared" si="18"/>
        <v>9.5515260055221898E-3</v>
      </c>
      <c r="S42" s="393">
        <f t="shared" si="19"/>
        <v>447.59040000000994</v>
      </c>
      <c r="T42" s="394" t="s">
        <v>429</v>
      </c>
      <c r="U42" s="394" t="s">
        <v>478</v>
      </c>
      <c r="V42" s="395" t="s">
        <v>694</v>
      </c>
      <c r="W42" s="395" t="s">
        <v>491</v>
      </c>
      <c r="X42" s="395">
        <v>1</v>
      </c>
      <c r="Y42" s="396" t="s">
        <v>675</v>
      </c>
    </row>
    <row r="43" spans="2:34" s="148" customFormat="1" ht="27" customHeight="1">
      <c r="B43" s="879"/>
      <c r="C43" s="880"/>
      <c r="D43" s="384">
        <v>13</v>
      </c>
      <c r="E43" s="387" t="s">
        <v>433</v>
      </c>
      <c r="F43" s="388">
        <v>1034.0485000000001</v>
      </c>
      <c r="G43" s="389">
        <v>1865.9699999999998</v>
      </c>
      <c r="H43" s="389">
        <v>1877.1100000000001</v>
      </c>
      <c r="I43" s="390">
        <f t="shared" si="22"/>
        <v>1.0059700852639648</v>
      </c>
      <c r="J43" s="389">
        <v>5.68</v>
      </c>
      <c r="K43" s="390">
        <f t="shared" si="23"/>
        <v>3.0439932046067196E-3</v>
      </c>
      <c r="L43" s="389">
        <v>157.87000000000003</v>
      </c>
      <c r="M43" s="390">
        <f t="shared" si="24"/>
        <v>1.0090140784685715</v>
      </c>
      <c r="N43" s="391">
        <v>2655.3734000000213</v>
      </c>
      <c r="O43" s="389">
        <v>6.55</v>
      </c>
      <c r="P43" s="390">
        <f t="shared" si="16"/>
        <v>3.5102386426362699E-3</v>
      </c>
      <c r="Q43" s="392">
        <f t="shared" si="17"/>
        <v>10.27000000000039</v>
      </c>
      <c r="R43" s="390">
        <f t="shared" si="18"/>
        <v>5.5038398259352464E-3</v>
      </c>
      <c r="S43" s="393">
        <f t="shared" si="19"/>
        <v>1621.3249000000619</v>
      </c>
      <c r="T43" s="394" t="s">
        <v>429</v>
      </c>
      <c r="U43" s="394" t="s">
        <v>478</v>
      </c>
      <c r="V43" s="395" t="s">
        <v>489</v>
      </c>
      <c r="W43" s="395" t="s">
        <v>490</v>
      </c>
      <c r="X43" s="395">
        <v>1</v>
      </c>
      <c r="Y43" s="396" t="s">
        <v>342</v>
      </c>
    </row>
    <row r="44" spans="2:34" s="148" customFormat="1" ht="27" customHeight="1">
      <c r="B44" s="879"/>
      <c r="C44" s="880"/>
      <c r="D44" s="384">
        <v>14</v>
      </c>
      <c r="E44" s="387" t="s">
        <v>516</v>
      </c>
      <c r="F44" s="388">
        <v>1029.7839999999999</v>
      </c>
      <c r="G44" s="389">
        <v>235.58</v>
      </c>
      <c r="H44" s="389">
        <v>241.45</v>
      </c>
      <c r="I44" s="390">
        <f t="shared" si="22"/>
        <v>1.0249172255709311</v>
      </c>
      <c r="J44" s="389">
        <v>6.58</v>
      </c>
      <c r="K44" s="390">
        <f t="shared" si="23"/>
        <v>2.7931063757534593E-2</v>
      </c>
      <c r="L44" s="389">
        <v>145.04</v>
      </c>
      <c r="M44" s="390">
        <f t="shared" si="24"/>
        <v>1.0528482893284659</v>
      </c>
      <c r="N44" s="391">
        <v>1805.7480000000003</v>
      </c>
      <c r="O44" s="389">
        <v>7.1</v>
      </c>
      <c r="P44" s="390">
        <f t="shared" si="16"/>
        <v>3.0138381866032769E-2</v>
      </c>
      <c r="Q44" s="392">
        <f t="shared" si="17"/>
        <v>5.349999999999989</v>
      </c>
      <c r="R44" s="390">
        <f t="shared" si="18"/>
        <v>2.2709907462433097E-2</v>
      </c>
      <c r="S44" s="393">
        <f t="shared" si="19"/>
        <v>775.96399999999835</v>
      </c>
      <c r="T44" s="394" t="s">
        <v>429</v>
      </c>
      <c r="U44" s="394" t="s">
        <v>478</v>
      </c>
      <c r="V44" s="395" t="s">
        <v>559</v>
      </c>
      <c r="W44" s="395" t="s">
        <v>546</v>
      </c>
      <c r="X44" s="395">
        <v>1</v>
      </c>
      <c r="Y44" s="396" t="s">
        <v>343</v>
      </c>
    </row>
    <row r="45" spans="2:34" s="148" customFormat="1" ht="27" customHeight="1">
      <c r="B45" s="879"/>
      <c r="C45" s="880"/>
      <c r="D45" s="384">
        <v>15</v>
      </c>
      <c r="E45" s="387" t="s">
        <v>541</v>
      </c>
      <c r="F45" s="388">
        <v>1029.231</v>
      </c>
      <c r="G45" s="389">
        <v>639.98</v>
      </c>
      <c r="H45" s="389">
        <v>654.64</v>
      </c>
      <c r="I45" s="390">
        <f t="shared" si="22"/>
        <v>1.0229069658426826</v>
      </c>
      <c r="J45" s="389">
        <v>0</v>
      </c>
      <c r="K45" s="390">
        <f t="shared" si="23"/>
        <v>0</v>
      </c>
      <c r="L45" s="389">
        <v>110.66999999999999</v>
      </c>
      <c r="M45" s="390">
        <f t="shared" si="24"/>
        <v>1.0229069658426826</v>
      </c>
      <c r="N45" s="391">
        <v>1622.4221999999966</v>
      </c>
      <c r="O45" s="389">
        <v>9.3000000000000007</v>
      </c>
      <c r="P45" s="390">
        <f t="shared" si="16"/>
        <v>1.4531704115753618E-2</v>
      </c>
      <c r="Q45" s="392">
        <f t="shared" si="17"/>
        <v>5.3599999999999675</v>
      </c>
      <c r="R45" s="390">
        <f t="shared" si="18"/>
        <v>8.3752617269289148E-3</v>
      </c>
      <c r="S45" s="393">
        <f t="shared" si="19"/>
        <v>593.19119999999634</v>
      </c>
      <c r="T45" s="394" t="s">
        <v>429</v>
      </c>
      <c r="U45" s="394" t="s">
        <v>478</v>
      </c>
      <c r="V45" s="395" t="s">
        <v>547</v>
      </c>
      <c r="W45" s="395" t="s">
        <v>515</v>
      </c>
      <c r="X45" s="395">
        <v>1</v>
      </c>
      <c r="Y45" s="396" t="s">
        <v>511</v>
      </c>
    </row>
    <row r="46" spans="2:34" s="148" customFormat="1" ht="27" customHeight="1">
      <c r="B46" s="879"/>
      <c r="C46" s="880"/>
      <c r="D46" s="384">
        <v>16</v>
      </c>
      <c r="E46" s="387" t="s">
        <v>672</v>
      </c>
      <c r="F46" s="388">
        <v>1027.7567999999999</v>
      </c>
      <c r="G46" s="389">
        <v>159.57999999999998</v>
      </c>
      <c r="H46" s="389">
        <v>178.72000000000003</v>
      </c>
      <c r="I46" s="390">
        <f t="shared" si="22"/>
        <v>1.1199398420854747</v>
      </c>
      <c r="J46" s="389">
        <v>0</v>
      </c>
      <c r="K46" s="390">
        <f t="shared" si="23"/>
        <v>0</v>
      </c>
      <c r="L46" s="389">
        <v>76.470000000000013</v>
      </c>
      <c r="M46" s="390">
        <f t="shared" si="24"/>
        <v>1.1199398420854747</v>
      </c>
      <c r="N46" s="391">
        <v>1463.6358</v>
      </c>
      <c r="O46" s="389">
        <v>13.439999999999998</v>
      </c>
      <c r="P46" s="390">
        <f t="shared" si="16"/>
        <v>8.4221080335881687E-2</v>
      </c>
      <c r="Q46" s="392">
        <f t="shared" si="17"/>
        <v>5.7000000000000455</v>
      </c>
      <c r="R46" s="390">
        <f t="shared" si="18"/>
        <v>3.5718761749592973E-2</v>
      </c>
      <c r="S46" s="393">
        <f t="shared" si="19"/>
        <v>435.87900000000354</v>
      </c>
      <c r="T46" s="394" t="s">
        <v>429</v>
      </c>
      <c r="U46" s="394" t="s">
        <v>478</v>
      </c>
      <c r="V46" s="395" t="s">
        <v>547</v>
      </c>
      <c r="W46" s="395" t="s">
        <v>515</v>
      </c>
      <c r="X46" s="395">
        <v>1</v>
      </c>
      <c r="Y46" s="396" t="s">
        <v>342</v>
      </c>
      <c r="AC46" s="400"/>
    </row>
    <row r="47" spans="2:34" s="148" customFormat="1" ht="27" customHeight="1">
      <c r="B47" s="879"/>
      <c r="C47" s="880"/>
      <c r="D47" s="384">
        <v>17</v>
      </c>
      <c r="E47" s="387" t="s">
        <v>673</v>
      </c>
      <c r="F47" s="388">
        <v>1025.0650000000001</v>
      </c>
      <c r="G47" s="389">
        <v>130.61000000000001</v>
      </c>
      <c r="H47" s="389">
        <v>136.13</v>
      </c>
      <c r="I47" s="390">
        <f t="shared" si="22"/>
        <v>1.0422632263992035</v>
      </c>
      <c r="J47" s="389">
        <v>7.48</v>
      </c>
      <c r="K47" s="390">
        <f t="shared" si="23"/>
        <v>5.7269734323558683E-2</v>
      </c>
      <c r="L47" s="389">
        <v>109.75</v>
      </c>
      <c r="M47" s="390">
        <f t="shared" si="24"/>
        <v>1.0995329607227622</v>
      </c>
      <c r="N47" s="391">
        <v>1426.7500000000009</v>
      </c>
      <c r="O47" s="389">
        <v>9.34</v>
      </c>
      <c r="P47" s="390">
        <f t="shared" si="16"/>
        <v>7.1510604088507762E-2</v>
      </c>
      <c r="Q47" s="392">
        <f t="shared" si="17"/>
        <v>3.6599999999999717</v>
      </c>
      <c r="R47" s="390">
        <f t="shared" si="18"/>
        <v>2.8022356634254432E-2</v>
      </c>
      <c r="S47" s="393">
        <f t="shared" si="19"/>
        <v>401.68499999999688</v>
      </c>
      <c r="T47" s="394" t="s">
        <v>429</v>
      </c>
      <c r="U47" s="394" t="s">
        <v>478</v>
      </c>
      <c r="V47" s="395" t="s">
        <v>694</v>
      </c>
      <c r="W47" s="395" t="s">
        <v>491</v>
      </c>
      <c r="X47" s="395">
        <v>1</v>
      </c>
      <c r="Y47" s="396" t="s">
        <v>658</v>
      </c>
      <c r="AB47" s="402"/>
      <c r="AC47" s="400"/>
    </row>
    <row r="48" spans="2:34" s="148" customFormat="1" ht="27" customHeight="1">
      <c r="B48" s="879"/>
      <c r="C48" s="880"/>
      <c r="D48" s="384">
        <v>18</v>
      </c>
      <c r="E48" s="387" t="s">
        <v>540</v>
      </c>
      <c r="F48" s="388">
        <v>1019.9358000000001</v>
      </c>
      <c r="G48" s="389">
        <v>224.83999999999997</v>
      </c>
      <c r="H48" s="389">
        <v>231.02</v>
      </c>
      <c r="I48" s="390">
        <f t="shared" si="22"/>
        <v>1.0274862124177195</v>
      </c>
      <c r="J48" s="389">
        <v>1.49</v>
      </c>
      <c r="K48" s="390">
        <f t="shared" si="23"/>
        <v>6.6269347091264903E-3</v>
      </c>
      <c r="L48" s="389">
        <v>203.57999999999998</v>
      </c>
      <c r="M48" s="390">
        <f t="shared" si="24"/>
        <v>1.0341131471268459</v>
      </c>
      <c r="N48" s="391">
        <v>1561.4586000000018</v>
      </c>
      <c r="O48" s="389">
        <v>5.01</v>
      </c>
      <c r="P48" s="390">
        <f t="shared" si="16"/>
        <v>2.2282512008539406E-2</v>
      </c>
      <c r="Q48" s="392">
        <f t="shared" si="17"/>
        <v>2.6600000000000446</v>
      </c>
      <c r="R48" s="390">
        <f t="shared" si="18"/>
        <v>1.1830635118306551E-2</v>
      </c>
      <c r="S48" s="393">
        <f t="shared" si="19"/>
        <v>541.52280000000906</v>
      </c>
      <c r="T48" s="394" t="s">
        <v>429</v>
      </c>
      <c r="U48" s="394" t="s">
        <v>478</v>
      </c>
      <c r="V48" s="395" t="s">
        <v>489</v>
      </c>
      <c r="W48" s="395" t="s">
        <v>490</v>
      </c>
      <c r="X48" s="395">
        <v>1</v>
      </c>
      <c r="Y48" s="396" t="s">
        <v>344</v>
      </c>
      <c r="AC48" s="400"/>
    </row>
    <row r="49" spans="2:34" s="148" customFormat="1" ht="27" customHeight="1">
      <c r="B49" s="879"/>
      <c r="C49" s="880"/>
      <c r="D49" s="384">
        <v>19</v>
      </c>
      <c r="E49" s="387" t="s">
        <v>624</v>
      </c>
      <c r="F49" s="388">
        <v>1012.8299999999999</v>
      </c>
      <c r="G49" s="389">
        <v>263.26</v>
      </c>
      <c r="H49" s="389">
        <v>261.17</v>
      </c>
      <c r="I49" s="390">
        <f t="shared" si="22"/>
        <v>0.99206108030084339</v>
      </c>
      <c r="J49" s="389">
        <v>14.89</v>
      </c>
      <c r="K49" s="390">
        <f t="shared" si="23"/>
        <v>5.6560054698776882E-2</v>
      </c>
      <c r="L49" s="389">
        <v>155.81999999999996</v>
      </c>
      <c r="M49" s="390">
        <f t="shared" si="24"/>
        <v>1.0486211349996202</v>
      </c>
      <c r="N49" s="391">
        <v>1994.496000000001</v>
      </c>
      <c r="O49" s="389">
        <v>6.5</v>
      </c>
      <c r="P49" s="390">
        <f t="shared" si="16"/>
        <v>2.4690420116994606E-2</v>
      </c>
      <c r="Q49" s="392">
        <f t="shared" si="17"/>
        <v>6.3000000000000114</v>
      </c>
      <c r="R49" s="390">
        <f t="shared" si="18"/>
        <v>2.3930714882625586E-2</v>
      </c>
      <c r="S49" s="393">
        <f t="shared" si="19"/>
        <v>981.66600000000153</v>
      </c>
      <c r="T49" s="394" t="s">
        <v>429</v>
      </c>
      <c r="U49" s="394" t="s">
        <v>478</v>
      </c>
      <c r="V49" s="395" t="s">
        <v>489</v>
      </c>
      <c r="W49" s="395" t="s">
        <v>490</v>
      </c>
      <c r="X49" s="395">
        <v>1</v>
      </c>
      <c r="Y49" s="396" t="s">
        <v>533</v>
      </c>
      <c r="AB49" s="403"/>
      <c r="AC49" s="400"/>
    </row>
    <row r="50" spans="2:34" s="148" customFormat="1" ht="27" customHeight="1">
      <c r="B50" s="881"/>
      <c r="C50" s="882"/>
      <c r="D50" s="384">
        <v>20</v>
      </c>
      <c r="E50" s="387" t="s">
        <v>585</v>
      </c>
      <c r="F50" s="388">
        <v>1003.5392000000001</v>
      </c>
      <c r="G50" s="389">
        <v>84.31</v>
      </c>
      <c r="H50" s="389">
        <v>88.889999999999986</v>
      </c>
      <c r="I50" s="390">
        <f t="shared" si="22"/>
        <v>1.0543233305657691</v>
      </c>
      <c r="J50" s="389">
        <v>2.59</v>
      </c>
      <c r="K50" s="390">
        <f t="shared" si="23"/>
        <v>3.0719962044834535E-2</v>
      </c>
      <c r="L50" s="389">
        <v>216.28</v>
      </c>
      <c r="M50" s="390">
        <f t="shared" si="24"/>
        <v>1.0850432926106035</v>
      </c>
      <c r="N50" s="391">
        <v>1550.7275999999999</v>
      </c>
      <c r="O50" s="389">
        <v>4.6399999999999997</v>
      </c>
      <c r="P50" s="390">
        <f t="shared" si="16"/>
        <v>5.5034989918159166E-2</v>
      </c>
      <c r="Q50" s="392">
        <f t="shared" si="17"/>
        <v>2.5299999999999878</v>
      </c>
      <c r="R50" s="390">
        <f t="shared" si="18"/>
        <v>3.0008302692444404E-2</v>
      </c>
      <c r="S50" s="393">
        <f t="shared" si="19"/>
        <v>547.18839999999739</v>
      </c>
      <c r="T50" s="394" t="s">
        <v>429</v>
      </c>
      <c r="U50" s="394" t="s">
        <v>478</v>
      </c>
      <c r="V50" s="395" t="s">
        <v>561</v>
      </c>
      <c r="W50" s="395" t="s">
        <v>490</v>
      </c>
      <c r="X50" s="395">
        <v>1</v>
      </c>
      <c r="Y50" s="396" t="s">
        <v>344</v>
      </c>
      <c r="AB50" s="403"/>
      <c r="AC50" s="400"/>
    </row>
    <row r="51" spans="2:34" ht="17.100000000000001" customHeight="1">
      <c r="B51" s="899" t="s">
        <v>475</v>
      </c>
      <c r="C51" s="900"/>
      <c r="D51" s="905" t="s">
        <v>170</v>
      </c>
      <c r="E51" s="905"/>
      <c r="F51" s="905"/>
      <c r="G51" s="905" t="s">
        <v>184</v>
      </c>
      <c r="H51" s="905"/>
      <c r="I51" s="905"/>
      <c r="J51" s="905"/>
      <c r="K51" s="905"/>
      <c r="L51" s="905"/>
      <c r="M51" s="905"/>
      <c r="N51" s="905"/>
      <c r="O51" s="905"/>
      <c r="P51" s="905"/>
      <c r="Q51" s="905"/>
      <c r="R51" s="905"/>
      <c r="S51" s="905"/>
      <c r="T51" s="905" t="s">
        <v>171</v>
      </c>
      <c r="U51" s="890" t="s">
        <v>245</v>
      </c>
      <c r="V51" s="883" t="s">
        <v>476</v>
      </c>
      <c r="W51" s="883" t="s">
        <v>477</v>
      </c>
      <c r="X51" s="886" t="s">
        <v>246</v>
      </c>
      <c r="Y51" s="889" t="s">
        <v>172</v>
      </c>
      <c r="AA51" s="890" t="s">
        <v>247</v>
      </c>
      <c r="AB51" s="891"/>
      <c r="AC51" s="891"/>
      <c r="AD51" s="891"/>
      <c r="AE51" s="891"/>
      <c r="AF51" s="891"/>
      <c r="AG51" s="891"/>
      <c r="AH51" s="892"/>
    </row>
    <row r="52" spans="2:34" ht="17.100000000000001" customHeight="1">
      <c r="B52" s="901"/>
      <c r="C52" s="902"/>
      <c r="D52" s="906" t="s">
        <v>169</v>
      </c>
      <c r="E52" s="905" t="s">
        <v>173</v>
      </c>
      <c r="F52" s="905"/>
      <c r="G52" s="905" t="s">
        <v>185</v>
      </c>
      <c r="H52" s="905"/>
      <c r="I52" s="905"/>
      <c r="J52" s="905"/>
      <c r="K52" s="905"/>
      <c r="L52" s="905"/>
      <c r="M52" s="905"/>
      <c r="N52" s="905"/>
      <c r="O52" s="905" t="s">
        <v>174</v>
      </c>
      <c r="P52" s="905"/>
      <c r="Q52" s="905"/>
      <c r="R52" s="905"/>
      <c r="S52" s="905"/>
      <c r="T52" s="905"/>
      <c r="U52" s="893"/>
      <c r="V52" s="884"/>
      <c r="W52" s="884"/>
      <c r="X52" s="887"/>
      <c r="Y52" s="889"/>
      <c r="AA52" s="893"/>
      <c r="AB52" s="894"/>
      <c r="AC52" s="894"/>
      <c r="AD52" s="894"/>
      <c r="AE52" s="894"/>
      <c r="AF52" s="894"/>
      <c r="AG52" s="894"/>
      <c r="AH52" s="895"/>
    </row>
    <row r="53" spans="2:34" ht="17.100000000000001" customHeight="1">
      <c r="B53" s="901"/>
      <c r="C53" s="902"/>
      <c r="D53" s="906"/>
      <c r="E53" s="906" t="s">
        <v>175</v>
      </c>
      <c r="F53" s="889" t="s">
        <v>248</v>
      </c>
      <c r="G53" s="907" t="s">
        <v>186</v>
      </c>
      <c r="H53" s="907"/>
      <c r="I53" s="907"/>
      <c r="J53" s="907"/>
      <c r="K53" s="907"/>
      <c r="L53" s="907"/>
      <c r="M53" s="907"/>
      <c r="N53" s="907"/>
      <c r="O53" s="907" t="s">
        <v>168</v>
      </c>
      <c r="P53" s="907"/>
      <c r="Q53" s="907" t="s">
        <v>176</v>
      </c>
      <c r="R53" s="907"/>
      <c r="S53" s="907"/>
      <c r="T53" s="905"/>
      <c r="U53" s="893"/>
      <c r="V53" s="884"/>
      <c r="W53" s="884"/>
      <c r="X53" s="887"/>
      <c r="Y53" s="889"/>
      <c r="AA53" s="896"/>
      <c r="AB53" s="897"/>
      <c r="AC53" s="897"/>
      <c r="AD53" s="897"/>
      <c r="AE53" s="897"/>
      <c r="AF53" s="897"/>
      <c r="AG53" s="897"/>
      <c r="AH53" s="898"/>
    </row>
    <row r="54" spans="2:34" ht="38.450000000000003" customHeight="1">
      <c r="B54" s="903"/>
      <c r="C54" s="904"/>
      <c r="D54" s="906"/>
      <c r="E54" s="906"/>
      <c r="F54" s="889"/>
      <c r="G54" s="385" t="s">
        <v>177</v>
      </c>
      <c r="H54" s="385" t="s">
        <v>252</v>
      </c>
      <c r="I54" s="385" t="s">
        <v>253</v>
      </c>
      <c r="J54" s="385" t="s">
        <v>178</v>
      </c>
      <c r="K54" s="385" t="s">
        <v>250</v>
      </c>
      <c r="L54" s="385" t="s">
        <v>179</v>
      </c>
      <c r="M54" s="385" t="s">
        <v>187</v>
      </c>
      <c r="N54" s="385" t="s">
        <v>180</v>
      </c>
      <c r="O54" s="386" t="s">
        <v>181</v>
      </c>
      <c r="P54" s="386" t="s">
        <v>182</v>
      </c>
      <c r="Q54" s="386" t="s">
        <v>181</v>
      </c>
      <c r="R54" s="386" t="s">
        <v>182</v>
      </c>
      <c r="S54" s="385" t="s">
        <v>183</v>
      </c>
      <c r="T54" s="905"/>
      <c r="U54" s="896"/>
      <c r="V54" s="885"/>
      <c r="W54" s="885"/>
      <c r="X54" s="888"/>
      <c r="Y54" s="889"/>
      <c r="AA54" s="161" t="s">
        <v>244</v>
      </c>
      <c r="AB54" s="161" t="s">
        <v>478</v>
      </c>
      <c r="AC54" s="156" t="s">
        <v>394</v>
      </c>
      <c r="AD54" s="156" t="s">
        <v>339</v>
      </c>
      <c r="AE54" s="156" t="s">
        <v>457</v>
      </c>
      <c r="AF54" s="156" t="s">
        <v>215</v>
      </c>
      <c r="AG54" s="156" t="s">
        <v>216</v>
      </c>
      <c r="AH54" s="156" t="s">
        <v>395</v>
      </c>
    </row>
    <row r="55" spans="2:34" s="148" customFormat="1" ht="27" customHeight="1">
      <c r="B55" s="877" t="s">
        <v>661</v>
      </c>
      <c r="C55" s="878"/>
      <c r="D55" s="384">
        <v>1</v>
      </c>
      <c r="E55" s="387" t="s">
        <v>670</v>
      </c>
      <c r="F55" s="388">
        <v>2579.8399999999997</v>
      </c>
      <c r="G55" s="389">
        <v>192232</v>
      </c>
      <c r="H55" s="389">
        <v>189488</v>
      </c>
      <c r="I55" s="390">
        <f>H55/G55</f>
        <v>0.98572558158891344</v>
      </c>
      <c r="J55" s="389">
        <v>4968</v>
      </c>
      <c r="K55" s="390">
        <f>J55/G55</f>
        <v>2.5843772108701986E-2</v>
      </c>
      <c r="L55" s="389">
        <v>1.1599999999999999</v>
      </c>
      <c r="M55" s="390">
        <f>(H55+J55)/G55</f>
        <v>1.0115693536976154</v>
      </c>
      <c r="N55" s="391">
        <v>2579.8399999999997</v>
      </c>
      <c r="O55" s="389">
        <v>2224</v>
      </c>
      <c r="P55" s="390">
        <f>O55/G55</f>
        <v>1.1569353697615381E-2</v>
      </c>
      <c r="Q55" s="392">
        <f>((H55+J55)-G55)-O55</f>
        <v>0</v>
      </c>
      <c r="R55" s="390">
        <f>Q55/G55</f>
        <v>0</v>
      </c>
      <c r="S55" s="393">
        <f>Q55*L55</f>
        <v>0</v>
      </c>
      <c r="T55" s="394" t="s">
        <v>429</v>
      </c>
      <c r="U55" s="394" t="s">
        <v>339</v>
      </c>
      <c r="V55" s="395" t="s">
        <v>738</v>
      </c>
      <c r="W55" s="417" t="s">
        <v>739</v>
      </c>
      <c r="X55" s="395">
        <v>1</v>
      </c>
      <c r="Y55" s="396" t="s">
        <v>342</v>
      </c>
      <c r="Z55" s="397" t="s">
        <v>479</v>
      </c>
      <c r="AA55" s="407">
        <f>SUM(X55:X74)</f>
        <v>20</v>
      </c>
      <c r="AB55" s="399">
        <f>SUMIF($U$55:$U$74,TRIM(AB54),$X$55:$X$74)</f>
        <v>15</v>
      </c>
      <c r="AC55" s="399">
        <f t="shared" ref="AC55:AH55" si="25">SUMIF($U$55:$U$74,TRIM(AC54),$X$55:$X$74)</f>
        <v>0</v>
      </c>
      <c r="AD55" s="399">
        <f t="shared" si="25"/>
        <v>4</v>
      </c>
      <c r="AE55" s="399">
        <f t="shared" si="25"/>
        <v>0</v>
      </c>
      <c r="AF55" s="399">
        <f t="shared" si="25"/>
        <v>0</v>
      </c>
      <c r="AG55" s="399">
        <f t="shared" si="25"/>
        <v>1</v>
      </c>
      <c r="AH55" s="399">
        <f t="shared" si="25"/>
        <v>0</v>
      </c>
    </row>
    <row r="56" spans="2:34" s="148" customFormat="1" ht="27" customHeight="1">
      <c r="B56" s="879"/>
      <c r="C56" s="880"/>
      <c r="D56" s="384">
        <v>2</v>
      </c>
      <c r="E56" s="387" t="s">
        <v>335</v>
      </c>
      <c r="F56" s="388">
        <v>2564.6999999999998</v>
      </c>
      <c r="G56" s="389">
        <v>54880</v>
      </c>
      <c r="H56" s="389">
        <v>54165</v>
      </c>
      <c r="I56" s="390">
        <f t="shared" ref="I56:I74" si="26">H56/G56</f>
        <v>0.98697157434402327</v>
      </c>
      <c r="J56" s="389">
        <v>882</v>
      </c>
      <c r="K56" s="390">
        <f t="shared" ref="K56:K74" si="27">J56/G56</f>
        <v>1.607142857142857E-2</v>
      </c>
      <c r="L56" s="389">
        <v>15.450000000000001</v>
      </c>
      <c r="M56" s="390">
        <f t="shared" ref="M56:M61" si="28">(H56+J56)/G56</f>
        <v>1.0030430029154518</v>
      </c>
      <c r="N56" s="391">
        <v>2580.15</v>
      </c>
      <c r="O56" s="389">
        <v>166</v>
      </c>
      <c r="P56" s="390">
        <f t="shared" ref="P56:P74" si="29">O56/G56</f>
        <v>3.0247813411078718E-3</v>
      </c>
      <c r="Q56" s="392">
        <f t="shared" ref="Q56:Q74" si="30">((H56+J56)-G56)-O56</f>
        <v>1</v>
      </c>
      <c r="R56" s="390">
        <f t="shared" ref="R56:R74" si="31">Q56/G56</f>
        <v>1.8221574344023323E-5</v>
      </c>
      <c r="S56" s="393">
        <f t="shared" ref="S56:S74" si="32">Q56*L56</f>
        <v>15.450000000000001</v>
      </c>
      <c r="T56" s="394" t="s">
        <v>429</v>
      </c>
      <c r="U56" s="394" t="s">
        <v>512</v>
      </c>
      <c r="V56" s="395" t="s">
        <v>520</v>
      </c>
      <c r="W56" s="395" t="s">
        <v>515</v>
      </c>
      <c r="X56" s="395">
        <v>1</v>
      </c>
      <c r="Y56" s="396" t="s">
        <v>674</v>
      </c>
      <c r="AA56" s="408"/>
      <c r="AB56" s="405">
        <f>SUMIF($U$55:$U$74,TRIM(AB54),$F$55:$F$74)</f>
        <v>18174.7857</v>
      </c>
      <c r="AC56" s="405">
        <f t="shared" ref="AC56:AH56" si="33">SUMIF($U$55:$U$74,TRIM(AC54),$F$55:$F$74)</f>
        <v>0</v>
      </c>
      <c r="AD56" s="405">
        <f t="shared" si="33"/>
        <v>7453.9099999999989</v>
      </c>
      <c r="AE56" s="405">
        <f t="shared" si="33"/>
        <v>0</v>
      </c>
      <c r="AF56" s="405">
        <f t="shared" si="33"/>
        <v>0</v>
      </c>
      <c r="AG56" s="405">
        <f t="shared" si="33"/>
        <v>2564.6999999999998</v>
      </c>
      <c r="AH56" s="405">
        <f t="shared" si="33"/>
        <v>0</v>
      </c>
    </row>
    <row r="57" spans="2:34" s="148" customFormat="1" ht="27" customHeight="1">
      <c r="B57" s="879"/>
      <c r="C57" s="880"/>
      <c r="D57" s="384">
        <v>3</v>
      </c>
      <c r="E57" s="387" t="s">
        <v>481</v>
      </c>
      <c r="F57" s="388">
        <v>1839.9499999999998</v>
      </c>
      <c r="G57" s="389">
        <v>162509</v>
      </c>
      <c r="H57" s="389">
        <v>163260</v>
      </c>
      <c r="I57" s="390">
        <f t="shared" si="26"/>
        <v>1.0046212825135838</v>
      </c>
      <c r="J57" s="389">
        <v>0</v>
      </c>
      <c r="K57" s="390">
        <f t="shared" si="27"/>
        <v>0</v>
      </c>
      <c r="L57" s="389">
        <v>2.4499999999999997</v>
      </c>
      <c r="M57" s="390">
        <f t="shared" si="28"/>
        <v>1.0046212825135838</v>
      </c>
      <c r="N57" s="391">
        <v>1839.9499999999998</v>
      </c>
      <c r="O57" s="389">
        <v>751</v>
      </c>
      <c r="P57" s="390">
        <f t="shared" si="29"/>
        <v>4.6212825135838629E-3</v>
      </c>
      <c r="Q57" s="392">
        <f t="shared" si="30"/>
        <v>0</v>
      </c>
      <c r="R57" s="390">
        <f t="shared" si="31"/>
        <v>0</v>
      </c>
      <c r="S57" s="393">
        <f t="shared" si="32"/>
        <v>0</v>
      </c>
      <c r="T57" s="394" t="s">
        <v>429</v>
      </c>
      <c r="U57" s="394" t="s">
        <v>339</v>
      </c>
      <c r="V57" s="395" t="s">
        <v>521</v>
      </c>
      <c r="W57" s="395" t="s">
        <v>522</v>
      </c>
      <c r="X57" s="395">
        <v>1</v>
      </c>
      <c r="Y57" s="396" t="s">
        <v>342</v>
      </c>
      <c r="AA57" s="384"/>
      <c r="AB57" s="406">
        <f>AB55/$AA55</f>
        <v>0.75</v>
      </c>
      <c r="AC57" s="406">
        <f t="shared" ref="AC57:AH57" si="34">AC55/$AA55</f>
        <v>0</v>
      </c>
      <c r="AD57" s="406">
        <f t="shared" si="34"/>
        <v>0.2</v>
      </c>
      <c r="AE57" s="406">
        <f t="shared" si="34"/>
        <v>0</v>
      </c>
      <c r="AF57" s="406">
        <f t="shared" si="34"/>
        <v>0</v>
      </c>
      <c r="AG57" s="406">
        <f t="shared" si="34"/>
        <v>0.05</v>
      </c>
      <c r="AH57" s="406">
        <f t="shared" si="34"/>
        <v>0</v>
      </c>
    </row>
    <row r="58" spans="2:34" s="148" customFormat="1" ht="27" customHeight="1">
      <c r="B58" s="879"/>
      <c r="C58" s="880"/>
      <c r="D58" s="384">
        <v>4</v>
      </c>
      <c r="E58" s="387" t="s">
        <v>544</v>
      </c>
      <c r="F58" s="388">
        <v>1656.2309999999998</v>
      </c>
      <c r="G58" s="389">
        <v>773.38</v>
      </c>
      <c r="H58" s="389">
        <v>774.62</v>
      </c>
      <c r="I58" s="390">
        <f t="shared" si="26"/>
        <v>1.0016033515218909</v>
      </c>
      <c r="J58" s="389">
        <v>34.929999999999993</v>
      </c>
      <c r="K58" s="390">
        <f t="shared" si="27"/>
        <v>4.5165377951330514E-2</v>
      </c>
      <c r="L58" s="389">
        <v>128.38999999999999</v>
      </c>
      <c r="M58" s="390">
        <f t="shared" si="28"/>
        <v>1.0467687294732213</v>
      </c>
      <c r="N58" s="391">
        <v>4643.866299999996</v>
      </c>
      <c r="O58" s="389">
        <v>12.9</v>
      </c>
      <c r="P58" s="390">
        <f t="shared" si="29"/>
        <v>1.6680027929349091E-2</v>
      </c>
      <c r="Q58" s="392">
        <f t="shared" si="30"/>
        <v>23.26999999999996</v>
      </c>
      <c r="R58" s="390">
        <f t="shared" si="31"/>
        <v>3.00887015438723E-2</v>
      </c>
      <c r="S58" s="393">
        <f t="shared" si="32"/>
        <v>2987.6352999999945</v>
      </c>
      <c r="T58" s="394" t="s">
        <v>429</v>
      </c>
      <c r="U58" s="394" t="s">
        <v>478</v>
      </c>
      <c r="V58" s="395" t="s">
        <v>565</v>
      </c>
      <c r="W58" s="395" t="s">
        <v>740</v>
      </c>
      <c r="X58" s="395">
        <v>1</v>
      </c>
      <c r="Y58" s="396" t="s">
        <v>358</v>
      </c>
    </row>
    <row r="59" spans="2:34" s="148" customFormat="1" ht="27" customHeight="1">
      <c r="B59" s="879"/>
      <c r="C59" s="880"/>
      <c r="D59" s="384">
        <v>5</v>
      </c>
      <c r="E59" s="387" t="s">
        <v>623</v>
      </c>
      <c r="F59" s="388">
        <v>1529.5</v>
      </c>
      <c r="G59" s="389">
        <v>14210</v>
      </c>
      <c r="H59" s="389">
        <v>14047</v>
      </c>
      <c r="I59" s="390">
        <f t="shared" si="26"/>
        <v>0.98852920478536244</v>
      </c>
      <c r="J59" s="389">
        <v>258</v>
      </c>
      <c r="K59" s="390">
        <f t="shared" si="27"/>
        <v>1.8156228008444759E-2</v>
      </c>
      <c r="L59" s="389">
        <v>16.099999999999998</v>
      </c>
      <c r="M59" s="390">
        <f t="shared" si="28"/>
        <v>1.0066854327938073</v>
      </c>
      <c r="N59" s="391">
        <v>1529.5</v>
      </c>
      <c r="O59" s="389">
        <v>95</v>
      </c>
      <c r="P59" s="390">
        <f t="shared" si="29"/>
        <v>6.6854327938071778E-3</v>
      </c>
      <c r="Q59" s="392">
        <f t="shared" si="30"/>
        <v>0</v>
      </c>
      <c r="R59" s="390">
        <f t="shared" si="31"/>
        <v>0</v>
      </c>
      <c r="S59" s="393">
        <f t="shared" si="32"/>
        <v>0</v>
      </c>
      <c r="T59" s="394" t="s">
        <v>429</v>
      </c>
      <c r="U59" s="394" t="s">
        <v>339</v>
      </c>
      <c r="V59" s="395" t="s">
        <v>688</v>
      </c>
      <c r="W59" s="395" t="s">
        <v>741</v>
      </c>
      <c r="X59" s="395">
        <v>1</v>
      </c>
      <c r="Y59" s="396" t="s">
        <v>618</v>
      </c>
    </row>
    <row r="60" spans="2:34" s="148" customFormat="1" ht="27" customHeight="1">
      <c r="B60" s="879"/>
      <c r="C60" s="880"/>
      <c r="D60" s="384">
        <v>6</v>
      </c>
      <c r="E60" s="387" t="s">
        <v>480</v>
      </c>
      <c r="F60" s="388">
        <v>1504.6200000000001</v>
      </c>
      <c r="G60" s="389">
        <v>337482</v>
      </c>
      <c r="H60" s="389">
        <v>338596</v>
      </c>
      <c r="I60" s="390">
        <f t="shared" si="26"/>
        <v>1.0033009167896363</v>
      </c>
      <c r="J60" s="389">
        <v>320</v>
      </c>
      <c r="K60" s="390">
        <f t="shared" si="27"/>
        <v>9.4819871874648131E-4</v>
      </c>
      <c r="L60" s="389">
        <v>1.17</v>
      </c>
      <c r="M60" s="390">
        <f t="shared" si="28"/>
        <v>1.0042491155083826</v>
      </c>
      <c r="N60" s="391">
        <v>1677.78</v>
      </c>
      <c r="O60" s="389">
        <v>1286</v>
      </c>
      <c r="P60" s="390">
        <f t="shared" si="29"/>
        <v>3.8105736009624216E-3</v>
      </c>
      <c r="Q60" s="392">
        <f t="shared" si="30"/>
        <v>148</v>
      </c>
      <c r="R60" s="390">
        <f t="shared" si="31"/>
        <v>4.3854190742024759E-4</v>
      </c>
      <c r="S60" s="393">
        <f t="shared" si="32"/>
        <v>173.16</v>
      </c>
      <c r="T60" s="394" t="s">
        <v>429</v>
      </c>
      <c r="U60" s="394" t="s">
        <v>339</v>
      </c>
      <c r="V60" s="395" t="s">
        <v>523</v>
      </c>
      <c r="W60" s="395" t="s">
        <v>690</v>
      </c>
      <c r="X60" s="395">
        <v>1</v>
      </c>
      <c r="Y60" s="396" t="s">
        <v>342</v>
      </c>
    </row>
    <row r="61" spans="2:34" s="148" customFormat="1" ht="27" customHeight="1">
      <c r="B61" s="879"/>
      <c r="C61" s="880"/>
      <c r="D61" s="384">
        <v>7</v>
      </c>
      <c r="E61" s="387" t="s">
        <v>722</v>
      </c>
      <c r="F61" s="388">
        <v>1394.2565999999997</v>
      </c>
      <c r="G61" s="389">
        <v>552.34</v>
      </c>
      <c r="H61" s="389">
        <v>562.64</v>
      </c>
      <c r="I61" s="390">
        <f t="shared" si="26"/>
        <v>1.0186479342434007</v>
      </c>
      <c r="J61" s="389">
        <v>0</v>
      </c>
      <c r="K61" s="390">
        <f t="shared" si="27"/>
        <v>0</v>
      </c>
      <c r="L61" s="389">
        <v>189.18000000000004</v>
      </c>
      <c r="M61" s="390">
        <f t="shared" si="28"/>
        <v>1.0186479342434007</v>
      </c>
      <c r="N61" s="391">
        <v>1948.5539999999996</v>
      </c>
      <c r="O61" s="389">
        <v>7.3699999999999992</v>
      </c>
      <c r="P61" s="390">
        <f t="shared" si="29"/>
        <v>1.3343230618821738E-2</v>
      </c>
      <c r="Q61" s="392">
        <f t="shared" si="30"/>
        <v>2.9299999999999553</v>
      </c>
      <c r="R61" s="390">
        <f t="shared" si="31"/>
        <v>5.3047036245789823E-3</v>
      </c>
      <c r="S61" s="393">
        <f t="shared" si="32"/>
        <v>554.29739999999163</v>
      </c>
      <c r="T61" s="394" t="s">
        <v>429</v>
      </c>
      <c r="U61" s="394" t="s">
        <v>478</v>
      </c>
      <c r="V61" s="395" t="s">
        <v>489</v>
      </c>
      <c r="W61" s="395" t="s">
        <v>490</v>
      </c>
      <c r="X61" s="395">
        <v>1</v>
      </c>
      <c r="Y61" s="396" t="s">
        <v>360</v>
      </c>
    </row>
    <row r="62" spans="2:34" s="148" customFormat="1" ht="27" customHeight="1">
      <c r="B62" s="879"/>
      <c r="C62" s="880"/>
      <c r="D62" s="384">
        <v>8</v>
      </c>
      <c r="E62" s="387" t="s">
        <v>470</v>
      </c>
      <c r="F62" s="388">
        <v>1276.7183000000002</v>
      </c>
      <c r="G62" s="389">
        <v>464.15</v>
      </c>
      <c r="H62" s="389">
        <v>464.89</v>
      </c>
      <c r="I62" s="390">
        <f t="shared" si="26"/>
        <v>1.0015943121835613</v>
      </c>
      <c r="J62" s="389">
        <v>6.9</v>
      </c>
      <c r="K62" s="390">
        <f t="shared" si="27"/>
        <v>1.4865883873747713E-2</v>
      </c>
      <c r="L62" s="389">
        <v>181.60999999999999</v>
      </c>
      <c r="M62" s="390">
        <f>(H62+J62)/G62</f>
        <v>1.016460196057309</v>
      </c>
      <c r="N62" s="391">
        <v>1387.5004000000026</v>
      </c>
      <c r="O62" s="389">
        <v>7.03</v>
      </c>
      <c r="P62" s="390">
        <f t="shared" si="29"/>
        <v>1.5145965743832814E-2</v>
      </c>
      <c r="Q62" s="392">
        <f t="shared" si="30"/>
        <v>0.60999999999998611</v>
      </c>
      <c r="R62" s="390">
        <f t="shared" si="31"/>
        <v>1.314230313476217E-3</v>
      </c>
      <c r="S62" s="393">
        <f t="shared" si="32"/>
        <v>110.78209999999747</v>
      </c>
      <c r="T62" s="394" t="s">
        <v>429</v>
      </c>
      <c r="U62" s="394" t="s">
        <v>478</v>
      </c>
      <c r="V62" s="395" t="s">
        <v>489</v>
      </c>
      <c r="W62" s="395" t="s">
        <v>490</v>
      </c>
      <c r="X62" s="395">
        <v>1</v>
      </c>
      <c r="Y62" s="396" t="s">
        <v>469</v>
      </c>
    </row>
    <row r="63" spans="2:34" s="148" customFormat="1" ht="27" customHeight="1">
      <c r="B63" s="879"/>
      <c r="C63" s="880"/>
      <c r="D63" s="384">
        <v>9</v>
      </c>
      <c r="E63" s="387" t="s">
        <v>502</v>
      </c>
      <c r="F63" s="388">
        <v>1262.2855999999999</v>
      </c>
      <c r="G63" s="389">
        <v>295.51</v>
      </c>
      <c r="H63" s="389">
        <v>298.76</v>
      </c>
      <c r="I63" s="390">
        <f t="shared" si="26"/>
        <v>1.0109979357720551</v>
      </c>
      <c r="J63" s="389">
        <v>9.0500000000000007</v>
      </c>
      <c r="K63" s="390">
        <f t="shared" si="27"/>
        <v>3.0625021149876488E-2</v>
      </c>
      <c r="L63" s="389">
        <v>153.19000000000003</v>
      </c>
      <c r="M63" s="390">
        <f t="shared" ref="M63:M74" si="35">(H63+J63)/G63</f>
        <v>1.0416229569219315</v>
      </c>
      <c r="N63" s="391">
        <v>1884.2369999999994</v>
      </c>
      <c r="O63" s="389">
        <v>8.24</v>
      </c>
      <c r="P63" s="390">
        <f t="shared" si="29"/>
        <v>2.78839971574566E-2</v>
      </c>
      <c r="Q63" s="392">
        <f t="shared" si="30"/>
        <v>4.0600000000000112</v>
      </c>
      <c r="R63" s="390">
        <f t="shared" si="31"/>
        <v>1.3738959764475013E-2</v>
      </c>
      <c r="S63" s="393">
        <f t="shared" si="32"/>
        <v>621.95140000000185</v>
      </c>
      <c r="T63" s="394" t="s">
        <v>429</v>
      </c>
      <c r="U63" s="394" t="s">
        <v>478</v>
      </c>
      <c r="V63" s="395" t="s">
        <v>692</v>
      </c>
      <c r="W63" s="395" t="s">
        <v>491</v>
      </c>
      <c r="X63" s="395">
        <v>1</v>
      </c>
      <c r="Y63" s="396" t="s">
        <v>503</v>
      </c>
    </row>
    <row r="64" spans="2:34" s="148" customFormat="1" ht="27" customHeight="1">
      <c r="B64" s="879"/>
      <c r="C64" s="880"/>
      <c r="D64" s="384">
        <v>10</v>
      </c>
      <c r="E64" s="387" t="s">
        <v>336</v>
      </c>
      <c r="F64" s="388">
        <v>1258.0296000000001</v>
      </c>
      <c r="G64" s="389">
        <v>649.71</v>
      </c>
      <c r="H64" s="389">
        <v>657.84</v>
      </c>
      <c r="I64" s="390">
        <f t="shared" si="26"/>
        <v>1.01251327515353</v>
      </c>
      <c r="J64" s="389">
        <v>5.76</v>
      </c>
      <c r="K64" s="390">
        <f t="shared" si="27"/>
        <v>8.8654938357113165E-3</v>
      </c>
      <c r="L64" s="389">
        <v>141.66999999999999</v>
      </c>
      <c r="M64" s="390">
        <f t="shared" si="35"/>
        <v>1.0213787689892413</v>
      </c>
      <c r="N64" s="391">
        <v>1967.7963000000018</v>
      </c>
      <c r="O64" s="389">
        <v>8.879999999999999</v>
      </c>
      <c r="P64" s="390">
        <f t="shared" si="29"/>
        <v>1.3667636330054946E-2</v>
      </c>
      <c r="Q64" s="392">
        <f t="shared" si="30"/>
        <v>5.0099999999999874</v>
      </c>
      <c r="R64" s="390">
        <f t="shared" si="31"/>
        <v>7.7111326591863859E-3</v>
      </c>
      <c r="S64" s="393">
        <f t="shared" si="32"/>
        <v>709.7666999999982</v>
      </c>
      <c r="T64" s="394" t="s">
        <v>429</v>
      </c>
      <c r="U64" s="394" t="s">
        <v>478</v>
      </c>
      <c r="V64" s="395" t="s">
        <v>494</v>
      </c>
      <c r="W64" s="417" t="s">
        <v>691</v>
      </c>
      <c r="X64" s="395">
        <v>1</v>
      </c>
      <c r="Y64" s="396" t="s">
        <v>344</v>
      </c>
    </row>
    <row r="65" spans="2:34" s="148" customFormat="1" ht="27" customHeight="1">
      <c r="B65" s="879"/>
      <c r="C65" s="880"/>
      <c r="D65" s="384">
        <v>11</v>
      </c>
      <c r="E65" s="387" t="s">
        <v>541</v>
      </c>
      <c r="F65" s="388">
        <v>1150.9679999999998</v>
      </c>
      <c r="G65" s="389">
        <v>644.55000000000007</v>
      </c>
      <c r="H65" s="389">
        <v>659.8</v>
      </c>
      <c r="I65" s="390">
        <f t="shared" si="26"/>
        <v>1.0236599177720889</v>
      </c>
      <c r="J65" s="389">
        <v>0</v>
      </c>
      <c r="K65" s="390">
        <f t="shared" si="27"/>
        <v>0</v>
      </c>
      <c r="L65" s="389">
        <v>110.66999999999999</v>
      </c>
      <c r="M65" s="390">
        <f t="shared" si="35"/>
        <v>1.0236599177720889</v>
      </c>
      <c r="N65" s="391">
        <v>1687.7175000000016</v>
      </c>
      <c r="O65" s="389">
        <v>10.4</v>
      </c>
      <c r="P65" s="390">
        <f t="shared" si="29"/>
        <v>1.6135288185555811E-2</v>
      </c>
      <c r="Q65" s="392">
        <f t="shared" si="30"/>
        <v>4.849999999999886</v>
      </c>
      <c r="R65" s="390">
        <f t="shared" si="31"/>
        <v>7.5246295865330623E-3</v>
      </c>
      <c r="S65" s="393">
        <f t="shared" si="32"/>
        <v>536.74949999998728</v>
      </c>
      <c r="T65" s="394" t="s">
        <v>429</v>
      </c>
      <c r="U65" s="394" t="s">
        <v>478</v>
      </c>
      <c r="V65" s="395" t="s">
        <v>547</v>
      </c>
      <c r="W65" s="395" t="s">
        <v>515</v>
      </c>
      <c r="X65" s="395">
        <v>1</v>
      </c>
      <c r="Y65" s="396" t="s">
        <v>511</v>
      </c>
    </row>
    <row r="66" spans="2:34" s="148" customFormat="1" ht="27" customHeight="1">
      <c r="B66" s="879"/>
      <c r="C66" s="880"/>
      <c r="D66" s="384">
        <v>12</v>
      </c>
      <c r="E66" s="387" t="s">
        <v>580</v>
      </c>
      <c r="F66" s="388">
        <v>1148.5810000000001</v>
      </c>
      <c r="G66" s="389">
        <v>495.23999999999995</v>
      </c>
      <c r="H66" s="389">
        <v>497.63</v>
      </c>
      <c r="I66" s="390">
        <f t="shared" si="26"/>
        <v>1.0048259429771425</v>
      </c>
      <c r="J66" s="389">
        <v>4.1000000000000005</v>
      </c>
      <c r="K66" s="390">
        <f t="shared" si="27"/>
        <v>8.2788143122526463E-3</v>
      </c>
      <c r="L66" s="389">
        <v>370.50999999999993</v>
      </c>
      <c r="M66" s="390">
        <f t="shared" si="35"/>
        <v>1.0131047572893952</v>
      </c>
      <c r="N66" s="391">
        <v>2404.6098999999977</v>
      </c>
      <c r="O66" s="389">
        <v>3.1</v>
      </c>
      <c r="P66" s="390">
        <f t="shared" si="29"/>
        <v>6.259591309264196E-3</v>
      </c>
      <c r="Q66" s="392">
        <f t="shared" si="30"/>
        <v>3.3900000000000658</v>
      </c>
      <c r="R66" s="390">
        <f t="shared" si="31"/>
        <v>6.8451659801309793E-3</v>
      </c>
      <c r="S66" s="393">
        <f t="shared" si="32"/>
        <v>1256.0289000000241</v>
      </c>
      <c r="T66" s="394" t="s">
        <v>429</v>
      </c>
      <c r="U66" s="394" t="s">
        <v>478</v>
      </c>
      <c r="V66" s="417" t="s">
        <v>547</v>
      </c>
      <c r="W66" s="395" t="s">
        <v>515</v>
      </c>
      <c r="X66" s="395">
        <v>1</v>
      </c>
      <c r="Y66" s="396" t="s">
        <v>361</v>
      </c>
    </row>
    <row r="67" spans="2:34" s="148" customFormat="1" ht="27" customHeight="1">
      <c r="B67" s="879"/>
      <c r="C67" s="880"/>
      <c r="D67" s="384">
        <v>13</v>
      </c>
      <c r="E67" s="387" t="s">
        <v>621</v>
      </c>
      <c r="F67" s="388">
        <v>1145.0364</v>
      </c>
      <c r="G67" s="389">
        <v>1136.8000000000002</v>
      </c>
      <c r="H67" s="389">
        <v>1098.8</v>
      </c>
      <c r="I67" s="390">
        <f t="shared" si="26"/>
        <v>0.96657283603096389</v>
      </c>
      <c r="J67" s="389">
        <v>50.86</v>
      </c>
      <c r="K67" s="390">
        <f t="shared" si="27"/>
        <v>4.4739619985925398E-2</v>
      </c>
      <c r="L67" s="389">
        <v>139.97999999999999</v>
      </c>
      <c r="M67" s="390">
        <f t="shared" si="35"/>
        <v>1.0113124560168891</v>
      </c>
      <c r="N67" s="391">
        <v>1800.1427999999999</v>
      </c>
      <c r="O67" s="389">
        <v>8.18</v>
      </c>
      <c r="P67" s="390">
        <f t="shared" si="29"/>
        <v>7.19563687543983E-3</v>
      </c>
      <c r="Q67" s="392">
        <f t="shared" si="30"/>
        <v>4.6799999999996729</v>
      </c>
      <c r="R67" s="390">
        <f t="shared" si="31"/>
        <v>4.1168191414493946E-3</v>
      </c>
      <c r="S67" s="393">
        <f t="shared" si="32"/>
        <v>655.10639999995419</v>
      </c>
      <c r="T67" s="394" t="s">
        <v>429</v>
      </c>
      <c r="U67" s="394" t="s">
        <v>478</v>
      </c>
      <c r="V67" s="395" t="s">
        <v>693</v>
      </c>
      <c r="W67" s="395" t="s">
        <v>742</v>
      </c>
      <c r="X67" s="395">
        <v>1</v>
      </c>
      <c r="Y67" s="396" t="s">
        <v>618</v>
      </c>
    </row>
    <row r="68" spans="2:34" s="148" customFormat="1" ht="27" customHeight="1">
      <c r="B68" s="879"/>
      <c r="C68" s="880"/>
      <c r="D68" s="384">
        <v>14</v>
      </c>
      <c r="E68" s="387" t="s">
        <v>366</v>
      </c>
      <c r="F68" s="388">
        <v>1142.6399999999999</v>
      </c>
      <c r="G68" s="389">
        <v>249.86</v>
      </c>
      <c r="H68" s="389">
        <v>255.14000000000001</v>
      </c>
      <c r="I68" s="390">
        <f t="shared" si="26"/>
        <v>1.0211318338269431</v>
      </c>
      <c r="J68" s="389">
        <v>3.15</v>
      </c>
      <c r="K68" s="390">
        <f t="shared" si="27"/>
        <v>1.2607059953574E-2</v>
      </c>
      <c r="L68" s="389">
        <v>253.92000000000002</v>
      </c>
      <c r="M68" s="390">
        <f t="shared" si="35"/>
        <v>1.0337388937805172</v>
      </c>
      <c r="N68" s="391">
        <v>2140.5455999999986</v>
      </c>
      <c r="O68" s="389">
        <v>4.5</v>
      </c>
      <c r="P68" s="390">
        <f t="shared" si="29"/>
        <v>1.8010085647962859E-2</v>
      </c>
      <c r="Q68" s="392">
        <f t="shared" si="30"/>
        <v>3.9300000000000068</v>
      </c>
      <c r="R68" s="390">
        <f t="shared" si="31"/>
        <v>1.5728808132554256E-2</v>
      </c>
      <c r="S68" s="393">
        <f t="shared" si="32"/>
        <v>997.90560000000175</v>
      </c>
      <c r="T68" s="394" t="s">
        <v>429</v>
      </c>
      <c r="U68" s="394" t="s">
        <v>478</v>
      </c>
      <c r="V68" s="395" t="s">
        <v>558</v>
      </c>
      <c r="W68" s="395" t="s">
        <v>587</v>
      </c>
      <c r="X68" s="395">
        <v>1</v>
      </c>
      <c r="Y68" s="396" t="s">
        <v>358</v>
      </c>
    </row>
    <row r="69" spans="2:34" s="148" customFormat="1" ht="27" customHeight="1">
      <c r="B69" s="879"/>
      <c r="C69" s="880"/>
      <c r="D69" s="384">
        <v>15</v>
      </c>
      <c r="E69" s="387" t="s">
        <v>365</v>
      </c>
      <c r="F69" s="388">
        <v>1138.6300000000001</v>
      </c>
      <c r="G69" s="389">
        <v>309.36</v>
      </c>
      <c r="H69" s="389">
        <v>314.48</v>
      </c>
      <c r="I69" s="390">
        <f t="shared" si="26"/>
        <v>1.0165502973881562</v>
      </c>
      <c r="J69" s="389">
        <v>3.64</v>
      </c>
      <c r="K69" s="390">
        <f t="shared" si="27"/>
        <v>1.1766227049392293E-2</v>
      </c>
      <c r="L69" s="389">
        <v>183.65000000000003</v>
      </c>
      <c r="M69" s="390">
        <f t="shared" si="35"/>
        <v>1.0283165244375485</v>
      </c>
      <c r="N69" s="391">
        <v>1608.774000000001</v>
      </c>
      <c r="O69" s="389">
        <v>6.1999999999999993</v>
      </c>
      <c r="P69" s="390">
        <f t="shared" si="29"/>
        <v>2.0041375743470386E-2</v>
      </c>
      <c r="Q69" s="392">
        <f t="shared" si="30"/>
        <v>2.5599999999999916</v>
      </c>
      <c r="R69" s="390">
        <f t="shared" si="31"/>
        <v>8.2751486940780689E-3</v>
      </c>
      <c r="S69" s="393">
        <f t="shared" si="32"/>
        <v>470.14399999999853</v>
      </c>
      <c r="T69" s="394" t="s">
        <v>429</v>
      </c>
      <c r="U69" s="394" t="s">
        <v>478</v>
      </c>
      <c r="V69" s="395" t="s">
        <v>524</v>
      </c>
      <c r="W69" s="395" t="s">
        <v>582</v>
      </c>
      <c r="X69" s="395">
        <v>1</v>
      </c>
      <c r="Y69" s="396" t="s">
        <v>358</v>
      </c>
    </row>
    <row r="70" spans="2:34" s="148" customFormat="1" ht="27" customHeight="1">
      <c r="B70" s="879"/>
      <c r="C70" s="880"/>
      <c r="D70" s="384">
        <v>16</v>
      </c>
      <c r="E70" s="387" t="s">
        <v>516</v>
      </c>
      <c r="F70" s="388">
        <v>1138.5639999999999</v>
      </c>
      <c r="G70" s="389">
        <v>225.92000000000002</v>
      </c>
      <c r="H70" s="389">
        <v>234.92999999999995</v>
      </c>
      <c r="I70" s="390">
        <f t="shared" si="26"/>
        <v>1.0398813739376767</v>
      </c>
      <c r="J70" s="389">
        <v>3.65</v>
      </c>
      <c r="K70" s="390">
        <f t="shared" si="27"/>
        <v>1.6156161473087818E-2</v>
      </c>
      <c r="L70" s="389">
        <v>145.04</v>
      </c>
      <c r="M70" s="390">
        <f t="shared" si="35"/>
        <v>1.0560375354107645</v>
      </c>
      <c r="N70" s="391">
        <v>1836.2063999999993</v>
      </c>
      <c r="O70" s="389">
        <v>7.85</v>
      </c>
      <c r="P70" s="390">
        <f t="shared" si="29"/>
        <v>3.4746813031161471E-2</v>
      </c>
      <c r="Q70" s="392">
        <f t="shared" si="30"/>
        <v>4.8099999999999401</v>
      </c>
      <c r="R70" s="390">
        <f t="shared" si="31"/>
        <v>2.1290722379603132E-2</v>
      </c>
      <c r="S70" s="393">
        <f t="shared" si="32"/>
        <v>697.64239999999131</v>
      </c>
      <c r="T70" s="394" t="s">
        <v>429</v>
      </c>
      <c r="U70" s="394" t="s">
        <v>478</v>
      </c>
      <c r="V70" s="395" t="s">
        <v>559</v>
      </c>
      <c r="W70" s="395" t="s">
        <v>546</v>
      </c>
      <c r="X70" s="395">
        <v>1</v>
      </c>
      <c r="Y70" s="396" t="s">
        <v>343</v>
      </c>
      <c r="AC70" s="400"/>
    </row>
    <row r="71" spans="2:34" s="148" customFormat="1" ht="27" customHeight="1">
      <c r="B71" s="879"/>
      <c r="C71" s="880"/>
      <c r="D71" s="384">
        <v>17</v>
      </c>
      <c r="E71" s="387" t="s">
        <v>723</v>
      </c>
      <c r="F71" s="388">
        <v>1125.2513999999999</v>
      </c>
      <c r="G71" s="389">
        <v>133.46</v>
      </c>
      <c r="H71" s="389">
        <v>135.16</v>
      </c>
      <c r="I71" s="390">
        <f t="shared" si="26"/>
        <v>1.0127378989959537</v>
      </c>
      <c r="J71" s="389">
        <v>1.26</v>
      </c>
      <c r="K71" s="390">
        <f t="shared" si="27"/>
        <v>9.4410310205304947E-3</v>
      </c>
      <c r="L71" s="389">
        <v>618.26999999999987</v>
      </c>
      <c r="M71" s="390">
        <f t="shared" si="35"/>
        <v>1.0221789300164841</v>
      </c>
      <c r="N71" s="391">
        <v>1830.0791999999983</v>
      </c>
      <c r="O71" s="389">
        <v>1.82</v>
      </c>
      <c r="P71" s="390">
        <f t="shared" si="29"/>
        <v>1.3637044807432939E-2</v>
      </c>
      <c r="Q71" s="392">
        <f t="shared" si="30"/>
        <v>1.1399999999999795</v>
      </c>
      <c r="R71" s="390">
        <f t="shared" si="31"/>
        <v>8.5418852090512476E-3</v>
      </c>
      <c r="S71" s="393">
        <f t="shared" si="32"/>
        <v>704.82779999998718</v>
      </c>
      <c r="T71" s="394" t="s">
        <v>429</v>
      </c>
      <c r="U71" s="394" t="s">
        <v>478</v>
      </c>
      <c r="V71" s="395" t="s">
        <v>694</v>
      </c>
      <c r="W71" s="395" t="s">
        <v>491</v>
      </c>
      <c r="X71" s="395">
        <v>1</v>
      </c>
      <c r="Y71" s="396" t="s">
        <v>675</v>
      </c>
      <c r="AB71" s="402"/>
      <c r="AC71" s="400"/>
    </row>
    <row r="72" spans="2:34" s="148" customFormat="1" ht="27" customHeight="1">
      <c r="B72" s="879"/>
      <c r="C72" s="880"/>
      <c r="D72" s="384">
        <v>18</v>
      </c>
      <c r="E72" s="387" t="s">
        <v>624</v>
      </c>
      <c r="F72" s="388">
        <v>1114.1129999999998</v>
      </c>
      <c r="G72" s="389">
        <v>235.03</v>
      </c>
      <c r="H72" s="389">
        <v>237.59000000000003</v>
      </c>
      <c r="I72" s="390">
        <f t="shared" si="26"/>
        <v>1.0108922265242737</v>
      </c>
      <c r="J72" s="389">
        <v>10.029999999999999</v>
      </c>
      <c r="K72" s="390">
        <f t="shared" si="27"/>
        <v>4.2675403140024673E-2</v>
      </c>
      <c r="L72" s="389">
        <v>155.81999999999996</v>
      </c>
      <c r="M72" s="390">
        <f t="shared" si="35"/>
        <v>1.0535676296642984</v>
      </c>
      <c r="N72" s="391">
        <v>1961.7738000000031</v>
      </c>
      <c r="O72" s="389">
        <v>7.15</v>
      </c>
      <c r="P72" s="390">
        <f t="shared" si="29"/>
        <v>3.0421648300216996E-2</v>
      </c>
      <c r="Q72" s="392">
        <f t="shared" si="30"/>
        <v>5.4400000000000315</v>
      </c>
      <c r="R72" s="390">
        <f t="shared" si="31"/>
        <v>2.3145981364081313E-2</v>
      </c>
      <c r="S72" s="393">
        <f t="shared" si="32"/>
        <v>847.66080000000477</v>
      </c>
      <c r="T72" s="394" t="s">
        <v>429</v>
      </c>
      <c r="U72" s="394" t="s">
        <v>478</v>
      </c>
      <c r="V72" s="395" t="s">
        <v>489</v>
      </c>
      <c r="W72" s="395" t="s">
        <v>490</v>
      </c>
      <c r="X72" s="395">
        <v>1</v>
      </c>
      <c r="Y72" s="396" t="s">
        <v>533</v>
      </c>
      <c r="AC72" s="400"/>
    </row>
    <row r="73" spans="2:34" s="148" customFormat="1" ht="27" customHeight="1">
      <c r="B73" s="879"/>
      <c r="C73" s="880"/>
      <c r="D73" s="384">
        <v>19</v>
      </c>
      <c r="E73" s="387" t="s">
        <v>724</v>
      </c>
      <c r="F73" s="388">
        <v>1113.8978</v>
      </c>
      <c r="G73" s="389">
        <v>497.64000000000004</v>
      </c>
      <c r="H73" s="389">
        <v>503.96</v>
      </c>
      <c r="I73" s="390">
        <f t="shared" si="26"/>
        <v>1.0126999437344264</v>
      </c>
      <c r="J73" s="389">
        <v>3.18</v>
      </c>
      <c r="K73" s="390">
        <f t="shared" si="27"/>
        <v>6.3901615625753553E-3</v>
      </c>
      <c r="L73" s="389">
        <v>172.43000000000004</v>
      </c>
      <c r="M73" s="390">
        <f t="shared" si="35"/>
        <v>1.0190901052970018</v>
      </c>
      <c r="N73" s="391">
        <v>1638.0849999999978</v>
      </c>
      <c r="O73" s="389">
        <v>6.4600000000000009</v>
      </c>
      <c r="P73" s="390">
        <f t="shared" si="29"/>
        <v>1.2981271601961258E-2</v>
      </c>
      <c r="Q73" s="392">
        <f t="shared" si="30"/>
        <v>3.0399999999999423</v>
      </c>
      <c r="R73" s="390">
        <f t="shared" si="31"/>
        <v>6.108833695040475E-3</v>
      </c>
      <c r="S73" s="393">
        <f t="shared" si="32"/>
        <v>524.18719999999018</v>
      </c>
      <c r="T73" s="394" t="s">
        <v>429</v>
      </c>
      <c r="U73" s="394" t="s">
        <v>478</v>
      </c>
      <c r="V73" s="395" t="s">
        <v>494</v>
      </c>
      <c r="W73" s="395" t="s">
        <v>637</v>
      </c>
      <c r="X73" s="395">
        <v>1</v>
      </c>
      <c r="Y73" s="396" t="s">
        <v>652</v>
      </c>
      <c r="AB73" s="403"/>
      <c r="AC73" s="400"/>
    </row>
    <row r="74" spans="2:34" s="148" customFormat="1" ht="27" customHeight="1">
      <c r="B74" s="881"/>
      <c r="C74" s="882"/>
      <c r="D74" s="384">
        <v>20</v>
      </c>
      <c r="E74" s="387" t="s">
        <v>725</v>
      </c>
      <c r="F74" s="388">
        <v>1109.5830000000001</v>
      </c>
      <c r="G74" s="389">
        <v>149.78</v>
      </c>
      <c r="H74" s="389">
        <v>154.42999999999998</v>
      </c>
      <c r="I74" s="390">
        <f t="shared" si="26"/>
        <v>1.0310455334490585</v>
      </c>
      <c r="J74" s="389">
        <v>5.9700000000000006</v>
      </c>
      <c r="K74" s="390">
        <f t="shared" si="27"/>
        <v>3.9858459073307519E-2</v>
      </c>
      <c r="L74" s="389">
        <v>190.65000000000003</v>
      </c>
      <c r="M74" s="390">
        <f t="shared" si="35"/>
        <v>1.070903992522366</v>
      </c>
      <c r="N74" s="391">
        <v>2024.7029999999991</v>
      </c>
      <c r="O74" s="389">
        <v>5.82</v>
      </c>
      <c r="P74" s="390">
        <f t="shared" si="29"/>
        <v>3.8856990252370147E-2</v>
      </c>
      <c r="Q74" s="392">
        <f t="shared" si="30"/>
        <v>4.7999999999999758</v>
      </c>
      <c r="R74" s="390">
        <f t="shared" si="31"/>
        <v>3.2047002269995829E-2</v>
      </c>
      <c r="S74" s="393">
        <f t="shared" si="32"/>
        <v>915.11999999999557</v>
      </c>
      <c r="T74" s="394" t="s">
        <v>429</v>
      </c>
      <c r="U74" s="394" t="s">
        <v>478</v>
      </c>
      <c r="V74" s="395" t="s">
        <v>494</v>
      </c>
      <c r="W74" s="395" t="s">
        <v>637</v>
      </c>
      <c r="X74" s="395">
        <v>1</v>
      </c>
      <c r="Y74" s="396" t="s">
        <v>463</v>
      </c>
      <c r="AB74" s="403"/>
      <c r="AC74" s="400"/>
    </row>
    <row r="75" spans="2:34" ht="17.100000000000001" customHeight="1">
      <c r="B75" s="899" t="s">
        <v>475</v>
      </c>
      <c r="C75" s="900"/>
      <c r="D75" s="905" t="s">
        <v>170</v>
      </c>
      <c r="E75" s="905"/>
      <c r="F75" s="905"/>
      <c r="G75" s="905" t="s">
        <v>184</v>
      </c>
      <c r="H75" s="905"/>
      <c r="I75" s="905"/>
      <c r="J75" s="905"/>
      <c r="K75" s="905"/>
      <c r="L75" s="905"/>
      <c r="M75" s="905"/>
      <c r="N75" s="905"/>
      <c r="O75" s="905"/>
      <c r="P75" s="905"/>
      <c r="Q75" s="905"/>
      <c r="R75" s="905"/>
      <c r="S75" s="905"/>
      <c r="T75" s="905" t="s">
        <v>171</v>
      </c>
      <c r="U75" s="890" t="s">
        <v>245</v>
      </c>
      <c r="V75" s="883" t="s">
        <v>476</v>
      </c>
      <c r="W75" s="883" t="s">
        <v>477</v>
      </c>
      <c r="X75" s="886" t="s">
        <v>246</v>
      </c>
      <c r="Y75" s="889" t="s">
        <v>172</v>
      </c>
      <c r="AA75" s="890" t="s">
        <v>247</v>
      </c>
      <c r="AB75" s="891"/>
      <c r="AC75" s="891"/>
      <c r="AD75" s="891"/>
      <c r="AE75" s="891"/>
      <c r="AF75" s="891"/>
      <c r="AG75" s="891"/>
      <c r="AH75" s="892"/>
    </row>
    <row r="76" spans="2:34" ht="17.100000000000001" customHeight="1">
      <c r="B76" s="901"/>
      <c r="C76" s="902"/>
      <c r="D76" s="906" t="s">
        <v>169</v>
      </c>
      <c r="E76" s="905" t="s">
        <v>173</v>
      </c>
      <c r="F76" s="905"/>
      <c r="G76" s="905" t="s">
        <v>185</v>
      </c>
      <c r="H76" s="905"/>
      <c r="I76" s="905"/>
      <c r="J76" s="905"/>
      <c r="K76" s="905"/>
      <c r="L76" s="905"/>
      <c r="M76" s="905"/>
      <c r="N76" s="905"/>
      <c r="O76" s="905" t="s">
        <v>174</v>
      </c>
      <c r="P76" s="905"/>
      <c r="Q76" s="905"/>
      <c r="R76" s="905"/>
      <c r="S76" s="905"/>
      <c r="T76" s="905"/>
      <c r="U76" s="893"/>
      <c r="V76" s="884"/>
      <c r="W76" s="884"/>
      <c r="X76" s="887"/>
      <c r="Y76" s="889"/>
      <c r="AA76" s="893"/>
      <c r="AB76" s="894"/>
      <c r="AC76" s="894"/>
      <c r="AD76" s="894"/>
      <c r="AE76" s="894"/>
      <c r="AF76" s="894"/>
      <c r="AG76" s="894"/>
      <c r="AH76" s="895"/>
    </row>
    <row r="77" spans="2:34" ht="17.100000000000001" customHeight="1">
      <c r="B77" s="901"/>
      <c r="C77" s="902"/>
      <c r="D77" s="906"/>
      <c r="E77" s="906" t="s">
        <v>175</v>
      </c>
      <c r="F77" s="889" t="s">
        <v>248</v>
      </c>
      <c r="G77" s="907" t="s">
        <v>186</v>
      </c>
      <c r="H77" s="907"/>
      <c r="I77" s="907"/>
      <c r="J77" s="907"/>
      <c r="K77" s="907"/>
      <c r="L77" s="907"/>
      <c r="M77" s="907"/>
      <c r="N77" s="907"/>
      <c r="O77" s="907" t="s">
        <v>168</v>
      </c>
      <c r="P77" s="907"/>
      <c r="Q77" s="907" t="s">
        <v>176</v>
      </c>
      <c r="R77" s="907"/>
      <c r="S77" s="907"/>
      <c r="T77" s="905"/>
      <c r="U77" s="893"/>
      <c r="V77" s="884"/>
      <c r="W77" s="884"/>
      <c r="X77" s="887"/>
      <c r="Y77" s="889"/>
      <c r="AA77" s="896"/>
      <c r="AB77" s="897"/>
      <c r="AC77" s="897"/>
      <c r="AD77" s="897"/>
      <c r="AE77" s="897"/>
      <c r="AF77" s="897"/>
      <c r="AG77" s="897"/>
      <c r="AH77" s="898"/>
    </row>
    <row r="78" spans="2:34" ht="38.450000000000003" customHeight="1">
      <c r="B78" s="903"/>
      <c r="C78" s="904"/>
      <c r="D78" s="906"/>
      <c r="E78" s="906"/>
      <c r="F78" s="889"/>
      <c r="G78" s="385" t="s">
        <v>177</v>
      </c>
      <c r="H78" s="385" t="s">
        <v>252</v>
      </c>
      <c r="I78" s="385" t="s">
        <v>253</v>
      </c>
      <c r="J78" s="385" t="s">
        <v>178</v>
      </c>
      <c r="K78" s="385" t="s">
        <v>250</v>
      </c>
      <c r="L78" s="385" t="s">
        <v>179</v>
      </c>
      <c r="M78" s="385" t="s">
        <v>187</v>
      </c>
      <c r="N78" s="385" t="s">
        <v>180</v>
      </c>
      <c r="O78" s="386" t="s">
        <v>181</v>
      </c>
      <c r="P78" s="386" t="s">
        <v>182</v>
      </c>
      <c r="Q78" s="386" t="s">
        <v>181</v>
      </c>
      <c r="R78" s="386" t="s">
        <v>182</v>
      </c>
      <c r="S78" s="385" t="s">
        <v>183</v>
      </c>
      <c r="T78" s="905"/>
      <c r="U78" s="896"/>
      <c r="V78" s="885"/>
      <c r="W78" s="885"/>
      <c r="X78" s="888"/>
      <c r="Y78" s="889"/>
      <c r="AA78" s="161" t="s">
        <v>244</v>
      </c>
      <c r="AB78" s="161" t="s">
        <v>478</v>
      </c>
      <c r="AC78" s="156" t="s">
        <v>394</v>
      </c>
      <c r="AD78" s="156" t="s">
        <v>339</v>
      </c>
      <c r="AE78" s="156" t="s">
        <v>457</v>
      </c>
      <c r="AF78" s="156" t="s">
        <v>215</v>
      </c>
      <c r="AG78" s="156" t="s">
        <v>216</v>
      </c>
      <c r="AH78" s="156" t="s">
        <v>395</v>
      </c>
    </row>
    <row r="79" spans="2:34" s="148" customFormat="1" ht="27" customHeight="1">
      <c r="B79" s="877" t="s">
        <v>662</v>
      </c>
      <c r="C79" s="878"/>
      <c r="D79" s="384">
        <v>1</v>
      </c>
      <c r="E79" s="387" t="s">
        <v>335</v>
      </c>
      <c r="F79" s="388">
        <v>1900.35</v>
      </c>
      <c r="G79" s="389">
        <v>46493</v>
      </c>
      <c r="H79" s="389">
        <v>46133</v>
      </c>
      <c r="I79" s="390">
        <f>H79/G79</f>
        <v>0.99225689888800461</v>
      </c>
      <c r="J79" s="389">
        <v>483</v>
      </c>
      <c r="K79" s="390">
        <f>J79/G79</f>
        <v>1.0388660658593767E-2</v>
      </c>
      <c r="L79" s="389">
        <v>15.450000000000001</v>
      </c>
      <c r="M79" s="390">
        <f>(H79+J79)/G79</f>
        <v>1.0026455595465984</v>
      </c>
      <c r="N79" s="391">
        <v>1900.35</v>
      </c>
      <c r="O79" s="389">
        <v>123</v>
      </c>
      <c r="P79" s="390">
        <f>O79/G79</f>
        <v>2.6455595465984128E-3</v>
      </c>
      <c r="Q79" s="392">
        <f>((H79+J79)-G79)-O79</f>
        <v>0</v>
      </c>
      <c r="R79" s="390">
        <f>Q79/G79</f>
        <v>0</v>
      </c>
      <c r="S79" s="393">
        <f>Q79*L79</f>
        <v>0</v>
      </c>
      <c r="T79" s="394" t="s">
        <v>429</v>
      </c>
      <c r="U79" s="394" t="s">
        <v>512</v>
      </c>
      <c r="V79" s="395" t="s">
        <v>520</v>
      </c>
      <c r="W79" s="395" t="s">
        <v>763</v>
      </c>
      <c r="X79" s="395">
        <v>1</v>
      </c>
      <c r="Y79" s="396" t="s">
        <v>674</v>
      </c>
      <c r="Z79" s="397" t="s">
        <v>479</v>
      </c>
      <c r="AA79" s="407">
        <f>SUM(X79:X98)</f>
        <v>20</v>
      </c>
      <c r="AB79" s="399">
        <f>SUMIF($U$79:$U$98,TRIM(AB78),$X$79:$X$98)</f>
        <v>14</v>
      </c>
      <c r="AC79" s="399">
        <f t="shared" ref="AC79:AH79" si="36">SUMIF($U$79:$U$98,TRIM(AC78),$X$79:$X$98)</f>
        <v>0</v>
      </c>
      <c r="AD79" s="399">
        <f t="shared" si="36"/>
        <v>4</v>
      </c>
      <c r="AE79" s="399">
        <f t="shared" si="36"/>
        <v>0</v>
      </c>
      <c r="AF79" s="399">
        <f t="shared" si="36"/>
        <v>1</v>
      </c>
      <c r="AG79" s="399">
        <f t="shared" si="36"/>
        <v>1</v>
      </c>
      <c r="AH79" s="399">
        <f t="shared" si="36"/>
        <v>0</v>
      </c>
    </row>
    <row r="80" spans="2:34" s="148" customFormat="1" ht="27" customHeight="1">
      <c r="B80" s="879"/>
      <c r="C80" s="880"/>
      <c r="D80" s="384">
        <v>2</v>
      </c>
      <c r="E80" s="387" t="s">
        <v>481</v>
      </c>
      <c r="F80" s="388">
        <v>1776.25</v>
      </c>
      <c r="G80" s="389">
        <v>153415</v>
      </c>
      <c r="H80" s="389">
        <v>153420</v>
      </c>
      <c r="I80" s="390">
        <f t="shared" ref="I80:I98" si="37">H80/G80</f>
        <v>1.0000325913372226</v>
      </c>
      <c r="J80" s="389">
        <v>720</v>
      </c>
      <c r="K80" s="390">
        <f t="shared" ref="K80:K98" si="38">J80/G80</f>
        <v>4.6931525600495388E-3</v>
      </c>
      <c r="L80" s="389">
        <v>2.4499999999999997</v>
      </c>
      <c r="M80" s="390">
        <f t="shared" ref="M80:M85" si="39">(H80+J80)/G80</f>
        <v>1.0047257438972721</v>
      </c>
      <c r="N80" s="391">
        <v>1776.25</v>
      </c>
      <c r="O80" s="389">
        <v>725</v>
      </c>
      <c r="P80" s="390">
        <f t="shared" ref="P80:P98" si="40">O80/G80</f>
        <v>4.7257438972721048E-3</v>
      </c>
      <c r="Q80" s="392">
        <f t="shared" ref="Q80:Q98" si="41">((H80+J80)-G80)-O80</f>
        <v>0</v>
      </c>
      <c r="R80" s="390">
        <f t="shared" ref="R80:R98" si="42">Q80/G80</f>
        <v>0</v>
      </c>
      <c r="S80" s="393">
        <f t="shared" ref="S80:S98" si="43">Q80*L80</f>
        <v>0</v>
      </c>
      <c r="T80" s="394" t="s">
        <v>429</v>
      </c>
      <c r="U80" s="394" t="s">
        <v>339</v>
      </c>
      <c r="V80" s="395" t="s">
        <v>521</v>
      </c>
      <c r="W80" s="395" t="s">
        <v>522</v>
      </c>
      <c r="X80" s="395">
        <v>1</v>
      </c>
      <c r="Y80" s="396" t="s">
        <v>342</v>
      </c>
      <c r="AA80" s="408"/>
      <c r="AB80" s="405">
        <f>SUMIF($U$79:$U$98,TRIM(AB78),$F$79:$F$98)</f>
        <v>15683.141599999999</v>
      </c>
      <c r="AC80" s="405">
        <f t="shared" ref="AC80:AH80" si="44">SUMIF($U$79:$U$98,TRIM(AC78),$F$79:$F$98)</f>
        <v>0</v>
      </c>
      <c r="AD80" s="405">
        <f t="shared" si="44"/>
        <v>5844.12</v>
      </c>
      <c r="AE80" s="405">
        <f t="shared" si="44"/>
        <v>0</v>
      </c>
      <c r="AF80" s="405">
        <f t="shared" si="44"/>
        <v>1103.7</v>
      </c>
      <c r="AG80" s="405">
        <f t="shared" si="44"/>
        <v>1900.35</v>
      </c>
      <c r="AH80" s="405">
        <f t="shared" si="44"/>
        <v>0</v>
      </c>
    </row>
    <row r="81" spans="2:34" s="148" customFormat="1" ht="27" customHeight="1">
      <c r="B81" s="879"/>
      <c r="C81" s="880"/>
      <c r="D81" s="384">
        <v>3</v>
      </c>
      <c r="E81" s="387" t="s">
        <v>480</v>
      </c>
      <c r="F81" s="388">
        <v>1745.6399999999999</v>
      </c>
      <c r="G81" s="389">
        <v>315284</v>
      </c>
      <c r="H81" s="389">
        <v>315588</v>
      </c>
      <c r="I81" s="390">
        <f t="shared" si="37"/>
        <v>1.0009642100455463</v>
      </c>
      <c r="J81" s="389">
        <v>1188</v>
      </c>
      <c r="K81" s="390">
        <f t="shared" si="38"/>
        <v>3.7680313622004287E-3</v>
      </c>
      <c r="L81" s="389">
        <v>1.17</v>
      </c>
      <c r="M81" s="390">
        <f t="shared" si="39"/>
        <v>1.0047322414077466</v>
      </c>
      <c r="N81" s="391">
        <v>1745.6399999999999</v>
      </c>
      <c r="O81" s="389">
        <v>1492</v>
      </c>
      <c r="P81" s="390">
        <f t="shared" si="40"/>
        <v>4.7322414077466662E-3</v>
      </c>
      <c r="Q81" s="392">
        <f t="shared" si="41"/>
        <v>0</v>
      </c>
      <c r="R81" s="390">
        <f t="shared" si="42"/>
        <v>0</v>
      </c>
      <c r="S81" s="393">
        <f t="shared" si="43"/>
        <v>0</v>
      </c>
      <c r="T81" s="394" t="s">
        <v>429</v>
      </c>
      <c r="U81" s="394" t="s">
        <v>339</v>
      </c>
      <c r="V81" s="395" t="s">
        <v>523</v>
      </c>
      <c r="W81" s="395" t="s">
        <v>690</v>
      </c>
      <c r="X81" s="395">
        <v>1</v>
      </c>
      <c r="Y81" s="396" t="s">
        <v>342</v>
      </c>
      <c r="AA81" s="384"/>
      <c r="AB81" s="406">
        <f>AB79/$AA79</f>
        <v>0.7</v>
      </c>
      <c r="AC81" s="406">
        <f t="shared" ref="AC81:AH81" si="45">AC79/$AA79</f>
        <v>0</v>
      </c>
      <c r="AD81" s="406">
        <f t="shared" si="45"/>
        <v>0.2</v>
      </c>
      <c r="AE81" s="406">
        <f t="shared" si="45"/>
        <v>0</v>
      </c>
      <c r="AF81" s="406">
        <f t="shared" si="45"/>
        <v>0.05</v>
      </c>
      <c r="AG81" s="406">
        <f t="shared" si="45"/>
        <v>0.05</v>
      </c>
      <c r="AH81" s="406">
        <f t="shared" si="45"/>
        <v>0</v>
      </c>
    </row>
    <row r="82" spans="2:34" s="148" customFormat="1" ht="27" customHeight="1">
      <c r="B82" s="879"/>
      <c r="C82" s="880"/>
      <c r="D82" s="384">
        <v>4</v>
      </c>
      <c r="E82" s="387" t="s">
        <v>623</v>
      </c>
      <c r="F82" s="388">
        <v>1223.6000000000001</v>
      </c>
      <c r="G82" s="389">
        <v>12683</v>
      </c>
      <c r="H82" s="389">
        <v>12553</v>
      </c>
      <c r="I82" s="390">
        <f t="shared" si="37"/>
        <v>0.98975005913427427</v>
      </c>
      <c r="J82" s="389">
        <v>206</v>
      </c>
      <c r="K82" s="390">
        <f t="shared" si="38"/>
        <v>1.6242213987226996E-2</v>
      </c>
      <c r="L82" s="389">
        <v>16.099999999999998</v>
      </c>
      <c r="M82" s="390">
        <f t="shared" si="39"/>
        <v>1.0059922731215012</v>
      </c>
      <c r="N82" s="391">
        <v>1223.6000000000001</v>
      </c>
      <c r="O82" s="389">
        <v>76</v>
      </c>
      <c r="P82" s="390">
        <f t="shared" si="40"/>
        <v>5.9922731215012225E-3</v>
      </c>
      <c r="Q82" s="392">
        <f t="shared" si="41"/>
        <v>0</v>
      </c>
      <c r="R82" s="390">
        <f t="shared" si="42"/>
        <v>0</v>
      </c>
      <c r="S82" s="393">
        <f t="shared" si="43"/>
        <v>0</v>
      </c>
      <c r="T82" s="394" t="s">
        <v>429</v>
      </c>
      <c r="U82" s="394" t="s">
        <v>339</v>
      </c>
      <c r="V82" s="395" t="s">
        <v>688</v>
      </c>
      <c r="W82" s="395" t="s">
        <v>764</v>
      </c>
      <c r="X82" s="395">
        <v>1</v>
      </c>
      <c r="Y82" s="396" t="s">
        <v>618</v>
      </c>
    </row>
    <row r="83" spans="2:34" s="148" customFormat="1" ht="27" customHeight="1">
      <c r="B83" s="879"/>
      <c r="C83" s="880"/>
      <c r="D83" s="384">
        <v>5</v>
      </c>
      <c r="E83" s="387" t="s">
        <v>620</v>
      </c>
      <c r="F83" s="388">
        <v>1192.4716999999998</v>
      </c>
      <c r="G83" s="389">
        <v>887.81</v>
      </c>
      <c r="H83" s="389">
        <v>856.31000000000006</v>
      </c>
      <c r="I83" s="390">
        <f t="shared" si="37"/>
        <v>0.96451943546479557</v>
      </c>
      <c r="J83" s="389">
        <v>47.21</v>
      </c>
      <c r="K83" s="390">
        <f t="shared" si="38"/>
        <v>5.3175792117682842E-2</v>
      </c>
      <c r="L83" s="389">
        <v>98.470000000000013</v>
      </c>
      <c r="M83" s="390">
        <f t="shared" si="39"/>
        <v>1.0176952275824784</v>
      </c>
      <c r="N83" s="391">
        <v>1546.9636999999966</v>
      </c>
      <c r="O83" s="389">
        <v>12.11</v>
      </c>
      <c r="P83" s="390">
        <f t="shared" si="40"/>
        <v>1.3640305921311992E-2</v>
      </c>
      <c r="Q83" s="392">
        <f t="shared" si="41"/>
        <v>3.6000000000001506</v>
      </c>
      <c r="R83" s="390">
        <f t="shared" si="42"/>
        <v>4.0549216611664102E-3</v>
      </c>
      <c r="S83" s="393">
        <f t="shared" si="43"/>
        <v>354.49200000001485</v>
      </c>
      <c r="T83" s="394" t="s">
        <v>429</v>
      </c>
      <c r="U83" s="394" t="s">
        <v>478</v>
      </c>
      <c r="V83" s="395" t="s">
        <v>494</v>
      </c>
      <c r="W83" s="395" t="s">
        <v>691</v>
      </c>
      <c r="X83" s="395">
        <v>1</v>
      </c>
      <c r="Y83" s="396" t="s">
        <v>618</v>
      </c>
    </row>
    <row r="84" spans="2:34" s="148" customFormat="1" ht="27" customHeight="1">
      <c r="B84" s="879"/>
      <c r="C84" s="880"/>
      <c r="D84" s="384">
        <v>6</v>
      </c>
      <c r="E84" s="387" t="s">
        <v>470</v>
      </c>
      <c r="F84" s="388">
        <v>1164.1201000000001</v>
      </c>
      <c r="G84" s="389">
        <v>437.99</v>
      </c>
      <c r="H84" s="389">
        <v>446.43</v>
      </c>
      <c r="I84" s="390">
        <f t="shared" si="37"/>
        <v>1.0192698463435239</v>
      </c>
      <c r="J84" s="389">
        <v>0</v>
      </c>
      <c r="K84" s="390">
        <f t="shared" si="38"/>
        <v>0</v>
      </c>
      <c r="L84" s="389">
        <v>181.60999999999999</v>
      </c>
      <c r="M84" s="390">
        <f t="shared" si="39"/>
        <v>1.0192698463435239</v>
      </c>
      <c r="N84" s="391">
        <v>1532.7883999999997</v>
      </c>
      <c r="O84" s="389">
        <v>6.410000000000001</v>
      </c>
      <c r="P84" s="390">
        <f t="shared" si="40"/>
        <v>1.46350373296194E-2</v>
      </c>
      <c r="Q84" s="392">
        <f t="shared" si="41"/>
        <v>2.0299999999999967</v>
      </c>
      <c r="R84" s="390">
        <f t="shared" si="42"/>
        <v>4.6348090139044194E-3</v>
      </c>
      <c r="S84" s="393">
        <f t="shared" si="43"/>
        <v>368.66829999999936</v>
      </c>
      <c r="T84" s="394" t="s">
        <v>429</v>
      </c>
      <c r="U84" s="394" t="s">
        <v>478</v>
      </c>
      <c r="V84" s="395" t="s">
        <v>489</v>
      </c>
      <c r="W84" s="395" t="s">
        <v>490</v>
      </c>
      <c r="X84" s="395">
        <v>1</v>
      </c>
      <c r="Y84" s="396" t="s">
        <v>469</v>
      </c>
    </row>
    <row r="85" spans="2:34" s="148" customFormat="1" ht="27" customHeight="1">
      <c r="B85" s="879"/>
      <c r="C85" s="880"/>
      <c r="D85" s="384">
        <v>7</v>
      </c>
      <c r="E85" s="387" t="s">
        <v>502</v>
      </c>
      <c r="F85" s="388">
        <v>1147.3931</v>
      </c>
      <c r="G85" s="389">
        <v>289.58999999999997</v>
      </c>
      <c r="H85" s="389">
        <v>295.81</v>
      </c>
      <c r="I85" s="390">
        <f t="shared" si="37"/>
        <v>1.0214786422183086</v>
      </c>
      <c r="J85" s="389">
        <v>6.84</v>
      </c>
      <c r="K85" s="390">
        <f t="shared" si="38"/>
        <v>2.3619600124313685E-2</v>
      </c>
      <c r="L85" s="389">
        <v>153.19000000000003</v>
      </c>
      <c r="M85" s="390">
        <f t="shared" si="39"/>
        <v>1.0450982423426223</v>
      </c>
      <c r="N85" s="391">
        <v>2000.6614000000002</v>
      </c>
      <c r="O85" s="389">
        <v>7.49</v>
      </c>
      <c r="P85" s="390">
        <f t="shared" si="40"/>
        <v>2.586415276770607E-2</v>
      </c>
      <c r="Q85" s="392">
        <f t="shared" si="41"/>
        <v>5.5700000000000021</v>
      </c>
      <c r="R85" s="390">
        <f t="shared" si="42"/>
        <v>1.923408957491627E-2</v>
      </c>
      <c r="S85" s="393">
        <f t="shared" si="43"/>
        <v>853.26830000000041</v>
      </c>
      <c r="T85" s="394" t="s">
        <v>429</v>
      </c>
      <c r="U85" s="394" t="s">
        <v>478</v>
      </c>
      <c r="V85" s="395" t="s">
        <v>692</v>
      </c>
      <c r="W85" s="417" t="s">
        <v>491</v>
      </c>
      <c r="X85" s="395">
        <v>1</v>
      </c>
      <c r="Y85" s="396" t="s">
        <v>503</v>
      </c>
      <c r="AC85" s="400"/>
    </row>
    <row r="86" spans="2:34" s="148" customFormat="1" ht="27" customHeight="1">
      <c r="B86" s="879"/>
      <c r="C86" s="880"/>
      <c r="D86" s="384">
        <v>8</v>
      </c>
      <c r="E86" s="387" t="s">
        <v>366</v>
      </c>
      <c r="F86" s="388">
        <v>1142.6399999999999</v>
      </c>
      <c r="G86" s="389">
        <v>239.56</v>
      </c>
      <c r="H86" s="389">
        <v>245.58</v>
      </c>
      <c r="I86" s="390">
        <f t="shared" si="37"/>
        <v>1.0251294039071632</v>
      </c>
      <c r="J86" s="389">
        <v>0</v>
      </c>
      <c r="K86" s="390">
        <f t="shared" si="38"/>
        <v>0</v>
      </c>
      <c r="L86" s="389">
        <v>253.92000000000002</v>
      </c>
      <c r="M86" s="390">
        <f>(H86+J86)/G86</f>
        <v>1.0251294039071632</v>
      </c>
      <c r="N86" s="391">
        <v>1528.5984000000005</v>
      </c>
      <c r="O86" s="389">
        <v>4.5</v>
      </c>
      <c r="P86" s="390">
        <f t="shared" si="40"/>
        <v>1.8784438136583738E-2</v>
      </c>
      <c r="Q86" s="392">
        <f t="shared" si="41"/>
        <v>1.5200000000000102</v>
      </c>
      <c r="R86" s="390">
        <f t="shared" si="42"/>
        <v>6.3449657705794381E-3</v>
      </c>
      <c r="S86" s="393">
        <f t="shared" si="43"/>
        <v>385.9584000000026</v>
      </c>
      <c r="T86" s="394" t="s">
        <v>429</v>
      </c>
      <c r="U86" s="394" t="s">
        <v>478</v>
      </c>
      <c r="V86" s="395" t="s">
        <v>558</v>
      </c>
      <c r="W86" s="395" t="s">
        <v>587</v>
      </c>
      <c r="X86" s="395">
        <v>1</v>
      </c>
      <c r="Y86" s="396" t="s">
        <v>358</v>
      </c>
      <c r="AC86" s="400"/>
    </row>
    <row r="87" spans="2:34" s="148" customFormat="1" ht="27" customHeight="1">
      <c r="B87" s="879"/>
      <c r="C87" s="880"/>
      <c r="D87" s="384">
        <v>9</v>
      </c>
      <c r="E87" s="387" t="s">
        <v>365</v>
      </c>
      <c r="F87" s="388">
        <v>1136.7935</v>
      </c>
      <c r="G87" s="389">
        <v>296.60000000000002</v>
      </c>
      <c r="H87" s="389">
        <v>300.77999999999997</v>
      </c>
      <c r="I87" s="390">
        <f t="shared" si="37"/>
        <v>1.0140930546190154</v>
      </c>
      <c r="J87" s="389">
        <v>5.0999999999999996</v>
      </c>
      <c r="K87" s="390">
        <f t="shared" si="38"/>
        <v>1.719487525286581E-2</v>
      </c>
      <c r="L87" s="389">
        <v>183.65000000000003</v>
      </c>
      <c r="M87" s="390">
        <f t="shared" ref="M87:M98" si="46">(H87+J87)/G87</f>
        <v>1.0312879298718813</v>
      </c>
      <c r="N87" s="391">
        <v>1704.271999999999</v>
      </c>
      <c r="O87" s="389">
        <v>6.19</v>
      </c>
      <c r="P87" s="390">
        <f t="shared" si="40"/>
        <v>2.0869858395144977E-2</v>
      </c>
      <c r="Q87" s="392">
        <f t="shared" si="41"/>
        <v>3.0899999999999723</v>
      </c>
      <c r="R87" s="390">
        <f t="shared" si="42"/>
        <v>1.041807147673625E-2</v>
      </c>
      <c r="S87" s="393">
        <f t="shared" si="43"/>
        <v>567.47849999999505</v>
      </c>
      <c r="T87" s="394" t="s">
        <v>429</v>
      </c>
      <c r="U87" s="394" t="s">
        <v>478</v>
      </c>
      <c r="V87" s="395" t="s">
        <v>558</v>
      </c>
      <c r="W87" s="395" t="s">
        <v>765</v>
      </c>
      <c r="X87" s="395">
        <v>1</v>
      </c>
      <c r="Y87" s="396" t="s">
        <v>358</v>
      </c>
      <c r="AC87" s="400"/>
    </row>
    <row r="88" spans="2:34" s="148" customFormat="1" ht="27" customHeight="1">
      <c r="B88" s="879"/>
      <c r="C88" s="880"/>
      <c r="D88" s="384">
        <v>10</v>
      </c>
      <c r="E88" s="387" t="s">
        <v>336</v>
      </c>
      <c r="F88" s="388">
        <v>1136.1934000000001</v>
      </c>
      <c r="G88" s="389">
        <v>612.59999999999991</v>
      </c>
      <c r="H88" s="389">
        <v>617.7299999999999</v>
      </c>
      <c r="I88" s="390">
        <f t="shared" si="37"/>
        <v>1.0083741429970616</v>
      </c>
      <c r="J88" s="389">
        <v>4.2300000000000004</v>
      </c>
      <c r="K88" s="390">
        <f t="shared" si="38"/>
        <v>6.904995102840354E-3</v>
      </c>
      <c r="L88" s="389">
        <v>141.66999999999999</v>
      </c>
      <c r="M88" s="390">
        <f t="shared" si="46"/>
        <v>1.015279138099902</v>
      </c>
      <c r="N88" s="391">
        <v>1326.0311999999999</v>
      </c>
      <c r="O88" s="389">
        <v>8.02</v>
      </c>
      <c r="P88" s="390">
        <f t="shared" si="40"/>
        <v>1.3091740124061379E-2</v>
      </c>
      <c r="Q88" s="392">
        <f t="shared" si="41"/>
        <v>1.3400000000000141</v>
      </c>
      <c r="R88" s="390">
        <f t="shared" si="42"/>
        <v>2.1873979758407023E-3</v>
      </c>
      <c r="S88" s="393">
        <f t="shared" si="43"/>
        <v>189.83780000000198</v>
      </c>
      <c r="T88" s="394" t="s">
        <v>429</v>
      </c>
      <c r="U88" s="394" t="s">
        <v>478</v>
      </c>
      <c r="V88" s="395" t="s">
        <v>494</v>
      </c>
      <c r="W88" s="395" t="s">
        <v>691</v>
      </c>
      <c r="X88" s="395">
        <v>1</v>
      </c>
      <c r="Y88" s="396" t="s">
        <v>344</v>
      </c>
      <c r="AC88" s="400"/>
    </row>
    <row r="89" spans="2:34" s="148" customFormat="1" ht="27" customHeight="1">
      <c r="B89" s="879"/>
      <c r="C89" s="880"/>
      <c r="D89" s="384">
        <v>11</v>
      </c>
      <c r="E89" s="387" t="s">
        <v>757</v>
      </c>
      <c r="F89" s="388">
        <v>1123.4850000000001</v>
      </c>
      <c r="G89" s="389">
        <v>116.99000000000001</v>
      </c>
      <c r="H89" s="389">
        <v>117.01</v>
      </c>
      <c r="I89" s="390">
        <f t="shared" si="37"/>
        <v>1.00017095478246</v>
      </c>
      <c r="J89" s="389">
        <v>10.899999999999999</v>
      </c>
      <c r="K89" s="390">
        <f t="shared" si="38"/>
        <v>9.3170356440721414E-2</v>
      </c>
      <c r="L89" s="389">
        <v>204.27</v>
      </c>
      <c r="M89" s="390">
        <f t="shared" si="46"/>
        <v>1.0933413112231813</v>
      </c>
      <c r="N89" s="391">
        <v>2230.6283999999996</v>
      </c>
      <c r="O89" s="389">
        <v>5.5</v>
      </c>
      <c r="P89" s="390">
        <f t="shared" si="40"/>
        <v>4.7012565176510812E-2</v>
      </c>
      <c r="Q89" s="392">
        <f t="shared" si="41"/>
        <v>5.4199999999999875</v>
      </c>
      <c r="R89" s="390">
        <f t="shared" si="42"/>
        <v>4.6328746046670546E-2</v>
      </c>
      <c r="S89" s="393">
        <f t="shared" si="43"/>
        <v>1107.1433999999974</v>
      </c>
      <c r="T89" s="394" t="s">
        <v>429</v>
      </c>
      <c r="U89" s="394" t="s">
        <v>478</v>
      </c>
      <c r="V89" s="395" t="s">
        <v>494</v>
      </c>
      <c r="W89" s="395" t="s">
        <v>691</v>
      </c>
      <c r="X89" s="395">
        <v>1</v>
      </c>
      <c r="Y89" s="396" t="s">
        <v>713</v>
      </c>
      <c r="AC89" s="400"/>
    </row>
    <row r="90" spans="2:34" s="148" customFormat="1" ht="27" customHeight="1">
      <c r="B90" s="879"/>
      <c r="C90" s="880"/>
      <c r="D90" s="384">
        <v>12</v>
      </c>
      <c r="E90" s="387" t="s">
        <v>541</v>
      </c>
      <c r="F90" s="388">
        <v>1106.6999999999998</v>
      </c>
      <c r="G90" s="389">
        <v>597.31000000000006</v>
      </c>
      <c r="H90" s="389">
        <v>614.66999999999996</v>
      </c>
      <c r="I90" s="390">
        <f t="shared" si="37"/>
        <v>1.0290636352982536</v>
      </c>
      <c r="J90" s="389">
        <v>0</v>
      </c>
      <c r="K90" s="390">
        <f t="shared" si="38"/>
        <v>0</v>
      </c>
      <c r="L90" s="389">
        <v>110.66999999999999</v>
      </c>
      <c r="M90" s="390">
        <f t="shared" si="46"/>
        <v>1.0290636352982536</v>
      </c>
      <c r="N90" s="391">
        <v>1921.2312000000011</v>
      </c>
      <c r="O90" s="389">
        <v>10</v>
      </c>
      <c r="P90" s="390">
        <f t="shared" si="40"/>
        <v>1.6741725402219951E-2</v>
      </c>
      <c r="Q90" s="392">
        <f t="shared" si="41"/>
        <v>7.3599999999999</v>
      </c>
      <c r="R90" s="390">
        <f t="shared" si="42"/>
        <v>1.2321909896033717E-2</v>
      </c>
      <c r="S90" s="393">
        <f t="shared" si="43"/>
        <v>814.53119999998887</v>
      </c>
      <c r="T90" s="394" t="s">
        <v>429</v>
      </c>
      <c r="U90" s="394" t="s">
        <v>478</v>
      </c>
      <c r="V90" s="395" t="s">
        <v>547</v>
      </c>
      <c r="W90" s="395" t="s">
        <v>515</v>
      </c>
      <c r="X90" s="395">
        <v>1</v>
      </c>
      <c r="Y90" s="396" t="s">
        <v>511</v>
      </c>
      <c r="AC90" s="400"/>
    </row>
    <row r="91" spans="2:34" s="148" customFormat="1" ht="27" customHeight="1">
      <c r="B91" s="879"/>
      <c r="C91" s="880"/>
      <c r="D91" s="384">
        <v>13</v>
      </c>
      <c r="E91" s="387" t="s">
        <v>552</v>
      </c>
      <c r="F91" s="388">
        <v>1104.0315000000001</v>
      </c>
      <c r="G91" s="389">
        <v>1148.6399999999999</v>
      </c>
      <c r="H91" s="389">
        <v>1119.71</v>
      </c>
      <c r="I91" s="390">
        <f t="shared" si="37"/>
        <v>0.97481369271486296</v>
      </c>
      <c r="J91" s="389">
        <v>67.949999999999989</v>
      </c>
      <c r="K91" s="390">
        <f t="shared" si="38"/>
        <v>5.9156916005014624E-2</v>
      </c>
      <c r="L91" s="389">
        <v>51.470000000000013</v>
      </c>
      <c r="M91" s="390">
        <f t="shared" si="46"/>
        <v>1.0339706087198777</v>
      </c>
      <c r="N91" s="391">
        <v>2008.3593999999975</v>
      </c>
      <c r="O91" s="389">
        <v>21.450000000000003</v>
      </c>
      <c r="P91" s="390">
        <f t="shared" si="40"/>
        <v>1.8674258253238617E-2</v>
      </c>
      <c r="Q91" s="392">
        <f t="shared" si="41"/>
        <v>17.570000000000206</v>
      </c>
      <c r="R91" s="390">
        <f t="shared" si="42"/>
        <v>1.529635046663899E-2</v>
      </c>
      <c r="S91" s="393">
        <f t="shared" si="43"/>
        <v>904.3279000000108</v>
      </c>
      <c r="T91" s="394" t="s">
        <v>429</v>
      </c>
      <c r="U91" s="394" t="s">
        <v>478</v>
      </c>
      <c r="V91" s="395" t="s">
        <v>559</v>
      </c>
      <c r="W91" s="395" t="s">
        <v>546</v>
      </c>
      <c r="X91" s="395">
        <v>1</v>
      </c>
      <c r="Y91" s="396" t="s">
        <v>344</v>
      </c>
      <c r="AC91" s="400"/>
    </row>
    <row r="92" spans="2:34" s="148" customFormat="1" ht="27" customHeight="1">
      <c r="B92" s="879"/>
      <c r="C92" s="880"/>
      <c r="D92" s="384">
        <v>14</v>
      </c>
      <c r="E92" s="387" t="s">
        <v>676</v>
      </c>
      <c r="F92" s="388">
        <v>1103.7</v>
      </c>
      <c r="G92" s="389">
        <v>253.65999999999997</v>
      </c>
      <c r="H92" s="389">
        <v>252.38</v>
      </c>
      <c r="I92" s="390">
        <f t="shared" si="37"/>
        <v>0.99495387526610435</v>
      </c>
      <c r="J92" s="389">
        <v>24.570000000000004</v>
      </c>
      <c r="K92" s="390">
        <f t="shared" si="38"/>
        <v>9.6861941181108593E-2</v>
      </c>
      <c r="L92" s="389">
        <v>130</v>
      </c>
      <c r="M92" s="390">
        <f t="shared" si="46"/>
        <v>1.0918158164472129</v>
      </c>
      <c r="N92" s="391">
        <v>3027.7</v>
      </c>
      <c r="O92" s="389">
        <v>8.4899999999999984</v>
      </c>
      <c r="P92" s="390">
        <f t="shared" si="40"/>
        <v>3.3469999211543006E-2</v>
      </c>
      <c r="Q92" s="392">
        <f t="shared" si="41"/>
        <v>14.800000000000022</v>
      </c>
      <c r="R92" s="390">
        <f t="shared" si="42"/>
        <v>5.8345817235669888E-2</v>
      </c>
      <c r="S92" s="393">
        <f t="shared" si="43"/>
        <v>1924.000000000003</v>
      </c>
      <c r="T92" s="394" t="s">
        <v>429</v>
      </c>
      <c r="U92" s="394" t="s">
        <v>760</v>
      </c>
      <c r="V92" s="395" t="s">
        <v>547</v>
      </c>
      <c r="W92" s="395" t="s">
        <v>515</v>
      </c>
      <c r="X92" s="395">
        <v>1</v>
      </c>
      <c r="Y92" s="396" t="s">
        <v>618</v>
      </c>
      <c r="AC92" s="401"/>
    </row>
    <row r="93" spans="2:34" s="148" customFormat="1" ht="27" customHeight="1">
      <c r="B93" s="879"/>
      <c r="C93" s="880"/>
      <c r="D93" s="384">
        <v>15</v>
      </c>
      <c r="E93" s="387" t="s">
        <v>586</v>
      </c>
      <c r="F93" s="388">
        <v>1098.6300000000001</v>
      </c>
      <c r="G93" s="389">
        <v>704.81999999999994</v>
      </c>
      <c r="H93" s="389">
        <v>681.62</v>
      </c>
      <c r="I93" s="390">
        <f t="shared" si="37"/>
        <v>0.96708379444397163</v>
      </c>
      <c r="J93" s="389">
        <v>42.46</v>
      </c>
      <c r="K93" s="390">
        <f t="shared" si="38"/>
        <v>6.0242331375386628E-2</v>
      </c>
      <c r="L93" s="389">
        <v>122.06999999999996</v>
      </c>
      <c r="M93" s="390">
        <f t="shared" si="46"/>
        <v>1.0273261258193582</v>
      </c>
      <c r="N93" s="391">
        <v>2351.0681999999988</v>
      </c>
      <c r="O93" s="389">
        <v>9</v>
      </c>
      <c r="P93" s="390">
        <f t="shared" si="40"/>
        <v>1.276921767259726E-2</v>
      </c>
      <c r="Q93" s="392">
        <f t="shared" si="41"/>
        <v>10.260000000000105</v>
      </c>
      <c r="R93" s="390">
        <f t="shared" si="42"/>
        <v>1.4556908146761026E-2</v>
      </c>
      <c r="S93" s="393">
        <f t="shared" si="43"/>
        <v>1252.4382000000123</v>
      </c>
      <c r="T93" s="394" t="s">
        <v>429</v>
      </c>
      <c r="U93" s="394" t="s">
        <v>339</v>
      </c>
      <c r="V93" s="395" t="s">
        <v>693</v>
      </c>
      <c r="W93" s="395" t="s">
        <v>491</v>
      </c>
      <c r="X93" s="395">
        <v>1</v>
      </c>
      <c r="Y93" s="396" t="s">
        <v>361</v>
      </c>
      <c r="AC93" s="400"/>
    </row>
    <row r="94" spans="2:34" s="148" customFormat="1" ht="27" customHeight="1">
      <c r="B94" s="879"/>
      <c r="C94" s="880"/>
      <c r="D94" s="384">
        <v>16</v>
      </c>
      <c r="E94" s="387" t="s">
        <v>540</v>
      </c>
      <c r="F94" s="388">
        <v>1097.2962</v>
      </c>
      <c r="G94" s="389">
        <v>204.20000000000002</v>
      </c>
      <c r="H94" s="389">
        <v>211.26000000000002</v>
      </c>
      <c r="I94" s="390">
        <f t="shared" si="37"/>
        <v>1.0345739471106759</v>
      </c>
      <c r="J94" s="389">
        <v>0</v>
      </c>
      <c r="K94" s="390">
        <f t="shared" si="38"/>
        <v>0</v>
      </c>
      <c r="L94" s="389">
        <v>203.57999999999998</v>
      </c>
      <c r="M94" s="390">
        <f t="shared" si="46"/>
        <v>1.0345739471106759</v>
      </c>
      <c r="N94" s="391">
        <v>1437.274799999999</v>
      </c>
      <c r="O94" s="389">
        <v>5.3900000000000006</v>
      </c>
      <c r="P94" s="390">
        <f t="shared" si="40"/>
        <v>2.6395690499510283E-2</v>
      </c>
      <c r="Q94" s="392">
        <f t="shared" si="41"/>
        <v>1.6700000000000017</v>
      </c>
      <c r="R94" s="390">
        <f t="shared" si="42"/>
        <v>8.1782566111655314E-3</v>
      </c>
      <c r="S94" s="393">
        <f t="shared" si="43"/>
        <v>339.97860000000031</v>
      </c>
      <c r="T94" s="394" t="s">
        <v>429</v>
      </c>
      <c r="U94" s="394" t="s">
        <v>478</v>
      </c>
      <c r="V94" s="395" t="s">
        <v>494</v>
      </c>
      <c r="W94" s="395" t="s">
        <v>560</v>
      </c>
      <c r="X94" s="395">
        <v>1</v>
      </c>
      <c r="Y94" s="396" t="s">
        <v>344</v>
      </c>
      <c r="AC94" s="400"/>
    </row>
    <row r="95" spans="2:34" s="148" customFormat="1" ht="27" customHeight="1">
      <c r="B95" s="879"/>
      <c r="C95" s="880"/>
      <c r="D95" s="384">
        <v>17</v>
      </c>
      <c r="E95" s="387" t="s">
        <v>516</v>
      </c>
      <c r="F95" s="388">
        <v>1087.8</v>
      </c>
      <c r="G95" s="389">
        <v>220.84</v>
      </c>
      <c r="H95" s="389">
        <v>227.62</v>
      </c>
      <c r="I95" s="390">
        <f t="shared" si="37"/>
        <v>1.0307009599710197</v>
      </c>
      <c r="J95" s="389">
        <v>4.05</v>
      </c>
      <c r="K95" s="390">
        <f t="shared" si="38"/>
        <v>1.8339069009237458E-2</v>
      </c>
      <c r="L95" s="389">
        <v>145.04</v>
      </c>
      <c r="M95" s="390">
        <f t="shared" si="46"/>
        <v>1.0490400289802573</v>
      </c>
      <c r="N95" s="391">
        <v>1570.7831999999999</v>
      </c>
      <c r="O95" s="389">
        <v>7.5</v>
      </c>
      <c r="P95" s="390">
        <f t="shared" si="40"/>
        <v>3.396123890599529E-2</v>
      </c>
      <c r="Q95" s="392">
        <f t="shared" si="41"/>
        <v>3.3300000000000125</v>
      </c>
      <c r="R95" s="390">
        <f t="shared" si="42"/>
        <v>1.5078790074261966E-2</v>
      </c>
      <c r="S95" s="393">
        <f t="shared" si="43"/>
        <v>482.98320000000177</v>
      </c>
      <c r="T95" s="394" t="s">
        <v>429</v>
      </c>
      <c r="U95" s="394" t="s">
        <v>478</v>
      </c>
      <c r="V95" s="395" t="s">
        <v>559</v>
      </c>
      <c r="W95" s="395" t="s">
        <v>546</v>
      </c>
      <c r="X95" s="395">
        <v>1</v>
      </c>
      <c r="Y95" s="396" t="s">
        <v>343</v>
      </c>
      <c r="AB95" s="402"/>
      <c r="AC95" s="400"/>
    </row>
    <row r="96" spans="2:34" s="148" customFormat="1" ht="27" customHeight="1">
      <c r="B96" s="879"/>
      <c r="C96" s="880"/>
      <c r="D96" s="384">
        <v>18</v>
      </c>
      <c r="E96" s="387" t="s">
        <v>758</v>
      </c>
      <c r="F96" s="388">
        <v>1085.5376000000001</v>
      </c>
      <c r="G96" s="389">
        <v>571.29</v>
      </c>
      <c r="H96" s="389">
        <v>574.53</v>
      </c>
      <c r="I96" s="390">
        <f t="shared" si="37"/>
        <v>1.0056713753085122</v>
      </c>
      <c r="J96" s="389">
        <v>30.25</v>
      </c>
      <c r="K96" s="390">
        <f t="shared" si="38"/>
        <v>5.295034045756096E-2</v>
      </c>
      <c r="L96" s="389">
        <v>65.87</v>
      </c>
      <c r="M96" s="390">
        <f t="shared" si="46"/>
        <v>1.0586217157660733</v>
      </c>
      <c r="N96" s="391">
        <v>2205.9863</v>
      </c>
      <c r="O96" s="389">
        <v>16.479999999999997</v>
      </c>
      <c r="P96" s="390">
        <f t="shared" si="40"/>
        <v>2.8846995396383621E-2</v>
      </c>
      <c r="Q96" s="392">
        <f t="shared" si="41"/>
        <v>17.010000000000012</v>
      </c>
      <c r="R96" s="390">
        <f t="shared" si="42"/>
        <v>2.9774720369689672E-2</v>
      </c>
      <c r="S96" s="393">
        <f t="shared" si="43"/>
        <v>1120.4487000000008</v>
      </c>
      <c r="T96" s="394" t="s">
        <v>429</v>
      </c>
      <c r="U96" s="394" t="s">
        <v>478</v>
      </c>
      <c r="V96" s="395" t="s">
        <v>494</v>
      </c>
      <c r="W96" s="395" t="s">
        <v>560</v>
      </c>
      <c r="X96" s="395">
        <v>1</v>
      </c>
      <c r="Y96" s="396" t="s">
        <v>469</v>
      </c>
      <c r="AC96" s="400"/>
    </row>
    <row r="97" spans="2:34" s="148" customFormat="1" ht="27" customHeight="1">
      <c r="B97" s="879"/>
      <c r="C97" s="880"/>
      <c r="D97" s="384">
        <v>19</v>
      </c>
      <c r="E97" s="387" t="s">
        <v>759</v>
      </c>
      <c r="F97" s="388">
        <v>1084.1984</v>
      </c>
      <c r="G97" s="389">
        <v>1579.6</v>
      </c>
      <c r="H97" s="389">
        <v>1572.02</v>
      </c>
      <c r="I97" s="390">
        <f t="shared" si="37"/>
        <v>0.99520131678906054</v>
      </c>
      <c r="J97" s="389">
        <v>25.88</v>
      </c>
      <c r="K97" s="390">
        <f t="shared" si="38"/>
        <v>1.6383894656875158E-2</v>
      </c>
      <c r="L97" s="389">
        <v>95.439999999999984</v>
      </c>
      <c r="M97" s="390">
        <f t="shared" si="46"/>
        <v>1.0115852114459358</v>
      </c>
      <c r="N97" s="391">
        <v>1746.5519999999956</v>
      </c>
      <c r="O97" s="389">
        <v>11.36</v>
      </c>
      <c r="P97" s="390">
        <f t="shared" si="40"/>
        <v>7.1916940997720944E-3</v>
      </c>
      <c r="Q97" s="392">
        <f t="shared" si="41"/>
        <v>6.9400000000001825</v>
      </c>
      <c r="R97" s="390">
        <f t="shared" si="42"/>
        <v>4.3935173461637014E-3</v>
      </c>
      <c r="S97" s="393">
        <f t="shared" si="43"/>
        <v>662.35360000001731</v>
      </c>
      <c r="T97" s="394" t="s">
        <v>429</v>
      </c>
      <c r="U97" s="394" t="s">
        <v>478</v>
      </c>
      <c r="V97" s="395" t="s">
        <v>561</v>
      </c>
      <c r="W97" s="395" t="s">
        <v>490</v>
      </c>
      <c r="X97" s="395">
        <v>1</v>
      </c>
      <c r="Y97" s="396" t="s">
        <v>342</v>
      </c>
      <c r="AB97" s="403"/>
      <c r="AC97" s="400"/>
    </row>
    <row r="98" spans="2:34" s="148" customFormat="1" ht="27" customHeight="1">
      <c r="B98" s="881"/>
      <c r="C98" s="882"/>
      <c r="D98" s="384">
        <v>20</v>
      </c>
      <c r="E98" s="387" t="s">
        <v>622</v>
      </c>
      <c r="F98" s="388">
        <v>1074.4811</v>
      </c>
      <c r="G98" s="389">
        <v>176.2</v>
      </c>
      <c r="H98" s="389">
        <v>181.12</v>
      </c>
      <c r="I98" s="390">
        <f t="shared" si="37"/>
        <v>1.027922814982974</v>
      </c>
      <c r="J98" s="389">
        <v>2.6</v>
      </c>
      <c r="K98" s="390">
        <f t="shared" si="38"/>
        <v>1.4755959137343929E-2</v>
      </c>
      <c r="L98" s="389">
        <v>207.82999999999998</v>
      </c>
      <c r="M98" s="390">
        <f t="shared" si="46"/>
        <v>1.0426787741203178</v>
      </c>
      <c r="N98" s="391">
        <v>1562.8816000000002</v>
      </c>
      <c r="O98" s="389">
        <v>5.17</v>
      </c>
      <c r="P98" s="390">
        <f t="shared" si="40"/>
        <v>2.9341657207718502E-2</v>
      </c>
      <c r="Q98" s="392">
        <f t="shared" si="41"/>
        <v>2.3500000000000103</v>
      </c>
      <c r="R98" s="390">
        <f t="shared" si="42"/>
        <v>1.3337116912599378E-2</v>
      </c>
      <c r="S98" s="393">
        <f t="shared" si="43"/>
        <v>488.40050000000213</v>
      </c>
      <c r="T98" s="394" t="s">
        <v>429</v>
      </c>
      <c r="U98" s="394" t="s">
        <v>478</v>
      </c>
      <c r="V98" s="395" t="s">
        <v>494</v>
      </c>
      <c r="W98" s="395" t="s">
        <v>560</v>
      </c>
      <c r="X98" s="395">
        <v>1</v>
      </c>
      <c r="Y98" s="396" t="s">
        <v>361</v>
      </c>
      <c r="AB98" s="403"/>
      <c r="AC98" s="400"/>
    </row>
    <row r="99" spans="2:34" ht="17.100000000000001" customHeight="1">
      <c r="B99" s="899" t="s">
        <v>475</v>
      </c>
      <c r="C99" s="900"/>
      <c r="D99" s="905" t="s">
        <v>170</v>
      </c>
      <c r="E99" s="905"/>
      <c r="F99" s="905"/>
      <c r="G99" s="905" t="s">
        <v>184</v>
      </c>
      <c r="H99" s="905"/>
      <c r="I99" s="905"/>
      <c r="J99" s="905"/>
      <c r="K99" s="905"/>
      <c r="L99" s="905"/>
      <c r="M99" s="905"/>
      <c r="N99" s="905"/>
      <c r="O99" s="905"/>
      <c r="P99" s="905"/>
      <c r="Q99" s="905"/>
      <c r="R99" s="905"/>
      <c r="S99" s="905"/>
      <c r="T99" s="905" t="s">
        <v>171</v>
      </c>
      <c r="U99" s="890" t="s">
        <v>245</v>
      </c>
      <c r="V99" s="883" t="s">
        <v>476</v>
      </c>
      <c r="W99" s="883" t="s">
        <v>477</v>
      </c>
      <c r="X99" s="886" t="s">
        <v>246</v>
      </c>
      <c r="Y99" s="889" t="s">
        <v>172</v>
      </c>
      <c r="AA99" s="890" t="s">
        <v>247</v>
      </c>
      <c r="AB99" s="891"/>
      <c r="AC99" s="891"/>
      <c r="AD99" s="891"/>
      <c r="AE99" s="891"/>
      <c r="AF99" s="891"/>
      <c r="AG99" s="891"/>
      <c r="AH99" s="892"/>
    </row>
    <row r="100" spans="2:34" ht="17.100000000000001" customHeight="1">
      <c r="B100" s="901"/>
      <c r="C100" s="902"/>
      <c r="D100" s="906" t="s">
        <v>169</v>
      </c>
      <c r="E100" s="905" t="s">
        <v>173</v>
      </c>
      <c r="F100" s="905"/>
      <c r="G100" s="905" t="s">
        <v>185</v>
      </c>
      <c r="H100" s="905"/>
      <c r="I100" s="905"/>
      <c r="J100" s="905"/>
      <c r="K100" s="905"/>
      <c r="L100" s="905"/>
      <c r="M100" s="905"/>
      <c r="N100" s="905"/>
      <c r="O100" s="905" t="s">
        <v>174</v>
      </c>
      <c r="P100" s="905"/>
      <c r="Q100" s="905"/>
      <c r="R100" s="905"/>
      <c r="S100" s="905"/>
      <c r="T100" s="905"/>
      <c r="U100" s="893"/>
      <c r="V100" s="884"/>
      <c r="W100" s="884"/>
      <c r="X100" s="887"/>
      <c r="Y100" s="889"/>
      <c r="AA100" s="893"/>
      <c r="AB100" s="894"/>
      <c r="AC100" s="894"/>
      <c r="AD100" s="894"/>
      <c r="AE100" s="894"/>
      <c r="AF100" s="894"/>
      <c r="AG100" s="894"/>
      <c r="AH100" s="895"/>
    </row>
    <row r="101" spans="2:34" ht="17.100000000000001" customHeight="1">
      <c r="B101" s="901"/>
      <c r="C101" s="902"/>
      <c r="D101" s="906"/>
      <c r="E101" s="906" t="s">
        <v>175</v>
      </c>
      <c r="F101" s="889" t="s">
        <v>248</v>
      </c>
      <c r="G101" s="907" t="s">
        <v>186</v>
      </c>
      <c r="H101" s="907"/>
      <c r="I101" s="907"/>
      <c r="J101" s="907"/>
      <c r="K101" s="907"/>
      <c r="L101" s="907"/>
      <c r="M101" s="907"/>
      <c r="N101" s="907"/>
      <c r="O101" s="907" t="s">
        <v>168</v>
      </c>
      <c r="P101" s="907"/>
      <c r="Q101" s="907" t="s">
        <v>176</v>
      </c>
      <c r="R101" s="907"/>
      <c r="S101" s="907"/>
      <c r="T101" s="905"/>
      <c r="U101" s="893"/>
      <c r="V101" s="884"/>
      <c r="W101" s="884"/>
      <c r="X101" s="887"/>
      <c r="Y101" s="889"/>
      <c r="AA101" s="896"/>
      <c r="AB101" s="897"/>
      <c r="AC101" s="897"/>
      <c r="AD101" s="897"/>
      <c r="AE101" s="897"/>
      <c r="AF101" s="897"/>
      <c r="AG101" s="897"/>
      <c r="AH101" s="898"/>
    </row>
    <row r="102" spans="2:34" ht="38.450000000000003" customHeight="1">
      <c r="B102" s="903"/>
      <c r="C102" s="904"/>
      <c r="D102" s="906"/>
      <c r="E102" s="906"/>
      <c r="F102" s="889"/>
      <c r="G102" s="385" t="s">
        <v>177</v>
      </c>
      <c r="H102" s="385" t="s">
        <v>252</v>
      </c>
      <c r="I102" s="385" t="s">
        <v>253</v>
      </c>
      <c r="J102" s="385" t="s">
        <v>178</v>
      </c>
      <c r="K102" s="385" t="s">
        <v>250</v>
      </c>
      <c r="L102" s="385" t="s">
        <v>179</v>
      </c>
      <c r="M102" s="385" t="s">
        <v>187</v>
      </c>
      <c r="N102" s="385" t="s">
        <v>180</v>
      </c>
      <c r="O102" s="386" t="s">
        <v>181</v>
      </c>
      <c r="P102" s="386" t="s">
        <v>182</v>
      </c>
      <c r="Q102" s="386" t="s">
        <v>181</v>
      </c>
      <c r="R102" s="386" t="s">
        <v>182</v>
      </c>
      <c r="S102" s="385" t="s">
        <v>183</v>
      </c>
      <c r="T102" s="905"/>
      <c r="U102" s="896"/>
      <c r="V102" s="885"/>
      <c r="W102" s="885"/>
      <c r="X102" s="888"/>
      <c r="Y102" s="889"/>
      <c r="AA102" s="161" t="s">
        <v>244</v>
      </c>
      <c r="AB102" s="161" t="s">
        <v>478</v>
      </c>
      <c r="AC102" s="156" t="s">
        <v>394</v>
      </c>
      <c r="AD102" s="156" t="s">
        <v>339</v>
      </c>
      <c r="AE102" s="156" t="s">
        <v>457</v>
      </c>
      <c r="AF102" s="156" t="s">
        <v>215</v>
      </c>
      <c r="AG102" s="156" t="s">
        <v>216</v>
      </c>
      <c r="AH102" s="156" t="s">
        <v>395</v>
      </c>
    </row>
    <row r="103" spans="2:34" s="148" customFormat="1" ht="27" customHeight="1">
      <c r="B103" s="877" t="s">
        <v>663</v>
      </c>
      <c r="C103" s="878"/>
      <c r="D103" s="384">
        <v>1</v>
      </c>
      <c r="E103" s="387" t="s">
        <v>335</v>
      </c>
      <c r="F103" s="388">
        <v>2348.4</v>
      </c>
      <c r="G103" s="389">
        <v>41247</v>
      </c>
      <c r="H103" s="389">
        <v>40981</v>
      </c>
      <c r="I103" s="390">
        <f>H103/G103</f>
        <v>0.99355104613668876</v>
      </c>
      <c r="J103" s="389">
        <v>418</v>
      </c>
      <c r="K103" s="390">
        <f>J103/G103</f>
        <v>1.0134070356631997E-2</v>
      </c>
      <c r="L103" s="389">
        <v>15.450000000000001</v>
      </c>
      <c r="M103" s="390">
        <f>(H103+J103)/G103</f>
        <v>1.0036851164933207</v>
      </c>
      <c r="N103" s="391">
        <v>2348.4</v>
      </c>
      <c r="O103" s="389">
        <v>152</v>
      </c>
      <c r="P103" s="390">
        <f>O103/G103</f>
        <v>3.6851164933207263E-3</v>
      </c>
      <c r="Q103" s="392">
        <f>((H103+J103)-G103)-O103</f>
        <v>0</v>
      </c>
      <c r="R103" s="390">
        <f>Q103/G103</f>
        <v>0</v>
      </c>
      <c r="S103" s="393">
        <f>Q103*L103</f>
        <v>0</v>
      </c>
      <c r="T103" s="394" t="s">
        <v>429</v>
      </c>
      <c r="U103" s="394" t="s">
        <v>512</v>
      </c>
      <c r="V103" s="395"/>
      <c r="W103" s="395"/>
      <c r="X103" s="395">
        <v>1</v>
      </c>
      <c r="Y103" s="396" t="s">
        <v>674</v>
      </c>
      <c r="Z103" s="397" t="s">
        <v>479</v>
      </c>
      <c r="AA103" s="407">
        <f>SUM(X103:X122)</f>
        <v>20</v>
      </c>
      <c r="AB103" s="399">
        <f>SUMIF($U$103:$U$122,TRIM(AB102),$X$103:$X$122)</f>
        <v>15</v>
      </c>
      <c r="AC103" s="399">
        <f t="shared" ref="AC103:AH103" si="47">SUMIF($U$103:$U$122,TRIM(AC102),$X$103:$X$122)</f>
        <v>0</v>
      </c>
      <c r="AD103" s="399">
        <f t="shared" si="47"/>
        <v>3</v>
      </c>
      <c r="AE103" s="399">
        <f t="shared" si="47"/>
        <v>0</v>
      </c>
      <c r="AF103" s="399">
        <f t="shared" si="47"/>
        <v>1</v>
      </c>
      <c r="AG103" s="399">
        <f t="shared" si="47"/>
        <v>1</v>
      </c>
      <c r="AH103" s="399">
        <f t="shared" si="47"/>
        <v>0</v>
      </c>
    </row>
    <row r="104" spans="2:34" s="148" customFormat="1" ht="27" customHeight="1">
      <c r="B104" s="879"/>
      <c r="C104" s="880"/>
      <c r="D104" s="384">
        <v>2</v>
      </c>
      <c r="E104" s="387" t="s">
        <v>481</v>
      </c>
      <c r="F104" s="388">
        <v>1639.05</v>
      </c>
      <c r="G104" s="389">
        <v>145731</v>
      </c>
      <c r="H104" s="389">
        <v>146400</v>
      </c>
      <c r="I104" s="390">
        <f t="shared" ref="I104:I122" si="48">H104/G104</f>
        <v>1.0045906498960413</v>
      </c>
      <c r="J104" s="389">
        <v>0</v>
      </c>
      <c r="K104" s="390">
        <f t="shared" ref="K104:K122" si="49">J104/G104</f>
        <v>0</v>
      </c>
      <c r="L104" s="389">
        <v>2.4499999999999997</v>
      </c>
      <c r="M104" s="390">
        <f t="shared" ref="M104:M109" si="50">(H104+J104)/G104</f>
        <v>1.0045906498960413</v>
      </c>
      <c r="N104" s="391">
        <v>1639.05</v>
      </c>
      <c r="O104" s="389">
        <v>669</v>
      </c>
      <c r="P104" s="390">
        <f t="shared" ref="P104:P122" si="51">O104/G104</f>
        <v>4.5906498960413362E-3</v>
      </c>
      <c r="Q104" s="392">
        <f t="shared" ref="Q104:Q122" si="52">((H104+J104)-G104)-O104</f>
        <v>0</v>
      </c>
      <c r="R104" s="390">
        <f t="shared" ref="R104:R122" si="53">Q104/G104</f>
        <v>0</v>
      </c>
      <c r="S104" s="393">
        <f t="shared" ref="S104:S122" si="54">Q104*L104</f>
        <v>0</v>
      </c>
      <c r="T104" s="394" t="s">
        <v>429</v>
      </c>
      <c r="U104" s="394" t="s">
        <v>339</v>
      </c>
      <c r="V104" s="395"/>
      <c r="W104" s="395"/>
      <c r="X104" s="395">
        <v>1</v>
      </c>
      <c r="Y104" s="396" t="s">
        <v>342</v>
      </c>
      <c r="AA104" s="408"/>
      <c r="AB104" s="405">
        <f>SUMIF($U$103:$U122,TRIM(AB102),$F$103:$F$122)</f>
        <v>15963.451500000001</v>
      </c>
      <c r="AC104" s="405">
        <f>SUMIF($U$103:$U122,TRIM(AC102),$F$103:$F$122)</f>
        <v>0</v>
      </c>
      <c r="AD104" s="405">
        <f>SUMIF($U$103:$U122,TRIM(AD102),$F$103:$F$122)</f>
        <v>4456.5</v>
      </c>
      <c r="AE104" s="405">
        <f>SUMIF($U$103:$U122,TRIM(AE102),$F$103:$F$122)</f>
        <v>0</v>
      </c>
      <c r="AF104" s="405">
        <f>SUMIF($U$103:$U122,TRIM(AF102),$F$103:$F$122)</f>
        <v>1054.2</v>
      </c>
      <c r="AG104" s="405">
        <f>SUMIF($U$103:$U122,TRIM(AG102),$F$103:$F$122)</f>
        <v>2348.4</v>
      </c>
      <c r="AH104" s="405">
        <f>SUMIF($U$103:$U122,TRIM(AH102),$F$103:$F$122)</f>
        <v>0</v>
      </c>
    </row>
    <row r="105" spans="2:34" s="148" customFormat="1" ht="27" customHeight="1">
      <c r="B105" s="879"/>
      <c r="C105" s="880"/>
      <c r="D105" s="384">
        <v>3</v>
      </c>
      <c r="E105" s="387" t="s">
        <v>480</v>
      </c>
      <c r="F105" s="388">
        <v>1606.4099999999999</v>
      </c>
      <c r="G105" s="389">
        <v>289435</v>
      </c>
      <c r="H105" s="389">
        <v>289574</v>
      </c>
      <c r="I105" s="390">
        <f t="shared" si="48"/>
        <v>1.0004802459965105</v>
      </c>
      <c r="J105" s="389">
        <v>1234</v>
      </c>
      <c r="K105" s="390">
        <f t="shared" si="49"/>
        <v>4.2634788467186069E-3</v>
      </c>
      <c r="L105" s="389">
        <v>1.17</v>
      </c>
      <c r="M105" s="390">
        <f t="shared" si="50"/>
        <v>1.0047437248432292</v>
      </c>
      <c r="N105" s="391">
        <v>1606.4099999999999</v>
      </c>
      <c r="O105" s="389">
        <v>1373</v>
      </c>
      <c r="P105" s="390">
        <f t="shared" si="51"/>
        <v>4.7437248432290495E-3</v>
      </c>
      <c r="Q105" s="392">
        <f t="shared" si="52"/>
        <v>0</v>
      </c>
      <c r="R105" s="390">
        <f t="shared" si="53"/>
        <v>0</v>
      </c>
      <c r="S105" s="393">
        <f t="shared" si="54"/>
        <v>0</v>
      </c>
      <c r="T105" s="394" t="s">
        <v>429</v>
      </c>
      <c r="U105" s="394" t="s">
        <v>339</v>
      </c>
      <c r="V105" s="395"/>
      <c r="W105" s="395"/>
      <c r="X105" s="395">
        <v>1</v>
      </c>
      <c r="Y105" s="396" t="s">
        <v>342</v>
      </c>
      <c r="AA105" s="384"/>
      <c r="AB105" s="406">
        <f>AB103/$AA103</f>
        <v>0.75</v>
      </c>
      <c r="AC105" s="406">
        <f t="shared" ref="AC105:AH105" si="55">AC103/$AA103</f>
        <v>0</v>
      </c>
      <c r="AD105" s="406">
        <f t="shared" si="55"/>
        <v>0.15</v>
      </c>
      <c r="AE105" s="406">
        <f t="shared" si="55"/>
        <v>0</v>
      </c>
      <c r="AF105" s="406">
        <f t="shared" si="55"/>
        <v>0.05</v>
      </c>
      <c r="AG105" s="406">
        <f t="shared" si="55"/>
        <v>0.05</v>
      </c>
      <c r="AH105" s="406">
        <f t="shared" si="55"/>
        <v>0</v>
      </c>
    </row>
    <row r="106" spans="2:34" s="148" customFormat="1" ht="27" customHeight="1">
      <c r="B106" s="879"/>
      <c r="C106" s="880"/>
      <c r="D106" s="384">
        <v>4</v>
      </c>
      <c r="E106" s="387" t="s">
        <v>670</v>
      </c>
      <c r="F106" s="388">
        <v>1211.0399999999997</v>
      </c>
      <c r="G106" s="389">
        <v>166772</v>
      </c>
      <c r="H106" s="389">
        <v>165568</v>
      </c>
      <c r="I106" s="390">
        <f t="shared" si="48"/>
        <v>0.99278056268438342</v>
      </c>
      <c r="J106" s="389">
        <v>2248</v>
      </c>
      <c r="K106" s="390">
        <f t="shared" si="49"/>
        <v>1.3479480968028206E-2</v>
      </c>
      <c r="L106" s="389">
        <v>1.1599999999999999</v>
      </c>
      <c r="M106" s="390">
        <f t="shared" si="50"/>
        <v>1.0062600436524116</v>
      </c>
      <c r="N106" s="391">
        <v>1211.0399999999997</v>
      </c>
      <c r="O106" s="389">
        <v>1044</v>
      </c>
      <c r="P106" s="390">
        <f t="shared" si="51"/>
        <v>6.2600436524116758E-3</v>
      </c>
      <c r="Q106" s="392">
        <f t="shared" si="52"/>
        <v>0</v>
      </c>
      <c r="R106" s="390">
        <f t="shared" si="53"/>
        <v>0</v>
      </c>
      <c r="S106" s="393">
        <f t="shared" si="54"/>
        <v>0</v>
      </c>
      <c r="T106" s="394" t="s">
        <v>429</v>
      </c>
      <c r="U106" s="394" t="s">
        <v>339</v>
      </c>
      <c r="V106" s="395"/>
      <c r="W106" s="395"/>
      <c r="X106" s="395">
        <v>1</v>
      </c>
      <c r="Y106" s="396" t="s">
        <v>342</v>
      </c>
    </row>
    <row r="107" spans="2:34" s="148" customFormat="1" ht="27" customHeight="1">
      <c r="B107" s="879"/>
      <c r="C107" s="880"/>
      <c r="D107" s="384">
        <v>5</v>
      </c>
      <c r="E107" s="387" t="s">
        <v>336</v>
      </c>
      <c r="F107" s="388">
        <v>1161.694</v>
      </c>
      <c r="G107" s="389">
        <v>565.29999999999995</v>
      </c>
      <c r="H107" s="389">
        <v>572.6400000000001</v>
      </c>
      <c r="I107" s="390">
        <f t="shared" si="48"/>
        <v>1.0129842561471787</v>
      </c>
      <c r="J107" s="389">
        <v>4.0599999999999996</v>
      </c>
      <c r="K107" s="390">
        <f t="shared" si="49"/>
        <v>7.1820272421722975E-3</v>
      </c>
      <c r="L107" s="389">
        <v>141.66999999999999</v>
      </c>
      <c r="M107" s="390">
        <f t="shared" si="50"/>
        <v>1.020166283389351</v>
      </c>
      <c r="N107" s="391">
        <v>1615.0380000000007</v>
      </c>
      <c r="O107" s="389">
        <v>8.1999999999999993</v>
      </c>
      <c r="P107" s="390">
        <f t="shared" si="51"/>
        <v>1.4505572262515478E-2</v>
      </c>
      <c r="Q107" s="392">
        <f t="shared" si="52"/>
        <v>3.2000000000000917</v>
      </c>
      <c r="R107" s="390">
        <f t="shared" si="53"/>
        <v>5.6607111268354715E-3</v>
      </c>
      <c r="S107" s="393">
        <f t="shared" si="54"/>
        <v>453.34400000001295</v>
      </c>
      <c r="T107" s="394" t="s">
        <v>429</v>
      </c>
      <c r="U107" s="394" t="s">
        <v>478</v>
      </c>
      <c r="V107" s="395"/>
      <c r="W107" s="395"/>
      <c r="X107" s="395">
        <v>1</v>
      </c>
      <c r="Y107" s="396" t="s">
        <v>344</v>
      </c>
    </row>
    <row r="108" spans="2:34" s="148" customFormat="1" ht="27" customHeight="1">
      <c r="B108" s="879"/>
      <c r="C108" s="880"/>
      <c r="D108" s="384">
        <v>6</v>
      </c>
      <c r="E108" s="387" t="s">
        <v>722</v>
      </c>
      <c r="F108" s="388">
        <v>1157.7815999999998</v>
      </c>
      <c r="G108" s="389">
        <v>487.92</v>
      </c>
      <c r="H108" s="389">
        <v>492.28000000000003</v>
      </c>
      <c r="I108" s="390">
        <f t="shared" si="48"/>
        <v>1.0089358911296935</v>
      </c>
      <c r="J108" s="389">
        <v>3.3</v>
      </c>
      <c r="K108" s="390">
        <f t="shared" si="49"/>
        <v>6.7634038366945395E-3</v>
      </c>
      <c r="L108" s="389">
        <v>189.18000000000004</v>
      </c>
      <c r="M108" s="390">
        <f t="shared" si="50"/>
        <v>1.0156992949663879</v>
      </c>
      <c r="N108" s="391">
        <v>1449.1188000000009</v>
      </c>
      <c r="O108" s="389">
        <v>6.1199999999999992</v>
      </c>
      <c r="P108" s="390">
        <f t="shared" si="51"/>
        <v>1.2543039842597145E-2</v>
      </c>
      <c r="Q108" s="392">
        <f t="shared" si="52"/>
        <v>1.5400000000000258</v>
      </c>
      <c r="R108" s="390">
        <f t="shared" si="53"/>
        <v>3.156255123790838E-3</v>
      </c>
      <c r="S108" s="393">
        <f t="shared" si="54"/>
        <v>291.33720000000494</v>
      </c>
      <c r="T108" s="394" t="s">
        <v>429</v>
      </c>
      <c r="U108" s="394" t="s">
        <v>478</v>
      </c>
      <c r="V108" s="395"/>
      <c r="W108" s="395"/>
      <c r="X108" s="395">
        <v>1</v>
      </c>
      <c r="Y108" s="396" t="s">
        <v>360</v>
      </c>
    </row>
    <row r="109" spans="2:34" s="148" customFormat="1" ht="27" customHeight="1">
      <c r="B109" s="879"/>
      <c r="C109" s="880"/>
      <c r="D109" s="384">
        <v>7</v>
      </c>
      <c r="E109" s="387" t="s">
        <v>366</v>
      </c>
      <c r="F109" s="388">
        <v>1137.5616</v>
      </c>
      <c r="G109" s="389">
        <v>232.21999999999997</v>
      </c>
      <c r="H109" s="389">
        <v>237.64</v>
      </c>
      <c r="I109" s="390">
        <f t="shared" si="48"/>
        <v>1.0233399362673328</v>
      </c>
      <c r="J109" s="389">
        <v>1.26</v>
      </c>
      <c r="K109" s="390">
        <f t="shared" si="49"/>
        <v>5.4258892429592635E-3</v>
      </c>
      <c r="L109" s="389">
        <v>253.92000000000002</v>
      </c>
      <c r="M109" s="390">
        <f t="shared" si="50"/>
        <v>1.0287658255102921</v>
      </c>
      <c r="N109" s="391">
        <v>1696.1855999999989</v>
      </c>
      <c r="O109" s="389">
        <v>4.4799999999999995</v>
      </c>
      <c r="P109" s="390">
        <f t="shared" si="51"/>
        <v>1.9292050641632936E-2</v>
      </c>
      <c r="Q109" s="392">
        <f t="shared" si="52"/>
        <v>2.2000000000000073</v>
      </c>
      <c r="R109" s="390">
        <f t="shared" si="53"/>
        <v>9.4737748686590621E-3</v>
      </c>
      <c r="S109" s="393">
        <f t="shared" si="54"/>
        <v>558.62400000000184</v>
      </c>
      <c r="T109" s="394" t="s">
        <v>429</v>
      </c>
      <c r="U109" s="394" t="s">
        <v>478</v>
      </c>
      <c r="V109" s="395"/>
      <c r="W109" s="417"/>
      <c r="X109" s="395">
        <v>1</v>
      </c>
      <c r="Y109" s="396" t="s">
        <v>358</v>
      </c>
      <c r="AC109" s="400"/>
    </row>
    <row r="110" spans="2:34" s="148" customFormat="1" ht="27" customHeight="1">
      <c r="B110" s="879"/>
      <c r="C110" s="880"/>
      <c r="D110" s="384">
        <v>8</v>
      </c>
      <c r="E110" s="387" t="s">
        <v>540</v>
      </c>
      <c r="F110" s="388">
        <v>1125.7973999999999</v>
      </c>
      <c r="G110" s="389">
        <v>188.43</v>
      </c>
      <c r="H110" s="389">
        <v>193.60999999999999</v>
      </c>
      <c r="I110" s="390">
        <f t="shared" si="48"/>
        <v>1.0274903147057262</v>
      </c>
      <c r="J110" s="389">
        <v>0.99</v>
      </c>
      <c r="K110" s="390">
        <f t="shared" si="49"/>
        <v>5.2539404553415062E-3</v>
      </c>
      <c r="L110" s="389">
        <v>203.57999999999998</v>
      </c>
      <c r="M110" s="390">
        <f>(H110+J110)/G110</f>
        <v>1.0327442551610677</v>
      </c>
      <c r="N110" s="391">
        <v>1256.0886000000012</v>
      </c>
      <c r="O110" s="389">
        <v>5.5299999999999994</v>
      </c>
      <c r="P110" s="390">
        <f t="shared" si="51"/>
        <v>2.9347768402059115E-2</v>
      </c>
      <c r="Q110" s="392">
        <f t="shared" si="52"/>
        <v>0.63999999999998813</v>
      </c>
      <c r="R110" s="390">
        <f t="shared" si="53"/>
        <v>3.3964867590085875E-3</v>
      </c>
      <c r="S110" s="393">
        <f t="shared" si="54"/>
        <v>130.29119999999759</v>
      </c>
      <c r="T110" s="394" t="s">
        <v>429</v>
      </c>
      <c r="U110" s="394" t="s">
        <v>478</v>
      </c>
      <c r="V110" s="395"/>
      <c r="W110" s="395"/>
      <c r="X110" s="395">
        <v>1</v>
      </c>
      <c r="Y110" s="396" t="s">
        <v>344</v>
      </c>
      <c r="AC110" s="400"/>
    </row>
    <row r="111" spans="2:34" s="148" customFormat="1" ht="27" customHeight="1">
      <c r="B111" s="879"/>
      <c r="C111" s="880"/>
      <c r="D111" s="384">
        <v>9</v>
      </c>
      <c r="E111" s="387" t="s">
        <v>470</v>
      </c>
      <c r="F111" s="388">
        <v>1111.4531999999999</v>
      </c>
      <c r="G111" s="389">
        <v>456.66</v>
      </c>
      <c r="H111" s="389">
        <v>462.40999999999997</v>
      </c>
      <c r="I111" s="390">
        <f t="shared" si="48"/>
        <v>1.0125914246923311</v>
      </c>
      <c r="J111" s="389">
        <v>2.33</v>
      </c>
      <c r="K111" s="390">
        <f t="shared" si="49"/>
        <v>5.1022642666316296E-3</v>
      </c>
      <c r="L111" s="389">
        <v>181.60999999999999</v>
      </c>
      <c r="M111" s="390">
        <f t="shared" ref="M111:M122" si="56">(H111+J111)/G111</f>
        <v>1.0176936889589627</v>
      </c>
      <c r="N111" s="391">
        <v>1467.4087999999986</v>
      </c>
      <c r="O111" s="389">
        <v>6.1199999999999992</v>
      </c>
      <c r="P111" s="390">
        <f t="shared" si="51"/>
        <v>1.3401655498620416E-2</v>
      </c>
      <c r="Q111" s="392">
        <f t="shared" si="52"/>
        <v>1.959999999999928</v>
      </c>
      <c r="R111" s="390">
        <f t="shared" si="53"/>
        <v>4.2920334603423291E-3</v>
      </c>
      <c r="S111" s="393">
        <f t="shared" si="54"/>
        <v>355.95559999998687</v>
      </c>
      <c r="T111" s="394" t="s">
        <v>429</v>
      </c>
      <c r="U111" s="394" t="s">
        <v>478</v>
      </c>
      <c r="V111" s="395"/>
      <c r="W111" s="395"/>
      <c r="X111" s="395">
        <v>1</v>
      </c>
      <c r="Y111" s="396" t="s">
        <v>469</v>
      </c>
      <c r="AC111" s="400"/>
    </row>
    <row r="112" spans="2:34" s="148" customFormat="1" ht="27" customHeight="1">
      <c r="B112" s="879"/>
      <c r="C112" s="880"/>
      <c r="D112" s="384">
        <v>10</v>
      </c>
      <c r="E112" s="387" t="s">
        <v>810</v>
      </c>
      <c r="F112" s="388">
        <v>1054.2</v>
      </c>
      <c r="G112" s="389">
        <v>641.96</v>
      </c>
      <c r="H112" s="389">
        <v>615.86</v>
      </c>
      <c r="I112" s="390">
        <f t="shared" si="48"/>
        <v>0.9593432612623839</v>
      </c>
      <c r="J112" s="389">
        <v>38.74</v>
      </c>
      <c r="K112" s="390">
        <f t="shared" si="49"/>
        <v>6.0346439030469184E-2</v>
      </c>
      <c r="L112" s="389">
        <v>105</v>
      </c>
      <c r="M112" s="390">
        <f t="shared" si="56"/>
        <v>1.0196897002928531</v>
      </c>
      <c r="N112" s="391">
        <v>1327.200000000001</v>
      </c>
      <c r="O112" s="389">
        <v>10.040000000000001</v>
      </c>
      <c r="P112" s="390">
        <f t="shared" si="51"/>
        <v>1.5639603713627017E-2</v>
      </c>
      <c r="Q112" s="392">
        <f t="shared" si="52"/>
        <v>2.5999999999999854</v>
      </c>
      <c r="R112" s="390">
        <f t="shared" si="53"/>
        <v>4.0500965792260972E-3</v>
      </c>
      <c r="S112" s="393">
        <f t="shared" si="54"/>
        <v>272.99999999999847</v>
      </c>
      <c r="T112" s="394" t="s">
        <v>429</v>
      </c>
      <c r="U112" s="394" t="s">
        <v>760</v>
      </c>
      <c r="V112" s="395"/>
      <c r="W112" s="395"/>
      <c r="X112" s="395">
        <v>1</v>
      </c>
      <c r="Y112" s="396" t="s">
        <v>357</v>
      </c>
      <c r="AC112" s="400"/>
    </row>
    <row r="113" spans="2:34" s="148" customFormat="1" ht="27" customHeight="1">
      <c r="B113" s="879"/>
      <c r="C113" s="880"/>
      <c r="D113" s="384">
        <v>11</v>
      </c>
      <c r="E113" s="387" t="s">
        <v>733</v>
      </c>
      <c r="F113" s="388">
        <v>1049.1864</v>
      </c>
      <c r="G113" s="389">
        <v>1067.0900000000001</v>
      </c>
      <c r="H113" s="389">
        <v>1002.1999999999998</v>
      </c>
      <c r="I113" s="390">
        <f t="shared" si="48"/>
        <v>0.93918975906437108</v>
      </c>
      <c r="J113" s="389">
        <v>79.45</v>
      </c>
      <c r="K113" s="390">
        <f t="shared" si="49"/>
        <v>7.4454825741034014E-2</v>
      </c>
      <c r="L113" s="389">
        <v>114.53999999999999</v>
      </c>
      <c r="M113" s="390">
        <f t="shared" si="56"/>
        <v>1.013644584805405</v>
      </c>
      <c r="N113" s="391">
        <v>1667.7023999999972</v>
      </c>
      <c r="O113" s="389">
        <v>9.1599999999999984</v>
      </c>
      <c r="P113" s="390">
        <f t="shared" si="51"/>
        <v>8.584093188016003E-3</v>
      </c>
      <c r="Q113" s="392">
        <f t="shared" si="52"/>
        <v>5.3999999999997197</v>
      </c>
      <c r="R113" s="390">
        <f t="shared" si="53"/>
        <v>5.0604916173890855E-3</v>
      </c>
      <c r="S113" s="393">
        <f t="shared" si="54"/>
        <v>618.5159999999679</v>
      </c>
      <c r="T113" s="394" t="s">
        <v>429</v>
      </c>
      <c r="U113" s="394" t="s">
        <v>478</v>
      </c>
      <c r="V113" s="395"/>
      <c r="W113" s="395"/>
      <c r="X113" s="395">
        <v>1</v>
      </c>
      <c r="Y113" s="396" t="s">
        <v>533</v>
      </c>
      <c r="AC113" s="400"/>
    </row>
    <row r="114" spans="2:34" s="148" customFormat="1" ht="27" customHeight="1">
      <c r="B114" s="879"/>
      <c r="C114" s="880"/>
      <c r="D114" s="384">
        <v>12</v>
      </c>
      <c r="E114" s="387" t="s">
        <v>544</v>
      </c>
      <c r="F114" s="388">
        <v>1046.3784999999998</v>
      </c>
      <c r="G114" s="389">
        <v>718.78000000000009</v>
      </c>
      <c r="H114" s="389">
        <v>707.78</v>
      </c>
      <c r="I114" s="390">
        <f t="shared" si="48"/>
        <v>0.98469629093742161</v>
      </c>
      <c r="J114" s="389">
        <v>25.18</v>
      </c>
      <c r="K114" s="390">
        <f t="shared" si="49"/>
        <v>3.5031581290520045E-2</v>
      </c>
      <c r="L114" s="389">
        <v>128.38999999999999</v>
      </c>
      <c r="M114" s="390">
        <f t="shared" si="56"/>
        <v>1.0197278722279415</v>
      </c>
      <c r="N114" s="391">
        <v>1820.5701999999969</v>
      </c>
      <c r="O114" s="389">
        <v>8.1499999999999986</v>
      </c>
      <c r="P114" s="390">
        <f t="shared" si="51"/>
        <v>1.1338657169092069E-2</v>
      </c>
      <c r="Q114" s="392">
        <f t="shared" si="52"/>
        <v>6.0299999999998377</v>
      </c>
      <c r="R114" s="390">
        <f t="shared" si="53"/>
        <v>8.3892150588494915E-3</v>
      </c>
      <c r="S114" s="393">
        <f t="shared" si="54"/>
        <v>774.19169999997905</v>
      </c>
      <c r="T114" s="394" t="s">
        <v>429</v>
      </c>
      <c r="U114" s="394" t="s">
        <v>478</v>
      </c>
      <c r="V114" s="395"/>
      <c r="W114" s="395"/>
      <c r="X114" s="395">
        <v>1</v>
      </c>
      <c r="Y114" s="396" t="s">
        <v>358</v>
      </c>
    </row>
    <row r="115" spans="2:34" s="148" customFormat="1" ht="27" customHeight="1">
      <c r="B115" s="879"/>
      <c r="C115" s="880"/>
      <c r="D115" s="384">
        <v>13</v>
      </c>
      <c r="E115" s="387" t="s">
        <v>365</v>
      </c>
      <c r="F115" s="388">
        <v>1039.4590000000001</v>
      </c>
      <c r="G115" s="389">
        <v>287.51</v>
      </c>
      <c r="H115" s="389">
        <v>293.58999999999997</v>
      </c>
      <c r="I115" s="390">
        <f t="shared" si="48"/>
        <v>1.0211470905359814</v>
      </c>
      <c r="J115" s="389">
        <v>4.3</v>
      </c>
      <c r="K115" s="390">
        <f t="shared" si="49"/>
        <v>1.4956001530381551E-2</v>
      </c>
      <c r="L115" s="389">
        <v>183.65000000000003</v>
      </c>
      <c r="M115" s="390">
        <f t="shared" si="56"/>
        <v>1.036103092066363</v>
      </c>
      <c r="N115" s="391">
        <v>1906.2869999999984</v>
      </c>
      <c r="O115" s="389">
        <v>5.66</v>
      </c>
      <c r="P115" s="390">
        <f t="shared" si="51"/>
        <v>1.9686271781851068E-2</v>
      </c>
      <c r="Q115" s="392">
        <f t="shared" si="52"/>
        <v>4.7199999999999953</v>
      </c>
      <c r="R115" s="390">
        <f t="shared" si="53"/>
        <v>1.6416820284511826E-2</v>
      </c>
      <c r="S115" s="393">
        <f t="shared" si="54"/>
        <v>866.82799999999929</v>
      </c>
      <c r="T115" s="394" t="s">
        <v>429</v>
      </c>
      <c r="U115" s="394" t="s">
        <v>478</v>
      </c>
      <c r="V115" s="395"/>
      <c r="W115" s="395"/>
      <c r="X115" s="395">
        <v>1</v>
      </c>
      <c r="Y115" s="396" t="s">
        <v>358</v>
      </c>
    </row>
    <row r="116" spans="2:34" s="148" customFormat="1" ht="27" customHeight="1">
      <c r="B116" s="879"/>
      <c r="C116" s="880"/>
      <c r="D116" s="384">
        <v>14</v>
      </c>
      <c r="E116" s="387" t="s">
        <v>811</v>
      </c>
      <c r="F116" s="388">
        <v>1037.8566000000001</v>
      </c>
      <c r="G116" s="389">
        <v>89.59</v>
      </c>
      <c r="H116" s="389">
        <v>96.3</v>
      </c>
      <c r="I116" s="390">
        <f t="shared" si="48"/>
        <v>1.0748967518696282</v>
      </c>
      <c r="J116" s="389">
        <v>0</v>
      </c>
      <c r="K116" s="390">
        <f t="shared" si="49"/>
        <v>0</v>
      </c>
      <c r="L116" s="389">
        <v>205.11000000000007</v>
      </c>
      <c r="M116" s="390">
        <f t="shared" si="56"/>
        <v>1.0748967518696282</v>
      </c>
      <c r="N116" s="391">
        <v>1376.2881000000002</v>
      </c>
      <c r="O116" s="389">
        <v>5.0600000000000005</v>
      </c>
      <c r="P116" s="390">
        <f t="shared" si="51"/>
        <v>5.6479517803326267E-2</v>
      </c>
      <c r="Q116" s="392">
        <f t="shared" si="52"/>
        <v>1.6499999999999932</v>
      </c>
      <c r="R116" s="390">
        <f t="shared" si="53"/>
        <v>1.8417234066301965E-2</v>
      </c>
      <c r="S116" s="393">
        <f t="shared" si="54"/>
        <v>338.43149999999872</v>
      </c>
      <c r="T116" s="394" t="s">
        <v>429</v>
      </c>
      <c r="U116" s="394" t="s">
        <v>478</v>
      </c>
      <c r="V116" s="395"/>
      <c r="W116" s="395"/>
      <c r="X116" s="395">
        <v>1</v>
      </c>
      <c r="Y116" s="396" t="s">
        <v>464</v>
      </c>
    </row>
    <row r="117" spans="2:34" s="148" customFormat="1" ht="27" customHeight="1">
      <c r="B117" s="879"/>
      <c r="C117" s="880"/>
      <c r="D117" s="384">
        <v>15</v>
      </c>
      <c r="E117" s="387" t="s">
        <v>502</v>
      </c>
      <c r="F117" s="388">
        <v>1023.3092000000001</v>
      </c>
      <c r="G117" s="389">
        <v>274.94</v>
      </c>
      <c r="H117" s="389">
        <v>280.84000000000003</v>
      </c>
      <c r="I117" s="390">
        <f t="shared" si="48"/>
        <v>1.0214592274678114</v>
      </c>
      <c r="J117" s="389">
        <v>5.9399999999999995</v>
      </c>
      <c r="K117" s="390">
        <f t="shared" si="49"/>
        <v>2.1604713755728523E-2</v>
      </c>
      <c r="L117" s="389">
        <v>153.19000000000003</v>
      </c>
      <c r="M117" s="390">
        <f t="shared" si="56"/>
        <v>1.0430639412235398</v>
      </c>
      <c r="N117" s="391">
        <v>1813.7695999999994</v>
      </c>
      <c r="O117" s="389">
        <v>6.68</v>
      </c>
      <c r="P117" s="390">
        <f t="shared" si="51"/>
        <v>2.4296210082199753E-2</v>
      </c>
      <c r="Q117" s="392">
        <f t="shared" si="52"/>
        <v>5.1600000000000321</v>
      </c>
      <c r="R117" s="390">
        <f t="shared" si="53"/>
        <v>1.8767731141340047E-2</v>
      </c>
      <c r="S117" s="393">
        <f t="shared" si="54"/>
        <v>790.46040000000505</v>
      </c>
      <c r="T117" s="394" t="s">
        <v>429</v>
      </c>
      <c r="U117" s="394" t="s">
        <v>478</v>
      </c>
      <c r="V117" s="395"/>
      <c r="W117" s="395"/>
      <c r="X117" s="395">
        <v>1</v>
      </c>
      <c r="Y117" s="396" t="s">
        <v>503</v>
      </c>
    </row>
    <row r="118" spans="2:34" s="148" customFormat="1" ht="27" customHeight="1">
      <c r="B118" s="879"/>
      <c r="C118" s="880"/>
      <c r="D118" s="384">
        <v>16</v>
      </c>
      <c r="E118" s="387" t="s">
        <v>620</v>
      </c>
      <c r="F118" s="388">
        <v>1021.1339</v>
      </c>
      <c r="G118" s="389">
        <v>755.08999999999992</v>
      </c>
      <c r="H118" s="389">
        <v>731.89</v>
      </c>
      <c r="I118" s="390">
        <f t="shared" si="48"/>
        <v>0.96927518573944837</v>
      </c>
      <c r="J118" s="389">
        <v>38.07</v>
      </c>
      <c r="K118" s="390">
        <f t="shared" si="49"/>
        <v>5.0417830987034666E-2</v>
      </c>
      <c r="L118" s="389">
        <v>98.470000000000013</v>
      </c>
      <c r="M118" s="390">
        <f t="shared" si="56"/>
        <v>1.019693016726483</v>
      </c>
      <c r="N118" s="391">
        <v>1464.2489000000003</v>
      </c>
      <c r="O118" s="389">
        <v>10.370000000000001</v>
      </c>
      <c r="P118" s="390">
        <f t="shared" si="51"/>
        <v>1.3733462236289717E-2</v>
      </c>
      <c r="Q118" s="392">
        <f t="shared" si="52"/>
        <v>4.5000000000001172</v>
      </c>
      <c r="R118" s="390">
        <f t="shared" si="53"/>
        <v>5.9595544901933778E-3</v>
      </c>
      <c r="S118" s="393">
        <f t="shared" si="54"/>
        <v>443.11500000001161</v>
      </c>
      <c r="T118" s="394" t="s">
        <v>429</v>
      </c>
      <c r="U118" s="394" t="s">
        <v>478</v>
      </c>
      <c r="V118" s="395"/>
      <c r="W118" s="395"/>
      <c r="X118" s="395">
        <v>1</v>
      </c>
      <c r="Y118" s="396" t="s">
        <v>618</v>
      </c>
    </row>
    <row r="119" spans="2:34" s="148" customFormat="1" ht="27" customHeight="1">
      <c r="B119" s="879"/>
      <c r="C119" s="880"/>
      <c r="D119" s="384">
        <v>17</v>
      </c>
      <c r="E119" s="387" t="s">
        <v>732</v>
      </c>
      <c r="F119" s="388">
        <v>1017.4800000000002</v>
      </c>
      <c r="G119" s="389">
        <v>634.11000000000013</v>
      </c>
      <c r="H119" s="389">
        <v>637.76</v>
      </c>
      <c r="I119" s="390">
        <f t="shared" si="48"/>
        <v>1.0057560990995251</v>
      </c>
      <c r="J119" s="389">
        <v>1.1200000000000001</v>
      </c>
      <c r="K119" s="390">
        <f t="shared" si="49"/>
        <v>1.7662550661557141E-3</v>
      </c>
      <c r="L119" s="389">
        <v>339.16</v>
      </c>
      <c r="M119" s="390">
        <f t="shared" si="56"/>
        <v>1.0075223541656808</v>
      </c>
      <c r="N119" s="391">
        <v>1617.7931999999987</v>
      </c>
      <c r="O119" s="389">
        <v>3</v>
      </c>
      <c r="P119" s="390">
        <f t="shared" si="51"/>
        <v>4.7310403557742336E-3</v>
      </c>
      <c r="Q119" s="392">
        <f t="shared" si="52"/>
        <v>1.7699999999998681</v>
      </c>
      <c r="R119" s="390">
        <f t="shared" si="53"/>
        <v>2.7913138099065898E-3</v>
      </c>
      <c r="S119" s="393">
        <f t="shared" si="54"/>
        <v>600.31319999995537</v>
      </c>
      <c r="T119" s="394" t="s">
        <v>429</v>
      </c>
      <c r="U119" s="394" t="s">
        <v>478</v>
      </c>
      <c r="V119" s="395"/>
      <c r="W119" s="395"/>
      <c r="X119" s="395">
        <v>1</v>
      </c>
      <c r="Y119" s="396" t="s">
        <v>736</v>
      </c>
    </row>
    <row r="120" spans="2:34" s="148" customFormat="1" ht="27" customHeight="1">
      <c r="B120" s="879"/>
      <c r="C120" s="880"/>
      <c r="D120" s="384">
        <v>18</v>
      </c>
      <c r="E120" s="387" t="s">
        <v>725</v>
      </c>
      <c r="F120" s="388">
        <v>1014.258</v>
      </c>
      <c r="G120" s="389">
        <v>136.05000000000001</v>
      </c>
      <c r="H120" s="389">
        <v>140.29000000000002</v>
      </c>
      <c r="I120" s="390">
        <f t="shared" si="48"/>
        <v>1.0311650128629182</v>
      </c>
      <c r="J120" s="389">
        <v>3.7</v>
      </c>
      <c r="K120" s="390">
        <f t="shared" si="49"/>
        <v>2.7195883866225651E-2</v>
      </c>
      <c r="L120" s="389">
        <v>190.65000000000003</v>
      </c>
      <c r="M120" s="390">
        <f t="shared" si="56"/>
        <v>1.0583608967291436</v>
      </c>
      <c r="N120" s="391">
        <v>1513.761</v>
      </c>
      <c r="O120" s="389">
        <v>5.3199999999999994</v>
      </c>
      <c r="P120" s="390">
        <f t="shared" si="51"/>
        <v>3.9103270856302823E-2</v>
      </c>
      <c r="Q120" s="392">
        <f t="shared" si="52"/>
        <v>2.6199999999999983</v>
      </c>
      <c r="R120" s="390">
        <f t="shared" si="53"/>
        <v>1.9257625872840852E-2</v>
      </c>
      <c r="S120" s="393">
        <f t="shared" si="54"/>
        <v>499.50299999999976</v>
      </c>
      <c r="T120" s="394" t="s">
        <v>429</v>
      </c>
      <c r="U120" s="394" t="s">
        <v>478</v>
      </c>
      <c r="V120" s="395"/>
      <c r="W120" s="395"/>
      <c r="X120" s="395">
        <v>1</v>
      </c>
      <c r="Y120" s="396" t="s">
        <v>463</v>
      </c>
    </row>
    <row r="121" spans="2:34" s="148" customFormat="1" ht="27" customHeight="1">
      <c r="B121" s="879"/>
      <c r="C121" s="880"/>
      <c r="D121" s="384">
        <v>19</v>
      </c>
      <c r="E121" s="387" t="s">
        <v>433</v>
      </c>
      <c r="F121" s="388">
        <v>1011.9467000000002</v>
      </c>
      <c r="G121" s="389">
        <v>1746.2100000000003</v>
      </c>
      <c r="H121" s="389">
        <v>1753.52</v>
      </c>
      <c r="I121" s="390">
        <f t="shared" si="48"/>
        <v>1.0041862089897549</v>
      </c>
      <c r="J121" s="389">
        <v>11.200000000000001</v>
      </c>
      <c r="K121" s="390">
        <f t="shared" si="49"/>
        <v>6.4138906546177144E-3</v>
      </c>
      <c r="L121" s="389">
        <v>157.87000000000003</v>
      </c>
      <c r="M121" s="390">
        <f t="shared" si="56"/>
        <v>1.0106000996443725</v>
      </c>
      <c r="N121" s="391">
        <v>2922.1736999999853</v>
      </c>
      <c r="O121" s="389">
        <v>6.4099999999999993</v>
      </c>
      <c r="P121" s="390">
        <f t="shared" si="51"/>
        <v>3.670807062151745E-3</v>
      </c>
      <c r="Q121" s="392">
        <f t="shared" si="52"/>
        <v>12.099999999999763</v>
      </c>
      <c r="R121" s="390">
        <f t="shared" si="53"/>
        <v>6.9292925822207873E-3</v>
      </c>
      <c r="S121" s="393">
        <f t="shared" si="54"/>
        <v>1910.226999999963</v>
      </c>
      <c r="T121" s="394" t="s">
        <v>429</v>
      </c>
      <c r="U121" s="394" t="s">
        <v>478</v>
      </c>
      <c r="V121" s="395"/>
      <c r="W121" s="395"/>
      <c r="X121" s="395">
        <v>1</v>
      </c>
      <c r="Y121" s="396" t="s">
        <v>342</v>
      </c>
      <c r="AB121" s="403"/>
      <c r="AC121" s="400"/>
    </row>
    <row r="122" spans="2:34" s="148" customFormat="1" ht="27" customHeight="1">
      <c r="B122" s="881"/>
      <c r="C122" s="882"/>
      <c r="D122" s="384">
        <v>20</v>
      </c>
      <c r="E122" s="387" t="s">
        <v>624</v>
      </c>
      <c r="F122" s="388">
        <v>1008.1554</v>
      </c>
      <c r="G122" s="389">
        <v>188.31</v>
      </c>
      <c r="H122" s="389">
        <v>192.37</v>
      </c>
      <c r="I122" s="390">
        <f t="shared" si="48"/>
        <v>1.0215601932982847</v>
      </c>
      <c r="J122" s="389">
        <v>4.3099999999999996</v>
      </c>
      <c r="K122" s="390">
        <f t="shared" si="49"/>
        <v>2.2887791407785033E-2</v>
      </c>
      <c r="L122" s="389">
        <v>155.81999999999996</v>
      </c>
      <c r="M122" s="390">
        <f t="shared" si="56"/>
        <v>1.0444479847060697</v>
      </c>
      <c r="N122" s="391">
        <v>1304.2134000000001</v>
      </c>
      <c r="O122" s="389">
        <v>6.47</v>
      </c>
      <c r="P122" s="390">
        <f t="shared" si="51"/>
        <v>3.4358239073867557E-2</v>
      </c>
      <c r="Q122" s="392">
        <f t="shared" si="52"/>
        <v>1.9000000000000048</v>
      </c>
      <c r="R122" s="390">
        <f t="shared" si="53"/>
        <v>1.0089745632202244E-2</v>
      </c>
      <c r="S122" s="393">
        <f t="shared" si="54"/>
        <v>296.05800000000067</v>
      </c>
      <c r="T122" s="394" t="s">
        <v>429</v>
      </c>
      <c r="U122" s="394" t="s">
        <v>478</v>
      </c>
      <c r="V122" s="395"/>
      <c r="W122" s="395"/>
      <c r="X122" s="395">
        <v>1</v>
      </c>
      <c r="Y122" s="396" t="s">
        <v>533</v>
      </c>
      <c r="AB122" s="403"/>
      <c r="AC122" s="400"/>
    </row>
    <row r="123" spans="2:34" ht="17.100000000000001" customHeight="1">
      <c r="B123" s="899" t="s">
        <v>475</v>
      </c>
      <c r="C123" s="900"/>
      <c r="D123" s="905" t="s">
        <v>170</v>
      </c>
      <c r="E123" s="905"/>
      <c r="F123" s="905"/>
      <c r="G123" s="905" t="s">
        <v>184</v>
      </c>
      <c r="H123" s="905"/>
      <c r="I123" s="905"/>
      <c r="J123" s="905"/>
      <c r="K123" s="905"/>
      <c r="L123" s="905"/>
      <c r="M123" s="905"/>
      <c r="N123" s="905"/>
      <c r="O123" s="905"/>
      <c r="P123" s="905"/>
      <c r="Q123" s="905"/>
      <c r="R123" s="905"/>
      <c r="S123" s="905"/>
      <c r="T123" s="905" t="s">
        <v>171</v>
      </c>
      <c r="U123" s="890" t="s">
        <v>245</v>
      </c>
      <c r="V123" s="883" t="s">
        <v>476</v>
      </c>
      <c r="W123" s="883" t="s">
        <v>477</v>
      </c>
      <c r="X123" s="886" t="s">
        <v>246</v>
      </c>
      <c r="Y123" s="889" t="s">
        <v>172</v>
      </c>
      <c r="AA123" s="890" t="s">
        <v>247</v>
      </c>
      <c r="AB123" s="891"/>
      <c r="AC123" s="891"/>
      <c r="AD123" s="891"/>
      <c r="AE123" s="891"/>
      <c r="AF123" s="891"/>
      <c r="AG123" s="891"/>
      <c r="AH123" s="892"/>
    </row>
    <row r="124" spans="2:34" ht="17.100000000000001" customHeight="1">
      <c r="B124" s="901"/>
      <c r="C124" s="902"/>
      <c r="D124" s="906" t="s">
        <v>169</v>
      </c>
      <c r="E124" s="905" t="s">
        <v>173</v>
      </c>
      <c r="F124" s="905"/>
      <c r="G124" s="905" t="s">
        <v>185</v>
      </c>
      <c r="H124" s="905"/>
      <c r="I124" s="905"/>
      <c r="J124" s="905"/>
      <c r="K124" s="905"/>
      <c r="L124" s="905"/>
      <c r="M124" s="905"/>
      <c r="N124" s="905"/>
      <c r="O124" s="905" t="s">
        <v>174</v>
      </c>
      <c r="P124" s="905"/>
      <c r="Q124" s="905"/>
      <c r="R124" s="905"/>
      <c r="S124" s="905"/>
      <c r="T124" s="905"/>
      <c r="U124" s="893"/>
      <c r="V124" s="884"/>
      <c r="W124" s="884"/>
      <c r="X124" s="887"/>
      <c r="Y124" s="889"/>
      <c r="AA124" s="893"/>
      <c r="AB124" s="894"/>
      <c r="AC124" s="894"/>
      <c r="AD124" s="894"/>
      <c r="AE124" s="894"/>
      <c r="AF124" s="894"/>
      <c r="AG124" s="894"/>
      <c r="AH124" s="895"/>
    </row>
    <row r="125" spans="2:34" ht="17.100000000000001" customHeight="1">
      <c r="B125" s="901"/>
      <c r="C125" s="902"/>
      <c r="D125" s="906"/>
      <c r="E125" s="906" t="s">
        <v>175</v>
      </c>
      <c r="F125" s="889" t="s">
        <v>248</v>
      </c>
      <c r="G125" s="907" t="s">
        <v>186</v>
      </c>
      <c r="H125" s="907"/>
      <c r="I125" s="907"/>
      <c r="J125" s="907"/>
      <c r="K125" s="907"/>
      <c r="L125" s="907"/>
      <c r="M125" s="907"/>
      <c r="N125" s="907"/>
      <c r="O125" s="907" t="s">
        <v>168</v>
      </c>
      <c r="P125" s="907"/>
      <c r="Q125" s="907" t="s">
        <v>176</v>
      </c>
      <c r="R125" s="907"/>
      <c r="S125" s="907"/>
      <c r="T125" s="905"/>
      <c r="U125" s="893"/>
      <c r="V125" s="884"/>
      <c r="W125" s="884"/>
      <c r="X125" s="887"/>
      <c r="Y125" s="889"/>
      <c r="AA125" s="896"/>
      <c r="AB125" s="897"/>
      <c r="AC125" s="897"/>
      <c r="AD125" s="897"/>
      <c r="AE125" s="897"/>
      <c r="AF125" s="897"/>
      <c r="AG125" s="897"/>
      <c r="AH125" s="898"/>
    </row>
    <row r="126" spans="2:34" ht="38.450000000000003" customHeight="1">
      <c r="B126" s="903"/>
      <c r="C126" s="904"/>
      <c r="D126" s="906"/>
      <c r="E126" s="906"/>
      <c r="F126" s="889"/>
      <c r="G126" s="385" t="s">
        <v>177</v>
      </c>
      <c r="H126" s="385" t="s">
        <v>252</v>
      </c>
      <c r="I126" s="385" t="s">
        <v>253</v>
      </c>
      <c r="J126" s="385" t="s">
        <v>178</v>
      </c>
      <c r="K126" s="385" t="s">
        <v>250</v>
      </c>
      <c r="L126" s="385" t="s">
        <v>179</v>
      </c>
      <c r="M126" s="385" t="s">
        <v>187</v>
      </c>
      <c r="N126" s="385" t="s">
        <v>180</v>
      </c>
      <c r="O126" s="386" t="s">
        <v>181</v>
      </c>
      <c r="P126" s="386" t="s">
        <v>182</v>
      </c>
      <c r="Q126" s="386" t="s">
        <v>181</v>
      </c>
      <c r="R126" s="386" t="s">
        <v>182</v>
      </c>
      <c r="S126" s="385" t="s">
        <v>183</v>
      </c>
      <c r="T126" s="905"/>
      <c r="U126" s="896"/>
      <c r="V126" s="885"/>
      <c r="W126" s="885"/>
      <c r="X126" s="888"/>
      <c r="Y126" s="889"/>
      <c r="AA126" s="161" t="s">
        <v>244</v>
      </c>
      <c r="AB126" s="161" t="s">
        <v>478</v>
      </c>
      <c r="AC126" s="156" t="s">
        <v>394</v>
      </c>
      <c r="AD126" s="156" t="s">
        <v>339</v>
      </c>
      <c r="AE126" s="156" t="s">
        <v>457</v>
      </c>
      <c r="AF126" s="156" t="s">
        <v>215</v>
      </c>
      <c r="AG126" s="156" t="s">
        <v>216</v>
      </c>
      <c r="AH126" s="156" t="s">
        <v>395</v>
      </c>
    </row>
    <row r="127" spans="2:34" s="148" customFormat="1" ht="27" customHeight="1">
      <c r="B127" s="877" t="s">
        <v>664</v>
      </c>
      <c r="C127" s="878"/>
      <c r="D127" s="384">
        <v>1</v>
      </c>
      <c r="E127" s="387"/>
      <c r="F127" s="388"/>
      <c r="G127" s="389"/>
      <c r="H127" s="389"/>
      <c r="I127" s="390" t="e">
        <f>H127/G127</f>
        <v>#DIV/0!</v>
      </c>
      <c r="J127" s="389"/>
      <c r="K127" s="390" t="e">
        <f>J127/G127</f>
        <v>#DIV/0!</v>
      </c>
      <c r="L127" s="389"/>
      <c r="M127" s="390" t="e">
        <f>(H127+J127)/G127</f>
        <v>#DIV/0!</v>
      </c>
      <c r="N127" s="391"/>
      <c r="O127" s="389"/>
      <c r="P127" s="390" t="e">
        <f>O127/G127</f>
        <v>#DIV/0!</v>
      </c>
      <c r="Q127" s="392">
        <f>((H127+J127)-G127)-O127</f>
        <v>0</v>
      </c>
      <c r="R127" s="390" t="e">
        <f>Q127/G127</f>
        <v>#DIV/0!</v>
      </c>
      <c r="S127" s="393">
        <f>Q127*L127</f>
        <v>0</v>
      </c>
      <c r="T127" s="394"/>
      <c r="U127" s="394"/>
      <c r="V127" s="395"/>
      <c r="W127" s="395"/>
      <c r="X127" s="395">
        <v>1</v>
      </c>
      <c r="Y127" s="396"/>
      <c r="Z127" s="397" t="s">
        <v>479</v>
      </c>
      <c r="AA127" s="407">
        <f>SUM(X127:X146)</f>
        <v>20</v>
      </c>
      <c r="AB127" s="399">
        <f>SUMIF($U$127:$U$146,TRIM(AB126),$X$127:$X$146)</f>
        <v>0</v>
      </c>
      <c r="AC127" s="399">
        <f t="shared" ref="AC127:AH127" si="57">SUMIF($U$127:$U$146,TRIM(AC126),$X$127:$X$146)</f>
        <v>0</v>
      </c>
      <c r="AD127" s="399">
        <f t="shared" si="57"/>
        <v>0</v>
      </c>
      <c r="AE127" s="399">
        <f t="shared" si="57"/>
        <v>0</v>
      </c>
      <c r="AF127" s="399">
        <f t="shared" si="57"/>
        <v>0</v>
      </c>
      <c r="AG127" s="399">
        <f t="shared" si="57"/>
        <v>0</v>
      </c>
      <c r="AH127" s="399">
        <f t="shared" si="57"/>
        <v>0</v>
      </c>
    </row>
    <row r="128" spans="2:34" s="148" customFormat="1" ht="27" customHeight="1">
      <c r="B128" s="879"/>
      <c r="C128" s="880"/>
      <c r="D128" s="384">
        <v>2</v>
      </c>
      <c r="E128" s="387"/>
      <c r="F128" s="388"/>
      <c r="G128" s="389"/>
      <c r="H128" s="389"/>
      <c r="I128" s="390" t="e">
        <f t="shared" ref="I128:I146" si="58">H128/G128</f>
        <v>#DIV/0!</v>
      </c>
      <c r="J128" s="389"/>
      <c r="K128" s="390" t="e">
        <f t="shared" ref="K128:K146" si="59">J128/G128</f>
        <v>#DIV/0!</v>
      </c>
      <c r="L128" s="389"/>
      <c r="M128" s="390" t="e">
        <f t="shared" ref="M128:M133" si="60">(H128+J128)/G128</f>
        <v>#DIV/0!</v>
      </c>
      <c r="N128" s="391"/>
      <c r="O128" s="389"/>
      <c r="P128" s="390" t="e">
        <f t="shared" ref="P128:P146" si="61">O128/G128</f>
        <v>#DIV/0!</v>
      </c>
      <c r="Q128" s="392">
        <f t="shared" ref="Q128:Q146" si="62">((H128+J128)-G128)-O128</f>
        <v>0</v>
      </c>
      <c r="R128" s="390" t="e">
        <f t="shared" ref="R128:R146" si="63">Q128/G128</f>
        <v>#DIV/0!</v>
      </c>
      <c r="S128" s="393">
        <f t="shared" ref="S128:S146" si="64">Q128*L128</f>
        <v>0</v>
      </c>
      <c r="T128" s="394"/>
      <c r="U128" s="394"/>
      <c r="V128" s="395"/>
      <c r="W128" s="395"/>
      <c r="X128" s="395">
        <v>1</v>
      </c>
      <c r="Y128" s="396"/>
      <c r="AA128" s="408"/>
      <c r="AB128" s="405">
        <f>SUMIF($U$127:$U146,TRIM(AB126),$F$127:$F$146)</f>
        <v>0</v>
      </c>
      <c r="AC128" s="405">
        <f>SUMIF($U$127:$U146,TRIM(AC126),$F$127:$F$146)</f>
        <v>0</v>
      </c>
      <c r="AD128" s="405">
        <f>SUMIF($U$127:$U146,TRIM(AD126),$F$127:$F$146)</f>
        <v>0</v>
      </c>
      <c r="AE128" s="405">
        <f>SUMIF($U$127:$U146,TRIM(AE126),$F$127:$F$146)</f>
        <v>0</v>
      </c>
      <c r="AF128" s="405">
        <f>SUMIF($U$127:$U146,TRIM(AF126),$F$127:$F$146)</f>
        <v>0</v>
      </c>
      <c r="AG128" s="405">
        <f>SUMIF($U$127:$U146,TRIM(AG126),$F$127:$F$146)</f>
        <v>0</v>
      </c>
      <c r="AH128" s="405">
        <f>SUMIF($U$127:$U146,TRIM(AH126),$F$127:$F$146)</f>
        <v>0</v>
      </c>
    </row>
    <row r="129" spans="2:34" s="148" customFormat="1" ht="27" customHeight="1">
      <c r="B129" s="879"/>
      <c r="C129" s="880"/>
      <c r="D129" s="384">
        <v>3</v>
      </c>
      <c r="E129" s="387"/>
      <c r="F129" s="388"/>
      <c r="G129" s="389"/>
      <c r="H129" s="389"/>
      <c r="I129" s="390" t="e">
        <f t="shared" si="58"/>
        <v>#DIV/0!</v>
      </c>
      <c r="J129" s="389"/>
      <c r="K129" s="390" t="e">
        <f t="shared" si="59"/>
        <v>#DIV/0!</v>
      </c>
      <c r="L129" s="389"/>
      <c r="M129" s="390" t="e">
        <f t="shared" si="60"/>
        <v>#DIV/0!</v>
      </c>
      <c r="N129" s="391"/>
      <c r="O129" s="389"/>
      <c r="P129" s="390" t="e">
        <f t="shared" si="61"/>
        <v>#DIV/0!</v>
      </c>
      <c r="Q129" s="392">
        <f t="shared" si="62"/>
        <v>0</v>
      </c>
      <c r="R129" s="390" t="e">
        <f t="shared" si="63"/>
        <v>#DIV/0!</v>
      </c>
      <c r="S129" s="393">
        <f t="shared" si="64"/>
        <v>0</v>
      </c>
      <c r="T129" s="394"/>
      <c r="U129" s="394"/>
      <c r="V129" s="395"/>
      <c r="W129" s="395"/>
      <c r="X129" s="395">
        <v>1</v>
      </c>
      <c r="Y129" s="396"/>
      <c r="AA129" s="384"/>
      <c r="AB129" s="406">
        <f>AB127/$AA127</f>
        <v>0</v>
      </c>
      <c r="AC129" s="406">
        <f t="shared" ref="AC129:AH129" si="65">AC127/$AA127</f>
        <v>0</v>
      </c>
      <c r="AD129" s="406">
        <f t="shared" si="65"/>
        <v>0</v>
      </c>
      <c r="AE129" s="406">
        <f t="shared" si="65"/>
        <v>0</v>
      </c>
      <c r="AF129" s="406">
        <f t="shared" si="65"/>
        <v>0</v>
      </c>
      <c r="AG129" s="406">
        <f t="shared" si="65"/>
        <v>0</v>
      </c>
      <c r="AH129" s="406">
        <f t="shared" si="65"/>
        <v>0</v>
      </c>
    </row>
    <row r="130" spans="2:34" s="148" customFormat="1" ht="27" customHeight="1">
      <c r="B130" s="879"/>
      <c r="C130" s="880"/>
      <c r="D130" s="384">
        <v>4</v>
      </c>
      <c r="E130" s="387"/>
      <c r="F130" s="388"/>
      <c r="G130" s="389"/>
      <c r="H130" s="389"/>
      <c r="I130" s="390" t="e">
        <f t="shared" si="58"/>
        <v>#DIV/0!</v>
      </c>
      <c r="J130" s="389"/>
      <c r="K130" s="390" t="e">
        <f t="shared" si="59"/>
        <v>#DIV/0!</v>
      </c>
      <c r="L130" s="389"/>
      <c r="M130" s="390" t="e">
        <f t="shared" si="60"/>
        <v>#DIV/0!</v>
      </c>
      <c r="N130" s="391"/>
      <c r="O130" s="389"/>
      <c r="P130" s="390" t="e">
        <f t="shared" si="61"/>
        <v>#DIV/0!</v>
      </c>
      <c r="Q130" s="392">
        <f t="shared" si="62"/>
        <v>0</v>
      </c>
      <c r="R130" s="390" t="e">
        <f t="shared" si="63"/>
        <v>#DIV/0!</v>
      </c>
      <c r="S130" s="393">
        <f t="shared" si="64"/>
        <v>0</v>
      </c>
      <c r="T130" s="394"/>
      <c r="U130" s="394"/>
      <c r="V130" s="395"/>
      <c r="W130" s="395"/>
      <c r="X130" s="395">
        <v>1</v>
      </c>
      <c r="Y130" s="396"/>
    </row>
    <row r="131" spans="2:34" s="148" customFormat="1" ht="27" customHeight="1">
      <c r="B131" s="879"/>
      <c r="C131" s="880"/>
      <c r="D131" s="384">
        <v>5</v>
      </c>
      <c r="E131" s="387"/>
      <c r="F131" s="388"/>
      <c r="G131" s="389"/>
      <c r="H131" s="389"/>
      <c r="I131" s="390" t="e">
        <f t="shared" si="58"/>
        <v>#DIV/0!</v>
      </c>
      <c r="J131" s="389"/>
      <c r="K131" s="390" t="e">
        <f t="shared" si="59"/>
        <v>#DIV/0!</v>
      </c>
      <c r="L131" s="389"/>
      <c r="M131" s="390" t="e">
        <f t="shared" si="60"/>
        <v>#DIV/0!</v>
      </c>
      <c r="N131" s="391"/>
      <c r="O131" s="389"/>
      <c r="P131" s="390" t="e">
        <f t="shared" si="61"/>
        <v>#DIV/0!</v>
      </c>
      <c r="Q131" s="392">
        <f t="shared" si="62"/>
        <v>0</v>
      </c>
      <c r="R131" s="390" t="e">
        <f t="shared" si="63"/>
        <v>#DIV/0!</v>
      </c>
      <c r="S131" s="393">
        <f t="shared" si="64"/>
        <v>0</v>
      </c>
      <c r="T131" s="394"/>
      <c r="U131" s="394"/>
      <c r="V131" s="395"/>
      <c r="W131" s="395"/>
      <c r="X131" s="395">
        <v>1</v>
      </c>
      <c r="Y131" s="396"/>
    </row>
    <row r="132" spans="2:34" s="148" customFormat="1" ht="27" customHeight="1">
      <c r="B132" s="879"/>
      <c r="C132" s="880"/>
      <c r="D132" s="384">
        <v>6</v>
      </c>
      <c r="E132" s="387"/>
      <c r="F132" s="388"/>
      <c r="G132" s="389"/>
      <c r="H132" s="389"/>
      <c r="I132" s="390" t="e">
        <f t="shared" si="58"/>
        <v>#DIV/0!</v>
      </c>
      <c r="J132" s="389"/>
      <c r="K132" s="390" t="e">
        <f t="shared" si="59"/>
        <v>#DIV/0!</v>
      </c>
      <c r="L132" s="389"/>
      <c r="M132" s="390" t="e">
        <f t="shared" si="60"/>
        <v>#DIV/0!</v>
      </c>
      <c r="N132" s="391"/>
      <c r="O132" s="389"/>
      <c r="P132" s="390" t="e">
        <f t="shared" si="61"/>
        <v>#DIV/0!</v>
      </c>
      <c r="Q132" s="392">
        <f t="shared" si="62"/>
        <v>0</v>
      </c>
      <c r="R132" s="390" t="e">
        <f t="shared" si="63"/>
        <v>#DIV/0!</v>
      </c>
      <c r="S132" s="393">
        <f t="shared" si="64"/>
        <v>0</v>
      </c>
      <c r="T132" s="394"/>
      <c r="U132" s="394"/>
      <c r="V132" s="395"/>
      <c r="W132" s="395"/>
      <c r="X132" s="395">
        <v>1</v>
      </c>
      <c r="Y132" s="396"/>
    </row>
    <row r="133" spans="2:34" s="148" customFormat="1" ht="27" customHeight="1">
      <c r="B133" s="879"/>
      <c r="C133" s="880"/>
      <c r="D133" s="384">
        <v>7</v>
      </c>
      <c r="E133" s="387"/>
      <c r="F133" s="388"/>
      <c r="G133" s="389"/>
      <c r="H133" s="389"/>
      <c r="I133" s="390" t="e">
        <f t="shared" si="58"/>
        <v>#DIV/0!</v>
      </c>
      <c r="J133" s="389"/>
      <c r="K133" s="390" t="e">
        <f t="shared" si="59"/>
        <v>#DIV/0!</v>
      </c>
      <c r="L133" s="389"/>
      <c r="M133" s="390" t="e">
        <f t="shared" si="60"/>
        <v>#DIV/0!</v>
      </c>
      <c r="N133" s="391"/>
      <c r="O133" s="389"/>
      <c r="P133" s="390" t="e">
        <f t="shared" si="61"/>
        <v>#DIV/0!</v>
      </c>
      <c r="Q133" s="392">
        <f t="shared" si="62"/>
        <v>0</v>
      </c>
      <c r="R133" s="390" t="e">
        <f t="shared" si="63"/>
        <v>#DIV/0!</v>
      </c>
      <c r="S133" s="393">
        <f t="shared" si="64"/>
        <v>0</v>
      </c>
      <c r="T133" s="394"/>
      <c r="U133" s="394"/>
      <c r="V133" s="395"/>
      <c r="W133" s="417"/>
      <c r="X133" s="395">
        <v>1</v>
      </c>
      <c r="Y133" s="396"/>
      <c r="AC133" s="400"/>
    </row>
    <row r="134" spans="2:34" s="148" customFormat="1" ht="27" customHeight="1">
      <c r="B134" s="879"/>
      <c r="C134" s="880"/>
      <c r="D134" s="384">
        <v>8</v>
      </c>
      <c r="E134" s="387"/>
      <c r="F134" s="388"/>
      <c r="G134" s="389"/>
      <c r="H134" s="389"/>
      <c r="I134" s="390" t="e">
        <f t="shared" si="58"/>
        <v>#DIV/0!</v>
      </c>
      <c r="J134" s="389"/>
      <c r="K134" s="390" t="e">
        <f t="shared" si="59"/>
        <v>#DIV/0!</v>
      </c>
      <c r="L134" s="389"/>
      <c r="M134" s="390" t="e">
        <f>(H134+J134)/G134</f>
        <v>#DIV/0!</v>
      </c>
      <c r="N134" s="391"/>
      <c r="O134" s="389"/>
      <c r="P134" s="390" t="e">
        <f t="shared" si="61"/>
        <v>#DIV/0!</v>
      </c>
      <c r="Q134" s="392">
        <f t="shared" si="62"/>
        <v>0</v>
      </c>
      <c r="R134" s="390" t="e">
        <f t="shared" si="63"/>
        <v>#DIV/0!</v>
      </c>
      <c r="S134" s="393">
        <f t="shared" si="64"/>
        <v>0</v>
      </c>
      <c r="T134" s="394"/>
      <c r="U134" s="394"/>
      <c r="V134" s="395"/>
      <c r="W134" s="395"/>
      <c r="X134" s="395">
        <v>1</v>
      </c>
      <c r="Y134" s="396"/>
      <c r="AC134" s="400"/>
    </row>
    <row r="135" spans="2:34" s="148" customFormat="1" ht="27" customHeight="1">
      <c r="B135" s="879"/>
      <c r="C135" s="880"/>
      <c r="D135" s="384">
        <v>9</v>
      </c>
      <c r="E135" s="387"/>
      <c r="F135" s="388"/>
      <c r="G135" s="389"/>
      <c r="H135" s="389"/>
      <c r="I135" s="390" t="e">
        <f t="shared" si="58"/>
        <v>#DIV/0!</v>
      </c>
      <c r="J135" s="389"/>
      <c r="K135" s="390" t="e">
        <f t="shared" si="59"/>
        <v>#DIV/0!</v>
      </c>
      <c r="L135" s="389"/>
      <c r="M135" s="390" t="e">
        <f t="shared" ref="M135:M146" si="66">(H135+J135)/G135</f>
        <v>#DIV/0!</v>
      </c>
      <c r="N135" s="391"/>
      <c r="O135" s="389"/>
      <c r="P135" s="390" t="e">
        <f t="shared" si="61"/>
        <v>#DIV/0!</v>
      </c>
      <c r="Q135" s="392">
        <f t="shared" si="62"/>
        <v>0</v>
      </c>
      <c r="R135" s="390" t="e">
        <f t="shared" si="63"/>
        <v>#DIV/0!</v>
      </c>
      <c r="S135" s="393">
        <f t="shared" si="64"/>
        <v>0</v>
      </c>
      <c r="T135" s="394"/>
      <c r="U135" s="394"/>
      <c r="V135" s="395"/>
      <c r="W135" s="395"/>
      <c r="X135" s="395">
        <v>1</v>
      </c>
      <c r="Y135" s="396"/>
      <c r="AC135" s="400"/>
    </row>
    <row r="136" spans="2:34" s="148" customFormat="1" ht="27" customHeight="1">
      <c r="B136" s="879"/>
      <c r="C136" s="880"/>
      <c r="D136" s="384">
        <v>10</v>
      </c>
      <c r="E136" s="387"/>
      <c r="F136" s="388"/>
      <c r="G136" s="389"/>
      <c r="H136" s="389"/>
      <c r="I136" s="390" t="e">
        <f t="shared" si="58"/>
        <v>#DIV/0!</v>
      </c>
      <c r="J136" s="389"/>
      <c r="K136" s="390" t="e">
        <f t="shared" si="59"/>
        <v>#DIV/0!</v>
      </c>
      <c r="L136" s="389"/>
      <c r="M136" s="390" t="e">
        <f t="shared" si="66"/>
        <v>#DIV/0!</v>
      </c>
      <c r="N136" s="391"/>
      <c r="O136" s="389"/>
      <c r="P136" s="390" t="e">
        <f t="shared" si="61"/>
        <v>#DIV/0!</v>
      </c>
      <c r="Q136" s="392">
        <f t="shared" si="62"/>
        <v>0</v>
      </c>
      <c r="R136" s="390" t="e">
        <f t="shared" si="63"/>
        <v>#DIV/0!</v>
      </c>
      <c r="S136" s="393">
        <f t="shared" si="64"/>
        <v>0</v>
      </c>
      <c r="T136" s="394"/>
      <c r="U136" s="394"/>
      <c r="V136" s="395"/>
      <c r="W136" s="395"/>
      <c r="X136" s="395">
        <v>1</v>
      </c>
      <c r="Y136" s="396"/>
      <c r="AC136" s="400"/>
    </row>
    <row r="137" spans="2:34" s="148" customFormat="1" ht="27" customHeight="1">
      <c r="B137" s="879"/>
      <c r="C137" s="880"/>
      <c r="D137" s="384">
        <v>11</v>
      </c>
      <c r="E137" s="387"/>
      <c r="F137" s="388"/>
      <c r="G137" s="389"/>
      <c r="H137" s="389"/>
      <c r="I137" s="390" t="e">
        <f t="shared" si="58"/>
        <v>#DIV/0!</v>
      </c>
      <c r="J137" s="389"/>
      <c r="K137" s="390" t="e">
        <f t="shared" si="59"/>
        <v>#DIV/0!</v>
      </c>
      <c r="L137" s="389"/>
      <c r="M137" s="390" t="e">
        <f t="shared" si="66"/>
        <v>#DIV/0!</v>
      </c>
      <c r="N137" s="391"/>
      <c r="O137" s="389"/>
      <c r="P137" s="390" t="e">
        <f t="shared" si="61"/>
        <v>#DIV/0!</v>
      </c>
      <c r="Q137" s="392">
        <f t="shared" si="62"/>
        <v>0</v>
      </c>
      <c r="R137" s="390" t="e">
        <f t="shared" si="63"/>
        <v>#DIV/0!</v>
      </c>
      <c r="S137" s="393">
        <f t="shared" si="64"/>
        <v>0</v>
      </c>
      <c r="T137" s="394"/>
      <c r="U137" s="394"/>
      <c r="V137" s="395"/>
      <c r="W137" s="395"/>
      <c r="X137" s="395">
        <v>1</v>
      </c>
      <c r="Y137" s="396"/>
      <c r="AC137" s="400"/>
    </row>
    <row r="138" spans="2:34" s="148" customFormat="1" ht="27" customHeight="1">
      <c r="B138" s="879"/>
      <c r="C138" s="880"/>
      <c r="D138" s="384">
        <v>12</v>
      </c>
      <c r="E138" s="387"/>
      <c r="F138" s="388"/>
      <c r="G138" s="389"/>
      <c r="H138" s="389"/>
      <c r="I138" s="390" t="e">
        <f t="shared" si="58"/>
        <v>#DIV/0!</v>
      </c>
      <c r="J138" s="389"/>
      <c r="K138" s="390" t="e">
        <f t="shared" si="59"/>
        <v>#DIV/0!</v>
      </c>
      <c r="L138" s="389"/>
      <c r="M138" s="390" t="e">
        <f t="shared" si="66"/>
        <v>#DIV/0!</v>
      </c>
      <c r="N138" s="391"/>
      <c r="O138" s="389"/>
      <c r="P138" s="390" t="e">
        <f t="shared" si="61"/>
        <v>#DIV/0!</v>
      </c>
      <c r="Q138" s="392">
        <f t="shared" si="62"/>
        <v>0</v>
      </c>
      <c r="R138" s="390" t="e">
        <f t="shared" si="63"/>
        <v>#DIV/0!</v>
      </c>
      <c r="S138" s="393">
        <f t="shared" si="64"/>
        <v>0</v>
      </c>
      <c r="T138" s="394"/>
      <c r="U138" s="394"/>
      <c r="V138" s="395"/>
      <c r="W138" s="395"/>
      <c r="X138" s="395">
        <v>1</v>
      </c>
      <c r="Y138" s="396"/>
      <c r="AA138" s="890" t="s">
        <v>247</v>
      </c>
      <c r="AB138" s="891"/>
      <c r="AC138" s="891"/>
      <c r="AD138" s="891"/>
      <c r="AE138" s="891"/>
      <c r="AF138" s="891"/>
      <c r="AG138" s="891"/>
      <c r="AH138" s="892"/>
    </row>
    <row r="139" spans="2:34" s="148" customFormat="1" ht="27" customHeight="1">
      <c r="B139" s="879"/>
      <c r="C139" s="880"/>
      <c r="D139" s="384">
        <v>13</v>
      </c>
      <c r="E139" s="387"/>
      <c r="F139" s="388"/>
      <c r="G139" s="389"/>
      <c r="H139" s="389"/>
      <c r="I139" s="390" t="e">
        <f t="shared" si="58"/>
        <v>#DIV/0!</v>
      </c>
      <c r="J139" s="389"/>
      <c r="K139" s="390" t="e">
        <f t="shared" si="59"/>
        <v>#DIV/0!</v>
      </c>
      <c r="L139" s="389"/>
      <c r="M139" s="390" t="e">
        <f t="shared" si="66"/>
        <v>#DIV/0!</v>
      </c>
      <c r="N139" s="391"/>
      <c r="O139" s="389"/>
      <c r="P139" s="390" t="e">
        <f t="shared" si="61"/>
        <v>#DIV/0!</v>
      </c>
      <c r="Q139" s="392">
        <f t="shared" si="62"/>
        <v>0</v>
      </c>
      <c r="R139" s="390" t="e">
        <f t="shared" si="63"/>
        <v>#DIV/0!</v>
      </c>
      <c r="S139" s="393">
        <f t="shared" si="64"/>
        <v>0</v>
      </c>
      <c r="T139" s="394"/>
      <c r="U139" s="394"/>
      <c r="V139" s="395"/>
      <c r="W139" s="395"/>
      <c r="X139" s="395">
        <v>1</v>
      </c>
      <c r="Y139" s="396"/>
      <c r="AA139" s="893"/>
      <c r="AB139" s="894"/>
      <c r="AC139" s="894"/>
      <c r="AD139" s="894"/>
      <c r="AE139" s="894"/>
      <c r="AF139" s="894"/>
      <c r="AG139" s="894"/>
      <c r="AH139" s="895"/>
    </row>
    <row r="140" spans="2:34" s="148" customFormat="1" ht="27" customHeight="1">
      <c r="B140" s="879"/>
      <c r="C140" s="880"/>
      <c r="D140" s="384">
        <v>14</v>
      </c>
      <c r="E140" s="387"/>
      <c r="F140" s="388"/>
      <c r="G140" s="389"/>
      <c r="H140" s="389"/>
      <c r="I140" s="390" t="e">
        <f t="shared" si="58"/>
        <v>#DIV/0!</v>
      </c>
      <c r="J140" s="389"/>
      <c r="K140" s="390" t="e">
        <f t="shared" si="59"/>
        <v>#DIV/0!</v>
      </c>
      <c r="L140" s="389"/>
      <c r="M140" s="390" t="e">
        <f t="shared" si="66"/>
        <v>#DIV/0!</v>
      </c>
      <c r="N140" s="391"/>
      <c r="O140" s="389"/>
      <c r="P140" s="390" t="e">
        <f t="shared" si="61"/>
        <v>#DIV/0!</v>
      </c>
      <c r="Q140" s="392">
        <f t="shared" si="62"/>
        <v>0</v>
      </c>
      <c r="R140" s="390" t="e">
        <f t="shared" si="63"/>
        <v>#DIV/0!</v>
      </c>
      <c r="S140" s="393">
        <f t="shared" si="64"/>
        <v>0</v>
      </c>
      <c r="T140" s="394"/>
      <c r="U140" s="394"/>
      <c r="V140" s="395"/>
      <c r="W140" s="395"/>
      <c r="X140" s="395">
        <v>1</v>
      </c>
      <c r="Y140" s="396"/>
      <c r="AA140" s="896"/>
      <c r="AB140" s="897"/>
      <c r="AC140" s="897"/>
      <c r="AD140" s="897"/>
      <c r="AE140" s="897"/>
      <c r="AF140" s="897"/>
      <c r="AG140" s="897"/>
      <c r="AH140" s="898"/>
    </row>
    <row r="141" spans="2:34" s="148" customFormat="1" ht="27" customHeight="1">
      <c r="B141" s="879"/>
      <c r="C141" s="880"/>
      <c r="D141" s="384">
        <v>15</v>
      </c>
      <c r="E141" s="387"/>
      <c r="F141" s="388"/>
      <c r="G141" s="389"/>
      <c r="H141" s="389"/>
      <c r="I141" s="390" t="e">
        <f t="shared" si="58"/>
        <v>#DIV/0!</v>
      </c>
      <c r="J141" s="389"/>
      <c r="K141" s="390" t="e">
        <f t="shared" si="59"/>
        <v>#DIV/0!</v>
      </c>
      <c r="L141" s="389"/>
      <c r="M141" s="390" t="e">
        <f t="shared" si="66"/>
        <v>#DIV/0!</v>
      </c>
      <c r="N141" s="391"/>
      <c r="O141" s="389"/>
      <c r="P141" s="390" t="e">
        <f t="shared" si="61"/>
        <v>#DIV/0!</v>
      </c>
      <c r="Q141" s="392">
        <f t="shared" si="62"/>
        <v>0</v>
      </c>
      <c r="R141" s="390" t="e">
        <f t="shared" si="63"/>
        <v>#DIV/0!</v>
      </c>
      <c r="S141" s="393">
        <f t="shared" si="64"/>
        <v>0</v>
      </c>
      <c r="T141" s="394"/>
      <c r="U141" s="394"/>
      <c r="V141" s="395"/>
      <c r="W141" s="395"/>
      <c r="X141" s="395">
        <v>1</v>
      </c>
      <c r="Y141" s="396"/>
      <c r="AA141" s="161" t="s">
        <v>244</v>
      </c>
      <c r="AB141" s="161" t="s">
        <v>478</v>
      </c>
      <c r="AC141" s="156" t="s">
        <v>394</v>
      </c>
      <c r="AD141" s="156" t="s">
        <v>339</v>
      </c>
      <c r="AE141" s="156" t="s">
        <v>457</v>
      </c>
      <c r="AF141" s="156" t="s">
        <v>215</v>
      </c>
      <c r="AG141" s="156" t="s">
        <v>216</v>
      </c>
      <c r="AH141" s="156" t="s">
        <v>395</v>
      </c>
    </row>
    <row r="142" spans="2:34" s="148" customFormat="1" ht="27" customHeight="1">
      <c r="B142" s="879"/>
      <c r="C142" s="880"/>
      <c r="D142" s="384">
        <v>16</v>
      </c>
      <c r="E142" s="387"/>
      <c r="F142" s="388"/>
      <c r="G142" s="389"/>
      <c r="H142" s="389"/>
      <c r="I142" s="390" t="e">
        <f t="shared" si="58"/>
        <v>#DIV/0!</v>
      </c>
      <c r="J142" s="389"/>
      <c r="K142" s="390" t="e">
        <f t="shared" si="59"/>
        <v>#DIV/0!</v>
      </c>
      <c r="L142" s="389"/>
      <c r="M142" s="390" t="e">
        <f t="shared" si="66"/>
        <v>#DIV/0!</v>
      </c>
      <c r="N142" s="391"/>
      <c r="O142" s="389"/>
      <c r="P142" s="390" t="e">
        <f t="shared" si="61"/>
        <v>#DIV/0!</v>
      </c>
      <c r="Q142" s="392">
        <f t="shared" si="62"/>
        <v>0</v>
      </c>
      <c r="R142" s="390" t="e">
        <f t="shared" si="63"/>
        <v>#DIV/0!</v>
      </c>
      <c r="S142" s="393">
        <f t="shared" si="64"/>
        <v>0</v>
      </c>
      <c r="T142" s="394"/>
      <c r="U142" s="394"/>
      <c r="V142" s="395"/>
      <c r="W142" s="395"/>
      <c r="X142" s="395">
        <v>1</v>
      </c>
      <c r="Y142" s="396"/>
      <c r="Z142" s="441" t="s">
        <v>527</v>
      </c>
      <c r="AA142" s="407">
        <f>AA7+AA55+AA79+AA31</f>
        <v>80</v>
      </c>
      <c r="AB142" s="407">
        <f>AB7+AB55+AB79+AB31</f>
        <v>60</v>
      </c>
      <c r="AC142" s="407">
        <f t="shared" ref="AC142:AH143" si="67">AC31+AC55+AC79+AC7</f>
        <v>0</v>
      </c>
      <c r="AD142" s="407">
        <f t="shared" si="67"/>
        <v>15</v>
      </c>
      <c r="AE142" s="407">
        <f t="shared" si="67"/>
        <v>0</v>
      </c>
      <c r="AF142" s="407">
        <f t="shared" si="67"/>
        <v>1</v>
      </c>
      <c r="AG142" s="407">
        <f t="shared" si="67"/>
        <v>4</v>
      </c>
      <c r="AH142" s="407">
        <f t="shared" si="67"/>
        <v>0</v>
      </c>
    </row>
    <row r="143" spans="2:34" s="148" customFormat="1" ht="27" customHeight="1">
      <c r="B143" s="879"/>
      <c r="C143" s="880"/>
      <c r="D143" s="384">
        <v>17</v>
      </c>
      <c r="E143" s="387"/>
      <c r="F143" s="388"/>
      <c r="G143" s="389"/>
      <c r="H143" s="389"/>
      <c r="I143" s="390" t="e">
        <f t="shared" si="58"/>
        <v>#DIV/0!</v>
      </c>
      <c r="J143" s="389"/>
      <c r="K143" s="390" t="e">
        <f t="shared" si="59"/>
        <v>#DIV/0!</v>
      </c>
      <c r="L143" s="389"/>
      <c r="M143" s="390" t="e">
        <f t="shared" si="66"/>
        <v>#DIV/0!</v>
      </c>
      <c r="N143" s="391"/>
      <c r="O143" s="389"/>
      <c r="P143" s="390" t="e">
        <f t="shared" si="61"/>
        <v>#DIV/0!</v>
      </c>
      <c r="Q143" s="392">
        <f t="shared" si="62"/>
        <v>0</v>
      </c>
      <c r="R143" s="390" t="e">
        <f t="shared" si="63"/>
        <v>#DIV/0!</v>
      </c>
      <c r="S143" s="393">
        <f t="shared" si="64"/>
        <v>0</v>
      </c>
      <c r="T143" s="394"/>
      <c r="U143" s="394"/>
      <c r="V143" s="395"/>
      <c r="W143" s="395"/>
      <c r="X143" s="395">
        <v>1</v>
      </c>
      <c r="Y143" s="396"/>
      <c r="AA143" s="408"/>
      <c r="AB143" s="405">
        <f>AB32+AB56+AB80+AB8</f>
        <v>67445.406500000012</v>
      </c>
      <c r="AC143" s="405">
        <f t="shared" si="67"/>
        <v>0</v>
      </c>
      <c r="AD143" s="405">
        <f t="shared" si="67"/>
        <v>23845.399999999998</v>
      </c>
      <c r="AE143" s="405">
        <f t="shared" si="67"/>
        <v>0</v>
      </c>
      <c r="AF143" s="405">
        <f t="shared" si="67"/>
        <v>1103.7</v>
      </c>
      <c r="AG143" s="405">
        <f t="shared" si="67"/>
        <v>7632.2999999999993</v>
      </c>
      <c r="AH143" s="405">
        <f t="shared" si="67"/>
        <v>0</v>
      </c>
    </row>
    <row r="144" spans="2:34" s="148" customFormat="1" ht="27" customHeight="1">
      <c r="B144" s="879"/>
      <c r="C144" s="880"/>
      <c r="D144" s="384">
        <v>18</v>
      </c>
      <c r="E144" s="387"/>
      <c r="F144" s="388"/>
      <c r="G144" s="389"/>
      <c r="H144" s="389"/>
      <c r="I144" s="390" t="e">
        <f t="shared" si="58"/>
        <v>#DIV/0!</v>
      </c>
      <c r="J144" s="389"/>
      <c r="K144" s="390" t="e">
        <f t="shared" si="59"/>
        <v>#DIV/0!</v>
      </c>
      <c r="L144" s="389"/>
      <c r="M144" s="390" t="e">
        <f t="shared" si="66"/>
        <v>#DIV/0!</v>
      </c>
      <c r="N144" s="391"/>
      <c r="O144" s="389"/>
      <c r="P144" s="390" t="e">
        <f t="shared" si="61"/>
        <v>#DIV/0!</v>
      </c>
      <c r="Q144" s="392">
        <f t="shared" si="62"/>
        <v>0</v>
      </c>
      <c r="R144" s="390" t="e">
        <f t="shared" si="63"/>
        <v>#DIV/0!</v>
      </c>
      <c r="S144" s="393">
        <f t="shared" si="64"/>
        <v>0</v>
      </c>
      <c r="T144" s="394"/>
      <c r="U144" s="394"/>
      <c r="V144" s="395"/>
      <c r="W144" s="395"/>
      <c r="X144" s="395">
        <v>1</v>
      </c>
      <c r="Y144" s="396"/>
      <c r="AA144" s="384"/>
      <c r="AB144" s="406">
        <f>AB142/$AA142</f>
        <v>0.75</v>
      </c>
      <c r="AC144" s="406">
        <f t="shared" ref="AC144:AH144" si="68">AC142/$AA142</f>
        <v>0</v>
      </c>
      <c r="AD144" s="406">
        <f t="shared" si="68"/>
        <v>0.1875</v>
      </c>
      <c r="AE144" s="406">
        <f t="shared" si="68"/>
        <v>0</v>
      </c>
      <c r="AF144" s="406">
        <f t="shared" si="68"/>
        <v>1.2500000000000001E-2</v>
      </c>
      <c r="AG144" s="406">
        <f t="shared" si="68"/>
        <v>0.05</v>
      </c>
      <c r="AH144" s="406">
        <f t="shared" si="68"/>
        <v>0</v>
      </c>
    </row>
    <row r="145" spans="2:29" s="148" customFormat="1" ht="27" customHeight="1">
      <c r="B145" s="879"/>
      <c r="C145" s="880"/>
      <c r="D145" s="384">
        <v>19</v>
      </c>
      <c r="E145" s="387"/>
      <c r="F145" s="388"/>
      <c r="G145" s="389"/>
      <c r="H145" s="389"/>
      <c r="I145" s="390" t="e">
        <f t="shared" si="58"/>
        <v>#DIV/0!</v>
      </c>
      <c r="J145" s="389"/>
      <c r="K145" s="390" t="e">
        <f t="shared" si="59"/>
        <v>#DIV/0!</v>
      </c>
      <c r="L145" s="389"/>
      <c r="M145" s="390" t="e">
        <f t="shared" si="66"/>
        <v>#DIV/0!</v>
      </c>
      <c r="N145" s="391"/>
      <c r="O145" s="389"/>
      <c r="P145" s="390" t="e">
        <f t="shared" si="61"/>
        <v>#DIV/0!</v>
      </c>
      <c r="Q145" s="392">
        <f t="shared" si="62"/>
        <v>0</v>
      </c>
      <c r="R145" s="390" t="e">
        <f t="shared" si="63"/>
        <v>#DIV/0!</v>
      </c>
      <c r="S145" s="393">
        <f t="shared" si="64"/>
        <v>0</v>
      </c>
      <c r="T145" s="394"/>
      <c r="U145" s="394"/>
      <c r="V145" s="395"/>
      <c r="W145" s="395"/>
      <c r="X145" s="395">
        <v>1</v>
      </c>
      <c r="Y145" s="396"/>
      <c r="AB145" s="403"/>
      <c r="AC145" s="400"/>
    </row>
    <row r="146" spans="2:29" s="148" customFormat="1" ht="27" customHeight="1">
      <c r="B146" s="881"/>
      <c r="C146" s="882"/>
      <c r="D146" s="384">
        <v>20</v>
      </c>
      <c r="E146" s="387"/>
      <c r="F146" s="388"/>
      <c r="G146" s="389"/>
      <c r="H146" s="389"/>
      <c r="I146" s="390" t="e">
        <f t="shared" si="58"/>
        <v>#DIV/0!</v>
      </c>
      <c r="J146" s="389"/>
      <c r="K146" s="390" t="e">
        <f t="shared" si="59"/>
        <v>#DIV/0!</v>
      </c>
      <c r="L146" s="389"/>
      <c r="M146" s="390" t="e">
        <f t="shared" si="66"/>
        <v>#DIV/0!</v>
      </c>
      <c r="N146" s="391"/>
      <c r="O146" s="389"/>
      <c r="P146" s="390" t="e">
        <f t="shared" si="61"/>
        <v>#DIV/0!</v>
      </c>
      <c r="Q146" s="392">
        <f t="shared" si="62"/>
        <v>0</v>
      </c>
      <c r="R146" s="390" t="e">
        <f t="shared" si="63"/>
        <v>#DIV/0!</v>
      </c>
      <c r="S146" s="393">
        <f t="shared" si="64"/>
        <v>0</v>
      </c>
      <c r="T146" s="394"/>
      <c r="U146" s="394"/>
      <c r="V146" s="395"/>
      <c r="W146" s="395"/>
      <c r="X146" s="395">
        <v>1</v>
      </c>
      <c r="Y146" s="396"/>
      <c r="AB146" s="403"/>
      <c r="AC146" s="400"/>
    </row>
    <row r="150" spans="2:29" ht="14.1" customHeight="1"/>
    <row r="160" spans="2:29" ht="14.1" customHeight="1"/>
    <row r="170" s="146" customFormat="1" ht="14.1" customHeight="1"/>
    <row r="180" s="146" customFormat="1" ht="14.1" customHeight="1"/>
    <row r="190" s="146" customFormat="1" ht="14.1" customHeight="1"/>
    <row r="200" s="146" customFormat="1" ht="14.1" customHeight="1"/>
  </sheetData>
  <mergeCells count="122">
    <mergeCell ref="B127:C146"/>
    <mergeCell ref="AA138:AH140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P125"/>
    <mergeCell ref="Q125:S125"/>
    <mergeCell ref="B123:C126"/>
    <mergeCell ref="D123:F123"/>
    <mergeCell ref="G123:S123"/>
    <mergeCell ref="T123:T126"/>
    <mergeCell ref="U123:U126"/>
    <mergeCell ref="V123:V126"/>
    <mergeCell ref="W123:W126"/>
    <mergeCell ref="X123:X126"/>
    <mergeCell ref="Y123:Y126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</mergeCells>
  <phoneticPr fontId="15" type="noConversion"/>
  <dataValidations count="1">
    <dataValidation type="list" allowBlank="1" showInputMessage="1" showErrorMessage="1" sqref="U99:U102 T1:U6 U27:U30 U51:U54 U75:U78 U132 U147:U1048576 U123:U126 T7:T1048576" xr:uid="{4C1E292C-B632-4AF4-8349-8488AA7799BF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928-6F4B-49F1-9BD4-8170998B63CC}">
  <sheetPr codeName="工作表35">
    <tabColor rgb="FF92D050"/>
    <pageSetUpPr fitToPage="1"/>
  </sheetPr>
  <dimension ref="B2:AH200"/>
  <sheetViews>
    <sheetView zoomScale="70" zoomScaleNormal="70" workbookViewId="0">
      <pane xSplit="4" ySplit="2" topLeftCell="E103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U122" sqref="U122"/>
    </sheetView>
  </sheetViews>
  <sheetFormatPr defaultColWidth="8.85546875" defaultRowHeight="16.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5.85546875" style="146" bestFit="1" customWidth="1"/>
    <col min="9" max="9" width="16.85546875" style="146" customWidth="1"/>
    <col min="10" max="10" width="14" style="146" customWidth="1"/>
    <col min="11" max="11" width="11.5703125" style="146" bestFit="1" customWidth="1"/>
    <col min="12" max="12" width="12.28515625" style="146" bestFit="1" customWidth="1"/>
    <col min="13" max="13" width="19.140625" style="146" bestFit="1" customWidth="1"/>
    <col min="14" max="14" width="15.28515625" style="146" bestFit="1" customWidth="1"/>
    <col min="15" max="15" width="12.28515625" style="146" bestFit="1" customWidth="1"/>
    <col min="16" max="16" width="12.5703125" style="146" bestFit="1" customWidth="1"/>
    <col min="17" max="17" width="9.140625" style="146" bestFit="1" customWidth="1"/>
    <col min="18" max="18" width="12.28515625" style="146" bestFit="1" customWidth="1"/>
    <col min="19" max="19" width="12.5703125" style="146" bestFit="1" customWidth="1"/>
    <col min="20" max="20" width="12.42578125" style="146" bestFit="1" customWidth="1"/>
    <col min="21" max="21" width="25.28515625" style="146" bestFit="1" customWidth="1"/>
    <col min="22" max="22" width="88.28515625" style="146" customWidth="1"/>
    <col min="23" max="23" width="145" style="146" bestFit="1" customWidth="1"/>
    <col min="24" max="24" width="7.42578125" style="146" bestFit="1" customWidth="1"/>
    <col min="25" max="25" width="69.5703125" style="146" bestFit="1" customWidth="1"/>
    <col min="26" max="26" width="11.42578125" style="146" bestFit="1" customWidth="1"/>
    <col min="27" max="27" width="21.5703125" style="146" customWidth="1"/>
    <col min="28" max="28" width="19.42578125" style="146" bestFit="1" customWidth="1"/>
    <col min="29" max="34" width="14.42578125" style="146" customWidth="1"/>
    <col min="35" max="16384" width="8.85546875" style="146"/>
  </cols>
  <sheetData>
    <row r="2" spans="2:34" ht="41.1" customHeight="1">
      <c r="B2" s="908" t="s">
        <v>482</v>
      </c>
      <c r="C2" s="909"/>
      <c r="D2" s="909"/>
      <c r="E2" s="909"/>
      <c r="F2" s="909"/>
      <c r="G2" s="909"/>
      <c r="H2" s="909"/>
      <c r="I2" s="909"/>
      <c r="J2" s="909"/>
      <c r="K2" s="909"/>
      <c r="L2" s="909"/>
      <c r="M2" s="909"/>
      <c r="N2" s="909"/>
      <c r="O2" s="909"/>
      <c r="P2" s="909"/>
      <c r="Q2" s="909"/>
      <c r="R2" s="909"/>
      <c r="S2" s="909"/>
      <c r="T2" s="909"/>
      <c r="U2" s="909"/>
      <c r="V2" s="909"/>
      <c r="W2" s="909"/>
      <c r="X2" s="909"/>
      <c r="Y2" s="909"/>
      <c r="AA2" s="147"/>
      <c r="AB2" s="147"/>
    </row>
    <row r="3" spans="2:34" ht="16.5" customHeight="1">
      <c r="B3" s="899" t="s">
        <v>475</v>
      </c>
      <c r="C3" s="900"/>
      <c r="D3" s="905" t="s">
        <v>170</v>
      </c>
      <c r="E3" s="905"/>
      <c r="F3" s="905"/>
      <c r="G3" s="905" t="s">
        <v>184</v>
      </c>
      <c r="H3" s="905"/>
      <c r="I3" s="905"/>
      <c r="J3" s="905"/>
      <c r="K3" s="905"/>
      <c r="L3" s="905"/>
      <c r="M3" s="905"/>
      <c r="N3" s="905"/>
      <c r="O3" s="905"/>
      <c r="P3" s="905"/>
      <c r="Q3" s="905"/>
      <c r="R3" s="905"/>
      <c r="S3" s="905"/>
      <c r="T3" s="905" t="s">
        <v>171</v>
      </c>
      <c r="U3" s="890" t="s">
        <v>245</v>
      </c>
      <c r="V3" s="910" t="s">
        <v>483</v>
      </c>
      <c r="W3" s="910" t="s">
        <v>477</v>
      </c>
      <c r="X3" s="886" t="s">
        <v>246</v>
      </c>
      <c r="Y3" s="889" t="s">
        <v>172</v>
      </c>
      <c r="AA3" s="905" t="s">
        <v>247</v>
      </c>
      <c r="AB3" s="905"/>
      <c r="AC3" s="905"/>
      <c r="AD3" s="905"/>
      <c r="AE3" s="905"/>
      <c r="AF3" s="905"/>
      <c r="AG3" s="905"/>
      <c r="AH3" s="905"/>
    </row>
    <row r="4" spans="2:34" ht="17.100000000000001" customHeight="1">
      <c r="B4" s="901"/>
      <c r="C4" s="902"/>
      <c r="D4" s="906" t="s">
        <v>169</v>
      </c>
      <c r="E4" s="905" t="s">
        <v>173</v>
      </c>
      <c r="F4" s="905"/>
      <c r="G4" s="905" t="s">
        <v>185</v>
      </c>
      <c r="H4" s="905"/>
      <c r="I4" s="905"/>
      <c r="J4" s="905"/>
      <c r="K4" s="905"/>
      <c r="L4" s="905"/>
      <c r="M4" s="905"/>
      <c r="N4" s="905"/>
      <c r="O4" s="905" t="s">
        <v>174</v>
      </c>
      <c r="P4" s="905"/>
      <c r="Q4" s="905"/>
      <c r="R4" s="905"/>
      <c r="S4" s="905"/>
      <c r="T4" s="905"/>
      <c r="U4" s="893"/>
      <c r="V4" s="887"/>
      <c r="W4" s="911"/>
      <c r="X4" s="887"/>
      <c r="Y4" s="889"/>
      <c r="AA4" s="905"/>
      <c r="AB4" s="905"/>
      <c r="AC4" s="905"/>
      <c r="AD4" s="905"/>
      <c r="AE4" s="905"/>
      <c r="AF4" s="905"/>
      <c r="AG4" s="905"/>
      <c r="AH4" s="905"/>
    </row>
    <row r="5" spans="2:34" ht="17.100000000000001" customHeight="1">
      <c r="B5" s="901"/>
      <c r="C5" s="902"/>
      <c r="D5" s="906"/>
      <c r="E5" s="906" t="s">
        <v>175</v>
      </c>
      <c r="F5" s="913" t="s">
        <v>484</v>
      </c>
      <c r="G5" s="907" t="s">
        <v>186</v>
      </c>
      <c r="H5" s="907"/>
      <c r="I5" s="907"/>
      <c r="J5" s="907"/>
      <c r="K5" s="907"/>
      <c r="L5" s="907"/>
      <c r="M5" s="907"/>
      <c r="N5" s="907"/>
      <c r="O5" s="914" t="s">
        <v>168</v>
      </c>
      <c r="P5" s="915"/>
      <c r="Q5" s="916"/>
      <c r="R5" s="907" t="s">
        <v>176</v>
      </c>
      <c r="S5" s="907"/>
      <c r="T5" s="905"/>
      <c r="U5" s="893"/>
      <c r="V5" s="887"/>
      <c r="W5" s="911"/>
      <c r="X5" s="887"/>
      <c r="Y5" s="889"/>
      <c r="AA5" s="905"/>
      <c r="AB5" s="905"/>
      <c r="AC5" s="905"/>
      <c r="AD5" s="905"/>
      <c r="AE5" s="905"/>
      <c r="AF5" s="905"/>
      <c r="AG5" s="905"/>
      <c r="AH5" s="905"/>
    </row>
    <row r="6" spans="2:34" ht="38.450000000000003" customHeight="1">
      <c r="B6" s="903"/>
      <c r="C6" s="904"/>
      <c r="D6" s="906"/>
      <c r="E6" s="906"/>
      <c r="F6" s="913"/>
      <c r="G6" s="385" t="s">
        <v>177</v>
      </c>
      <c r="H6" s="385" t="s">
        <v>252</v>
      </c>
      <c r="I6" s="385" t="s">
        <v>253</v>
      </c>
      <c r="J6" s="385" t="s">
        <v>178</v>
      </c>
      <c r="K6" s="385" t="s">
        <v>250</v>
      </c>
      <c r="L6" s="385" t="s">
        <v>179</v>
      </c>
      <c r="M6" s="385" t="s">
        <v>187</v>
      </c>
      <c r="N6" s="385" t="s">
        <v>180</v>
      </c>
      <c r="O6" s="386" t="s">
        <v>181</v>
      </c>
      <c r="P6" s="386" t="s">
        <v>182</v>
      </c>
      <c r="Q6" s="385" t="s">
        <v>183</v>
      </c>
      <c r="R6" s="386" t="s">
        <v>181</v>
      </c>
      <c r="S6" s="386" t="s">
        <v>182</v>
      </c>
      <c r="T6" s="905"/>
      <c r="U6" s="896"/>
      <c r="V6" s="888"/>
      <c r="W6" s="912"/>
      <c r="X6" s="888"/>
      <c r="Y6" s="889"/>
      <c r="AA6" s="161" t="s">
        <v>244</v>
      </c>
      <c r="AB6" s="161" t="s">
        <v>478</v>
      </c>
      <c r="AC6" s="156" t="s">
        <v>394</v>
      </c>
      <c r="AD6" s="156" t="s">
        <v>339</v>
      </c>
      <c r="AE6" s="156" t="s">
        <v>457</v>
      </c>
      <c r="AF6" s="156" t="s">
        <v>215</v>
      </c>
      <c r="AG6" s="156" t="s">
        <v>216</v>
      </c>
      <c r="AH6" s="156" t="s">
        <v>395</v>
      </c>
    </row>
    <row r="7" spans="2:34" s="148" customFormat="1" ht="27" customHeight="1">
      <c r="B7" s="877" t="s">
        <v>535</v>
      </c>
      <c r="C7" s="878"/>
      <c r="D7" s="384">
        <v>1</v>
      </c>
      <c r="E7" s="387" t="s">
        <v>337</v>
      </c>
      <c r="F7" s="388">
        <v>18592.397300000004</v>
      </c>
      <c r="G7" s="389">
        <v>4818.71</v>
      </c>
      <c r="H7" s="389">
        <v>4823.01</v>
      </c>
      <c r="I7" s="390">
        <f>H7/G7</f>
        <v>1.0008923550078757</v>
      </c>
      <c r="J7" s="389">
        <v>121.81</v>
      </c>
      <c r="K7" s="390">
        <f>J7/G7</f>
        <v>2.5278549653330457E-2</v>
      </c>
      <c r="L7" s="389">
        <v>147.43000000000004</v>
      </c>
      <c r="M7" s="390">
        <f>(H7+J7)/G7</f>
        <v>1.0261709046612062</v>
      </c>
      <c r="N7" s="391">
        <v>18592.397300000004</v>
      </c>
      <c r="O7" s="389">
        <v>0</v>
      </c>
      <c r="P7" s="390">
        <f>O7/G7</f>
        <v>0</v>
      </c>
      <c r="Q7" s="404">
        <f>O7*L7</f>
        <v>0</v>
      </c>
      <c r="R7" s="392">
        <f>((H7+J7)-G7)-O7</f>
        <v>126.11000000000058</v>
      </c>
      <c r="S7" s="390">
        <f>R7/G7</f>
        <v>2.6170904661206126E-2</v>
      </c>
      <c r="T7" s="394" t="s">
        <v>174</v>
      </c>
      <c r="U7" s="394" t="s">
        <v>215</v>
      </c>
      <c r="V7" s="395" t="s">
        <v>562</v>
      </c>
      <c r="W7" s="395" t="s">
        <v>588</v>
      </c>
      <c r="X7" s="395">
        <v>1</v>
      </c>
      <c r="Y7" s="396" t="s">
        <v>342</v>
      </c>
      <c r="Z7" s="397" t="s">
        <v>479</v>
      </c>
      <c r="AA7" s="398">
        <f>SUM(X7:X26)</f>
        <v>20</v>
      </c>
      <c r="AB7" s="399">
        <f>SUMIF($U$7:$U$26,TRIM(AB6),$X$7:$X$26)</f>
        <v>0</v>
      </c>
      <c r="AC7" s="399">
        <f t="shared" ref="AC7:AH7" si="0">SUMIF($U$7:$U$26,TRIM(AC6),$X$7:$X$26)</f>
        <v>0</v>
      </c>
      <c r="AD7" s="399">
        <f t="shared" si="0"/>
        <v>0</v>
      </c>
      <c r="AE7" s="399">
        <f t="shared" si="0"/>
        <v>16</v>
      </c>
      <c r="AF7" s="399">
        <f t="shared" si="0"/>
        <v>1</v>
      </c>
      <c r="AG7" s="399">
        <f t="shared" si="0"/>
        <v>3</v>
      </c>
      <c r="AH7" s="399">
        <f t="shared" si="0"/>
        <v>0</v>
      </c>
    </row>
    <row r="8" spans="2:34" s="148" customFormat="1" ht="27" customHeight="1">
      <c r="B8" s="879"/>
      <c r="C8" s="880"/>
      <c r="D8" s="384">
        <v>2</v>
      </c>
      <c r="E8" s="387" t="s">
        <v>504</v>
      </c>
      <c r="F8" s="388">
        <v>7408.6894000000211</v>
      </c>
      <c r="G8" s="389">
        <v>997.26</v>
      </c>
      <c r="H8" s="389">
        <v>982.29000000000008</v>
      </c>
      <c r="I8" s="390">
        <f t="shared" ref="I8:I9" si="1">H8/G8</f>
        <v>0.9849888695024368</v>
      </c>
      <c r="J8" s="389">
        <v>27.62</v>
      </c>
      <c r="K8" s="390">
        <f t="shared" ref="K8:K13" si="2">J8/G8</f>
        <v>2.7695886729639213E-2</v>
      </c>
      <c r="L8" s="389">
        <v>605.77999999999986</v>
      </c>
      <c r="M8" s="390">
        <f t="shared" ref="M8:M13" si="3">(H8+J8)/G8</f>
        <v>1.012684756232076</v>
      </c>
      <c r="N8" s="391">
        <v>7663.1170000000202</v>
      </c>
      <c r="O8" s="389">
        <v>0.42000000000000004</v>
      </c>
      <c r="P8" s="390">
        <f t="shared" ref="P8:P26" si="4">O8/G8</f>
        <v>4.2115396185548405E-4</v>
      </c>
      <c r="Q8" s="404">
        <f t="shared" ref="Q8:Q26" si="5">O8*L8</f>
        <v>254.42759999999996</v>
      </c>
      <c r="R8" s="392">
        <f t="shared" ref="R8:R26" si="6">((H8+J8)-G8)-O8</f>
        <v>12.230000000000091</v>
      </c>
      <c r="S8" s="390">
        <f t="shared" ref="S8:S26" si="7">R8/G8</f>
        <v>1.2263602270220495E-2</v>
      </c>
      <c r="T8" s="394" t="s">
        <v>174</v>
      </c>
      <c r="U8" s="394" t="s">
        <v>216</v>
      </c>
      <c r="V8" s="395" t="s">
        <v>571</v>
      </c>
      <c r="W8" s="395" t="s">
        <v>572</v>
      </c>
      <c r="X8" s="395">
        <v>1</v>
      </c>
      <c r="Y8" s="396" t="s">
        <v>344</v>
      </c>
      <c r="AA8" s="398"/>
      <c r="AB8" s="405">
        <f>SUMIF($U$7:$U$26,TRIM(AB6),$F$7:$F$26)</f>
        <v>0</v>
      </c>
      <c r="AC8" s="405">
        <f t="shared" ref="AC8:AH8" si="8">SUMIF($U$7:$U$26,TRIM(AC6),$F$7:$F$26)</f>
        <v>0</v>
      </c>
      <c r="AD8" s="405">
        <f t="shared" si="8"/>
        <v>0</v>
      </c>
      <c r="AE8" s="405">
        <f t="shared" si="8"/>
        <v>52450.623499999943</v>
      </c>
      <c r="AF8" s="405">
        <f t="shared" si="8"/>
        <v>18592.397300000004</v>
      </c>
      <c r="AG8" s="405">
        <f t="shared" si="8"/>
        <v>12788.929400000023</v>
      </c>
      <c r="AH8" s="405">
        <f t="shared" si="8"/>
        <v>0</v>
      </c>
    </row>
    <row r="9" spans="2:34" s="148" customFormat="1" ht="27" customHeight="1">
      <c r="B9" s="879"/>
      <c r="C9" s="880"/>
      <c r="D9" s="384">
        <v>3</v>
      </c>
      <c r="E9" s="387" t="s">
        <v>518</v>
      </c>
      <c r="F9" s="388">
        <v>4652.1392999999962</v>
      </c>
      <c r="G9" s="389">
        <v>1065.47</v>
      </c>
      <c r="H9" s="389">
        <v>1064.1199999999999</v>
      </c>
      <c r="I9" s="390">
        <f t="shared" si="1"/>
        <v>0.99873295353224389</v>
      </c>
      <c r="J9" s="389">
        <v>26.939999999999998</v>
      </c>
      <c r="K9" s="390">
        <f t="shared" si="2"/>
        <v>2.528461617877556E-2</v>
      </c>
      <c r="L9" s="389">
        <v>191.21</v>
      </c>
      <c r="M9" s="390">
        <f t="shared" si="3"/>
        <v>1.0240175697110194</v>
      </c>
      <c r="N9" s="391">
        <v>4893.0638999999956</v>
      </c>
      <c r="O9" s="389">
        <v>1.26</v>
      </c>
      <c r="P9" s="390">
        <f t="shared" si="4"/>
        <v>1.1825767032389461E-3</v>
      </c>
      <c r="Q9" s="404">
        <f t="shared" si="5"/>
        <v>240.9246</v>
      </c>
      <c r="R9" s="392">
        <f t="shared" si="6"/>
        <v>24.329999999999917</v>
      </c>
      <c r="S9" s="390">
        <f t="shared" si="7"/>
        <v>2.2834993007780524E-2</v>
      </c>
      <c r="T9" s="394" t="s">
        <v>174</v>
      </c>
      <c r="U9" s="394" t="s">
        <v>457</v>
      </c>
      <c r="V9" s="395" t="s">
        <v>578</v>
      </c>
      <c r="W9" s="395" t="s">
        <v>548</v>
      </c>
      <c r="X9" s="395">
        <v>1</v>
      </c>
      <c r="Y9" s="396" t="s">
        <v>519</v>
      </c>
      <c r="AA9" s="384"/>
      <c r="AB9" s="406">
        <f>AB7/$AA7</f>
        <v>0</v>
      </c>
      <c r="AC9" s="406">
        <f t="shared" ref="AC9:AH9" si="9">AC7/$AA7</f>
        <v>0</v>
      </c>
      <c r="AD9" s="406">
        <f t="shared" si="9"/>
        <v>0</v>
      </c>
      <c r="AE9" s="406">
        <f t="shared" si="9"/>
        <v>0.8</v>
      </c>
      <c r="AF9" s="406">
        <f t="shared" si="9"/>
        <v>0.05</v>
      </c>
      <c r="AG9" s="406">
        <f t="shared" si="9"/>
        <v>0.15</v>
      </c>
      <c r="AH9" s="406">
        <f t="shared" si="9"/>
        <v>0</v>
      </c>
    </row>
    <row r="10" spans="2:34" s="148" customFormat="1" ht="27" customHeight="1">
      <c r="B10" s="879"/>
      <c r="C10" s="880"/>
      <c r="D10" s="384">
        <v>4</v>
      </c>
      <c r="E10" s="387" t="s">
        <v>543</v>
      </c>
      <c r="F10" s="388">
        <v>4437.8080999999884</v>
      </c>
      <c r="G10" s="389">
        <v>1382.2800000000002</v>
      </c>
      <c r="H10" s="389">
        <v>1327.78</v>
      </c>
      <c r="I10" s="390">
        <f>H10/G10</f>
        <v>0.96057238764939068</v>
      </c>
      <c r="J10" s="389">
        <v>92.89</v>
      </c>
      <c r="K10" s="390">
        <f t="shared" si="2"/>
        <v>6.7200567178863899E-2</v>
      </c>
      <c r="L10" s="389">
        <v>118.30999999999997</v>
      </c>
      <c r="M10" s="390">
        <f t="shared" si="3"/>
        <v>1.0277729548282546</v>
      </c>
      <c r="N10" s="391">
        <v>4541.9208999999892</v>
      </c>
      <c r="O10" s="389">
        <v>0.88</v>
      </c>
      <c r="P10" s="390">
        <f t="shared" si="4"/>
        <v>6.3662933703735852E-4</v>
      </c>
      <c r="Q10" s="404">
        <f t="shared" si="5"/>
        <v>104.11279999999998</v>
      </c>
      <c r="R10" s="392">
        <f t="shared" si="6"/>
        <v>37.50999999999987</v>
      </c>
      <c r="S10" s="390">
        <f t="shared" si="7"/>
        <v>2.7136325491217313E-2</v>
      </c>
      <c r="T10" s="394" t="s">
        <v>174</v>
      </c>
      <c r="U10" s="394" t="s">
        <v>457</v>
      </c>
      <c r="V10" s="395" t="s">
        <v>565</v>
      </c>
      <c r="W10" s="395" t="s">
        <v>566</v>
      </c>
      <c r="X10" s="395">
        <v>1</v>
      </c>
      <c r="Y10" s="396" t="s">
        <v>533</v>
      </c>
    </row>
    <row r="11" spans="2:34" s="148" customFormat="1" ht="27" customHeight="1">
      <c r="B11" s="879"/>
      <c r="C11" s="880"/>
      <c r="D11" s="384">
        <v>5</v>
      </c>
      <c r="E11" s="387" t="s">
        <v>514</v>
      </c>
      <c r="F11" s="388">
        <v>4319.9719999999961</v>
      </c>
      <c r="G11" s="389">
        <v>151.08000000000001</v>
      </c>
      <c r="H11" s="389">
        <v>144.79</v>
      </c>
      <c r="I11" s="390">
        <f t="shared" ref="I11:I26" si="10">H11/G11</f>
        <v>0.9583664283823139</v>
      </c>
      <c r="J11" s="389">
        <v>13.84</v>
      </c>
      <c r="K11" s="390">
        <f t="shared" si="2"/>
        <v>9.1607095578501455E-2</v>
      </c>
      <c r="L11" s="389">
        <v>629</v>
      </c>
      <c r="M11" s="390">
        <f t="shared" si="3"/>
        <v>1.0499735239608154</v>
      </c>
      <c r="N11" s="391">
        <v>4748.9499999999962</v>
      </c>
      <c r="O11" s="389">
        <v>0.68199999999999994</v>
      </c>
      <c r="P11" s="390">
        <f t="shared" si="4"/>
        <v>4.5141646809637274E-3</v>
      </c>
      <c r="Q11" s="404">
        <f t="shared" si="5"/>
        <v>428.97799999999995</v>
      </c>
      <c r="R11" s="392">
        <f t="shared" si="6"/>
        <v>6.8679999999999826</v>
      </c>
      <c r="S11" s="390">
        <f t="shared" si="7"/>
        <v>4.5459359279851612E-2</v>
      </c>
      <c r="T11" s="394" t="s">
        <v>174</v>
      </c>
      <c r="U11" s="394" t="s">
        <v>457</v>
      </c>
      <c r="V11" s="395" t="s">
        <v>578</v>
      </c>
      <c r="W11" s="395" t="s">
        <v>548</v>
      </c>
      <c r="X11" s="395">
        <v>1</v>
      </c>
      <c r="Y11" s="396" t="s">
        <v>503</v>
      </c>
    </row>
    <row r="12" spans="2:34" s="148" customFormat="1" ht="27" customHeight="1">
      <c r="B12" s="879"/>
      <c r="C12" s="880"/>
      <c r="D12" s="384">
        <v>6</v>
      </c>
      <c r="E12" s="387" t="s">
        <v>455</v>
      </c>
      <c r="F12" s="388">
        <v>4039.1108999999929</v>
      </c>
      <c r="G12" s="389">
        <v>1216.92</v>
      </c>
      <c r="H12" s="389">
        <v>1174.07</v>
      </c>
      <c r="I12" s="390">
        <f t="shared" si="10"/>
        <v>0.96478815369950355</v>
      </c>
      <c r="J12" s="389">
        <v>87.800000000000011</v>
      </c>
      <c r="K12" s="390">
        <f t="shared" si="2"/>
        <v>7.2149360681063673E-2</v>
      </c>
      <c r="L12" s="389">
        <v>99.51</v>
      </c>
      <c r="M12" s="390">
        <f t="shared" si="3"/>
        <v>1.0369375143805672</v>
      </c>
      <c r="N12" s="391">
        <v>4472.974499999993</v>
      </c>
      <c r="O12" s="389">
        <v>4.3599999999999994</v>
      </c>
      <c r="P12" s="390">
        <f t="shared" si="4"/>
        <v>3.5828156329093114E-3</v>
      </c>
      <c r="Q12" s="404">
        <f t="shared" si="5"/>
        <v>433.86359999999996</v>
      </c>
      <c r="R12" s="392">
        <f t="shared" si="6"/>
        <v>40.589999999999819</v>
      </c>
      <c r="S12" s="390">
        <f t="shared" si="7"/>
        <v>3.3354698747657868E-2</v>
      </c>
      <c r="T12" s="394" t="s">
        <v>174</v>
      </c>
      <c r="U12" s="394" t="s">
        <v>457</v>
      </c>
      <c r="V12" s="395" t="s">
        <v>564</v>
      </c>
      <c r="W12" s="395" t="s">
        <v>589</v>
      </c>
      <c r="X12" s="395">
        <v>1</v>
      </c>
      <c r="Y12" s="396" t="s">
        <v>356</v>
      </c>
    </row>
    <row r="13" spans="2:34" s="148" customFormat="1" ht="27" customHeight="1">
      <c r="B13" s="879"/>
      <c r="C13" s="880"/>
      <c r="D13" s="384">
        <v>7</v>
      </c>
      <c r="E13" s="387" t="s">
        <v>542</v>
      </c>
      <c r="F13" s="388">
        <v>3920.7930000000019</v>
      </c>
      <c r="G13" s="389">
        <v>1632.02</v>
      </c>
      <c r="H13" s="389">
        <v>1584.27</v>
      </c>
      <c r="I13" s="390">
        <f t="shared" si="10"/>
        <v>0.97074178012524359</v>
      </c>
      <c r="J13" s="389">
        <v>94.26</v>
      </c>
      <c r="K13" s="390">
        <f t="shared" si="2"/>
        <v>5.7756645139152712E-2</v>
      </c>
      <c r="L13" s="389">
        <v>84.3</v>
      </c>
      <c r="M13" s="390">
        <f t="shared" si="3"/>
        <v>1.0284984252643963</v>
      </c>
      <c r="N13" s="391">
        <v>3920.7930000000019</v>
      </c>
      <c r="O13" s="389">
        <v>0</v>
      </c>
      <c r="P13" s="390">
        <f t="shared" si="4"/>
        <v>0</v>
      </c>
      <c r="Q13" s="404">
        <f t="shared" si="5"/>
        <v>0</v>
      </c>
      <c r="R13" s="392">
        <f t="shared" si="6"/>
        <v>46.509999999999991</v>
      </c>
      <c r="S13" s="390">
        <f t="shared" si="7"/>
        <v>2.8498425264396263E-2</v>
      </c>
      <c r="T13" s="394" t="s">
        <v>174</v>
      </c>
      <c r="U13" s="394" t="s">
        <v>457</v>
      </c>
      <c r="V13" s="395" t="s">
        <v>564</v>
      </c>
      <c r="W13" s="395" t="s">
        <v>640</v>
      </c>
      <c r="X13" s="395">
        <v>1</v>
      </c>
      <c r="Y13" s="396" t="s">
        <v>534</v>
      </c>
    </row>
    <row r="14" spans="2:34" s="148" customFormat="1" ht="27" customHeight="1">
      <c r="B14" s="879"/>
      <c r="C14" s="880"/>
      <c r="D14" s="384">
        <v>8</v>
      </c>
      <c r="E14" s="387" t="s">
        <v>586</v>
      </c>
      <c r="F14" s="388">
        <v>3730.4591999999993</v>
      </c>
      <c r="G14" s="389">
        <v>706.38000000000011</v>
      </c>
      <c r="H14" s="389">
        <v>711.1</v>
      </c>
      <c r="I14" s="390">
        <f t="shared" si="10"/>
        <v>1.0066819558877658</v>
      </c>
      <c r="J14" s="389">
        <v>30.160000000000004</v>
      </c>
      <c r="K14" s="390">
        <f>J14/G14</f>
        <v>4.2696565587927178E-2</v>
      </c>
      <c r="L14" s="389">
        <v>122.06999999999996</v>
      </c>
      <c r="M14" s="390">
        <f>(H14+J14)/G14</f>
        <v>1.0493785214756928</v>
      </c>
      <c r="N14" s="391">
        <v>4257.8015999999989</v>
      </c>
      <c r="O14" s="389">
        <v>4.3199999999999994</v>
      </c>
      <c r="P14" s="390">
        <f t="shared" si="4"/>
        <v>6.1156884396500449E-3</v>
      </c>
      <c r="Q14" s="404">
        <f t="shared" si="5"/>
        <v>527.34239999999977</v>
      </c>
      <c r="R14" s="392">
        <f t="shared" si="6"/>
        <v>30.559999999999881</v>
      </c>
      <c r="S14" s="390">
        <f t="shared" si="7"/>
        <v>4.3262833036042746E-2</v>
      </c>
      <c r="T14" s="394" t="s">
        <v>174</v>
      </c>
      <c r="U14" s="394" t="s">
        <v>457</v>
      </c>
      <c r="V14" s="395" t="s">
        <v>641</v>
      </c>
      <c r="W14" s="395" t="s">
        <v>563</v>
      </c>
      <c r="X14" s="395">
        <v>1</v>
      </c>
      <c r="Y14" s="396" t="s">
        <v>361</v>
      </c>
    </row>
    <row r="15" spans="2:34" s="148" customFormat="1" ht="27" customHeight="1">
      <c r="B15" s="879"/>
      <c r="C15" s="880"/>
      <c r="D15" s="384">
        <v>9</v>
      </c>
      <c r="E15" s="387" t="s">
        <v>461</v>
      </c>
      <c r="F15" s="388">
        <v>3408.9763999999959</v>
      </c>
      <c r="G15" s="389">
        <v>390.19</v>
      </c>
      <c r="H15" s="389">
        <v>381.48</v>
      </c>
      <c r="I15" s="390">
        <f t="shared" si="10"/>
        <v>0.97767754171044885</v>
      </c>
      <c r="J15" s="389">
        <v>18.59</v>
      </c>
      <c r="K15" s="390">
        <f t="shared" ref="K15:K26" si="11">J15/G15</f>
        <v>4.7643455752325793E-2</v>
      </c>
      <c r="L15" s="389">
        <v>368.13999999999993</v>
      </c>
      <c r="M15" s="390">
        <f t="shared" ref="M15:M26" si="12">(H15+J15)/G15</f>
        <v>1.0253209974627746</v>
      </c>
      <c r="N15" s="391">
        <v>3637.2231999999958</v>
      </c>
      <c r="O15" s="389">
        <v>0.62</v>
      </c>
      <c r="P15" s="390">
        <f t="shared" si="4"/>
        <v>1.588969476408929E-3</v>
      </c>
      <c r="Q15" s="404">
        <f t="shared" si="5"/>
        <v>228.24679999999995</v>
      </c>
      <c r="R15" s="392">
        <f t="shared" si="6"/>
        <v>9.2599999999999962</v>
      </c>
      <c r="S15" s="390">
        <f t="shared" si="7"/>
        <v>2.3732027986365607E-2</v>
      </c>
      <c r="T15" s="394" t="s">
        <v>174</v>
      </c>
      <c r="U15" s="394" t="s">
        <v>457</v>
      </c>
      <c r="V15" s="395" t="s">
        <v>575</v>
      </c>
      <c r="W15" s="395" t="s">
        <v>576</v>
      </c>
      <c r="X15" s="395">
        <v>1</v>
      </c>
      <c r="Y15" s="396" t="s">
        <v>462</v>
      </c>
    </row>
    <row r="16" spans="2:34" s="148" customFormat="1" ht="27" customHeight="1">
      <c r="B16" s="879"/>
      <c r="C16" s="880"/>
      <c r="D16" s="384">
        <v>10</v>
      </c>
      <c r="E16" s="387" t="s">
        <v>510</v>
      </c>
      <c r="F16" s="388">
        <v>3257.9469999999947</v>
      </c>
      <c r="G16" s="389">
        <v>620.76</v>
      </c>
      <c r="H16" s="389">
        <v>580.95000000000005</v>
      </c>
      <c r="I16" s="390">
        <f t="shared" si="10"/>
        <v>0.93586893485404998</v>
      </c>
      <c r="J16" s="389">
        <v>63.449999999999996</v>
      </c>
      <c r="K16" s="390">
        <f t="shared" si="11"/>
        <v>0.10221341581287453</v>
      </c>
      <c r="L16" s="389">
        <v>160.49</v>
      </c>
      <c r="M16" s="390">
        <f t="shared" si="12"/>
        <v>1.0380823506669246</v>
      </c>
      <c r="N16" s="391">
        <v>3793.9835999999946</v>
      </c>
      <c r="O16" s="389">
        <v>3.34</v>
      </c>
      <c r="P16" s="390">
        <f t="shared" si="4"/>
        <v>5.3805013209614018E-3</v>
      </c>
      <c r="Q16" s="404">
        <f t="shared" si="5"/>
        <v>536.03660000000002</v>
      </c>
      <c r="R16" s="392">
        <f t="shared" si="6"/>
        <v>20.3000000000001</v>
      </c>
      <c r="S16" s="390">
        <f t="shared" si="7"/>
        <v>3.2701849345963173E-2</v>
      </c>
      <c r="T16" s="394" t="s">
        <v>174</v>
      </c>
      <c r="U16" s="394" t="s">
        <v>457</v>
      </c>
      <c r="V16" s="395" t="s">
        <v>641</v>
      </c>
      <c r="W16" s="395" t="s">
        <v>563</v>
      </c>
      <c r="X16" s="395">
        <v>1</v>
      </c>
      <c r="Y16" s="396" t="s">
        <v>462</v>
      </c>
    </row>
    <row r="17" spans="2:34" s="148" customFormat="1" ht="27" customHeight="1">
      <c r="B17" s="879"/>
      <c r="C17" s="880"/>
      <c r="D17" s="384">
        <v>11</v>
      </c>
      <c r="E17" s="387" t="s">
        <v>496</v>
      </c>
      <c r="F17" s="388">
        <v>2978.5</v>
      </c>
      <c r="G17" s="389">
        <v>201743</v>
      </c>
      <c r="H17" s="389">
        <v>201438</v>
      </c>
      <c r="I17" s="390">
        <f t="shared" si="10"/>
        <v>0.99848817555008107</v>
      </c>
      <c r="J17" s="389">
        <v>1230</v>
      </c>
      <c r="K17" s="390">
        <f t="shared" si="11"/>
        <v>6.096865814427266E-3</v>
      </c>
      <c r="L17" s="389">
        <v>3.2199999999999998</v>
      </c>
      <c r="M17" s="390">
        <f t="shared" si="12"/>
        <v>1.0045850413645083</v>
      </c>
      <c r="N17" s="391">
        <v>2978.5</v>
      </c>
      <c r="O17" s="389">
        <v>0</v>
      </c>
      <c r="P17" s="390">
        <f t="shared" si="4"/>
        <v>0</v>
      </c>
      <c r="Q17" s="404">
        <f t="shared" si="5"/>
        <v>0</v>
      </c>
      <c r="R17" s="392">
        <f t="shared" si="6"/>
        <v>925</v>
      </c>
      <c r="S17" s="390">
        <f t="shared" si="7"/>
        <v>4.5850413645083105E-3</v>
      </c>
      <c r="T17" s="394" t="s">
        <v>174</v>
      </c>
      <c r="U17" s="394" t="s">
        <v>216</v>
      </c>
      <c r="V17" s="395" t="s">
        <v>575</v>
      </c>
      <c r="W17" s="395" t="s">
        <v>570</v>
      </c>
      <c r="X17" s="395">
        <v>1</v>
      </c>
      <c r="Y17" s="396" t="s">
        <v>342</v>
      </c>
    </row>
    <row r="18" spans="2:34" s="148" customFormat="1" ht="27" customHeight="1">
      <c r="B18" s="879"/>
      <c r="C18" s="880"/>
      <c r="D18" s="384">
        <v>12</v>
      </c>
      <c r="E18" s="387" t="s">
        <v>528</v>
      </c>
      <c r="F18" s="388">
        <v>2955.7079999999978</v>
      </c>
      <c r="G18" s="389">
        <v>1005.98</v>
      </c>
      <c r="H18" s="389">
        <v>1013.66</v>
      </c>
      <c r="I18" s="390">
        <f t="shared" si="10"/>
        <v>1.0076343466072883</v>
      </c>
      <c r="J18" s="389">
        <v>4.75</v>
      </c>
      <c r="K18" s="390">
        <f t="shared" si="11"/>
        <v>4.7217638521640584E-3</v>
      </c>
      <c r="L18" s="389">
        <v>266.27999999999997</v>
      </c>
      <c r="M18" s="390">
        <f t="shared" si="12"/>
        <v>1.0123561104594525</v>
      </c>
      <c r="N18" s="391">
        <v>3309.8603999999978</v>
      </c>
      <c r="O18" s="389">
        <v>1.33</v>
      </c>
      <c r="P18" s="390">
        <f t="shared" si="4"/>
        <v>1.3220938786059366E-3</v>
      </c>
      <c r="Q18" s="404">
        <f t="shared" si="5"/>
        <v>354.1524</v>
      </c>
      <c r="R18" s="392">
        <f t="shared" si="6"/>
        <v>11.09999999999995</v>
      </c>
      <c r="S18" s="390">
        <f t="shared" si="7"/>
        <v>1.1034016580846488E-2</v>
      </c>
      <c r="T18" s="394" t="s">
        <v>174</v>
      </c>
      <c r="U18" s="394" t="s">
        <v>457</v>
      </c>
      <c r="V18" s="395" t="s">
        <v>642</v>
      </c>
      <c r="W18" s="395" t="s">
        <v>576</v>
      </c>
      <c r="X18" s="395">
        <v>1</v>
      </c>
      <c r="Y18" s="396" t="s">
        <v>529</v>
      </c>
    </row>
    <row r="19" spans="2:34" s="148" customFormat="1" ht="27" customHeight="1">
      <c r="B19" s="879"/>
      <c r="C19" s="880"/>
      <c r="D19" s="384">
        <v>13</v>
      </c>
      <c r="E19" s="387" t="s">
        <v>545</v>
      </c>
      <c r="F19" s="388">
        <v>2920.3712999999989</v>
      </c>
      <c r="G19" s="389">
        <v>203.58</v>
      </c>
      <c r="H19" s="389">
        <v>189.3</v>
      </c>
      <c r="I19" s="390">
        <f t="shared" si="10"/>
        <v>0.92985558502799881</v>
      </c>
      <c r="J19" s="389">
        <v>21.21</v>
      </c>
      <c r="K19" s="390">
        <f t="shared" si="11"/>
        <v>0.10418508694370764</v>
      </c>
      <c r="L19" s="389">
        <v>421.40999999999997</v>
      </c>
      <c r="M19" s="390">
        <f t="shared" si="12"/>
        <v>1.0340406719717066</v>
      </c>
      <c r="N19" s="391">
        <v>2920.3712999999989</v>
      </c>
      <c r="O19" s="389">
        <v>0</v>
      </c>
      <c r="P19" s="390">
        <f t="shared" si="4"/>
        <v>0</v>
      </c>
      <c r="Q19" s="404">
        <f t="shared" si="5"/>
        <v>0</v>
      </c>
      <c r="R19" s="392">
        <f t="shared" si="6"/>
        <v>6.9300000000000068</v>
      </c>
      <c r="S19" s="390">
        <f t="shared" si="7"/>
        <v>3.4040671971706488E-2</v>
      </c>
      <c r="T19" s="394" t="s">
        <v>174</v>
      </c>
      <c r="U19" s="394" t="s">
        <v>457</v>
      </c>
      <c r="V19" s="395" t="s">
        <v>575</v>
      </c>
      <c r="W19" s="395" t="s">
        <v>576</v>
      </c>
      <c r="X19" s="395">
        <v>1</v>
      </c>
      <c r="Y19" s="396" t="s">
        <v>472</v>
      </c>
    </row>
    <row r="20" spans="2:34" s="148" customFormat="1" ht="27" customHeight="1">
      <c r="B20" s="879"/>
      <c r="C20" s="880"/>
      <c r="D20" s="384">
        <v>14</v>
      </c>
      <c r="E20" s="387" t="s">
        <v>397</v>
      </c>
      <c r="F20" s="388">
        <v>2885.3488000000016</v>
      </c>
      <c r="G20" s="389">
        <v>3700.5</v>
      </c>
      <c r="H20" s="389">
        <v>3608.9900000000002</v>
      </c>
      <c r="I20" s="390">
        <f t="shared" si="10"/>
        <v>0.97527090933657623</v>
      </c>
      <c r="J20" s="389">
        <v>120.31</v>
      </c>
      <c r="K20" s="390">
        <f t="shared" si="11"/>
        <v>3.2511822726658562E-2</v>
      </c>
      <c r="L20" s="389">
        <v>127.84000000000002</v>
      </c>
      <c r="M20" s="390">
        <f t="shared" si="12"/>
        <v>1.0077827320632347</v>
      </c>
      <c r="N20" s="391">
        <v>3681.7920000000013</v>
      </c>
      <c r="O20" s="389">
        <v>6.2299999999999995</v>
      </c>
      <c r="P20" s="390">
        <f t="shared" si="4"/>
        <v>1.6835562761788945E-3</v>
      </c>
      <c r="Q20" s="404">
        <f t="shared" si="5"/>
        <v>796.44320000000005</v>
      </c>
      <c r="R20" s="392">
        <f t="shared" si="6"/>
        <v>22.570000000000181</v>
      </c>
      <c r="S20" s="390">
        <f t="shared" si="7"/>
        <v>6.099175787055852E-3</v>
      </c>
      <c r="T20" s="394" t="s">
        <v>174</v>
      </c>
      <c r="U20" s="394" t="s">
        <v>457</v>
      </c>
      <c r="V20" s="395" t="s">
        <v>641</v>
      </c>
      <c r="W20" s="395" t="s">
        <v>643</v>
      </c>
      <c r="X20" s="395">
        <v>1</v>
      </c>
      <c r="Y20" s="396" t="s">
        <v>342</v>
      </c>
    </row>
    <row r="21" spans="2:34" s="148" customFormat="1" ht="27" customHeight="1">
      <c r="B21" s="879"/>
      <c r="C21" s="880"/>
      <c r="D21" s="384">
        <v>15</v>
      </c>
      <c r="E21" s="387" t="s">
        <v>338</v>
      </c>
      <c r="F21" s="388">
        <v>2543.3684000000021</v>
      </c>
      <c r="G21" s="389">
        <v>1583.5400000000002</v>
      </c>
      <c r="H21" s="389">
        <v>1500.54</v>
      </c>
      <c r="I21" s="390">
        <f t="shared" si="10"/>
        <v>0.9475857888023036</v>
      </c>
      <c r="J21" s="389">
        <v>131.83999999999997</v>
      </c>
      <c r="K21" s="390">
        <f t="shared" si="11"/>
        <v>8.325650125667805E-2</v>
      </c>
      <c r="L21" s="389">
        <v>70.220000000000013</v>
      </c>
      <c r="M21" s="390">
        <f t="shared" si="12"/>
        <v>1.0308422900589815</v>
      </c>
      <c r="N21" s="391">
        <v>3429.5448000000024</v>
      </c>
      <c r="O21" s="389">
        <v>12.620000000000001</v>
      </c>
      <c r="P21" s="390">
        <f t="shared" si="4"/>
        <v>7.9694860881316543E-3</v>
      </c>
      <c r="Q21" s="404">
        <f t="shared" si="5"/>
        <v>886.17640000000029</v>
      </c>
      <c r="R21" s="392">
        <f t="shared" si="6"/>
        <v>36.219999999999686</v>
      </c>
      <c r="S21" s="390">
        <f t="shared" si="7"/>
        <v>2.2872803970849918E-2</v>
      </c>
      <c r="T21" s="394" t="s">
        <v>174</v>
      </c>
      <c r="U21" s="394" t="s">
        <v>457</v>
      </c>
      <c r="V21" s="395" t="s">
        <v>564</v>
      </c>
      <c r="W21" s="395" t="s">
        <v>640</v>
      </c>
      <c r="X21" s="395">
        <v>1</v>
      </c>
      <c r="Y21" s="396" t="s">
        <v>345</v>
      </c>
    </row>
    <row r="22" spans="2:34" s="148" customFormat="1" ht="27" customHeight="1">
      <c r="B22" s="879"/>
      <c r="C22" s="880"/>
      <c r="D22" s="384">
        <v>16</v>
      </c>
      <c r="E22" s="387" t="s">
        <v>544</v>
      </c>
      <c r="F22" s="388">
        <v>2498.4694</v>
      </c>
      <c r="G22" s="389">
        <v>730.36000000000013</v>
      </c>
      <c r="H22" s="389">
        <v>714.46</v>
      </c>
      <c r="I22" s="390">
        <f t="shared" si="10"/>
        <v>0.97822991401500614</v>
      </c>
      <c r="J22" s="389">
        <v>38.76</v>
      </c>
      <c r="K22" s="390">
        <f t="shared" si="11"/>
        <v>5.3069719042663881E-2</v>
      </c>
      <c r="L22" s="389">
        <v>128.38999999999999</v>
      </c>
      <c r="M22" s="390">
        <f t="shared" si="12"/>
        <v>1.03129963305767</v>
      </c>
      <c r="N22" s="391">
        <v>2934.9953999999998</v>
      </c>
      <c r="O22" s="389">
        <v>3.4000000000000004</v>
      </c>
      <c r="P22" s="390">
        <f t="shared" si="4"/>
        <v>4.6552385125143763E-3</v>
      </c>
      <c r="Q22" s="404">
        <f t="shared" si="5"/>
        <v>436.52600000000001</v>
      </c>
      <c r="R22" s="392">
        <f t="shared" si="6"/>
        <v>19.459999999999901</v>
      </c>
      <c r="S22" s="390">
        <f t="shared" si="7"/>
        <v>2.6644394545155672E-2</v>
      </c>
      <c r="T22" s="394" t="s">
        <v>174</v>
      </c>
      <c r="U22" s="394" t="s">
        <v>457</v>
      </c>
      <c r="V22" s="395" t="s">
        <v>565</v>
      </c>
      <c r="W22" s="395" t="s">
        <v>566</v>
      </c>
      <c r="X22" s="395">
        <v>1</v>
      </c>
      <c r="Y22" s="396" t="s">
        <v>358</v>
      </c>
    </row>
    <row r="23" spans="2:34" s="148" customFormat="1" ht="27" customHeight="1">
      <c r="B23" s="879"/>
      <c r="C23" s="880"/>
      <c r="D23" s="384">
        <v>17</v>
      </c>
      <c r="E23" s="387" t="s">
        <v>509</v>
      </c>
      <c r="F23" s="388">
        <v>2466.8269999999834</v>
      </c>
      <c r="G23" s="389">
        <v>1028.8899999999999</v>
      </c>
      <c r="H23" s="389">
        <v>1030.3499999999999</v>
      </c>
      <c r="I23" s="390">
        <f t="shared" si="10"/>
        <v>1.001419004947079</v>
      </c>
      <c r="J23" s="389">
        <v>6.46</v>
      </c>
      <c r="K23" s="390">
        <f t="shared" si="11"/>
        <v>6.2786109302257779E-3</v>
      </c>
      <c r="L23" s="389">
        <v>407.74000000000007</v>
      </c>
      <c r="M23" s="390">
        <f t="shared" si="12"/>
        <v>1.0076976158773048</v>
      </c>
      <c r="N23" s="391">
        <v>3229.3007999999836</v>
      </c>
      <c r="O23" s="389">
        <v>1.87</v>
      </c>
      <c r="P23" s="390">
        <f t="shared" si="4"/>
        <v>1.8174926376969358E-3</v>
      </c>
      <c r="Q23" s="404">
        <f t="shared" si="5"/>
        <v>762.47380000000021</v>
      </c>
      <c r="R23" s="392">
        <f t="shared" si="6"/>
        <v>6.0500000000000727</v>
      </c>
      <c r="S23" s="390">
        <f t="shared" si="7"/>
        <v>5.8801232396078042E-3</v>
      </c>
      <c r="T23" s="394" t="s">
        <v>174</v>
      </c>
      <c r="U23" s="394" t="s">
        <v>457</v>
      </c>
      <c r="V23" s="395" t="s">
        <v>567</v>
      </c>
      <c r="W23" s="395" t="s">
        <v>577</v>
      </c>
      <c r="X23" s="395">
        <v>1</v>
      </c>
      <c r="Y23" s="396" t="s">
        <v>511</v>
      </c>
    </row>
    <row r="24" spans="2:34" s="148" customFormat="1" ht="27" customHeight="1">
      <c r="B24" s="879"/>
      <c r="C24" s="880"/>
      <c r="D24" s="384">
        <v>18</v>
      </c>
      <c r="E24" s="387" t="s">
        <v>554</v>
      </c>
      <c r="F24" s="388">
        <v>2401.7400000000016</v>
      </c>
      <c r="G24" s="389">
        <v>607.26</v>
      </c>
      <c r="H24" s="389">
        <v>609.18000000000006</v>
      </c>
      <c r="I24" s="390">
        <f t="shared" si="10"/>
        <v>1.0031617429107798</v>
      </c>
      <c r="J24" s="389">
        <v>11.46</v>
      </c>
      <c r="K24" s="390">
        <f t="shared" si="11"/>
        <v>1.8871652998715543E-2</v>
      </c>
      <c r="L24" s="389">
        <v>198</v>
      </c>
      <c r="M24" s="390">
        <f t="shared" si="12"/>
        <v>1.0220333959094954</v>
      </c>
      <c r="N24" s="391">
        <v>2649.2400000000021</v>
      </c>
      <c r="O24" s="389">
        <v>1.25</v>
      </c>
      <c r="P24" s="390">
        <f t="shared" si="4"/>
        <v>2.0584263742054474E-3</v>
      </c>
      <c r="Q24" s="404">
        <f t="shared" si="5"/>
        <v>247.5</v>
      </c>
      <c r="R24" s="392">
        <f t="shared" si="6"/>
        <v>12.130000000000109</v>
      </c>
      <c r="S24" s="390">
        <f t="shared" si="7"/>
        <v>1.9974969535289842E-2</v>
      </c>
      <c r="T24" s="394" t="s">
        <v>174</v>
      </c>
      <c r="U24" s="394" t="s">
        <v>216</v>
      </c>
      <c r="V24" s="395" t="s">
        <v>573</v>
      </c>
      <c r="W24" s="395" t="s">
        <v>574</v>
      </c>
      <c r="X24" s="395">
        <v>1</v>
      </c>
      <c r="Y24" s="396" t="s">
        <v>342</v>
      </c>
    </row>
    <row r="25" spans="2:34" s="148" customFormat="1" ht="27" customHeight="1">
      <c r="B25" s="879"/>
      <c r="C25" s="880"/>
      <c r="D25" s="384">
        <v>19</v>
      </c>
      <c r="E25" s="387" t="s">
        <v>498</v>
      </c>
      <c r="F25" s="388">
        <v>2239.7466000000004</v>
      </c>
      <c r="G25" s="389">
        <v>1021.78</v>
      </c>
      <c r="H25" s="389">
        <v>968.23999999999978</v>
      </c>
      <c r="I25" s="390">
        <f t="shared" si="10"/>
        <v>0.94760124488637454</v>
      </c>
      <c r="J25" s="389">
        <v>73.13</v>
      </c>
      <c r="K25" s="390">
        <f t="shared" si="11"/>
        <v>7.1571179706003241E-2</v>
      </c>
      <c r="L25" s="389">
        <v>144.78</v>
      </c>
      <c r="M25" s="390">
        <f t="shared" si="12"/>
        <v>1.0191724245923779</v>
      </c>
      <c r="N25" s="391">
        <v>2836.2402000000006</v>
      </c>
      <c r="O25" s="389">
        <v>4.12</v>
      </c>
      <c r="P25" s="390">
        <f t="shared" si="4"/>
        <v>4.0321791383663803E-3</v>
      </c>
      <c r="Q25" s="404">
        <f t="shared" si="5"/>
        <v>596.49360000000001</v>
      </c>
      <c r="R25" s="392">
        <f t="shared" si="6"/>
        <v>15.469999999999917</v>
      </c>
      <c r="S25" s="390">
        <f t="shared" si="7"/>
        <v>1.5140245454011545E-2</v>
      </c>
      <c r="T25" s="394" t="s">
        <v>174</v>
      </c>
      <c r="U25" s="394" t="s">
        <v>457</v>
      </c>
      <c r="V25" s="395" t="s">
        <v>568</v>
      </c>
      <c r="W25" s="395" t="s">
        <v>569</v>
      </c>
      <c r="X25" s="395">
        <v>1</v>
      </c>
      <c r="Y25" s="396" t="s">
        <v>495</v>
      </c>
    </row>
    <row r="26" spans="2:34" s="148" customFormat="1" ht="27" customHeight="1">
      <c r="B26" s="881"/>
      <c r="C26" s="882"/>
      <c r="D26" s="384">
        <v>20</v>
      </c>
      <c r="E26" s="387" t="s">
        <v>552</v>
      </c>
      <c r="F26" s="388">
        <v>2173.5781000000006</v>
      </c>
      <c r="G26" s="389">
        <v>1043.6499999999999</v>
      </c>
      <c r="H26" s="389">
        <v>1026.5999999999999</v>
      </c>
      <c r="I26" s="390">
        <f t="shared" si="10"/>
        <v>0.98366310544722857</v>
      </c>
      <c r="J26" s="389">
        <v>70.19</v>
      </c>
      <c r="K26" s="390">
        <f t="shared" si="11"/>
        <v>6.7254347721937432E-2</v>
      </c>
      <c r="L26" s="389">
        <v>51.470000000000013</v>
      </c>
      <c r="M26" s="390">
        <f t="shared" si="12"/>
        <v>1.0509174531691661</v>
      </c>
      <c r="N26" s="391">
        <v>2735.1158000000005</v>
      </c>
      <c r="O26" s="389">
        <v>10.91</v>
      </c>
      <c r="P26" s="390">
        <f t="shared" si="4"/>
        <v>1.0453696162506588E-2</v>
      </c>
      <c r="Q26" s="404">
        <f t="shared" si="5"/>
        <v>561.5377000000002</v>
      </c>
      <c r="R26" s="392">
        <f t="shared" si="6"/>
        <v>42.230000000000103</v>
      </c>
      <c r="S26" s="390">
        <f t="shared" si="7"/>
        <v>4.0463757006659426E-2</v>
      </c>
      <c r="T26" s="394" t="s">
        <v>174</v>
      </c>
      <c r="U26" s="394" t="s">
        <v>457</v>
      </c>
      <c r="V26" s="395" t="s">
        <v>564</v>
      </c>
      <c r="W26" s="395" t="s">
        <v>640</v>
      </c>
      <c r="X26" s="395">
        <v>1</v>
      </c>
      <c r="Y26" s="396" t="s">
        <v>344</v>
      </c>
      <c r="AC26" s="400"/>
    </row>
    <row r="27" spans="2:34" ht="16.5" customHeight="1">
      <c r="B27" s="899" t="s">
        <v>475</v>
      </c>
      <c r="C27" s="900"/>
      <c r="D27" s="905" t="s">
        <v>170</v>
      </c>
      <c r="E27" s="905"/>
      <c r="F27" s="905"/>
      <c r="G27" s="905" t="s">
        <v>184</v>
      </c>
      <c r="H27" s="905"/>
      <c r="I27" s="905"/>
      <c r="J27" s="905"/>
      <c r="K27" s="905"/>
      <c r="L27" s="905"/>
      <c r="M27" s="905"/>
      <c r="N27" s="905"/>
      <c r="O27" s="905"/>
      <c r="P27" s="905"/>
      <c r="Q27" s="905"/>
      <c r="R27" s="905"/>
      <c r="S27" s="905"/>
      <c r="T27" s="905" t="s">
        <v>171</v>
      </c>
      <c r="U27" s="890" t="s">
        <v>245</v>
      </c>
      <c r="V27" s="910" t="s">
        <v>483</v>
      </c>
      <c r="W27" s="910" t="s">
        <v>477</v>
      </c>
      <c r="X27" s="886" t="s">
        <v>246</v>
      </c>
      <c r="Y27" s="889" t="s">
        <v>172</v>
      </c>
      <c r="AA27" s="905" t="s">
        <v>247</v>
      </c>
      <c r="AB27" s="905"/>
      <c r="AC27" s="905"/>
      <c r="AD27" s="905"/>
      <c r="AE27" s="905"/>
      <c r="AF27" s="905"/>
      <c r="AG27" s="905"/>
      <c r="AH27" s="905"/>
    </row>
    <row r="28" spans="2:34" ht="17.100000000000001" customHeight="1">
      <c r="B28" s="901"/>
      <c r="C28" s="902"/>
      <c r="D28" s="906" t="s">
        <v>169</v>
      </c>
      <c r="E28" s="905" t="s">
        <v>173</v>
      </c>
      <c r="F28" s="905"/>
      <c r="G28" s="905" t="s">
        <v>185</v>
      </c>
      <c r="H28" s="905"/>
      <c r="I28" s="905"/>
      <c r="J28" s="905"/>
      <c r="K28" s="905"/>
      <c r="L28" s="905"/>
      <c r="M28" s="905"/>
      <c r="N28" s="905"/>
      <c r="O28" s="905" t="s">
        <v>174</v>
      </c>
      <c r="P28" s="905"/>
      <c r="Q28" s="905"/>
      <c r="R28" s="905"/>
      <c r="S28" s="905"/>
      <c r="T28" s="905"/>
      <c r="U28" s="893"/>
      <c r="V28" s="887"/>
      <c r="W28" s="911"/>
      <c r="X28" s="887"/>
      <c r="Y28" s="889"/>
      <c r="AA28" s="905"/>
      <c r="AB28" s="905"/>
      <c r="AC28" s="905"/>
      <c r="AD28" s="905"/>
      <c r="AE28" s="905"/>
      <c r="AF28" s="905"/>
      <c r="AG28" s="905"/>
      <c r="AH28" s="905"/>
    </row>
    <row r="29" spans="2:34" ht="17.100000000000001" customHeight="1">
      <c r="B29" s="901"/>
      <c r="C29" s="902"/>
      <c r="D29" s="906"/>
      <c r="E29" s="906" t="s">
        <v>175</v>
      </c>
      <c r="F29" s="913" t="s">
        <v>484</v>
      </c>
      <c r="G29" s="907" t="s">
        <v>186</v>
      </c>
      <c r="H29" s="907"/>
      <c r="I29" s="907"/>
      <c r="J29" s="907"/>
      <c r="K29" s="907"/>
      <c r="L29" s="907"/>
      <c r="M29" s="907"/>
      <c r="N29" s="907"/>
      <c r="O29" s="914" t="s">
        <v>168</v>
      </c>
      <c r="P29" s="915"/>
      <c r="Q29" s="916"/>
      <c r="R29" s="907" t="s">
        <v>176</v>
      </c>
      <c r="S29" s="907"/>
      <c r="T29" s="905"/>
      <c r="U29" s="893"/>
      <c r="V29" s="887"/>
      <c r="W29" s="911"/>
      <c r="X29" s="887"/>
      <c r="Y29" s="889"/>
      <c r="AA29" s="905"/>
      <c r="AB29" s="905"/>
      <c r="AC29" s="905"/>
      <c r="AD29" s="905"/>
      <c r="AE29" s="905"/>
      <c r="AF29" s="905"/>
      <c r="AG29" s="905"/>
      <c r="AH29" s="905"/>
    </row>
    <row r="30" spans="2:34" ht="38.450000000000003" customHeight="1">
      <c r="B30" s="903"/>
      <c r="C30" s="904"/>
      <c r="D30" s="906"/>
      <c r="E30" s="906"/>
      <c r="F30" s="913"/>
      <c r="G30" s="385" t="s">
        <v>177</v>
      </c>
      <c r="H30" s="385" t="s">
        <v>252</v>
      </c>
      <c r="I30" s="385" t="s">
        <v>253</v>
      </c>
      <c r="J30" s="385" t="s">
        <v>178</v>
      </c>
      <c r="K30" s="385" t="s">
        <v>250</v>
      </c>
      <c r="L30" s="385" t="s">
        <v>179</v>
      </c>
      <c r="M30" s="385" t="s">
        <v>187</v>
      </c>
      <c r="N30" s="385" t="s">
        <v>180</v>
      </c>
      <c r="O30" s="386" t="s">
        <v>181</v>
      </c>
      <c r="P30" s="386" t="s">
        <v>182</v>
      </c>
      <c r="Q30" s="385" t="s">
        <v>183</v>
      </c>
      <c r="R30" s="386" t="s">
        <v>181</v>
      </c>
      <c r="S30" s="386" t="s">
        <v>182</v>
      </c>
      <c r="T30" s="905"/>
      <c r="U30" s="896"/>
      <c r="V30" s="888"/>
      <c r="W30" s="912"/>
      <c r="X30" s="888"/>
      <c r="Y30" s="889"/>
      <c r="AA30" s="161" t="s">
        <v>244</v>
      </c>
      <c r="AB30" s="161" t="s">
        <v>478</v>
      </c>
      <c r="AC30" s="156" t="s">
        <v>394</v>
      </c>
      <c r="AD30" s="156" t="s">
        <v>339</v>
      </c>
      <c r="AE30" s="156" t="s">
        <v>457</v>
      </c>
      <c r="AF30" s="156" t="s">
        <v>215</v>
      </c>
      <c r="AG30" s="156" t="s">
        <v>216</v>
      </c>
      <c r="AH30" s="156" t="s">
        <v>395</v>
      </c>
    </row>
    <row r="31" spans="2:34" s="148" customFormat="1" ht="27" customHeight="1">
      <c r="B31" s="877" t="s">
        <v>660</v>
      </c>
      <c r="C31" s="878"/>
      <c r="D31" s="384">
        <v>1</v>
      </c>
      <c r="E31" s="387" t="s">
        <v>337</v>
      </c>
      <c r="F31" s="388">
        <v>18414.007000000049</v>
      </c>
      <c r="G31" s="389">
        <v>5376.0000000000009</v>
      </c>
      <c r="H31" s="389">
        <v>5366.19</v>
      </c>
      <c r="I31" s="390">
        <f>H31/G31</f>
        <v>0.99817522321428542</v>
      </c>
      <c r="J31" s="389">
        <v>134.70999999999998</v>
      </c>
      <c r="K31" s="390">
        <f>J31/G31</f>
        <v>2.5057663690476184E-2</v>
      </c>
      <c r="L31" s="389">
        <v>147.43000000000004</v>
      </c>
      <c r="M31" s="390">
        <f>(H31+J31)/G31</f>
        <v>1.0232328869047618</v>
      </c>
      <c r="N31" s="391">
        <v>18414.007000000049</v>
      </c>
      <c r="O31" s="389">
        <v>0</v>
      </c>
      <c r="P31" s="390">
        <f>O31/G31</f>
        <v>0</v>
      </c>
      <c r="Q31" s="404">
        <f>O31*L31</f>
        <v>0</v>
      </c>
      <c r="R31" s="392">
        <f>((H31+J31)-G31)-O31</f>
        <v>124.89999999999873</v>
      </c>
      <c r="S31" s="390">
        <f>R31/G31</f>
        <v>2.3232886904761663E-2</v>
      </c>
      <c r="T31" s="394" t="s">
        <v>174</v>
      </c>
      <c r="U31" s="394" t="s">
        <v>215</v>
      </c>
      <c r="V31" s="395" t="s">
        <v>562</v>
      </c>
      <c r="W31" s="395" t="s">
        <v>677</v>
      </c>
      <c r="X31" s="395">
        <v>1</v>
      </c>
      <c r="Y31" s="396" t="s">
        <v>342</v>
      </c>
      <c r="Z31" s="397" t="s">
        <v>479</v>
      </c>
      <c r="AA31" s="398">
        <f>SUM(X31:X50)</f>
        <v>20</v>
      </c>
      <c r="AB31" s="399">
        <f>SUMIF($U$31:$U$50,TRIM(AB30),$X$31:$X$50)</f>
        <v>0</v>
      </c>
      <c r="AC31" s="399">
        <f t="shared" ref="AC31:AH31" si="13">SUMIF($U$31:$U$50,TRIM(AC30),$X$31:$X$50)</f>
        <v>0</v>
      </c>
      <c r="AD31" s="399">
        <f t="shared" si="13"/>
        <v>0</v>
      </c>
      <c r="AE31" s="399">
        <f t="shared" si="13"/>
        <v>17</v>
      </c>
      <c r="AF31" s="399">
        <f t="shared" si="13"/>
        <v>1</v>
      </c>
      <c r="AG31" s="399">
        <f t="shared" si="13"/>
        <v>2</v>
      </c>
      <c r="AH31" s="399">
        <f t="shared" si="13"/>
        <v>0</v>
      </c>
    </row>
    <row r="32" spans="2:34" s="148" customFormat="1" ht="27" customHeight="1">
      <c r="B32" s="879"/>
      <c r="C32" s="880"/>
      <c r="D32" s="384">
        <v>2</v>
      </c>
      <c r="E32" s="387" t="s">
        <v>543</v>
      </c>
      <c r="F32" s="388">
        <v>6216.0073999999986</v>
      </c>
      <c r="G32" s="389">
        <v>1491.83</v>
      </c>
      <c r="H32" s="389">
        <v>1436.8</v>
      </c>
      <c r="I32" s="390">
        <f t="shared" ref="I32:I33" si="14">H32/G32</f>
        <v>0.96311241897535249</v>
      </c>
      <c r="J32" s="389">
        <v>108.22999999999999</v>
      </c>
      <c r="K32" s="390">
        <f t="shared" ref="K32:K37" si="15">J32/G32</f>
        <v>7.2548480725015588E-2</v>
      </c>
      <c r="L32" s="389">
        <v>118.30999999999997</v>
      </c>
      <c r="M32" s="390">
        <f t="shared" ref="M32:M37" si="16">(H32+J32)/G32</f>
        <v>1.035660899700368</v>
      </c>
      <c r="N32" s="391">
        <v>6294.0919999999987</v>
      </c>
      <c r="O32" s="389">
        <v>0.66</v>
      </c>
      <c r="P32" s="390">
        <f t="shared" ref="P32:P50" si="17">O32/G32</f>
        <v>4.4240965793689632E-4</v>
      </c>
      <c r="Q32" s="404">
        <f t="shared" ref="Q32:Q50" si="18">O32*L32</f>
        <v>78.08459999999998</v>
      </c>
      <c r="R32" s="392">
        <f t="shared" ref="R32:R50" si="19">((H32+J32)-G32)-O32</f>
        <v>52.540000000000049</v>
      </c>
      <c r="S32" s="390">
        <f t="shared" ref="S32:S50" si="20">R32/G32</f>
        <v>3.521849004243114E-2</v>
      </c>
      <c r="T32" s="394" t="s">
        <v>174</v>
      </c>
      <c r="U32" s="394" t="s">
        <v>457</v>
      </c>
      <c r="V32" s="395" t="s">
        <v>565</v>
      </c>
      <c r="W32" s="395" t="s">
        <v>678</v>
      </c>
      <c r="X32" s="395">
        <v>1</v>
      </c>
      <c r="Y32" s="396" t="s">
        <v>533</v>
      </c>
      <c r="AA32" s="398"/>
      <c r="AB32" s="405">
        <f>SUMIF($U$31:$U$50,TRIM(AB30),$F$31:$F$50)</f>
        <v>0</v>
      </c>
      <c r="AC32" s="405">
        <f t="shared" ref="AC32:AH32" si="21">SUMIF($U$31:$U$50,TRIM(AC30),$F$31:$F$50)</f>
        <v>0</v>
      </c>
      <c r="AD32" s="405">
        <f t="shared" si="21"/>
        <v>0</v>
      </c>
      <c r="AE32" s="405">
        <f t="shared" si="21"/>
        <v>62898.585099999997</v>
      </c>
      <c r="AF32" s="405">
        <f t="shared" si="21"/>
        <v>18414.007000000049</v>
      </c>
      <c r="AG32" s="405">
        <f t="shared" si="21"/>
        <v>8165.9530000000341</v>
      </c>
      <c r="AH32" s="405">
        <f t="shared" si="21"/>
        <v>0</v>
      </c>
    </row>
    <row r="33" spans="2:34" s="148" customFormat="1" ht="27" customHeight="1">
      <c r="B33" s="879"/>
      <c r="C33" s="880"/>
      <c r="D33" s="384">
        <v>3</v>
      </c>
      <c r="E33" s="387" t="s">
        <v>504</v>
      </c>
      <c r="F33" s="388">
        <v>5797.3146000000288</v>
      </c>
      <c r="G33" s="389">
        <v>1208.47</v>
      </c>
      <c r="H33" s="389">
        <v>1194.98</v>
      </c>
      <c r="I33" s="390">
        <f t="shared" si="14"/>
        <v>0.98883712462866269</v>
      </c>
      <c r="J33" s="389">
        <v>23.5</v>
      </c>
      <c r="K33" s="390">
        <f t="shared" si="15"/>
        <v>1.9446076443767737E-2</v>
      </c>
      <c r="L33" s="389">
        <v>605.77999999999986</v>
      </c>
      <c r="M33" s="390">
        <f t="shared" si="16"/>
        <v>1.0082832010724305</v>
      </c>
      <c r="N33" s="391">
        <v>6063.8578000000289</v>
      </c>
      <c r="O33" s="389">
        <v>0.44</v>
      </c>
      <c r="P33" s="390">
        <f t="shared" si="17"/>
        <v>3.6409675043650233E-4</v>
      </c>
      <c r="Q33" s="404">
        <f t="shared" si="18"/>
        <v>266.54319999999996</v>
      </c>
      <c r="R33" s="392">
        <f t="shared" si="19"/>
        <v>9.5699999999999914</v>
      </c>
      <c r="S33" s="390">
        <f t="shared" si="20"/>
        <v>7.9191043219939191E-3</v>
      </c>
      <c r="T33" s="394" t="s">
        <v>174</v>
      </c>
      <c r="U33" s="394" t="s">
        <v>216</v>
      </c>
      <c r="V33" s="395" t="s">
        <v>571</v>
      </c>
      <c r="W33" s="395" t="s">
        <v>679</v>
      </c>
      <c r="X33" s="395">
        <v>1</v>
      </c>
      <c r="Y33" s="396" t="s">
        <v>344</v>
      </c>
      <c r="AA33" s="384"/>
      <c r="AB33" s="406">
        <f>AB31/$AA31</f>
        <v>0</v>
      </c>
      <c r="AC33" s="406">
        <f t="shared" ref="AC33:AH33" si="22">AC31/$AA31</f>
        <v>0</v>
      </c>
      <c r="AD33" s="406">
        <f t="shared" si="22"/>
        <v>0</v>
      </c>
      <c r="AE33" s="406">
        <f t="shared" si="22"/>
        <v>0.85</v>
      </c>
      <c r="AF33" s="406">
        <f t="shared" si="22"/>
        <v>0.05</v>
      </c>
      <c r="AG33" s="406">
        <f t="shared" si="22"/>
        <v>0.1</v>
      </c>
      <c r="AH33" s="406">
        <f t="shared" si="22"/>
        <v>0</v>
      </c>
    </row>
    <row r="34" spans="2:34" s="148" customFormat="1" ht="27" customHeight="1">
      <c r="B34" s="879"/>
      <c r="C34" s="880"/>
      <c r="D34" s="384">
        <v>4</v>
      </c>
      <c r="E34" s="387" t="s">
        <v>514</v>
      </c>
      <c r="F34" s="388">
        <v>4904.9420000000046</v>
      </c>
      <c r="G34" s="389">
        <v>166.76999999999998</v>
      </c>
      <c r="H34" s="389">
        <v>163.87</v>
      </c>
      <c r="I34" s="390">
        <f>H34/G34</f>
        <v>0.98261078131558444</v>
      </c>
      <c r="J34" s="389">
        <v>10.920000000000002</v>
      </c>
      <c r="K34" s="390">
        <f t="shared" si="15"/>
        <v>6.5479402770282441E-2</v>
      </c>
      <c r="L34" s="389">
        <v>629</v>
      </c>
      <c r="M34" s="390">
        <f t="shared" si="16"/>
        <v>1.048090184085867</v>
      </c>
      <c r="N34" s="391">
        <v>5044.5800000000036</v>
      </c>
      <c r="O34" s="389">
        <v>0.222</v>
      </c>
      <c r="P34" s="390">
        <f t="shared" si="17"/>
        <v>1.331174671703544E-3</v>
      </c>
      <c r="Q34" s="404">
        <f t="shared" si="18"/>
        <v>139.63800000000001</v>
      </c>
      <c r="R34" s="392">
        <f t="shared" si="19"/>
        <v>7.7980000000000382</v>
      </c>
      <c r="S34" s="390">
        <f t="shared" si="20"/>
        <v>4.6759009414163451E-2</v>
      </c>
      <c r="T34" s="394" t="s">
        <v>174</v>
      </c>
      <c r="U34" s="394" t="s">
        <v>457</v>
      </c>
      <c r="V34" s="395" t="s">
        <v>578</v>
      </c>
      <c r="W34" s="395" t="s">
        <v>680</v>
      </c>
      <c r="X34" s="395">
        <v>1</v>
      </c>
      <c r="Y34" s="396" t="s">
        <v>503</v>
      </c>
    </row>
    <row r="35" spans="2:34" s="148" customFormat="1" ht="27" customHeight="1">
      <c r="B35" s="879"/>
      <c r="C35" s="880"/>
      <c r="D35" s="384">
        <v>5</v>
      </c>
      <c r="E35" s="387" t="s">
        <v>545</v>
      </c>
      <c r="F35" s="388">
        <v>4268.8832999999995</v>
      </c>
      <c r="G35" s="389">
        <v>220.91</v>
      </c>
      <c r="H35" s="389">
        <v>214.7</v>
      </c>
      <c r="I35" s="390">
        <f t="shared" ref="I35:I50" si="23">H35/G35</f>
        <v>0.97188900457199756</v>
      </c>
      <c r="J35" s="389">
        <v>16.34</v>
      </c>
      <c r="K35" s="390">
        <f t="shared" si="15"/>
        <v>7.3966773799284777E-2</v>
      </c>
      <c r="L35" s="389">
        <v>421.40999999999997</v>
      </c>
      <c r="M35" s="390">
        <f t="shared" si="16"/>
        <v>1.0458557783712823</v>
      </c>
      <c r="N35" s="391">
        <v>4268.8832999999995</v>
      </c>
      <c r="O35" s="389">
        <v>0</v>
      </c>
      <c r="P35" s="390">
        <f t="shared" si="17"/>
        <v>0</v>
      </c>
      <c r="Q35" s="404">
        <f t="shared" si="18"/>
        <v>0</v>
      </c>
      <c r="R35" s="392">
        <f t="shared" si="19"/>
        <v>10.129999999999995</v>
      </c>
      <c r="S35" s="390">
        <f t="shared" si="20"/>
        <v>4.58557783712824E-2</v>
      </c>
      <c r="T35" s="394" t="s">
        <v>174</v>
      </c>
      <c r="U35" s="394" t="s">
        <v>457</v>
      </c>
      <c r="V35" s="395" t="s">
        <v>575</v>
      </c>
      <c r="W35" s="395" t="s">
        <v>576</v>
      </c>
      <c r="X35" s="395">
        <v>1</v>
      </c>
      <c r="Y35" s="396" t="s">
        <v>472</v>
      </c>
    </row>
    <row r="36" spans="2:34" s="148" customFormat="1" ht="27" customHeight="1">
      <c r="B36" s="879"/>
      <c r="C36" s="880"/>
      <c r="D36" s="384">
        <v>6</v>
      </c>
      <c r="E36" s="387" t="s">
        <v>397</v>
      </c>
      <c r="F36" s="388">
        <v>4202.1008000000102</v>
      </c>
      <c r="G36" s="389">
        <v>4469.9799999999996</v>
      </c>
      <c r="H36" s="389">
        <v>4303.76</v>
      </c>
      <c r="I36" s="390">
        <f t="shared" si="23"/>
        <v>0.96281415129374193</v>
      </c>
      <c r="J36" s="389">
        <v>204.07</v>
      </c>
      <c r="K36" s="390">
        <f t="shared" si="15"/>
        <v>4.5653448113861808E-2</v>
      </c>
      <c r="L36" s="389">
        <v>127.84000000000002</v>
      </c>
      <c r="M36" s="390">
        <f t="shared" si="16"/>
        <v>1.0084675994076038</v>
      </c>
      <c r="N36" s="391">
        <v>4838.7440000000106</v>
      </c>
      <c r="O36" s="389">
        <v>4.9799999999999995</v>
      </c>
      <c r="P36" s="390">
        <f t="shared" si="17"/>
        <v>1.1140989445142932E-3</v>
      </c>
      <c r="Q36" s="404">
        <f t="shared" si="18"/>
        <v>636.64319999999998</v>
      </c>
      <c r="R36" s="392">
        <f t="shared" si="19"/>
        <v>32.870000000000367</v>
      </c>
      <c r="S36" s="390">
        <f t="shared" si="20"/>
        <v>7.3535004630894034E-3</v>
      </c>
      <c r="T36" s="394" t="s">
        <v>174</v>
      </c>
      <c r="U36" s="394" t="s">
        <v>457</v>
      </c>
      <c r="V36" s="395" t="s">
        <v>681</v>
      </c>
      <c r="W36" s="395" t="s">
        <v>682</v>
      </c>
      <c r="X36" s="395">
        <v>1</v>
      </c>
      <c r="Y36" s="396" t="s">
        <v>342</v>
      </c>
    </row>
    <row r="37" spans="2:34" s="148" customFormat="1" ht="27" customHeight="1">
      <c r="B37" s="879"/>
      <c r="C37" s="880"/>
      <c r="D37" s="384">
        <v>7</v>
      </c>
      <c r="E37" s="387" t="s">
        <v>367</v>
      </c>
      <c r="F37" s="388">
        <v>4139.2194999999974</v>
      </c>
      <c r="G37" s="389">
        <v>1252.06</v>
      </c>
      <c r="H37" s="389">
        <v>1272.57</v>
      </c>
      <c r="I37" s="390">
        <f t="shared" si="23"/>
        <v>1.0163810041052346</v>
      </c>
      <c r="J37" s="389">
        <v>6.5880000000000001</v>
      </c>
      <c r="K37" s="390">
        <f t="shared" si="15"/>
        <v>5.2617286711499449E-3</v>
      </c>
      <c r="L37" s="389">
        <v>152.75</v>
      </c>
      <c r="M37" s="390">
        <f t="shared" si="16"/>
        <v>1.0216427327763844</v>
      </c>
      <c r="N37" s="391">
        <v>4139.2194999999974</v>
      </c>
      <c r="O37" s="389">
        <v>0</v>
      </c>
      <c r="P37" s="390">
        <f t="shared" si="17"/>
        <v>0</v>
      </c>
      <c r="Q37" s="404">
        <f t="shared" si="18"/>
        <v>0</v>
      </c>
      <c r="R37" s="392">
        <f t="shared" si="19"/>
        <v>27.097999999999956</v>
      </c>
      <c r="S37" s="390">
        <f t="shared" si="20"/>
        <v>2.1642732776384486E-2</v>
      </c>
      <c r="T37" s="394" t="s">
        <v>174</v>
      </c>
      <c r="U37" s="394" t="s">
        <v>457</v>
      </c>
      <c r="V37" s="395" t="s">
        <v>578</v>
      </c>
      <c r="W37" s="395" t="s">
        <v>680</v>
      </c>
      <c r="X37" s="395">
        <v>1</v>
      </c>
      <c r="Y37" s="396" t="s">
        <v>369</v>
      </c>
    </row>
    <row r="38" spans="2:34" s="148" customFormat="1" ht="27" customHeight="1">
      <c r="B38" s="879"/>
      <c r="C38" s="880"/>
      <c r="D38" s="384">
        <v>8</v>
      </c>
      <c r="E38" s="387" t="s">
        <v>461</v>
      </c>
      <c r="F38" s="388">
        <v>3972.2305999999953</v>
      </c>
      <c r="G38" s="389">
        <v>460.35</v>
      </c>
      <c r="H38" s="389">
        <v>451.97</v>
      </c>
      <c r="I38" s="390">
        <f t="shared" si="23"/>
        <v>0.98179645921581404</v>
      </c>
      <c r="J38" s="389">
        <v>19.55</v>
      </c>
      <c r="K38" s="390">
        <f>J38/G38</f>
        <v>4.246768762897795E-2</v>
      </c>
      <c r="L38" s="389">
        <v>368.13999999999993</v>
      </c>
      <c r="M38" s="390">
        <f>(H38+J38)/G38</f>
        <v>1.0242641468447919</v>
      </c>
      <c r="N38" s="391">
        <v>4112.1237999999958</v>
      </c>
      <c r="O38" s="389">
        <v>0.38</v>
      </c>
      <c r="P38" s="390">
        <f t="shared" si="17"/>
        <v>8.2545888997501897E-4</v>
      </c>
      <c r="Q38" s="404">
        <f t="shared" si="18"/>
        <v>139.89319999999998</v>
      </c>
      <c r="R38" s="392">
        <f t="shared" si="19"/>
        <v>10.790000000000015</v>
      </c>
      <c r="S38" s="390">
        <f t="shared" si="20"/>
        <v>2.343868795481702E-2</v>
      </c>
      <c r="T38" s="394" t="s">
        <v>174</v>
      </c>
      <c r="U38" s="394" t="s">
        <v>457</v>
      </c>
      <c r="V38" s="395" t="s">
        <v>575</v>
      </c>
      <c r="W38" s="395" t="s">
        <v>576</v>
      </c>
      <c r="X38" s="395">
        <v>1</v>
      </c>
      <c r="Y38" s="396" t="s">
        <v>462</v>
      </c>
    </row>
    <row r="39" spans="2:34" s="148" customFormat="1" ht="27" customHeight="1">
      <c r="B39" s="879"/>
      <c r="C39" s="880"/>
      <c r="D39" s="384">
        <v>9</v>
      </c>
      <c r="E39" s="387" t="s">
        <v>542</v>
      </c>
      <c r="F39" s="388">
        <v>3862.6260000000038</v>
      </c>
      <c r="G39" s="389">
        <v>1941.27</v>
      </c>
      <c r="H39" s="389">
        <v>1878.68</v>
      </c>
      <c r="I39" s="390">
        <f t="shared" si="23"/>
        <v>0.96775822013424206</v>
      </c>
      <c r="J39" s="389">
        <v>108.41</v>
      </c>
      <c r="K39" s="390">
        <f t="shared" ref="K39:K50" si="24">J39/G39</f>
        <v>5.5844885049477919E-2</v>
      </c>
      <c r="L39" s="389">
        <v>84.3</v>
      </c>
      <c r="M39" s="390">
        <f t="shared" ref="M39:M50" si="25">(H39+J39)/G39</f>
        <v>1.02360310518372</v>
      </c>
      <c r="N39" s="391">
        <v>3862.6260000000038</v>
      </c>
      <c r="O39" s="389">
        <v>0</v>
      </c>
      <c r="P39" s="390">
        <f t="shared" si="17"/>
        <v>0</v>
      </c>
      <c r="Q39" s="404">
        <f t="shared" si="18"/>
        <v>0</v>
      </c>
      <c r="R39" s="392">
        <f t="shared" si="19"/>
        <v>45.820000000000164</v>
      </c>
      <c r="S39" s="390">
        <f t="shared" si="20"/>
        <v>2.3603105183720021E-2</v>
      </c>
      <c r="T39" s="394" t="s">
        <v>174</v>
      </c>
      <c r="U39" s="394" t="s">
        <v>457</v>
      </c>
      <c r="V39" s="395" t="s">
        <v>564</v>
      </c>
      <c r="W39" s="395" t="s">
        <v>683</v>
      </c>
      <c r="X39" s="395">
        <v>1</v>
      </c>
      <c r="Y39" s="396" t="s">
        <v>534</v>
      </c>
    </row>
    <row r="40" spans="2:34" s="148" customFormat="1" ht="27" customHeight="1">
      <c r="B40" s="879"/>
      <c r="C40" s="880"/>
      <c r="D40" s="384">
        <v>10</v>
      </c>
      <c r="E40" s="387" t="s">
        <v>455</v>
      </c>
      <c r="F40" s="388">
        <v>3785.3603999999914</v>
      </c>
      <c r="G40" s="389">
        <v>1424.6399999999999</v>
      </c>
      <c r="H40" s="389">
        <v>1394.21</v>
      </c>
      <c r="I40" s="390">
        <f t="shared" si="23"/>
        <v>0.97864021787960476</v>
      </c>
      <c r="J40" s="389">
        <v>73.149999999999991</v>
      </c>
      <c r="K40" s="390">
        <f t="shared" si="24"/>
        <v>5.1346305031446542E-2</v>
      </c>
      <c r="L40" s="389">
        <v>99.51</v>
      </c>
      <c r="M40" s="390">
        <f t="shared" si="25"/>
        <v>1.0299865229110514</v>
      </c>
      <c r="N40" s="391">
        <v>4251.0671999999913</v>
      </c>
      <c r="O40" s="389">
        <v>4.6800000000000006</v>
      </c>
      <c r="P40" s="390">
        <f t="shared" si="17"/>
        <v>3.2850404312668472E-3</v>
      </c>
      <c r="Q40" s="404">
        <f t="shared" si="18"/>
        <v>465.7068000000001</v>
      </c>
      <c r="R40" s="392">
        <f t="shared" si="19"/>
        <v>38.040000000000255</v>
      </c>
      <c r="S40" s="390">
        <f t="shared" si="20"/>
        <v>2.6701482479784548E-2</v>
      </c>
      <c r="T40" s="394" t="s">
        <v>174</v>
      </c>
      <c r="U40" s="394" t="s">
        <v>457</v>
      </c>
      <c r="V40" s="395" t="s">
        <v>564</v>
      </c>
      <c r="W40" s="395" t="s">
        <v>589</v>
      </c>
      <c r="X40" s="395">
        <v>1</v>
      </c>
      <c r="Y40" s="396" t="s">
        <v>356</v>
      </c>
    </row>
    <row r="41" spans="2:34" s="148" customFormat="1" ht="27" customHeight="1">
      <c r="B41" s="879"/>
      <c r="C41" s="880"/>
      <c r="D41" s="384">
        <v>11</v>
      </c>
      <c r="E41" s="387" t="s">
        <v>368</v>
      </c>
      <c r="F41" s="388">
        <v>3767.6726999999973</v>
      </c>
      <c r="G41" s="389">
        <v>770.48</v>
      </c>
      <c r="H41" s="389">
        <v>777.93000000000006</v>
      </c>
      <c r="I41" s="390">
        <f t="shared" si="23"/>
        <v>1.0096692970615722</v>
      </c>
      <c r="J41" s="389">
        <v>2.4000000000000004</v>
      </c>
      <c r="K41" s="390">
        <f t="shared" si="24"/>
        <v>3.1149413352715193E-3</v>
      </c>
      <c r="L41" s="389">
        <v>426.69</v>
      </c>
      <c r="M41" s="390">
        <f t="shared" si="25"/>
        <v>1.0127842383968435</v>
      </c>
      <c r="N41" s="391">
        <v>4202.896499999998</v>
      </c>
      <c r="O41" s="389">
        <v>1.02</v>
      </c>
      <c r="P41" s="390">
        <f t="shared" si="17"/>
        <v>1.3238500674903955E-3</v>
      </c>
      <c r="Q41" s="404">
        <f t="shared" si="18"/>
        <v>435.22379999999998</v>
      </c>
      <c r="R41" s="392">
        <f t="shared" si="19"/>
        <v>8.8300000000000232</v>
      </c>
      <c r="S41" s="390">
        <f t="shared" si="20"/>
        <v>1.146038832935316E-2</v>
      </c>
      <c r="T41" s="394" t="s">
        <v>174</v>
      </c>
      <c r="U41" s="394" t="s">
        <v>457</v>
      </c>
      <c r="V41" s="395" t="s">
        <v>573</v>
      </c>
      <c r="W41" s="395" t="s">
        <v>684</v>
      </c>
      <c r="X41" s="395">
        <v>1</v>
      </c>
      <c r="Y41" s="396" t="s">
        <v>369</v>
      </c>
    </row>
    <row r="42" spans="2:34" s="148" customFormat="1" ht="27" customHeight="1">
      <c r="B42" s="879"/>
      <c r="C42" s="880"/>
      <c r="D42" s="384">
        <v>12</v>
      </c>
      <c r="E42" s="387" t="s">
        <v>544</v>
      </c>
      <c r="F42" s="388">
        <v>3687.3607999999958</v>
      </c>
      <c r="G42" s="389">
        <v>835.5</v>
      </c>
      <c r="H42" s="389">
        <v>813.44999999999993</v>
      </c>
      <c r="I42" s="390">
        <f t="shared" si="23"/>
        <v>0.97360861759425488</v>
      </c>
      <c r="J42" s="389">
        <v>52.489999999999995</v>
      </c>
      <c r="K42" s="390">
        <f t="shared" si="24"/>
        <v>6.2824655894673842E-2</v>
      </c>
      <c r="L42" s="389">
        <v>128.38999999999999</v>
      </c>
      <c r="M42" s="390">
        <f t="shared" si="25"/>
        <v>1.0364332734889288</v>
      </c>
      <c r="N42" s="391">
        <v>3908.191599999996</v>
      </c>
      <c r="O42" s="389">
        <v>1.72</v>
      </c>
      <c r="P42" s="390">
        <f t="shared" si="17"/>
        <v>2.058647516457211E-3</v>
      </c>
      <c r="Q42" s="404">
        <f t="shared" si="18"/>
        <v>220.83079999999998</v>
      </c>
      <c r="R42" s="392">
        <f t="shared" si="19"/>
        <v>28.719999999999942</v>
      </c>
      <c r="S42" s="390">
        <f t="shared" si="20"/>
        <v>3.4374625972471505E-2</v>
      </c>
      <c r="T42" s="394" t="s">
        <v>174</v>
      </c>
      <c r="U42" s="394" t="s">
        <v>457</v>
      </c>
      <c r="V42" s="395" t="s">
        <v>565</v>
      </c>
      <c r="W42" s="395" t="s">
        <v>566</v>
      </c>
      <c r="X42" s="395">
        <v>1</v>
      </c>
      <c r="Y42" s="396" t="s">
        <v>358</v>
      </c>
    </row>
    <row r="43" spans="2:34" s="148" customFormat="1" ht="27" customHeight="1">
      <c r="B43" s="879"/>
      <c r="C43" s="880"/>
      <c r="D43" s="384">
        <v>13</v>
      </c>
      <c r="E43" s="387" t="s">
        <v>581</v>
      </c>
      <c r="F43" s="388">
        <v>3672.8499999999958</v>
      </c>
      <c r="G43" s="389">
        <v>65.5</v>
      </c>
      <c r="H43" s="389">
        <v>66.03</v>
      </c>
      <c r="I43" s="390">
        <f t="shared" si="23"/>
        <v>1.008091603053435</v>
      </c>
      <c r="J43" s="389">
        <v>0.96</v>
      </c>
      <c r="K43" s="390">
        <f t="shared" si="24"/>
        <v>1.465648854961832E-2</v>
      </c>
      <c r="L43" s="389">
        <v>2465</v>
      </c>
      <c r="M43" s="390">
        <f t="shared" si="25"/>
        <v>1.0227480916030534</v>
      </c>
      <c r="N43" s="391">
        <v>3672.8499999999958</v>
      </c>
      <c r="O43" s="389">
        <v>0</v>
      </c>
      <c r="P43" s="390">
        <f t="shared" si="17"/>
        <v>0</v>
      </c>
      <c r="Q43" s="404">
        <f t="shared" si="18"/>
        <v>0</v>
      </c>
      <c r="R43" s="392">
        <f t="shared" si="19"/>
        <v>1.4899999999999949</v>
      </c>
      <c r="S43" s="390">
        <f t="shared" si="20"/>
        <v>2.2748091603053355E-2</v>
      </c>
      <c r="T43" s="394" t="s">
        <v>174</v>
      </c>
      <c r="U43" s="394" t="s">
        <v>457</v>
      </c>
      <c r="V43" s="395" t="s">
        <v>573</v>
      </c>
      <c r="W43" s="395" t="s">
        <v>680</v>
      </c>
      <c r="X43" s="395">
        <v>1</v>
      </c>
      <c r="Y43" s="396" t="s">
        <v>517</v>
      </c>
    </row>
    <row r="44" spans="2:34" s="148" customFormat="1" ht="27" customHeight="1">
      <c r="B44" s="879"/>
      <c r="C44" s="880"/>
      <c r="D44" s="384">
        <v>14</v>
      </c>
      <c r="E44" s="387" t="s">
        <v>338</v>
      </c>
      <c r="F44" s="388">
        <v>3503.2758000000026</v>
      </c>
      <c r="G44" s="389">
        <v>1840.58</v>
      </c>
      <c r="H44" s="389">
        <v>1742.3900000000003</v>
      </c>
      <c r="I44" s="390">
        <f t="shared" si="23"/>
        <v>0.94665268556650639</v>
      </c>
      <c r="J44" s="389">
        <v>155.90000000000003</v>
      </c>
      <c r="K44" s="390">
        <f t="shared" si="24"/>
        <v>8.4701561464321048E-2</v>
      </c>
      <c r="L44" s="389">
        <v>70.220000000000013</v>
      </c>
      <c r="M44" s="390">
        <f t="shared" si="25"/>
        <v>1.0313542470308275</v>
      </c>
      <c r="N44" s="391">
        <v>4052.3962000000029</v>
      </c>
      <c r="O44" s="389">
        <v>7.82</v>
      </c>
      <c r="P44" s="390">
        <f t="shared" si="17"/>
        <v>4.2486607482424025E-3</v>
      </c>
      <c r="Q44" s="404">
        <f t="shared" si="18"/>
        <v>549.12040000000013</v>
      </c>
      <c r="R44" s="392">
        <f t="shared" si="19"/>
        <v>49.890000000000491</v>
      </c>
      <c r="S44" s="390">
        <f t="shared" si="20"/>
        <v>2.7105586282585106E-2</v>
      </c>
      <c r="T44" s="394" t="s">
        <v>174</v>
      </c>
      <c r="U44" s="394" t="s">
        <v>457</v>
      </c>
      <c r="V44" s="395" t="s">
        <v>564</v>
      </c>
      <c r="W44" s="395" t="s">
        <v>683</v>
      </c>
      <c r="X44" s="395">
        <v>1</v>
      </c>
      <c r="Y44" s="396" t="s">
        <v>345</v>
      </c>
      <c r="AC44" s="401"/>
    </row>
    <row r="45" spans="2:34" s="148" customFormat="1" ht="27" customHeight="1">
      <c r="B45" s="879"/>
      <c r="C45" s="880"/>
      <c r="D45" s="384">
        <v>15</v>
      </c>
      <c r="E45" s="387" t="s">
        <v>518</v>
      </c>
      <c r="F45" s="388">
        <v>2829.9080000000004</v>
      </c>
      <c r="G45" s="389">
        <v>1361.18</v>
      </c>
      <c r="H45" s="389">
        <v>1355.1400000000003</v>
      </c>
      <c r="I45" s="390">
        <f t="shared" si="23"/>
        <v>0.99556267356264438</v>
      </c>
      <c r="J45" s="389">
        <v>23.1</v>
      </c>
      <c r="K45" s="390">
        <f t="shared" si="24"/>
        <v>1.6970569652801245E-2</v>
      </c>
      <c r="L45" s="389">
        <v>191.21</v>
      </c>
      <c r="M45" s="390">
        <f t="shared" si="25"/>
        <v>1.0125332432154455</v>
      </c>
      <c r="N45" s="391">
        <v>3262.0426000000007</v>
      </c>
      <c r="O45" s="389">
        <v>2.2599999999999998</v>
      </c>
      <c r="P45" s="390">
        <f t="shared" si="17"/>
        <v>1.6603241305338013E-3</v>
      </c>
      <c r="Q45" s="404">
        <f t="shared" si="18"/>
        <v>432.13459999999998</v>
      </c>
      <c r="R45" s="392">
        <f t="shared" si="19"/>
        <v>14.800000000000173</v>
      </c>
      <c r="S45" s="390">
        <f t="shared" si="20"/>
        <v>1.0872919084911748E-2</v>
      </c>
      <c r="T45" s="394" t="s">
        <v>174</v>
      </c>
      <c r="U45" s="394" t="s">
        <v>457</v>
      </c>
      <c r="V45" s="395" t="s">
        <v>578</v>
      </c>
      <c r="W45" s="395" t="s">
        <v>685</v>
      </c>
      <c r="X45" s="395">
        <v>1</v>
      </c>
      <c r="Y45" s="396" t="s">
        <v>519</v>
      </c>
      <c r="AC45" s="400"/>
    </row>
    <row r="46" spans="2:34" s="148" customFormat="1" ht="27" customHeight="1">
      <c r="B46" s="879"/>
      <c r="C46" s="880"/>
      <c r="D46" s="384">
        <v>16</v>
      </c>
      <c r="E46" s="387" t="s">
        <v>676</v>
      </c>
      <c r="F46" s="388">
        <v>2576.6000000000004</v>
      </c>
      <c r="G46" s="389">
        <v>304.88</v>
      </c>
      <c r="H46" s="389">
        <v>297.32</v>
      </c>
      <c r="I46" s="390">
        <f t="shared" si="23"/>
        <v>0.97520335869850427</v>
      </c>
      <c r="J46" s="389">
        <v>30.44</v>
      </c>
      <c r="K46" s="390">
        <f t="shared" si="24"/>
        <v>9.9842561007609562E-2</v>
      </c>
      <c r="L46" s="389">
        <v>130</v>
      </c>
      <c r="M46" s="390">
        <f t="shared" si="25"/>
        <v>1.075045919706114</v>
      </c>
      <c r="N46" s="391">
        <v>2974.4</v>
      </c>
      <c r="O46" s="389">
        <v>3.06</v>
      </c>
      <c r="P46" s="390">
        <f t="shared" si="17"/>
        <v>1.0036735764891105E-2</v>
      </c>
      <c r="Q46" s="404">
        <f t="shared" si="18"/>
        <v>397.8</v>
      </c>
      <c r="R46" s="392">
        <f t="shared" si="19"/>
        <v>19.819999999999997</v>
      </c>
      <c r="S46" s="390">
        <f t="shared" si="20"/>
        <v>6.5009183941222765E-2</v>
      </c>
      <c r="T46" s="394" t="s">
        <v>174</v>
      </c>
      <c r="U46" s="394" t="s">
        <v>457</v>
      </c>
      <c r="V46" s="395" t="s">
        <v>575</v>
      </c>
      <c r="W46" s="395" t="s">
        <v>686</v>
      </c>
      <c r="X46" s="395">
        <v>1</v>
      </c>
      <c r="Y46" s="396" t="s">
        <v>618</v>
      </c>
      <c r="AC46" s="400"/>
    </row>
    <row r="47" spans="2:34" s="148" customFormat="1" ht="27" customHeight="1">
      <c r="B47" s="879"/>
      <c r="C47" s="880"/>
      <c r="D47" s="384">
        <v>17</v>
      </c>
      <c r="E47" s="387" t="s">
        <v>528</v>
      </c>
      <c r="F47" s="388">
        <v>2537.6483999999973</v>
      </c>
      <c r="G47" s="389">
        <v>1155.76</v>
      </c>
      <c r="H47" s="389">
        <v>1159.5200000000002</v>
      </c>
      <c r="I47" s="390">
        <f t="shared" si="23"/>
        <v>1.0032532705752062</v>
      </c>
      <c r="J47" s="389">
        <v>6.75</v>
      </c>
      <c r="K47" s="390">
        <f t="shared" si="24"/>
        <v>5.840312867723403E-3</v>
      </c>
      <c r="L47" s="389">
        <v>266.27999999999997</v>
      </c>
      <c r="M47" s="390">
        <f t="shared" si="25"/>
        <v>1.0090935834429295</v>
      </c>
      <c r="N47" s="391">
        <v>2798.6027999999974</v>
      </c>
      <c r="O47" s="389">
        <v>0.98</v>
      </c>
      <c r="P47" s="390">
        <f t="shared" si="17"/>
        <v>8.4792690523984222E-4</v>
      </c>
      <c r="Q47" s="404">
        <f t="shared" si="18"/>
        <v>260.95439999999996</v>
      </c>
      <c r="R47" s="392">
        <f t="shared" si="19"/>
        <v>9.5300000000002179</v>
      </c>
      <c r="S47" s="390">
        <f t="shared" si="20"/>
        <v>8.2456565376896745E-3</v>
      </c>
      <c r="T47" s="394" t="s">
        <v>174</v>
      </c>
      <c r="U47" s="394" t="s">
        <v>457</v>
      </c>
      <c r="V47" s="395" t="s">
        <v>573</v>
      </c>
      <c r="W47" s="395" t="s">
        <v>687</v>
      </c>
      <c r="X47" s="395">
        <v>1</v>
      </c>
      <c r="Y47" s="396" t="s">
        <v>529</v>
      </c>
      <c r="AB47" s="402"/>
      <c r="AC47" s="400"/>
    </row>
    <row r="48" spans="2:34" s="148" customFormat="1" ht="27" customHeight="1">
      <c r="B48" s="879"/>
      <c r="C48" s="880"/>
      <c r="D48" s="384">
        <v>18</v>
      </c>
      <c r="E48" s="387" t="s">
        <v>510</v>
      </c>
      <c r="F48" s="388">
        <v>2503.6440000000007</v>
      </c>
      <c r="G48" s="389">
        <v>732.4</v>
      </c>
      <c r="H48" s="389">
        <v>693</v>
      </c>
      <c r="I48" s="390">
        <f t="shared" si="23"/>
        <v>0.94620425996723101</v>
      </c>
      <c r="J48" s="389">
        <v>56.88</v>
      </c>
      <c r="K48" s="390">
        <f t="shared" si="24"/>
        <v>7.7662479519388317E-2</v>
      </c>
      <c r="L48" s="389">
        <v>160.49</v>
      </c>
      <c r="M48" s="390">
        <f t="shared" si="25"/>
        <v>1.0238667394866194</v>
      </c>
      <c r="N48" s="391">
        <v>2805.3652000000006</v>
      </c>
      <c r="O48" s="389">
        <v>1.88</v>
      </c>
      <c r="P48" s="390">
        <f t="shared" si="17"/>
        <v>2.5669033315128343E-3</v>
      </c>
      <c r="Q48" s="404">
        <f t="shared" si="18"/>
        <v>301.72120000000001</v>
      </c>
      <c r="R48" s="392">
        <f t="shared" si="19"/>
        <v>15.600000000000019</v>
      </c>
      <c r="S48" s="390">
        <f t="shared" si="20"/>
        <v>2.1299836155106527E-2</v>
      </c>
      <c r="T48" s="394" t="s">
        <v>174</v>
      </c>
      <c r="U48" s="394" t="s">
        <v>457</v>
      </c>
      <c r="V48" s="395" t="s">
        <v>681</v>
      </c>
      <c r="W48" s="395" t="s">
        <v>682</v>
      </c>
      <c r="X48" s="395">
        <v>1</v>
      </c>
      <c r="Y48" s="396" t="s">
        <v>462</v>
      </c>
      <c r="AC48" s="400"/>
    </row>
    <row r="49" spans="2:34" s="148" customFormat="1" ht="27" customHeight="1">
      <c r="B49" s="879"/>
      <c r="C49" s="880"/>
      <c r="D49" s="384">
        <v>19</v>
      </c>
      <c r="E49" s="387" t="s">
        <v>586</v>
      </c>
      <c r="F49" s="388">
        <v>2468.2553999999996</v>
      </c>
      <c r="G49" s="389">
        <v>807.42</v>
      </c>
      <c r="H49" s="389">
        <v>795.99999999999989</v>
      </c>
      <c r="I49" s="390">
        <f t="shared" si="23"/>
        <v>0.98585618389437957</v>
      </c>
      <c r="J49" s="389">
        <v>34.5</v>
      </c>
      <c r="K49" s="390">
        <f t="shared" si="24"/>
        <v>4.2728691387382035E-2</v>
      </c>
      <c r="L49" s="389">
        <v>122.06999999999996</v>
      </c>
      <c r="M49" s="390">
        <f t="shared" si="25"/>
        <v>1.0285848752817617</v>
      </c>
      <c r="N49" s="391">
        <v>2817.3755999999994</v>
      </c>
      <c r="O49" s="389">
        <v>2.8600000000000003</v>
      </c>
      <c r="P49" s="390">
        <f t="shared" si="17"/>
        <v>3.5421465903742793E-3</v>
      </c>
      <c r="Q49" s="404">
        <f t="shared" si="18"/>
        <v>349.12019999999995</v>
      </c>
      <c r="R49" s="392">
        <f t="shared" si="19"/>
        <v>20.219999999999928</v>
      </c>
      <c r="S49" s="390">
        <f t="shared" si="20"/>
        <v>2.5042728691387295E-2</v>
      </c>
      <c r="T49" s="394" t="s">
        <v>174</v>
      </c>
      <c r="U49" s="394" t="s">
        <v>457</v>
      </c>
      <c r="V49" s="395" t="s">
        <v>681</v>
      </c>
      <c r="W49" s="395" t="s">
        <v>682</v>
      </c>
      <c r="X49" s="395">
        <v>1</v>
      </c>
      <c r="Y49" s="396" t="s">
        <v>361</v>
      </c>
      <c r="AB49" s="403"/>
      <c r="AC49" s="400"/>
    </row>
    <row r="50" spans="2:34" s="148" customFormat="1" ht="27" customHeight="1">
      <c r="B50" s="881"/>
      <c r="C50" s="882"/>
      <c r="D50" s="384">
        <v>20</v>
      </c>
      <c r="E50" s="387" t="s">
        <v>497</v>
      </c>
      <c r="F50" s="388">
        <v>2368.6384000000048</v>
      </c>
      <c r="G50" s="389">
        <v>367.32</v>
      </c>
      <c r="H50" s="389">
        <v>362.86</v>
      </c>
      <c r="I50" s="390">
        <f t="shared" si="23"/>
        <v>0.98785799847544375</v>
      </c>
      <c r="J50" s="389">
        <v>13.92</v>
      </c>
      <c r="K50" s="390">
        <f t="shared" si="24"/>
        <v>3.789611238157465E-2</v>
      </c>
      <c r="L50" s="389">
        <v>327.16000000000003</v>
      </c>
      <c r="M50" s="390">
        <f t="shared" si="25"/>
        <v>1.0257541108570185</v>
      </c>
      <c r="N50" s="391">
        <v>3094.9336000000053</v>
      </c>
      <c r="O50" s="389">
        <v>2.2200000000000002</v>
      </c>
      <c r="P50" s="390">
        <f t="shared" si="17"/>
        <v>6.0437765436131986E-3</v>
      </c>
      <c r="Q50" s="404">
        <f t="shared" si="18"/>
        <v>726.29520000000014</v>
      </c>
      <c r="R50" s="392">
        <f t="shared" si="19"/>
        <v>7.2400000000000357</v>
      </c>
      <c r="S50" s="390">
        <f t="shared" si="20"/>
        <v>1.9710334313405301E-2</v>
      </c>
      <c r="T50" s="394" t="s">
        <v>174</v>
      </c>
      <c r="U50" s="394" t="s">
        <v>216</v>
      </c>
      <c r="V50" s="395" t="s">
        <v>575</v>
      </c>
      <c r="W50" s="395" t="s">
        <v>576</v>
      </c>
      <c r="X50" s="395">
        <v>1</v>
      </c>
      <c r="Y50" s="396" t="s">
        <v>495</v>
      </c>
      <c r="AB50" s="403"/>
      <c r="AC50" s="400"/>
    </row>
    <row r="51" spans="2:34" ht="16.5" customHeight="1">
      <c r="B51" s="899" t="s">
        <v>475</v>
      </c>
      <c r="C51" s="900"/>
      <c r="D51" s="905" t="s">
        <v>170</v>
      </c>
      <c r="E51" s="905"/>
      <c r="F51" s="905"/>
      <c r="G51" s="905" t="s">
        <v>184</v>
      </c>
      <c r="H51" s="905"/>
      <c r="I51" s="905"/>
      <c r="J51" s="905"/>
      <c r="K51" s="905"/>
      <c r="L51" s="905"/>
      <c r="M51" s="905"/>
      <c r="N51" s="905"/>
      <c r="O51" s="905"/>
      <c r="P51" s="905"/>
      <c r="Q51" s="905"/>
      <c r="R51" s="905"/>
      <c r="S51" s="905"/>
      <c r="T51" s="905" t="s">
        <v>171</v>
      </c>
      <c r="U51" s="890" t="s">
        <v>245</v>
      </c>
      <c r="V51" s="910" t="s">
        <v>483</v>
      </c>
      <c r="W51" s="910" t="s">
        <v>477</v>
      </c>
      <c r="X51" s="886" t="s">
        <v>246</v>
      </c>
      <c r="Y51" s="889" t="s">
        <v>172</v>
      </c>
      <c r="AA51" s="905" t="s">
        <v>247</v>
      </c>
      <c r="AB51" s="905"/>
      <c r="AC51" s="905"/>
      <c r="AD51" s="905"/>
      <c r="AE51" s="905"/>
      <c r="AF51" s="905"/>
      <c r="AG51" s="905"/>
      <c r="AH51" s="905"/>
    </row>
    <row r="52" spans="2:34" ht="17.100000000000001" customHeight="1">
      <c r="B52" s="901"/>
      <c r="C52" s="902"/>
      <c r="D52" s="906" t="s">
        <v>169</v>
      </c>
      <c r="E52" s="905" t="s">
        <v>173</v>
      </c>
      <c r="F52" s="905"/>
      <c r="G52" s="905" t="s">
        <v>185</v>
      </c>
      <c r="H52" s="905"/>
      <c r="I52" s="905"/>
      <c r="J52" s="905"/>
      <c r="K52" s="905"/>
      <c r="L52" s="905"/>
      <c r="M52" s="905"/>
      <c r="N52" s="905"/>
      <c r="O52" s="905" t="s">
        <v>174</v>
      </c>
      <c r="P52" s="905"/>
      <c r="Q52" s="905"/>
      <c r="R52" s="905"/>
      <c r="S52" s="905"/>
      <c r="T52" s="905"/>
      <c r="U52" s="893"/>
      <c r="V52" s="887"/>
      <c r="W52" s="911"/>
      <c r="X52" s="887"/>
      <c r="Y52" s="889"/>
      <c r="AA52" s="905"/>
      <c r="AB52" s="905"/>
      <c r="AC52" s="905"/>
      <c r="AD52" s="905"/>
      <c r="AE52" s="905"/>
      <c r="AF52" s="905"/>
      <c r="AG52" s="905"/>
      <c r="AH52" s="905"/>
    </row>
    <row r="53" spans="2:34" ht="17.100000000000001" customHeight="1">
      <c r="B53" s="901"/>
      <c r="C53" s="902"/>
      <c r="D53" s="906"/>
      <c r="E53" s="906" t="s">
        <v>175</v>
      </c>
      <c r="F53" s="913" t="s">
        <v>484</v>
      </c>
      <c r="G53" s="907" t="s">
        <v>186</v>
      </c>
      <c r="H53" s="907"/>
      <c r="I53" s="907"/>
      <c r="J53" s="907"/>
      <c r="K53" s="907"/>
      <c r="L53" s="907"/>
      <c r="M53" s="907"/>
      <c r="N53" s="907"/>
      <c r="O53" s="914" t="s">
        <v>168</v>
      </c>
      <c r="P53" s="915"/>
      <c r="Q53" s="916"/>
      <c r="R53" s="907" t="s">
        <v>176</v>
      </c>
      <c r="S53" s="907"/>
      <c r="T53" s="905"/>
      <c r="U53" s="893"/>
      <c r="V53" s="887"/>
      <c r="W53" s="911"/>
      <c r="X53" s="887"/>
      <c r="Y53" s="889"/>
      <c r="AA53" s="905"/>
      <c r="AB53" s="905"/>
      <c r="AC53" s="905"/>
      <c r="AD53" s="905"/>
      <c r="AE53" s="905"/>
      <c r="AF53" s="905"/>
      <c r="AG53" s="905"/>
      <c r="AH53" s="905"/>
    </row>
    <row r="54" spans="2:34" ht="38.450000000000003" customHeight="1">
      <c r="B54" s="903"/>
      <c r="C54" s="904"/>
      <c r="D54" s="906"/>
      <c r="E54" s="906"/>
      <c r="F54" s="913"/>
      <c r="G54" s="385" t="s">
        <v>177</v>
      </c>
      <c r="H54" s="385" t="s">
        <v>252</v>
      </c>
      <c r="I54" s="385" t="s">
        <v>253</v>
      </c>
      <c r="J54" s="385" t="s">
        <v>178</v>
      </c>
      <c r="K54" s="385" t="s">
        <v>250</v>
      </c>
      <c r="L54" s="385" t="s">
        <v>179</v>
      </c>
      <c r="M54" s="385" t="s">
        <v>187</v>
      </c>
      <c r="N54" s="385" t="s">
        <v>180</v>
      </c>
      <c r="O54" s="386" t="s">
        <v>181</v>
      </c>
      <c r="P54" s="386" t="s">
        <v>182</v>
      </c>
      <c r="Q54" s="385" t="s">
        <v>183</v>
      </c>
      <c r="R54" s="386" t="s">
        <v>181</v>
      </c>
      <c r="S54" s="386" t="s">
        <v>182</v>
      </c>
      <c r="T54" s="905"/>
      <c r="U54" s="896"/>
      <c r="V54" s="888"/>
      <c r="W54" s="912"/>
      <c r="X54" s="888"/>
      <c r="Y54" s="889"/>
      <c r="AA54" s="161" t="s">
        <v>244</v>
      </c>
      <c r="AB54" s="161" t="s">
        <v>478</v>
      </c>
      <c r="AC54" s="156" t="s">
        <v>394</v>
      </c>
      <c r="AD54" s="156" t="s">
        <v>339</v>
      </c>
      <c r="AE54" s="156" t="s">
        <v>457</v>
      </c>
      <c r="AF54" s="156" t="s">
        <v>215</v>
      </c>
      <c r="AG54" s="156" t="s">
        <v>216</v>
      </c>
      <c r="AH54" s="156" t="s">
        <v>395</v>
      </c>
    </row>
    <row r="55" spans="2:34" s="148" customFormat="1" ht="27" customHeight="1">
      <c r="B55" s="877" t="s">
        <v>661</v>
      </c>
      <c r="C55" s="878"/>
      <c r="D55" s="384">
        <v>1</v>
      </c>
      <c r="E55" s="387" t="s">
        <v>337</v>
      </c>
      <c r="F55" s="388">
        <v>22238.341199999988</v>
      </c>
      <c r="G55" s="389">
        <v>5385.91</v>
      </c>
      <c r="H55" s="389">
        <v>5383.23</v>
      </c>
      <c r="I55" s="390">
        <f>H55/G55</f>
        <v>0.99950240535025647</v>
      </c>
      <c r="J55" s="389">
        <v>153.52000000000001</v>
      </c>
      <c r="K55" s="390">
        <f>J55/G55</f>
        <v>2.8504003965903628E-2</v>
      </c>
      <c r="L55" s="389">
        <v>147.43000000000004</v>
      </c>
      <c r="M55" s="390">
        <f>(H55+J55)/G55</f>
        <v>1.0280064093161601</v>
      </c>
      <c r="N55" s="391">
        <v>22238.341199999988</v>
      </c>
      <c r="O55" s="389">
        <v>0</v>
      </c>
      <c r="P55" s="390">
        <f>O55/G55</f>
        <v>0</v>
      </c>
      <c r="Q55" s="404">
        <f>O55*L55</f>
        <v>0</v>
      </c>
      <c r="R55" s="392">
        <f>((H55+J55)-G55)-O55</f>
        <v>150.84000000000015</v>
      </c>
      <c r="S55" s="390">
        <f>R55/G55</f>
        <v>2.8006409316160157E-2</v>
      </c>
      <c r="T55" s="394" t="s">
        <v>174</v>
      </c>
      <c r="U55" s="394" t="s">
        <v>215</v>
      </c>
      <c r="V55" s="395" t="s">
        <v>562</v>
      </c>
      <c r="W55" s="395" t="s">
        <v>677</v>
      </c>
      <c r="X55" s="395">
        <v>1</v>
      </c>
      <c r="Y55" s="396" t="s">
        <v>342</v>
      </c>
      <c r="Z55" s="397" t="s">
        <v>479</v>
      </c>
      <c r="AA55" s="398">
        <f>SUM(X55:X74)</f>
        <v>20</v>
      </c>
      <c r="AB55" s="399">
        <f>SUMIF($U$55:$U$74,TRIM(AB54),$X$55:$X$74)</f>
        <v>0</v>
      </c>
      <c r="AC55" s="399">
        <f t="shared" ref="AC55:AH55" si="26">SUMIF($U$55:$U$74,TRIM(AC54),$X$55:$X$74)</f>
        <v>0</v>
      </c>
      <c r="AD55" s="399">
        <f t="shared" si="26"/>
        <v>0</v>
      </c>
      <c r="AE55" s="399">
        <f t="shared" si="26"/>
        <v>16</v>
      </c>
      <c r="AF55" s="399">
        <f t="shared" si="26"/>
        <v>1</v>
      </c>
      <c r="AG55" s="399">
        <f t="shared" si="26"/>
        <v>3</v>
      </c>
      <c r="AH55" s="399">
        <f t="shared" si="26"/>
        <v>0</v>
      </c>
    </row>
    <row r="56" spans="2:34" s="148" customFormat="1" ht="27" customHeight="1">
      <c r="B56" s="879"/>
      <c r="C56" s="880"/>
      <c r="D56" s="384">
        <v>2</v>
      </c>
      <c r="E56" s="387" t="s">
        <v>726</v>
      </c>
      <c r="F56" s="388">
        <v>9822.6842999999735</v>
      </c>
      <c r="G56" s="389">
        <v>25172.1</v>
      </c>
      <c r="H56" s="389">
        <v>25100.99</v>
      </c>
      <c r="I56" s="390">
        <f t="shared" ref="I56:I57" si="27">H56/G56</f>
        <v>0.99717504697661308</v>
      </c>
      <c r="J56" s="389">
        <v>324.60000000000002</v>
      </c>
      <c r="K56" s="390">
        <f t="shared" ref="K56:K61" si="28">J56/G56</f>
        <v>1.2895229241898771E-2</v>
      </c>
      <c r="L56" s="389">
        <v>39.389999999999993</v>
      </c>
      <c r="M56" s="390">
        <f t="shared" ref="M56:M61" si="29">(H56+J56)/G56</f>
        <v>1.0100702762185119</v>
      </c>
      <c r="N56" s="391">
        <v>9984.9710999999734</v>
      </c>
      <c r="O56" s="389">
        <v>4.12</v>
      </c>
      <c r="P56" s="390">
        <f t="shared" ref="P56:P74" si="30">O56/G56</f>
        <v>1.636732731873781E-4</v>
      </c>
      <c r="Q56" s="404">
        <f t="shared" ref="Q56:Q74" si="31">O56*L56</f>
        <v>162.28679999999997</v>
      </c>
      <c r="R56" s="392">
        <f t="shared" ref="R56:R74" si="32">((H56+J56)-G56)-O56</f>
        <v>249.3700000000016</v>
      </c>
      <c r="S56" s="390">
        <f t="shared" ref="S56:S74" si="33">R56/G56</f>
        <v>9.9066029453244511E-3</v>
      </c>
      <c r="T56" s="394" t="s">
        <v>174</v>
      </c>
      <c r="U56" s="394" t="s">
        <v>216</v>
      </c>
      <c r="V56" s="395" t="s">
        <v>743</v>
      </c>
      <c r="W56" s="395" t="s">
        <v>744</v>
      </c>
      <c r="X56" s="395">
        <v>1</v>
      </c>
      <c r="Y56" s="396" t="s">
        <v>342</v>
      </c>
      <c r="AA56" s="398"/>
      <c r="AB56" s="405">
        <f>SUMIF($U$55:$U$74,TRIM(AB54),$F$55:$F$74)</f>
        <v>0</v>
      </c>
      <c r="AC56" s="405">
        <f t="shared" ref="AC56:AF56" si="34">SUMIF($U$55:$U$74,TRIM(AC54),$F$55:$F$74)</f>
        <v>0</v>
      </c>
      <c r="AD56" s="405">
        <f t="shared" si="34"/>
        <v>0</v>
      </c>
      <c r="AE56" s="405">
        <f t="shared" si="34"/>
        <v>64632.062299999998</v>
      </c>
      <c r="AF56" s="405">
        <f t="shared" si="34"/>
        <v>22238.341199999988</v>
      </c>
      <c r="AG56" s="405">
        <f>SUMIF($U$55:$U$74,TRIM(AG54),$F$55:$F$74)</f>
        <v>17965.214300000003</v>
      </c>
      <c r="AH56" s="405">
        <f t="shared" ref="AH56" si="35">SUMIF($U$55:$U$74,TRIM(AH54),$G$55:$G$74)</f>
        <v>0</v>
      </c>
    </row>
    <row r="57" spans="2:34" s="148" customFormat="1" ht="27" customHeight="1">
      <c r="B57" s="879"/>
      <c r="C57" s="880"/>
      <c r="D57" s="384">
        <v>3</v>
      </c>
      <c r="E57" s="387" t="s">
        <v>368</v>
      </c>
      <c r="F57" s="388">
        <v>6869.7090000000153</v>
      </c>
      <c r="G57" s="389">
        <v>817.05000000000007</v>
      </c>
      <c r="H57" s="389">
        <v>817.20999999999992</v>
      </c>
      <c r="I57" s="390">
        <f t="shared" si="27"/>
        <v>1.0001958264488096</v>
      </c>
      <c r="J57" s="389">
        <v>16.3</v>
      </c>
      <c r="K57" s="390">
        <f t="shared" si="28"/>
        <v>1.9949819472492504E-2</v>
      </c>
      <c r="L57" s="389">
        <v>426.69</v>
      </c>
      <c r="M57" s="390">
        <f t="shared" si="29"/>
        <v>1.0201456459213021</v>
      </c>
      <c r="N57" s="391">
        <v>7023.3174000000154</v>
      </c>
      <c r="O57" s="389">
        <v>0.36</v>
      </c>
      <c r="P57" s="390">
        <f t="shared" si="30"/>
        <v>4.4060950982192026E-4</v>
      </c>
      <c r="Q57" s="404">
        <f t="shared" si="31"/>
        <v>153.60839999999999</v>
      </c>
      <c r="R57" s="392">
        <f t="shared" si="32"/>
        <v>16.09999999999981</v>
      </c>
      <c r="S57" s="390">
        <f t="shared" si="33"/>
        <v>1.9705036411480092E-2</v>
      </c>
      <c r="T57" s="394" t="s">
        <v>174</v>
      </c>
      <c r="U57" s="394" t="s">
        <v>457</v>
      </c>
      <c r="V57" s="395" t="s">
        <v>573</v>
      </c>
      <c r="W57" s="395" t="s">
        <v>680</v>
      </c>
      <c r="X57" s="395">
        <v>1</v>
      </c>
      <c r="Y57" s="396" t="s">
        <v>369</v>
      </c>
      <c r="AA57" s="384"/>
      <c r="AB57" s="406">
        <f>AB55/$AA55</f>
        <v>0</v>
      </c>
      <c r="AC57" s="406">
        <f t="shared" ref="AC57:AH57" si="36">AC55/$AA55</f>
        <v>0</v>
      </c>
      <c r="AD57" s="406">
        <f t="shared" si="36"/>
        <v>0</v>
      </c>
      <c r="AE57" s="406">
        <f t="shared" si="36"/>
        <v>0.8</v>
      </c>
      <c r="AF57" s="406">
        <f t="shared" si="36"/>
        <v>0.05</v>
      </c>
      <c r="AG57" s="406">
        <f t="shared" si="36"/>
        <v>0.15</v>
      </c>
      <c r="AH57" s="406">
        <f t="shared" si="36"/>
        <v>0</v>
      </c>
    </row>
    <row r="58" spans="2:34" s="148" customFormat="1" ht="27" customHeight="1">
      <c r="B58" s="879"/>
      <c r="C58" s="880"/>
      <c r="D58" s="384">
        <v>4</v>
      </c>
      <c r="E58" s="387" t="s">
        <v>727</v>
      </c>
      <c r="F58" s="388">
        <v>5492.4799999999832</v>
      </c>
      <c r="G58" s="389">
        <v>424</v>
      </c>
      <c r="H58" s="389">
        <v>424.13</v>
      </c>
      <c r="I58" s="390">
        <f>H58/G58</f>
        <v>1.0003066037735848</v>
      </c>
      <c r="J58" s="389">
        <v>6</v>
      </c>
      <c r="K58" s="390">
        <f t="shared" si="28"/>
        <v>1.4150943396226415E-2</v>
      </c>
      <c r="L58" s="389">
        <v>896</v>
      </c>
      <c r="M58" s="390">
        <f t="shared" si="29"/>
        <v>1.0144575471698114</v>
      </c>
      <c r="N58" s="391">
        <v>5492.4799999999832</v>
      </c>
      <c r="O58" s="389">
        <v>0</v>
      </c>
      <c r="P58" s="390">
        <f t="shared" si="30"/>
        <v>0</v>
      </c>
      <c r="Q58" s="404">
        <f t="shared" si="31"/>
        <v>0</v>
      </c>
      <c r="R58" s="392">
        <f t="shared" si="32"/>
        <v>6.1299999999999955</v>
      </c>
      <c r="S58" s="390">
        <f t="shared" si="33"/>
        <v>1.445754716981131E-2</v>
      </c>
      <c r="T58" s="394" t="s">
        <v>174</v>
      </c>
      <c r="U58" s="394" t="s">
        <v>457</v>
      </c>
      <c r="V58" s="395" t="s">
        <v>573</v>
      </c>
      <c r="W58" s="395" t="s">
        <v>680</v>
      </c>
      <c r="X58" s="395">
        <v>1</v>
      </c>
      <c r="Y58" s="396" t="s">
        <v>734</v>
      </c>
    </row>
    <row r="59" spans="2:34" s="148" customFormat="1" ht="27" customHeight="1">
      <c r="B59" s="879"/>
      <c r="C59" s="880"/>
      <c r="D59" s="384">
        <v>5</v>
      </c>
      <c r="E59" s="387" t="s">
        <v>581</v>
      </c>
      <c r="F59" s="388">
        <v>5447.6500000000115</v>
      </c>
      <c r="G59" s="389">
        <v>105.88000000000001</v>
      </c>
      <c r="H59" s="389">
        <v>105.29</v>
      </c>
      <c r="I59" s="390">
        <f t="shared" ref="I59:I74" si="37">H59/G59</f>
        <v>0.99442765394786548</v>
      </c>
      <c r="J59" s="389">
        <v>2.8000000000000003</v>
      </c>
      <c r="K59" s="390">
        <f t="shared" si="28"/>
        <v>2.6445032111824706E-2</v>
      </c>
      <c r="L59" s="389">
        <v>2465</v>
      </c>
      <c r="M59" s="390">
        <f t="shared" si="29"/>
        <v>1.0208726860596902</v>
      </c>
      <c r="N59" s="391">
        <v>5447.6500000000115</v>
      </c>
      <c r="O59" s="389">
        <v>0</v>
      </c>
      <c r="P59" s="390">
        <f t="shared" si="30"/>
        <v>0</v>
      </c>
      <c r="Q59" s="404">
        <f t="shared" si="31"/>
        <v>0</v>
      </c>
      <c r="R59" s="392">
        <f t="shared" si="32"/>
        <v>2.2099999999999937</v>
      </c>
      <c r="S59" s="390">
        <f t="shared" si="33"/>
        <v>2.0872686059690154E-2</v>
      </c>
      <c r="T59" s="394" t="s">
        <v>174</v>
      </c>
      <c r="U59" s="394" t="s">
        <v>457</v>
      </c>
      <c r="V59" s="395" t="s">
        <v>573</v>
      </c>
      <c r="W59" s="395" t="s">
        <v>680</v>
      </c>
      <c r="X59" s="395">
        <v>1</v>
      </c>
      <c r="Y59" s="396" t="s">
        <v>517</v>
      </c>
    </row>
    <row r="60" spans="2:34" s="148" customFormat="1" ht="27" customHeight="1">
      <c r="B60" s="879"/>
      <c r="C60" s="880"/>
      <c r="D60" s="384">
        <v>6</v>
      </c>
      <c r="E60" s="387" t="s">
        <v>514</v>
      </c>
      <c r="F60" s="388">
        <v>4648.3100000000031</v>
      </c>
      <c r="G60" s="389">
        <v>168.84000000000003</v>
      </c>
      <c r="H60" s="389">
        <v>164.60999999999999</v>
      </c>
      <c r="I60" s="390">
        <f t="shared" si="37"/>
        <v>0.97494669509594856</v>
      </c>
      <c r="J60" s="389">
        <v>12.1</v>
      </c>
      <c r="K60" s="390">
        <f t="shared" si="28"/>
        <v>7.1665482113243292E-2</v>
      </c>
      <c r="L60" s="389">
        <v>629</v>
      </c>
      <c r="M60" s="390">
        <f t="shared" si="29"/>
        <v>1.0466121772091919</v>
      </c>
      <c r="N60" s="391">
        <v>4950.2300000000032</v>
      </c>
      <c r="O60" s="389">
        <v>0.48</v>
      </c>
      <c r="P60" s="390">
        <f t="shared" si="30"/>
        <v>2.8429282160625439E-3</v>
      </c>
      <c r="Q60" s="404">
        <f t="shared" si="31"/>
        <v>301.92</v>
      </c>
      <c r="R60" s="392">
        <f t="shared" si="32"/>
        <v>7.3899999999999473</v>
      </c>
      <c r="S60" s="390">
        <f t="shared" si="33"/>
        <v>4.376924899312927E-2</v>
      </c>
      <c r="T60" s="394" t="s">
        <v>174</v>
      </c>
      <c r="U60" s="394" t="s">
        <v>457</v>
      </c>
      <c r="V60" s="395" t="s">
        <v>578</v>
      </c>
      <c r="W60" s="395" t="s">
        <v>680</v>
      </c>
      <c r="X60" s="395">
        <v>1</v>
      </c>
      <c r="Y60" s="396" t="s">
        <v>503</v>
      </c>
    </row>
    <row r="61" spans="2:34" s="148" customFormat="1" ht="27" customHeight="1">
      <c r="B61" s="879"/>
      <c r="C61" s="880"/>
      <c r="D61" s="384">
        <v>7</v>
      </c>
      <c r="E61" s="387" t="s">
        <v>518</v>
      </c>
      <c r="F61" s="388">
        <v>4489.6107999999977</v>
      </c>
      <c r="G61" s="389">
        <v>1269.8499999999999</v>
      </c>
      <c r="H61" s="389">
        <v>1278.21</v>
      </c>
      <c r="I61" s="390">
        <f t="shared" si="37"/>
        <v>1.0065834547387487</v>
      </c>
      <c r="J61" s="389">
        <v>18.5</v>
      </c>
      <c r="K61" s="390">
        <f t="shared" si="28"/>
        <v>1.4568649840532348E-2</v>
      </c>
      <c r="L61" s="389">
        <v>191.21</v>
      </c>
      <c r="M61" s="390">
        <f t="shared" si="29"/>
        <v>1.0211521045792811</v>
      </c>
      <c r="N61" s="391">
        <v>5135.9005999999981</v>
      </c>
      <c r="O61" s="389">
        <v>3.38</v>
      </c>
      <c r="P61" s="390">
        <f t="shared" si="30"/>
        <v>2.6617317005945586E-3</v>
      </c>
      <c r="Q61" s="404">
        <f t="shared" si="31"/>
        <v>646.28980000000001</v>
      </c>
      <c r="R61" s="392">
        <f t="shared" si="32"/>
        <v>23.480000000000128</v>
      </c>
      <c r="S61" s="390">
        <f t="shared" si="33"/>
        <v>1.8490372878686562E-2</v>
      </c>
      <c r="T61" s="394" t="s">
        <v>174</v>
      </c>
      <c r="U61" s="394" t="s">
        <v>457</v>
      </c>
      <c r="V61" s="395" t="s">
        <v>578</v>
      </c>
      <c r="W61" s="395" t="s">
        <v>680</v>
      </c>
      <c r="X61" s="395">
        <v>1</v>
      </c>
      <c r="Y61" s="396" t="s">
        <v>519</v>
      </c>
    </row>
    <row r="62" spans="2:34" s="148" customFormat="1" ht="27" customHeight="1">
      <c r="B62" s="879"/>
      <c r="C62" s="880"/>
      <c r="D62" s="384">
        <v>8</v>
      </c>
      <c r="E62" s="387" t="s">
        <v>504</v>
      </c>
      <c r="F62" s="388">
        <v>4452.4830000000165</v>
      </c>
      <c r="G62" s="389">
        <v>1164.06</v>
      </c>
      <c r="H62" s="389">
        <v>1160.9000000000001</v>
      </c>
      <c r="I62" s="390">
        <f t="shared" si="37"/>
        <v>0.99728536329742468</v>
      </c>
      <c r="J62" s="389">
        <v>11.27</v>
      </c>
      <c r="K62" s="390">
        <f>J62/G62</f>
        <v>9.6816315310207374E-3</v>
      </c>
      <c r="L62" s="389">
        <v>605.77999999999986</v>
      </c>
      <c r="M62" s="390">
        <f>(H62+J62)/G62</f>
        <v>1.0069669948284454</v>
      </c>
      <c r="N62" s="391">
        <v>4912.8758000000162</v>
      </c>
      <c r="O62" s="389">
        <v>0.76</v>
      </c>
      <c r="P62" s="390">
        <f t="shared" si="30"/>
        <v>6.5288730821435324E-4</v>
      </c>
      <c r="Q62" s="404">
        <f t="shared" si="31"/>
        <v>460.39279999999991</v>
      </c>
      <c r="R62" s="392">
        <f t="shared" si="32"/>
        <v>7.3500000000001275</v>
      </c>
      <c r="S62" s="390">
        <f t="shared" si="33"/>
        <v>6.314107520231026E-3</v>
      </c>
      <c r="T62" s="394" t="s">
        <v>174</v>
      </c>
      <c r="U62" s="394" t="s">
        <v>216</v>
      </c>
      <c r="V62" s="395" t="s">
        <v>571</v>
      </c>
      <c r="W62" s="395" t="s">
        <v>679</v>
      </c>
      <c r="X62" s="395">
        <v>1</v>
      </c>
      <c r="Y62" s="396" t="s">
        <v>344</v>
      </c>
    </row>
    <row r="63" spans="2:34" s="148" customFormat="1" ht="27" customHeight="1">
      <c r="B63" s="879"/>
      <c r="C63" s="880"/>
      <c r="D63" s="384">
        <v>9</v>
      </c>
      <c r="E63" s="387" t="s">
        <v>728</v>
      </c>
      <c r="F63" s="388">
        <v>4372.9600000000037</v>
      </c>
      <c r="G63" s="389">
        <v>1211.82</v>
      </c>
      <c r="H63" s="389">
        <v>1215.7</v>
      </c>
      <c r="I63" s="390">
        <f t="shared" si="37"/>
        <v>1.0032017956462183</v>
      </c>
      <c r="J63" s="389">
        <v>29</v>
      </c>
      <c r="K63" s="390">
        <f t="shared" ref="K63:K74" si="38">J63/G63</f>
        <v>2.3930946840289815E-2</v>
      </c>
      <c r="L63" s="389">
        <v>144.79999999999998</v>
      </c>
      <c r="M63" s="390">
        <f t="shared" ref="M63:M74" si="39">(H63+J63)/G63</f>
        <v>1.027132742486508</v>
      </c>
      <c r="N63" s="391">
        <v>4761.024000000004</v>
      </c>
      <c r="O63" s="389">
        <v>2.6799999999999997</v>
      </c>
      <c r="P63" s="390">
        <f t="shared" si="30"/>
        <v>2.2115495700681617E-3</v>
      </c>
      <c r="Q63" s="404">
        <f t="shared" si="31"/>
        <v>388.06399999999991</v>
      </c>
      <c r="R63" s="392">
        <f t="shared" si="32"/>
        <v>30.200000000000109</v>
      </c>
      <c r="S63" s="390">
        <f t="shared" si="33"/>
        <v>2.4921192916439829E-2</v>
      </c>
      <c r="T63" s="394" t="s">
        <v>174</v>
      </c>
      <c r="U63" s="394" t="s">
        <v>457</v>
      </c>
      <c r="V63" s="395" t="s">
        <v>578</v>
      </c>
      <c r="W63" s="395" t="s">
        <v>680</v>
      </c>
      <c r="X63" s="395">
        <v>1</v>
      </c>
      <c r="Y63" s="396" t="s">
        <v>342</v>
      </c>
    </row>
    <row r="64" spans="2:34" s="148" customFormat="1" ht="27" customHeight="1">
      <c r="B64" s="879"/>
      <c r="C64" s="880"/>
      <c r="D64" s="384">
        <v>10</v>
      </c>
      <c r="E64" s="387" t="s">
        <v>455</v>
      </c>
      <c r="F64" s="388">
        <v>4261.0182000000013</v>
      </c>
      <c r="G64" s="389">
        <v>1319.7599999999998</v>
      </c>
      <c r="H64" s="389">
        <v>1279.8499999999999</v>
      </c>
      <c r="I64" s="390">
        <f t="shared" si="37"/>
        <v>0.96975965327029168</v>
      </c>
      <c r="J64" s="389">
        <v>86.740000000000009</v>
      </c>
      <c r="K64" s="390">
        <f t="shared" si="38"/>
        <v>6.5724071043219992E-2</v>
      </c>
      <c r="L64" s="389">
        <v>99.51</v>
      </c>
      <c r="M64" s="390">
        <f t="shared" si="39"/>
        <v>1.0354837243135118</v>
      </c>
      <c r="N64" s="391">
        <v>4660.0533000000014</v>
      </c>
      <c r="O64" s="389">
        <v>4.01</v>
      </c>
      <c r="P64" s="390">
        <f t="shared" si="30"/>
        <v>3.038431229920592E-3</v>
      </c>
      <c r="Q64" s="404">
        <f t="shared" si="31"/>
        <v>399.0351</v>
      </c>
      <c r="R64" s="392">
        <f t="shared" si="32"/>
        <v>42.820000000000157</v>
      </c>
      <c r="S64" s="390">
        <f t="shared" si="33"/>
        <v>3.2445293083591079E-2</v>
      </c>
      <c r="T64" s="394" t="s">
        <v>174</v>
      </c>
      <c r="U64" s="394" t="s">
        <v>457</v>
      </c>
      <c r="V64" s="395" t="s">
        <v>564</v>
      </c>
      <c r="W64" s="395" t="s">
        <v>589</v>
      </c>
      <c r="X64" s="395">
        <v>1</v>
      </c>
      <c r="Y64" s="396" t="s">
        <v>356</v>
      </c>
    </row>
    <row r="65" spans="2:34" s="148" customFormat="1" ht="27" customHeight="1">
      <c r="B65" s="879"/>
      <c r="C65" s="880"/>
      <c r="D65" s="384">
        <v>11</v>
      </c>
      <c r="E65" s="387" t="s">
        <v>545</v>
      </c>
      <c r="F65" s="388">
        <v>4184.6013000000066</v>
      </c>
      <c r="G65" s="389">
        <v>221.75</v>
      </c>
      <c r="H65" s="389">
        <v>219.85000000000002</v>
      </c>
      <c r="I65" s="390">
        <f t="shared" si="37"/>
        <v>0.99143179255918834</v>
      </c>
      <c r="J65" s="389">
        <v>12.91</v>
      </c>
      <c r="K65" s="390">
        <f t="shared" si="38"/>
        <v>5.8218714768883878E-2</v>
      </c>
      <c r="L65" s="389">
        <v>421.40999999999997</v>
      </c>
      <c r="M65" s="390">
        <f t="shared" si="39"/>
        <v>1.0496505073280722</v>
      </c>
      <c r="N65" s="391">
        <v>4639.7241000000067</v>
      </c>
      <c r="O65" s="389">
        <v>1.08</v>
      </c>
      <c r="P65" s="390">
        <f t="shared" si="30"/>
        <v>4.8703494926719279E-3</v>
      </c>
      <c r="Q65" s="404">
        <f t="shared" si="31"/>
        <v>455.12279999999998</v>
      </c>
      <c r="R65" s="392">
        <f t="shared" si="32"/>
        <v>9.9300000000000193</v>
      </c>
      <c r="S65" s="390">
        <f t="shared" si="33"/>
        <v>4.4780157835400312E-2</v>
      </c>
      <c r="T65" s="394" t="s">
        <v>174</v>
      </c>
      <c r="U65" s="394" t="s">
        <v>457</v>
      </c>
      <c r="V65" s="395" t="s">
        <v>575</v>
      </c>
      <c r="W65" s="395" t="s">
        <v>576</v>
      </c>
      <c r="X65" s="395">
        <v>1</v>
      </c>
      <c r="Y65" s="396" t="s">
        <v>472</v>
      </c>
    </row>
    <row r="66" spans="2:34" s="148" customFormat="1" ht="27" customHeight="1">
      <c r="B66" s="879"/>
      <c r="C66" s="880"/>
      <c r="D66" s="384">
        <v>12</v>
      </c>
      <c r="E66" s="387" t="s">
        <v>729</v>
      </c>
      <c r="F66" s="388">
        <v>4081.199999999998</v>
      </c>
      <c r="G66" s="389">
        <v>405.60999999999996</v>
      </c>
      <c r="H66" s="389">
        <v>404.28</v>
      </c>
      <c r="I66" s="390">
        <f t="shared" si="37"/>
        <v>0.99672098814131804</v>
      </c>
      <c r="J66" s="389">
        <v>6.7</v>
      </c>
      <c r="K66" s="390">
        <f t="shared" si="38"/>
        <v>1.6518330415916771E-2</v>
      </c>
      <c r="L66" s="389">
        <v>760</v>
      </c>
      <c r="M66" s="390">
        <f t="shared" si="39"/>
        <v>1.0132393185572348</v>
      </c>
      <c r="N66" s="391">
        <v>4081.199999999998</v>
      </c>
      <c r="O66" s="389">
        <v>0</v>
      </c>
      <c r="P66" s="390">
        <f t="shared" si="30"/>
        <v>0</v>
      </c>
      <c r="Q66" s="404">
        <f t="shared" si="31"/>
        <v>0</v>
      </c>
      <c r="R66" s="392">
        <f t="shared" si="32"/>
        <v>5.3700000000000045</v>
      </c>
      <c r="S66" s="390">
        <f t="shared" si="33"/>
        <v>1.3239318557234795E-2</v>
      </c>
      <c r="T66" s="394" t="s">
        <v>174</v>
      </c>
      <c r="U66" s="394" t="s">
        <v>457</v>
      </c>
      <c r="V66" s="395" t="s">
        <v>578</v>
      </c>
      <c r="W66" s="395" t="s">
        <v>680</v>
      </c>
      <c r="X66" s="395">
        <v>1</v>
      </c>
      <c r="Y66" s="396" t="s">
        <v>713</v>
      </c>
    </row>
    <row r="67" spans="2:34" s="148" customFormat="1" ht="27" customHeight="1">
      <c r="B67" s="879"/>
      <c r="C67" s="880"/>
      <c r="D67" s="384">
        <v>13</v>
      </c>
      <c r="E67" s="387" t="s">
        <v>509</v>
      </c>
      <c r="F67" s="388">
        <v>3690.0470000000118</v>
      </c>
      <c r="G67" s="389">
        <v>1253.32</v>
      </c>
      <c r="H67" s="389">
        <v>1254.8699999999999</v>
      </c>
      <c r="I67" s="390">
        <f t="shared" si="37"/>
        <v>1.0012367152842052</v>
      </c>
      <c r="J67" s="389">
        <v>7.7</v>
      </c>
      <c r="K67" s="390">
        <f t="shared" si="38"/>
        <v>6.1436823795997832E-3</v>
      </c>
      <c r="L67" s="389">
        <v>407.74000000000007</v>
      </c>
      <c r="M67" s="390">
        <f t="shared" si="39"/>
        <v>1.0073803976638049</v>
      </c>
      <c r="N67" s="391">
        <v>3771.5950000000116</v>
      </c>
      <c r="O67" s="389">
        <v>0.2</v>
      </c>
      <c r="P67" s="390">
        <f t="shared" si="30"/>
        <v>1.5957616570389047E-4</v>
      </c>
      <c r="Q67" s="404">
        <f t="shared" si="31"/>
        <v>81.548000000000016</v>
      </c>
      <c r="R67" s="392">
        <f t="shared" si="32"/>
        <v>9.0500000000000007</v>
      </c>
      <c r="S67" s="390">
        <f t="shared" si="33"/>
        <v>7.2208214981010444E-3</v>
      </c>
      <c r="T67" s="394" t="s">
        <v>174</v>
      </c>
      <c r="U67" s="394" t="s">
        <v>216</v>
      </c>
      <c r="V67" s="395" t="s">
        <v>567</v>
      </c>
      <c r="W67" s="395" t="s">
        <v>577</v>
      </c>
      <c r="X67" s="395">
        <v>1</v>
      </c>
      <c r="Y67" s="396" t="s">
        <v>511</v>
      </c>
    </row>
    <row r="68" spans="2:34" s="148" customFormat="1" ht="27" customHeight="1">
      <c r="B68" s="879"/>
      <c r="C68" s="880"/>
      <c r="D68" s="384">
        <v>14</v>
      </c>
      <c r="E68" s="387" t="s">
        <v>730</v>
      </c>
      <c r="F68" s="388">
        <v>3289.2950999999821</v>
      </c>
      <c r="G68" s="389">
        <v>2449.38</v>
      </c>
      <c r="H68" s="389">
        <v>2445.67</v>
      </c>
      <c r="I68" s="390">
        <f t="shared" si="37"/>
        <v>0.99848533098171777</v>
      </c>
      <c r="J68" s="389">
        <v>22</v>
      </c>
      <c r="K68" s="390">
        <f t="shared" si="38"/>
        <v>8.9818647984387882E-3</v>
      </c>
      <c r="L68" s="389">
        <v>193.82999999999998</v>
      </c>
      <c r="M68" s="390">
        <f t="shared" si="39"/>
        <v>1.0074671957801566</v>
      </c>
      <c r="N68" s="391">
        <v>3545.1506999999824</v>
      </c>
      <c r="O68" s="389">
        <v>1.32</v>
      </c>
      <c r="P68" s="390">
        <f t="shared" si="30"/>
        <v>5.3891188790632734E-4</v>
      </c>
      <c r="Q68" s="404">
        <f t="shared" si="31"/>
        <v>255.85559999999998</v>
      </c>
      <c r="R68" s="392">
        <f t="shared" si="32"/>
        <v>16.969999999999963</v>
      </c>
      <c r="S68" s="390">
        <f t="shared" si="33"/>
        <v>6.9282838922502688E-3</v>
      </c>
      <c r="T68" s="394" t="s">
        <v>174</v>
      </c>
      <c r="U68" s="394" t="s">
        <v>457</v>
      </c>
      <c r="V68" s="395" t="s">
        <v>578</v>
      </c>
      <c r="W68" s="395" t="s">
        <v>680</v>
      </c>
      <c r="X68" s="395">
        <v>1</v>
      </c>
      <c r="Y68" s="396" t="s">
        <v>735</v>
      </c>
      <c r="AC68" s="401"/>
    </row>
    <row r="69" spans="2:34" s="148" customFormat="1" ht="27" customHeight="1">
      <c r="B69" s="879"/>
      <c r="C69" s="880"/>
      <c r="D69" s="384">
        <v>15</v>
      </c>
      <c r="E69" s="387" t="s">
        <v>731</v>
      </c>
      <c r="F69" s="388">
        <v>3094.3628999999996</v>
      </c>
      <c r="G69" s="389">
        <v>707.59</v>
      </c>
      <c r="H69" s="389">
        <v>694.22</v>
      </c>
      <c r="I69" s="390">
        <f t="shared" si="37"/>
        <v>0.98110487711810512</v>
      </c>
      <c r="J69" s="389">
        <v>45</v>
      </c>
      <c r="K69" s="390">
        <f t="shared" si="38"/>
        <v>6.359615031303438E-2</v>
      </c>
      <c r="L69" s="389">
        <v>97.83</v>
      </c>
      <c r="M69" s="390">
        <f t="shared" si="39"/>
        <v>1.0447010274311395</v>
      </c>
      <c r="N69" s="391">
        <v>3094.3628999999996</v>
      </c>
      <c r="O69" s="389">
        <v>0</v>
      </c>
      <c r="P69" s="390">
        <f t="shared" si="30"/>
        <v>0</v>
      </c>
      <c r="Q69" s="404">
        <f t="shared" si="31"/>
        <v>0</v>
      </c>
      <c r="R69" s="392">
        <f t="shared" si="32"/>
        <v>31.629999999999995</v>
      </c>
      <c r="S69" s="390">
        <f t="shared" si="33"/>
        <v>4.4701027431139496E-2</v>
      </c>
      <c r="T69" s="394" t="s">
        <v>174</v>
      </c>
      <c r="U69" s="394" t="s">
        <v>457</v>
      </c>
      <c r="V69" s="395" t="s">
        <v>565</v>
      </c>
      <c r="W69" s="395" t="s">
        <v>740</v>
      </c>
      <c r="X69" s="395">
        <v>1</v>
      </c>
      <c r="Y69" s="396" t="s">
        <v>717</v>
      </c>
      <c r="AC69" s="400"/>
    </row>
    <row r="70" spans="2:34" s="148" customFormat="1" ht="27" customHeight="1">
      <c r="B70" s="879"/>
      <c r="C70" s="880"/>
      <c r="D70" s="384">
        <v>16</v>
      </c>
      <c r="E70" s="387" t="s">
        <v>544</v>
      </c>
      <c r="F70" s="388">
        <v>2987.6352999999976</v>
      </c>
      <c r="G70" s="389">
        <v>773.38</v>
      </c>
      <c r="H70" s="389">
        <v>774.62</v>
      </c>
      <c r="I70" s="390">
        <f t="shared" si="37"/>
        <v>1.0016033515218909</v>
      </c>
      <c r="J70" s="389">
        <v>34.929999999999993</v>
      </c>
      <c r="K70" s="390">
        <f t="shared" si="38"/>
        <v>4.5165377951330514E-2</v>
      </c>
      <c r="L70" s="389">
        <v>128.38999999999999</v>
      </c>
      <c r="M70" s="390">
        <f t="shared" si="39"/>
        <v>1.0467687294732213</v>
      </c>
      <c r="N70" s="391">
        <v>4643.866299999996</v>
      </c>
      <c r="O70" s="389">
        <v>12.9</v>
      </c>
      <c r="P70" s="390">
        <f t="shared" si="30"/>
        <v>1.6680027929349091E-2</v>
      </c>
      <c r="Q70" s="404">
        <f t="shared" si="31"/>
        <v>1656.2309999999998</v>
      </c>
      <c r="R70" s="392">
        <f t="shared" si="32"/>
        <v>23.26999999999996</v>
      </c>
      <c r="S70" s="390">
        <f t="shared" si="33"/>
        <v>3.00887015438723E-2</v>
      </c>
      <c r="T70" s="394" t="s">
        <v>174</v>
      </c>
      <c r="U70" s="394" t="s">
        <v>457</v>
      </c>
      <c r="V70" s="395" t="s">
        <v>565</v>
      </c>
      <c r="W70" s="395" t="s">
        <v>740</v>
      </c>
      <c r="X70" s="395">
        <v>1</v>
      </c>
      <c r="Y70" s="396" t="s">
        <v>358</v>
      </c>
      <c r="AC70" s="400"/>
    </row>
    <row r="71" spans="2:34" s="148" customFormat="1" ht="27" customHeight="1">
      <c r="B71" s="879"/>
      <c r="C71" s="880"/>
      <c r="D71" s="384">
        <v>17</v>
      </c>
      <c r="E71" s="387" t="s">
        <v>433</v>
      </c>
      <c r="F71" s="388">
        <v>2969.5347000000015</v>
      </c>
      <c r="G71" s="389">
        <v>1937.33</v>
      </c>
      <c r="H71" s="389">
        <v>1940.4899999999998</v>
      </c>
      <c r="I71" s="390">
        <f t="shared" si="37"/>
        <v>1.0016311108587592</v>
      </c>
      <c r="J71" s="389">
        <v>21.36</v>
      </c>
      <c r="K71" s="390">
        <f t="shared" si="38"/>
        <v>1.10254835262965E-2</v>
      </c>
      <c r="L71" s="389">
        <v>157.87000000000003</v>
      </c>
      <c r="M71" s="390">
        <f t="shared" si="39"/>
        <v>1.0126565943850556</v>
      </c>
      <c r="N71" s="391">
        <v>3870.9724000000019</v>
      </c>
      <c r="O71" s="389">
        <v>5.7099999999999991</v>
      </c>
      <c r="P71" s="390">
        <f t="shared" si="30"/>
        <v>2.9473553808592235E-3</v>
      </c>
      <c r="Q71" s="404">
        <f t="shared" si="31"/>
        <v>901.43770000000006</v>
      </c>
      <c r="R71" s="392">
        <f t="shared" si="32"/>
        <v>18.809999999999754</v>
      </c>
      <c r="S71" s="390">
        <f t="shared" si="33"/>
        <v>9.7092390041963704E-3</v>
      </c>
      <c r="T71" s="394" t="s">
        <v>174</v>
      </c>
      <c r="U71" s="394" t="s">
        <v>457</v>
      </c>
      <c r="V71" s="395" t="s">
        <v>578</v>
      </c>
      <c r="W71" s="395" t="s">
        <v>680</v>
      </c>
      <c r="X71" s="395">
        <v>1</v>
      </c>
      <c r="Y71" s="396" t="s">
        <v>342</v>
      </c>
      <c r="AB71" s="402"/>
      <c r="AC71" s="400"/>
    </row>
    <row r="72" spans="2:34" s="148" customFormat="1" ht="27" customHeight="1">
      <c r="B72" s="879"/>
      <c r="C72" s="880"/>
      <c r="D72" s="384">
        <v>18</v>
      </c>
      <c r="E72" s="387" t="s">
        <v>732</v>
      </c>
      <c r="F72" s="388">
        <v>2882.8599999999929</v>
      </c>
      <c r="G72" s="389">
        <v>698.35</v>
      </c>
      <c r="H72" s="389">
        <v>700.67</v>
      </c>
      <c r="I72" s="390">
        <f t="shared" si="37"/>
        <v>1.0033221164172692</v>
      </c>
      <c r="J72" s="389">
        <v>8</v>
      </c>
      <c r="K72" s="390">
        <f t="shared" si="38"/>
        <v>1.1455573852652681E-2</v>
      </c>
      <c r="L72" s="389">
        <v>339.16</v>
      </c>
      <c r="M72" s="390">
        <f t="shared" si="39"/>
        <v>1.0147776902699219</v>
      </c>
      <c r="N72" s="391">
        <v>3500.1311999999925</v>
      </c>
      <c r="O72" s="389">
        <v>1.8199999999999998</v>
      </c>
      <c r="P72" s="390">
        <f t="shared" si="30"/>
        <v>2.6061430514784847E-3</v>
      </c>
      <c r="Q72" s="404">
        <f t="shared" si="31"/>
        <v>617.27120000000002</v>
      </c>
      <c r="R72" s="392">
        <f t="shared" si="32"/>
        <v>8.4999999999999361</v>
      </c>
      <c r="S72" s="390">
        <f t="shared" si="33"/>
        <v>1.2171547218443383E-2</v>
      </c>
      <c r="T72" s="394" t="s">
        <v>174</v>
      </c>
      <c r="U72" s="394" t="s">
        <v>457</v>
      </c>
      <c r="V72" s="395" t="s">
        <v>578</v>
      </c>
      <c r="W72" s="395" t="s">
        <v>680</v>
      </c>
      <c r="X72" s="395">
        <v>1</v>
      </c>
      <c r="Y72" s="396" t="s">
        <v>736</v>
      </c>
      <c r="AC72" s="400"/>
    </row>
    <row r="73" spans="2:34" s="148" customFormat="1" ht="27" customHeight="1">
      <c r="B73" s="879"/>
      <c r="C73" s="880"/>
      <c r="D73" s="384">
        <v>19</v>
      </c>
      <c r="E73" s="387" t="s">
        <v>543</v>
      </c>
      <c r="F73" s="388">
        <v>2837.0738000000051</v>
      </c>
      <c r="G73" s="389">
        <v>1331.7900000000002</v>
      </c>
      <c r="H73" s="389">
        <v>1288.57</v>
      </c>
      <c r="I73" s="390">
        <f t="shared" si="37"/>
        <v>0.96754743615735195</v>
      </c>
      <c r="J73" s="389">
        <v>74.990000000000009</v>
      </c>
      <c r="K73" s="390">
        <f t="shared" si="38"/>
        <v>5.6307676135126411E-2</v>
      </c>
      <c r="L73" s="389">
        <v>118.30999999999997</v>
      </c>
      <c r="M73" s="390">
        <f t="shared" si="39"/>
        <v>1.0238551122924784</v>
      </c>
      <c r="N73" s="391">
        <v>3758.7087000000042</v>
      </c>
      <c r="O73" s="389">
        <v>7.7899999999999991</v>
      </c>
      <c r="P73" s="390">
        <f t="shared" si="30"/>
        <v>5.8492705306392133E-3</v>
      </c>
      <c r="Q73" s="404">
        <f t="shared" si="31"/>
        <v>921.63489999999967</v>
      </c>
      <c r="R73" s="392">
        <f t="shared" si="32"/>
        <v>23.979999999999755</v>
      </c>
      <c r="S73" s="390">
        <f t="shared" si="33"/>
        <v>1.8005841761839142E-2</v>
      </c>
      <c r="T73" s="394" t="s">
        <v>174</v>
      </c>
      <c r="U73" s="394" t="s">
        <v>457</v>
      </c>
      <c r="V73" s="395" t="s">
        <v>565</v>
      </c>
      <c r="W73" s="395" t="s">
        <v>566</v>
      </c>
      <c r="X73" s="395">
        <v>1</v>
      </c>
      <c r="Y73" s="396" t="s">
        <v>533</v>
      </c>
      <c r="AB73" s="403"/>
      <c r="AC73" s="400"/>
    </row>
    <row r="74" spans="2:34" s="148" customFormat="1" ht="27" customHeight="1">
      <c r="B74" s="881"/>
      <c r="C74" s="882"/>
      <c r="D74" s="384">
        <v>20</v>
      </c>
      <c r="E74" s="387" t="s">
        <v>733</v>
      </c>
      <c r="F74" s="388">
        <v>2723.761199999999</v>
      </c>
      <c r="G74" s="389">
        <v>1331.7900000000002</v>
      </c>
      <c r="H74" s="389">
        <v>1264.9000000000001</v>
      </c>
      <c r="I74" s="390">
        <f t="shared" si="37"/>
        <v>0.94977436382612868</v>
      </c>
      <c r="J74" s="389">
        <v>99.28</v>
      </c>
      <c r="K74" s="390">
        <f t="shared" si="38"/>
        <v>7.4546287327581673E-2</v>
      </c>
      <c r="L74" s="389">
        <v>114.53999999999999</v>
      </c>
      <c r="M74" s="390">
        <f t="shared" si="39"/>
        <v>1.0243206511537104</v>
      </c>
      <c r="N74" s="391">
        <v>3709.9505999999983</v>
      </c>
      <c r="O74" s="389">
        <v>8.61</v>
      </c>
      <c r="P74" s="390">
        <f t="shared" si="30"/>
        <v>6.4649832180749206E-3</v>
      </c>
      <c r="Q74" s="404">
        <f t="shared" si="31"/>
        <v>986.18939999999986</v>
      </c>
      <c r="R74" s="392">
        <f t="shared" si="32"/>
        <v>23.779999999999873</v>
      </c>
      <c r="S74" s="390">
        <f t="shared" si="33"/>
        <v>1.7855667935635401E-2</v>
      </c>
      <c r="T74" s="394" t="s">
        <v>174</v>
      </c>
      <c r="U74" s="394" t="s">
        <v>457</v>
      </c>
      <c r="V74" s="395" t="s">
        <v>565</v>
      </c>
      <c r="W74" s="395" t="s">
        <v>566</v>
      </c>
      <c r="X74" s="395">
        <v>1</v>
      </c>
      <c r="Y74" s="396" t="s">
        <v>533</v>
      </c>
      <c r="AB74" s="403"/>
      <c r="AC74" s="400"/>
    </row>
    <row r="75" spans="2:34" ht="16.5" customHeight="1">
      <c r="B75" s="899" t="s">
        <v>475</v>
      </c>
      <c r="C75" s="900"/>
      <c r="D75" s="905" t="s">
        <v>170</v>
      </c>
      <c r="E75" s="905"/>
      <c r="F75" s="905"/>
      <c r="G75" s="905" t="s">
        <v>184</v>
      </c>
      <c r="H75" s="905"/>
      <c r="I75" s="905"/>
      <c r="J75" s="905"/>
      <c r="K75" s="905"/>
      <c r="L75" s="905"/>
      <c r="M75" s="905"/>
      <c r="N75" s="905"/>
      <c r="O75" s="905"/>
      <c r="P75" s="905"/>
      <c r="Q75" s="905"/>
      <c r="R75" s="905"/>
      <c r="S75" s="905"/>
      <c r="T75" s="905" t="s">
        <v>171</v>
      </c>
      <c r="U75" s="890" t="s">
        <v>245</v>
      </c>
      <c r="V75" s="910" t="s">
        <v>483</v>
      </c>
      <c r="W75" s="910" t="s">
        <v>477</v>
      </c>
      <c r="X75" s="886" t="s">
        <v>246</v>
      </c>
      <c r="Y75" s="889" t="s">
        <v>172</v>
      </c>
      <c r="AA75" s="905" t="s">
        <v>247</v>
      </c>
      <c r="AB75" s="905"/>
      <c r="AC75" s="905"/>
      <c r="AD75" s="905"/>
      <c r="AE75" s="905"/>
      <c r="AF75" s="905"/>
      <c r="AG75" s="905"/>
      <c r="AH75" s="905"/>
    </row>
    <row r="76" spans="2:34" ht="17.100000000000001" customHeight="1">
      <c r="B76" s="901"/>
      <c r="C76" s="902"/>
      <c r="D76" s="906" t="s">
        <v>169</v>
      </c>
      <c r="E76" s="905" t="s">
        <v>173</v>
      </c>
      <c r="F76" s="905"/>
      <c r="G76" s="905" t="s">
        <v>185</v>
      </c>
      <c r="H76" s="905"/>
      <c r="I76" s="905"/>
      <c r="J76" s="905"/>
      <c r="K76" s="905"/>
      <c r="L76" s="905"/>
      <c r="M76" s="905"/>
      <c r="N76" s="905"/>
      <c r="O76" s="905" t="s">
        <v>174</v>
      </c>
      <c r="P76" s="905"/>
      <c r="Q76" s="905"/>
      <c r="R76" s="905"/>
      <c r="S76" s="905"/>
      <c r="T76" s="905"/>
      <c r="U76" s="893"/>
      <c r="V76" s="887"/>
      <c r="W76" s="911"/>
      <c r="X76" s="887"/>
      <c r="Y76" s="889"/>
      <c r="AA76" s="905"/>
      <c r="AB76" s="905"/>
      <c r="AC76" s="905"/>
      <c r="AD76" s="905"/>
      <c r="AE76" s="905"/>
      <c r="AF76" s="905"/>
      <c r="AG76" s="905"/>
      <c r="AH76" s="905"/>
    </row>
    <row r="77" spans="2:34" ht="17.100000000000001" customHeight="1">
      <c r="B77" s="901"/>
      <c r="C77" s="902"/>
      <c r="D77" s="906"/>
      <c r="E77" s="906" t="s">
        <v>175</v>
      </c>
      <c r="F77" s="913" t="s">
        <v>484</v>
      </c>
      <c r="G77" s="907" t="s">
        <v>186</v>
      </c>
      <c r="H77" s="907"/>
      <c r="I77" s="907"/>
      <c r="J77" s="907"/>
      <c r="K77" s="907"/>
      <c r="L77" s="907"/>
      <c r="M77" s="907"/>
      <c r="N77" s="907"/>
      <c r="O77" s="914" t="s">
        <v>168</v>
      </c>
      <c r="P77" s="915"/>
      <c r="Q77" s="916"/>
      <c r="R77" s="907" t="s">
        <v>176</v>
      </c>
      <c r="S77" s="907"/>
      <c r="T77" s="905"/>
      <c r="U77" s="893"/>
      <c r="V77" s="887"/>
      <c r="W77" s="911"/>
      <c r="X77" s="887"/>
      <c r="Y77" s="889"/>
      <c r="AA77" s="905"/>
      <c r="AB77" s="905"/>
      <c r="AC77" s="905"/>
      <c r="AD77" s="905"/>
      <c r="AE77" s="905"/>
      <c r="AF77" s="905"/>
      <c r="AG77" s="905"/>
      <c r="AH77" s="905"/>
    </row>
    <row r="78" spans="2:34" ht="38.450000000000003" customHeight="1">
      <c r="B78" s="903"/>
      <c r="C78" s="904"/>
      <c r="D78" s="906"/>
      <c r="E78" s="906"/>
      <c r="F78" s="913"/>
      <c r="G78" s="385" t="s">
        <v>177</v>
      </c>
      <c r="H78" s="385" t="s">
        <v>252</v>
      </c>
      <c r="I78" s="385" t="s">
        <v>253</v>
      </c>
      <c r="J78" s="385" t="s">
        <v>178</v>
      </c>
      <c r="K78" s="385" t="s">
        <v>250</v>
      </c>
      <c r="L78" s="385" t="s">
        <v>179</v>
      </c>
      <c r="M78" s="385" t="s">
        <v>187</v>
      </c>
      <c r="N78" s="385" t="s">
        <v>180</v>
      </c>
      <c r="O78" s="386" t="s">
        <v>181</v>
      </c>
      <c r="P78" s="386" t="s">
        <v>182</v>
      </c>
      <c r="Q78" s="385" t="s">
        <v>183</v>
      </c>
      <c r="R78" s="386" t="s">
        <v>181</v>
      </c>
      <c r="S78" s="386" t="s">
        <v>182</v>
      </c>
      <c r="T78" s="905"/>
      <c r="U78" s="896"/>
      <c r="V78" s="888"/>
      <c r="W78" s="912"/>
      <c r="X78" s="888"/>
      <c r="Y78" s="889"/>
      <c r="AA78" s="161" t="s">
        <v>244</v>
      </c>
      <c r="AB78" s="161" t="s">
        <v>478</v>
      </c>
      <c r="AC78" s="156" t="s">
        <v>394</v>
      </c>
      <c r="AD78" s="156" t="s">
        <v>339</v>
      </c>
      <c r="AE78" s="156" t="s">
        <v>457</v>
      </c>
      <c r="AF78" s="156" t="s">
        <v>215</v>
      </c>
      <c r="AG78" s="156" t="s">
        <v>216</v>
      </c>
      <c r="AH78" s="156" t="s">
        <v>395</v>
      </c>
    </row>
    <row r="79" spans="2:34" s="148" customFormat="1" ht="27" customHeight="1">
      <c r="B79" s="877" t="s">
        <v>662</v>
      </c>
      <c r="C79" s="878"/>
      <c r="D79" s="384">
        <v>1</v>
      </c>
      <c r="E79" s="387" t="s">
        <v>337</v>
      </c>
      <c r="F79" s="388">
        <v>16460.559499999981</v>
      </c>
      <c r="G79" s="389">
        <v>5125.8499999999995</v>
      </c>
      <c r="H79" s="389">
        <v>5102.2099999999991</v>
      </c>
      <c r="I79" s="390">
        <f>H79/G79</f>
        <v>0.99538808197664774</v>
      </c>
      <c r="J79" s="389">
        <v>135.29</v>
      </c>
      <c r="K79" s="390">
        <f>J79/G79</f>
        <v>2.639367129354156E-2</v>
      </c>
      <c r="L79" s="389">
        <v>147.43000000000004</v>
      </c>
      <c r="M79" s="390">
        <f>(H79+J79)/G79</f>
        <v>1.0217817532701892</v>
      </c>
      <c r="N79" s="391">
        <v>16460.559499999981</v>
      </c>
      <c r="O79" s="389">
        <v>0</v>
      </c>
      <c r="P79" s="390">
        <f>O79/G79</f>
        <v>0</v>
      </c>
      <c r="Q79" s="404">
        <f>O79*L79</f>
        <v>0</v>
      </c>
      <c r="R79" s="392">
        <f>((H79+J79)-G79)-O79</f>
        <v>111.64999999999964</v>
      </c>
      <c r="S79" s="390">
        <f>R79/G79</f>
        <v>2.1781753270189264E-2</v>
      </c>
      <c r="T79" s="394" t="s">
        <v>174</v>
      </c>
      <c r="U79" s="394" t="s">
        <v>215</v>
      </c>
      <c r="V79" s="395" t="s">
        <v>562</v>
      </c>
      <c r="W79" s="395" t="s">
        <v>677</v>
      </c>
      <c r="X79" s="395">
        <v>1</v>
      </c>
      <c r="Y79" s="396" t="s">
        <v>342</v>
      </c>
      <c r="Z79" s="397" t="s">
        <v>479</v>
      </c>
      <c r="AA79" s="398">
        <f>SUM(X79:X98)</f>
        <v>20</v>
      </c>
      <c r="AB79" s="399">
        <f>SUMIF($U$79:$U$98,TRIM(AB78),$X$79:$X$98)</f>
        <v>0</v>
      </c>
      <c r="AC79" s="399">
        <f t="shared" ref="AC79:AH79" si="40">SUMIF($U$79:$U$98,TRIM(AC78),$X$79:$X$98)</f>
        <v>0</v>
      </c>
      <c r="AD79" s="399">
        <f t="shared" si="40"/>
        <v>0</v>
      </c>
      <c r="AE79" s="399">
        <f t="shared" si="40"/>
        <v>14</v>
      </c>
      <c r="AF79" s="399">
        <f t="shared" si="40"/>
        <v>1</v>
      </c>
      <c r="AG79" s="399">
        <f t="shared" si="40"/>
        <v>5</v>
      </c>
      <c r="AH79" s="399">
        <f t="shared" si="40"/>
        <v>0</v>
      </c>
    </row>
    <row r="80" spans="2:34" s="148" customFormat="1" ht="27" customHeight="1">
      <c r="B80" s="879"/>
      <c r="C80" s="880"/>
      <c r="D80" s="384">
        <v>2</v>
      </c>
      <c r="E80" s="387" t="s">
        <v>731</v>
      </c>
      <c r="F80" s="388">
        <v>11593.833299999998</v>
      </c>
      <c r="G80" s="389">
        <v>3143.9199999999996</v>
      </c>
      <c r="H80" s="389">
        <v>3014.2599999999993</v>
      </c>
      <c r="I80" s="390">
        <f t="shared" ref="I80:I81" si="41">H80/G80</f>
        <v>0.95875849258250834</v>
      </c>
      <c r="J80" s="389">
        <v>248.17000000000002</v>
      </c>
      <c r="K80" s="390">
        <f t="shared" ref="K80:K85" si="42">J80/G80</f>
        <v>7.893648693350977E-2</v>
      </c>
      <c r="L80" s="389">
        <v>97.830000000000013</v>
      </c>
      <c r="M80" s="390">
        <f t="shared" ref="M80:M85" si="43">(H80+J80)/G80</f>
        <v>1.0376949795160182</v>
      </c>
      <c r="N80" s="391">
        <v>11593.833299999998</v>
      </c>
      <c r="O80" s="389">
        <v>0</v>
      </c>
      <c r="P80" s="390">
        <f t="shared" ref="P80:P98" si="44">O80/G80</f>
        <v>0</v>
      </c>
      <c r="Q80" s="404">
        <f t="shared" ref="Q80:Q98" si="45">O80*L80</f>
        <v>0</v>
      </c>
      <c r="R80" s="392">
        <f t="shared" ref="R80:R98" si="46">((H80+J80)-G80)-O80</f>
        <v>118.50999999999976</v>
      </c>
      <c r="S80" s="390">
        <f t="shared" ref="S80:S98" si="47">R80/G80</f>
        <v>3.7694979516018148E-2</v>
      </c>
      <c r="T80" s="394" t="s">
        <v>174</v>
      </c>
      <c r="U80" s="394" t="s">
        <v>216</v>
      </c>
      <c r="V80" s="395" t="s">
        <v>766</v>
      </c>
      <c r="W80" s="395" t="s">
        <v>767</v>
      </c>
      <c r="X80" s="395">
        <v>1</v>
      </c>
      <c r="Y80" s="396" t="s">
        <v>717</v>
      </c>
      <c r="AA80" s="398"/>
      <c r="AB80" s="405">
        <f>SUMIF($U$79:$U$98,TRIM(AB78),$F$79:$F$98)</f>
        <v>0</v>
      </c>
      <c r="AC80" s="405">
        <f t="shared" ref="AC80:AH80" si="48">SUMIF($U$79:$U$98,TRIM(AC78),$F$79:$F$98)</f>
        <v>0</v>
      </c>
      <c r="AD80" s="405">
        <f t="shared" si="48"/>
        <v>0</v>
      </c>
      <c r="AE80" s="405">
        <f t="shared" si="48"/>
        <v>53970.96030000005</v>
      </c>
      <c r="AF80" s="405">
        <f t="shared" si="48"/>
        <v>16460.559499999981</v>
      </c>
      <c r="AG80" s="405">
        <f t="shared" si="48"/>
        <v>36464.683700000031</v>
      </c>
      <c r="AH80" s="405">
        <f t="shared" si="48"/>
        <v>0</v>
      </c>
    </row>
    <row r="81" spans="2:34" s="148" customFormat="1" ht="27" customHeight="1">
      <c r="B81" s="879"/>
      <c r="C81" s="880"/>
      <c r="D81" s="384">
        <v>3</v>
      </c>
      <c r="E81" s="387" t="s">
        <v>726</v>
      </c>
      <c r="F81" s="388">
        <v>10361.933399999998</v>
      </c>
      <c r="G81" s="389">
        <v>27371.040000000001</v>
      </c>
      <c r="H81" s="389">
        <v>27224.1</v>
      </c>
      <c r="I81" s="390">
        <f t="shared" si="41"/>
        <v>0.99463155218069899</v>
      </c>
      <c r="J81" s="389">
        <v>409.99999999999994</v>
      </c>
      <c r="K81" s="390">
        <f t="shared" si="42"/>
        <v>1.4979335823556574E-2</v>
      </c>
      <c r="L81" s="389">
        <v>39.389999999999993</v>
      </c>
      <c r="M81" s="390">
        <f t="shared" si="43"/>
        <v>1.0096108880042556</v>
      </c>
      <c r="N81" s="391">
        <v>10361.933399999998</v>
      </c>
      <c r="O81" s="389">
        <v>0</v>
      </c>
      <c r="P81" s="390">
        <f t="shared" si="44"/>
        <v>0</v>
      </c>
      <c r="Q81" s="404">
        <f t="shared" si="45"/>
        <v>0</v>
      </c>
      <c r="R81" s="392">
        <f t="shared" si="46"/>
        <v>263.05999999999767</v>
      </c>
      <c r="S81" s="390">
        <f t="shared" si="47"/>
        <v>9.6108880042555071E-3</v>
      </c>
      <c r="T81" s="394" t="s">
        <v>174</v>
      </c>
      <c r="U81" s="394" t="s">
        <v>216</v>
      </c>
      <c r="V81" s="395" t="s">
        <v>768</v>
      </c>
      <c r="W81" s="395" t="s">
        <v>680</v>
      </c>
      <c r="X81" s="395">
        <v>1</v>
      </c>
      <c r="Y81" s="396" t="s">
        <v>342</v>
      </c>
      <c r="AA81" s="384"/>
      <c r="AB81" s="406">
        <f>AB79/$AA79</f>
        <v>0</v>
      </c>
      <c r="AC81" s="406">
        <f t="shared" ref="AC81:AH81" si="49">AC79/$AA79</f>
        <v>0</v>
      </c>
      <c r="AD81" s="406">
        <f t="shared" si="49"/>
        <v>0</v>
      </c>
      <c r="AE81" s="406">
        <f t="shared" si="49"/>
        <v>0.7</v>
      </c>
      <c r="AF81" s="406">
        <f t="shared" si="49"/>
        <v>0.05</v>
      </c>
      <c r="AG81" s="406">
        <f t="shared" si="49"/>
        <v>0.25</v>
      </c>
      <c r="AH81" s="406">
        <f t="shared" si="49"/>
        <v>0</v>
      </c>
    </row>
    <row r="82" spans="2:34" s="148" customFormat="1" ht="27" customHeight="1">
      <c r="B82" s="879"/>
      <c r="C82" s="880"/>
      <c r="D82" s="384">
        <v>4</v>
      </c>
      <c r="E82" s="387" t="s">
        <v>368</v>
      </c>
      <c r="F82" s="388">
        <v>7501.210200000005</v>
      </c>
      <c r="G82" s="389">
        <v>812.61000000000013</v>
      </c>
      <c r="H82" s="389">
        <v>804.03</v>
      </c>
      <c r="I82" s="390">
        <f>H82/G82</f>
        <v>0.98944142946801028</v>
      </c>
      <c r="J82" s="389">
        <v>26.16</v>
      </c>
      <c r="K82" s="390">
        <f t="shared" si="42"/>
        <v>3.2192564698933064E-2</v>
      </c>
      <c r="L82" s="389">
        <v>426.69</v>
      </c>
      <c r="M82" s="390">
        <f t="shared" si="43"/>
        <v>1.0216339941669432</v>
      </c>
      <c r="N82" s="391">
        <v>7501.210200000005</v>
      </c>
      <c r="O82" s="389">
        <v>0</v>
      </c>
      <c r="P82" s="390">
        <f t="shared" si="44"/>
        <v>0</v>
      </c>
      <c r="Q82" s="404">
        <f t="shared" si="45"/>
        <v>0</v>
      </c>
      <c r="R82" s="392">
        <f t="shared" si="46"/>
        <v>17.579999999999814</v>
      </c>
      <c r="S82" s="390">
        <f t="shared" si="47"/>
        <v>2.163399416694332E-2</v>
      </c>
      <c r="T82" s="394" t="s">
        <v>174</v>
      </c>
      <c r="U82" s="394" t="s">
        <v>457</v>
      </c>
      <c r="V82" s="395" t="s">
        <v>573</v>
      </c>
      <c r="W82" s="395" t="s">
        <v>680</v>
      </c>
      <c r="X82" s="395">
        <v>1</v>
      </c>
      <c r="Y82" s="396" t="s">
        <v>369</v>
      </c>
    </row>
    <row r="83" spans="2:34" s="148" customFormat="1" ht="27" customHeight="1">
      <c r="B83" s="879"/>
      <c r="C83" s="880"/>
      <c r="D83" s="384">
        <v>5</v>
      </c>
      <c r="E83" s="387" t="s">
        <v>729</v>
      </c>
      <c r="F83" s="388">
        <v>6634.7999999999975</v>
      </c>
      <c r="G83" s="389">
        <v>389.99</v>
      </c>
      <c r="H83" s="389">
        <v>390.52</v>
      </c>
      <c r="I83" s="390">
        <f t="shared" ref="I83:I98" si="50">H83/G83</f>
        <v>1.0013590092053641</v>
      </c>
      <c r="J83" s="389">
        <v>8.1999999999999993</v>
      </c>
      <c r="K83" s="390">
        <f t="shared" si="42"/>
        <v>2.10261801584656E-2</v>
      </c>
      <c r="L83" s="389">
        <v>760</v>
      </c>
      <c r="M83" s="390">
        <f t="shared" si="43"/>
        <v>1.0223851893638298</v>
      </c>
      <c r="N83" s="391">
        <v>6634.7999999999975</v>
      </c>
      <c r="O83" s="389">
        <v>0</v>
      </c>
      <c r="P83" s="390">
        <f t="shared" si="44"/>
        <v>0</v>
      </c>
      <c r="Q83" s="404">
        <f t="shared" si="45"/>
        <v>0</v>
      </c>
      <c r="R83" s="392">
        <f t="shared" si="46"/>
        <v>8.7299999999999613</v>
      </c>
      <c r="S83" s="390">
        <f t="shared" si="47"/>
        <v>2.238518936382974E-2</v>
      </c>
      <c r="T83" s="394" t="s">
        <v>174</v>
      </c>
      <c r="U83" s="394" t="s">
        <v>457</v>
      </c>
      <c r="V83" s="395" t="s">
        <v>573</v>
      </c>
      <c r="W83" s="395" t="s">
        <v>680</v>
      </c>
      <c r="X83" s="395">
        <v>1</v>
      </c>
      <c r="Y83" s="396" t="s">
        <v>713</v>
      </c>
    </row>
    <row r="84" spans="2:34" s="148" customFormat="1" ht="27" customHeight="1">
      <c r="B84" s="879"/>
      <c r="C84" s="880"/>
      <c r="D84" s="384">
        <v>6</v>
      </c>
      <c r="E84" s="387" t="s">
        <v>504</v>
      </c>
      <c r="F84" s="388">
        <v>6245.5918000000229</v>
      </c>
      <c r="G84" s="389">
        <v>1097.5800000000002</v>
      </c>
      <c r="H84" s="389">
        <v>1091.47</v>
      </c>
      <c r="I84" s="390">
        <f t="shared" si="50"/>
        <v>0.99443320760217924</v>
      </c>
      <c r="J84" s="389">
        <v>16.91</v>
      </c>
      <c r="K84" s="390">
        <f t="shared" si="42"/>
        <v>1.540662184077698E-2</v>
      </c>
      <c r="L84" s="389">
        <v>605.77999999999986</v>
      </c>
      <c r="M84" s="390">
        <f t="shared" si="43"/>
        <v>1.0098398294429562</v>
      </c>
      <c r="N84" s="391">
        <v>6542.4240000000236</v>
      </c>
      <c r="O84" s="389">
        <v>0.49</v>
      </c>
      <c r="P84" s="390">
        <f t="shared" si="44"/>
        <v>4.4643670620820344E-4</v>
      </c>
      <c r="Q84" s="404">
        <f t="shared" si="45"/>
        <v>296.83219999999994</v>
      </c>
      <c r="R84" s="392">
        <f t="shared" si="46"/>
        <v>10.309999999999954</v>
      </c>
      <c r="S84" s="390">
        <f t="shared" si="47"/>
        <v>9.3933927367480761E-3</v>
      </c>
      <c r="T84" s="394" t="s">
        <v>174</v>
      </c>
      <c r="U84" s="394" t="s">
        <v>216</v>
      </c>
      <c r="V84" s="395" t="s">
        <v>571</v>
      </c>
      <c r="W84" s="395" t="s">
        <v>679</v>
      </c>
      <c r="X84" s="395">
        <v>1</v>
      </c>
      <c r="Y84" s="396" t="s">
        <v>344</v>
      </c>
    </row>
    <row r="85" spans="2:34" s="148" customFormat="1" ht="27" customHeight="1">
      <c r="B85" s="879"/>
      <c r="C85" s="880"/>
      <c r="D85" s="384">
        <v>7</v>
      </c>
      <c r="E85" s="387" t="s">
        <v>509</v>
      </c>
      <c r="F85" s="388">
        <v>5700.205200000004</v>
      </c>
      <c r="G85" s="389">
        <v>1161.4100000000001</v>
      </c>
      <c r="H85" s="389">
        <v>1159.71</v>
      </c>
      <c r="I85" s="390">
        <f t="shared" si="50"/>
        <v>0.99853626195744827</v>
      </c>
      <c r="J85" s="389">
        <v>16.079999999999998</v>
      </c>
      <c r="K85" s="390">
        <f t="shared" si="42"/>
        <v>1.3845239837783381E-2</v>
      </c>
      <c r="L85" s="389">
        <v>407.74000000000007</v>
      </c>
      <c r="M85" s="390">
        <f t="shared" si="43"/>
        <v>1.0123815017952316</v>
      </c>
      <c r="N85" s="391">
        <v>5863.3012000000035</v>
      </c>
      <c r="O85" s="389">
        <v>0.4</v>
      </c>
      <c r="P85" s="390">
        <f t="shared" si="44"/>
        <v>3.444089511886414E-4</v>
      </c>
      <c r="Q85" s="404">
        <f t="shared" si="45"/>
        <v>163.09600000000003</v>
      </c>
      <c r="R85" s="392">
        <f t="shared" si="46"/>
        <v>13.979999999999881</v>
      </c>
      <c r="S85" s="390">
        <f t="shared" si="47"/>
        <v>1.2037092844042913E-2</v>
      </c>
      <c r="T85" s="394" t="s">
        <v>174</v>
      </c>
      <c r="U85" s="394" t="s">
        <v>216</v>
      </c>
      <c r="V85" s="395" t="s">
        <v>567</v>
      </c>
      <c r="W85" s="395" t="s">
        <v>577</v>
      </c>
      <c r="X85" s="395">
        <v>1</v>
      </c>
      <c r="Y85" s="396" t="s">
        <v>511</v>
      </c>
    </row>
    <row r="86" spans="2:34" s="148" customFormat="1" ht="27" customHeight="1">
      <c r="B86" s="879"/>
      <c r="C86" s="880"/>
      <c r="D86" s="384">
        <v>8</v>
      </c>
      <c r="E86" s="387" t="s">
        <v>543</v>
      </c>
      <c r="F86" s="388">
        <v>5306.203499999996</v>
      </c>
      <c r="G86" s="389">
        <v>1227.94</v>
      </c>
      <c r="H86" s="389">
        <v>1184.2399999999998</v>
      </c>
      <c r="I86" s="390">
        <f t="shared" si="50"/>
        <v>0.96441194195156088</v>
      </c>
      <c r="J86" s="389">
        <v>90.64</v>
      </c>
      <c r="K86" s="390">
        <f>J86/G86</f>
        <v>7.3814681499096049E-2</v>
      </c>
      <c r="L86" s="389">
        <v>118.30999999999997</v>
      </c>
      <c r="M86" s="390">
        <f>(H86+J86)/G86</f>
        <v>1.038226623450657</v>
      </c>
      <c r="N86" s="391">
        <v>5553.4713999999967</v>
      </c>
      <c r="O86" s="389">
        <v>2.09</v>
      </c>
      <c r="P86" s="390">
        <f t="shared" si="44"/>
        <v>1.7020375588383794E-3</v>
      </c>
      <c r="Q86" s="404">
        <f t="shared" si="45"/>
        <v>247.26789999999994</v>
      </c>
      <c r="R86" s="392">
        <f t="shared" si="46"/>
        <v>44.849999999999824</v>
      </c>
      <c r="S86" s="390">
        <f t="shared" si="47"/>
        <v>3.6524585891818673E-2</v>
      </c>
      <c r="T86" s="394" t="s">
        <v>174</v>
      </c>
      <c r="U86" s="394" t="s">
        <v>457</v>
      </c>
      <c r="V86" s="395" t="s">
        <v>565</v>
      </c>
      <c r="W86" s="395" t="s">
        <v>566</v>
      </c>
      <c r="X86" s="395">
        <v>1</v>
      </c>
      <c r="Y86" s="396" t="s">
        <v>533</v>
      </c>
    </row>
    <row r="87" spans="2:34" s="148" customFormat="1" ht="27" customHeight="1">
      <c r="B87" s="879"/>
      <c r="C87" s="880"/>
      <c r="D87" s="384">
        <v>9</v>
      </c>
      <c r="E87" s="387" t="s">
        <v>581</v>
      </c>
      <c r="F87" s="388">
        <v>4264.4500000000053</v>
      </c>
      <c r="G87" s="389">
        <v>83.27000000000001</v>
      </c>
      <c r="H87" s="389">
        <v>83.5</v>
      </c>
      <c r="I87" s="390">
        <f t="shared" si="50"/>
        <v>1.0027620991953883</v>
      </c>
      <c r="J87" s="389">
        <v>1.5</v>
      </c>
      <c r="K87" s="390">
        <f t="shared" ref="K87:K98" si="51">J87/G87</f>
        <v>1.8013690404707575E-2</v>
      </c>
      <c r="L87" s="389">
        <v>2465</v>
      </c>
      <c r="M87" s="390">
        <f t="shared" ref="M87:M98" si="52">(H87+J87)/G87</f>
        <v>1.020775789600096</v>
      </c>
      <c r="N87" s="391">
        <v>4264.4500000000053</v>
      </c>
      <c r="O87" s="389">
        <v>0</v>
      </c>
      <c r="P87" s="390">
        <f t="shared" si="44"/>
        <v>0</v>
      </c>
      <c r="Q87" s="404">
        <f t="shared" si="45"/>
        <v>0</v>
      </c>
      <c r="R87" s="392">
        <f t="shared" si="46"/>
        <v>1.7299999999999898</v>
      </c>
      <c r="S87" s="390">
        <f t="shared" si="47"/>
        <v>2.0775789600095948E-2</v>
      </c>
      <c r="T87" s="394" t="s">
        <v>174</v>
      </c>
      <c r="U87" s="394" t="s">
        <v>457</v>
      </c>
      <c r="V87" s="395" t="s">
        <v>573</v>
      </c>
      <c r="W87" s="395" t="s">
        <v>680</v>
      </c>
      <c r="X87" s="395">
        <v>1</v>
      </c>
      <c r="Y87" s="396" t="s">
        <v>517</v>
      </c>
    </row>
    <row r="88" spans="2:34" s="148" customFormat="1" ht="27" customHeight="1">
      <c r="B88" s="879"/>
      <c r="C88" s="880"/>
      <c r="D88" s="384">
        <v>10</v>
      </c>
      <c r="E88" s="387" t="s">
        <v>514</v>
      </c>
      <c r="F88" s="388">
        <v>3553.8500000000026</v>
      </c>
      <c r="G88" s="389">
        <v>165.48</v>
      </c>
      <c r="H88" s="389">
        <v>161.93</v>
      </c>
      <c r="I88" s="390">
        <f t="shared" si="50"/>
        <v>0.97854725646603824</v>
      </c>
      <c r="J88" s="389">
        <v>10.4</v>
      </c>
      <c r="K88" s="390">
        <f t="shared" si="51"/>
        <v>6.2847474014986707E-2</v>
      </c>
      <c r="L88" s="389">
        <v>629</v>
      </c>
      <c r="M88" s="390">
        <f t="shared" si="52"/>
        <v>1.0413947304810249</v>
      </c>
      <c r="N88" s="391">
        <v>4308.6500000000033</v>
      </c>
      <c r="O88" s="389">
        <v>1.2</v>
      </c>
      <c r="P88" s="390">
        <f t="shared" si="44"/>
        <v>7.251631617113851E-3</v>
      </c>
      <c r="Q88" s="404">
        <f t="shared" si="45"/>
        <v>754.8</v>
      </c>
      <c r="R88" s="392">
        <f t="shared" si="46"/>
        <v>5.6500000000000226</v>
      </c>
      <c r="S88" s="390">
        <f t="shared" si="47"/>
        <v>3.4143098863911182E-2</v>
      </c>
      <c r="T88" s="394" t="s">
        <v>174</v>
      </c>
      <c r="U88" s="394" t="s">
        <v>457</v>
      </c>
      <c r="V88" s="395" t="s">
        <v>578</v>
      </c>
      <c r="W88" s="395" t="s">
        <v>680</v>
      </c>
      <c r="X88" s="395">
        <v>1</v>
      </c>
      <c r="Y88" s="396" t="s">
        <v>503</v>
      </c>
    </row>
    <row r="89" spans="2:34" s="148" customFormat="1" ht="27" customHeight="1">
      <c r="B89" s="879"/>
      <c r="C89" s="880"/>
      <c r="D89" s="384">
        <v>11</v>
      </c>
      <c r="E89" s="387" t="s">
        <v>761</v>
      </c>
      <c r="F89" s="388">
        <v>3355.8407999999963</v>
      </c>
      <c r="G89" s="389">
        <v>482.5</v>
      </c>
      <c r="H89" s="389">
        <v>483.91</v>
      </c>
      <c r="I89" s="390">
        <f t="shared" si="50"/>
        <v>1.0029222797927462</v>
      </c>
      <c r="J89" s="389">
        <v>3.9</v>
      </c>
      <c r="K89" s="390">
        <f t="shared" si="51"/>
        <v>8.0829015544041441E-3</v>
      </c>
      <c r="L89" s="389">
        <v>717.06000000000006</v>
      </c>
      <c r="M89" s="390">
        <f t="shared" si="52"/>
        <v>1.0110051813471503</v>
      </c>
      <c r="N89" s="391">
        <v>3807.5885999999964</v>
      </c>
      <c r="O89" s="389">
        <v>0.63</v>
      </c>
      <c r="P89" s="390">
        <f t="shared" si="44"/>
        <v>1.3056994818652849E-3</v>
      </c>
      <c r="Q89" s="404">
        <f t="shared" si="45"/>
        <v>451.74780000000004</v>
      </c>
      <c r="R89" s="392">
        <f t="shared" si="46"/>
        <v>4.6800000000000024</v>
      </c>
      <c r="S89" s="390">
        <f t="shared" si="47"/>
        <v>9.6994818652849785E-3</v>
      </c>
      <c r="T89" s="394" t="s">
        <v>174</v>
      </c>
      <c r="U89" s="394" t="s">
        <v>457</v>
      </c>
      <c r="V89" s="395" t="s">
        <v>578</v>
      </c>
      <c r="W89" s="395" t="s">
        <v>680</v>
      </c>
      <c r="X89" s="395">
        <v>1</v>
      </c>
      <c r="Y89" s="396" t="s">
        <v>753</v>
      </c>
    </row>
    <row r="90" spans="2:34" s="148" customFormat="1" ht="27" customHeight="1">
      <c r="B90" s="879"/>
      <c r="C90" s="880"/>
      <c r="D90" s="384">
        <v>12</v>
      </c>
      <c r="E90" s="387" t="s">
        <v>728</v>
      </c>
      <c r="F90" s="388">
        <v>3192.8400000000042</v>
      </c>
      <c r="G90" s="389">
        <v>1383.46</v>
      </c>
      <c r="H90" s="389">
        <v>1378.27</v>
      </c>
      <c r="I90" s="390">
        <f t="shared" si="50"/>
        <v>0.99624853627860577</v>
      </c>
      <c r="J90" s="389">
        <v>30.16</v>
      </c>
      <c r="K90" s="390">
        <f t="shared" si="51"/>
        <v>2.180041345611727E-2</v>
      </c>
      <c r="L90" s="389">
        <v>144.79999999999998</v>
      </c>
      <c r="M90" s="390">
        <f t="shared" si="52"/>
        <v>1.0180489497347232</v>
      </c>
      <c r="N90" s="391">
        <v>3615.656000000004</v>
      </c>
      <c r="O90" s="389">
        <v>2.92</v>
      </c>
      <c r="P90" s="390">
        <f t="shared" si="44"/>
        <v>2.1106501091466322E-3</v>
      </c>
      <c r="Q90" s="404">
        <f t="shared" si="45"/>
        <v>422.81599999999992</v>
      </c>
      <c r="R90" s="392">
        <f t="shared" si="46"/>
        <v>22.050000000000026</v>
      </c>
      <c r="S90" s="390">
        <f t="shared" si="47"/>
        <v>1.5938299625576472E-2</v>
      </c>
      <c r="T90" s="394" t="s">
        <v>174</v>
      </c>
      <c r="U90" s="394" t="s">
        <v>457</v>
      </c>
      <c r="V90" s="395" t="s">
        <v>578</v>
      </c>
      <c r="W90" s="395" t="s">
        <v>680</v>
      </c>
      <c r="X90" s="395">
        <v>1</v>
      </c>
      <c r="Y90" s="396" t="s">
        <v>342</v>
      </c>
    </row>
    <row r="91" spans="2:34" s="148" customFormat="1" ht="27" customHeight="1">
      <c r="B91" s="879"/>
      <c r="C91" s="880"/>
      <c r="D91" s="384">
        <v>13</v>
      </c>
      <c r="E91" s="387" t="s">
        <v>461</v>
      </c>
      <c r="F91" s="388">
        <v>3129.1900000000069</v>
      </c>
      <c r="G91" s="389">
        <v>448.91</v>
      </c>
      <c r="H91" s="389">
        <v>443.15</v>
      </c>
      <c r="I91" s="390">
        <f t="shared" si="50"/>
        <v>0.98716892027355141</v>
      </c>
      <c r="J91" s="389">
        <v>15.48</v>
      </c>
      <c r="K91" s="390">
        <f t="shared" si="51"/>
        <v>3.4483526764830366E-2</v>
      </c>
      <c r="L91" s="389">
        <v>368.13999999999993</v>
      </c>
      <c r="M91" s="390">
        <f t="shared" si="52"/>
        <v>1.0216524470383819</v>
      </c>
      <c r="N91" s="391">
        <v>3578.3208000000072</v>
      </c>
      <c r="O91" s="389">
        <v>1.22</v>
      </c>
      <c r="P91" s="390">
        <f t="shared" si="44"/>
        <v>2.7176939698380521E-3</v>
      </c>
      <c r="Q91" s="404">
        <f t="shared" si="45"/>
        <v>449.13079999999991</v>
      </c>
      <c r="R91" s="392">
        <f t="shared" si="46"/>
        <v>8.4999999999999698</v>
      </c>
      <c r="S91" s="390">
        <f t="shared" si="47"/>
        <v>1.8934753068543739E-2</v>
      </c>
      <c r="T91" s="394" t="s">
        <v>174</v>
      </c>
      <c r="U91" s="394" t="s">
        <v>457</v>
      </c>
      <c r="V91" s="395" t="s">
        <v>575</v>
      </c>
      <c r="W91" s="395" t="s">
        <v>576</v>
      </c>
      <c r="X91" s="395">
        <v>1</v>
      </c>
      <c r="Y91" s="396" t="s">
        <v>462</v>
      </c>
    </row>
    <row r="92" spans="2:34" s="148" customFormat="1" ht="27" customHeight="1">
      <c r="B92" s="879"/>
      <c r="C92" s="880"/>
      <c r="D92" s="384">
        <v>14</v>
      </c>
      <c r="E92" s="387" t="s">
        <v>367</v>
      </c>
      <c r="F92" s="388">
        <v>3102.3524999999981</v>
      </c>
      <c r="G92" s="389">
        <v>1218.8900000000001</v>
      </c>
      <c r="H92" s="389">
        <v>1236.6799999999998</v>
      </c>
      <c r="I92" s="390">
        <f t="shared" si="50"/>
        <v>1.0145952464947614</v>
      </c>
      <c r="J92" s="389">
        <v>6.6</v>
      </c>
      <c r="K92" s="390">
        <f t="shared" si="51"/>
        <v>5.414762611884583E-3</v>
      </c>
      <c r="L92" s="389">
        <v>152.75</v>
      </c>
      <c r="M92" s="390">
        <f t="shared" si="52"/>
        <v>1.020010009106646</v>
      </c>
      <c r="N92" s="391">
        <v>3725.5724999999975</v>
      </c>
      <c r="O92" s="389">
        <v>4.08</v>
      </c>
      <c r="P92" s="390">
        <f t="shared" si="44"/>
        <v>3.3473077964377425E-3</v>
      </c>
      <c r="Q92" s="404">
        <f t="shared" si="45"/>
        <v>623.22</v>
      </c>
      <c r="R92" s="392">
        <f t="shared" si="46"/>
        <v>20.309999999999647</v>
      </c>
      <c r="S92" s="390">
        <f t="shared" si="47"/>
        <v>1.6662701310208177E-2</v>
      </c>
      <c r="T92" s="394" t="s">
        <v>174</v>
      </c>
      <c r="U92" s="394" t="s">
        <v>457</v>
      </c>
      <c r="V92" s="395" t="s">
        <v>578</v>
      </c>
      <c r="W92" s="395" t="s">
        <v>680</v>
      </c>
      <c r="X92" s="395">
        <v>1</v>
      </c>
      <c r="Y92" s="396" t="s">
        <v>369</v>
      </c>
      <c r="AC92" s="401"/>
    </row>
    <row r="93" spans="2:34" s="148" customFormat="1" ht="27" customHeight="1">
      <c r="B93" s="879"/>
      <c r="C93" s="880"/>
      <c r="D93" s="384">
        <v>15</v>
      </c>
      <c r="E93" s="387" t="s">
        <v>518</v>
      </c>
      <c r="F93" s="388">
        <v>3078.4810000000098</v>
      </c>
      <c r="G93" s="389">
        <v>1264</v>
      </c>
      <c r="H93" s="389">
        <v>1267.68</v>
      </c>
      <c r="I93" s="390">
        <f t="shared" si="50"/>
        <v>1.0029113924050634</v>
      </c>
      <c r="J93" s="389">
        <v>17.2</v>
      </c>
      <c r="K93" s="390">
        <f t="shared" si="51"/>
        <v>1.360759493670886E-2</v>
      </c>
      <c r="L93" s="389">
        <v>191.21</v>
      </c>
      <c r="M93" s="390">
        <f t="shared" si="52"/>
        <v>1.0165189873417722</v>
      </c>
      <c r="N93" s="391">
        <v>3992.4648000000102</v>
      </c>
      <c r="O93" s="389">
        <v>4.78</v>
      </c>
      <c r="P93" s="390">
        <f t="shared" si="44"/>
        <v>3.7816455696202535E-3</v>
      </c>
      <c r="Q93" s="404">
        <f t="shared" si="45"/>
        <v>913.98380000000009</v>
      </c>
      <c r="R93" s="392">
        <f t="shared" si="46"/>
        <v>16.100000000000108</v>
      </c>
      <c r="S93" s="390">
        <f t="shared" si="47"/>
        <v>1.2737341772151984E-2</v>
      </c>
      <c r="T93" s="394" t="s">
        <v>174</v>
      </c>
      <c r="U93" s="394" t="s">
        <v>457</v>
      </c>
      <c r="V93" s="394" t="s">
        <v>578</v>
      </c>
      <c r="W93" s="395" t="s">
        <v>680</v>
      </c>
      <c r="X93" s="395">
        <v>1</v>
      </c>
      <c r="Y93" s="396" t="s">
        <v>519</v>
      </c>
      <c r="AC93" s="400"/>
    </row>
    <row r="94" spans="2:34" s="148" customFormat="1" ht="27" customHeight="1">
      <c r="B94" s="879"/>
      <c r="C94" s="880"/>
      <c r="D94" s="384">
        <v>16</v>
      </c>
      <c r="E94" s="387" t="s">
        <v>338</v>
      </c>
      <c r="F94" s="388">
        <v>2994.8830000000003</v>
      </c>
      <c r="G94" s="389">
        <v>1738.1</v>
      </c>
      <c r="H94" s="389">
        <v>1656.93</v>
      </c>
      <c r="I94" s="390">
        <f t="shared" si="50"/>
        <v>0.95329958000115078</v>
      </c>
      <c r="J94" s="389">
        <v>127.7</v>
      </c>
      <c r="K94" s="390">
        <f t="shared" si="51"/>
        <v>7.3471031586214833E-2</v>
      </c>
      <c r="L94" s="389">
        <v>70.220000000000013</v>
      </c>
      <c r="M94" s="390">
        <f t="shared" si="52"/>
        <v>1.0267706115873656</v>
      </c>
      <c r="N94" s="391">
        <v>3267.3366000000001</v>
      </c>
      <c r="O94" s="389">
        <v>3.88</v>
      </c>
      <c r="P94" s="390">
        <f t="shared" si="44"/>
        <v>2.2323226511708188E-3</v>
      </c>
      <c r="Q94" s="404">
        <f t="shared" si="45"/>
        <v>272.45360000000005</v>
      </c>
      <c r="R94" s="392">
        <f t="shared" si="46"/>
        <v>42.650000000000198</v>
      </c>
      <c r="S94" s="390">
        <f t="shared" si="47"/>
        <v>2.4538288936194811E-2</v>
      </c>
      <c r="T94" s="394" t="s">
        <v>174</v>
      </c>
      <c r="U94" s="394" t="s">
        <v>457</v>
      </c>
      <c r="V94" s="395" t="s">
        <v>564</v>
      </c>
      <c r="W94" s="395" t="s">
        <v>546</v>
      </c>
      <c r="X94" s="395">
        <v>1</v>
      </c>
      <c r="Y94" s="396" t="s">
        <v>345</v>
      </c>
      <c r="AC94" s="400"/>
    </row>
    <row r="95" spans="2:34" s="148" customFormat="1" ht="27" customHeight="1">
      <c r="B95" s="879"/>
      <c r="C95" s="880"/>
      <c r="D95" s="384">
        <v>17</v>
      </c>
      <c r="E95" s="387" t="s">
        <v>542</v>
      </c>
      <c r="F95" s="388">
        <v>2788.6439999999998</v>
      </c>
      <c r="G95" s="389">
        <v>1556.3899999999999</v>
      </c>
      <c r="H95" s="389">
        <v>1526.6000000000001</v>
      </c>
      <c r="I95" s="390">
        <f t="shared" si="50"/>
        <v>0.98085955319682105</v>
      </c>
      <c r="J95" s="389">
        <v>70.45</v>
      </c>
      <c r="K95" s="390">
        <f t="shared" si="51"/>
        <v>4.5265004272708E-2</v>
      </c>
      <c r="L95" s="389">
        <v>84.3</v>
      </c>
      <c r="M95" s="390">
        <f t="shared" si="52"/>
        <v>1.026124557469529</v>
      </c>
      <c r="N95" s="391">
        <v>3427.6379999999995</v>
      </c>
      <c r="O95" s="389">
        <v>7.58</v>
      </c>
      <c r="P95" s="390">
        <f t="shared" si="44"/>
        <v>4.870244604501443E-3</v>
      </c>
      <c r="Q95" s="404">
        <f t="shared" si="45"/>
        <v>638.99400000000003</v>
      </c>
      <c r="R95" s="392">
        <f t="shared" si="46"/>
        <v>33.080000000000311</v>
      </c>
      <c r="S95" s="390">
        <f t="shared" si="47"/>
        <v>2.1254312865027606E-2</v>
      </c>
      <c r="T95" s="394" t="s">
        <v>174</v>
      </c>
      <c r="U95" s="394" t="s">
        <v>457</v>
      </c>
      <c r="V95" s="395" t="s">
        <v>564</v>
      </c>
      <c r="W95" s="395" t="s">
        <v>546</v>
      </c>
      <c r="X95" s="395">
        <v>1</v>
      </c>
      <c r="Y95" s="396" t="s">
        <v>534</v>
      </c>
      <c r="AB95" s="402"/>
      <c r="AC95" s="400"/>
    </row>
    <row r="96" spans="2:34" s="148" customFormat="1" ht="27" customHeight="1">
      <c r="B96" s="879"/>
      <c r="C96" s="880"/>
      <c r="D96" s="384">
        <v>18</v>
      </c>
      <c r="E96" s="387" t="s">
        <v>762</v>
      </c>
      <c r="F96" s="388">
        <v>2638.5960000000041</v>
      </c>
      <c r="G96" s="389">
        <v>541.32999999999993</v>
      </c>
      <c r="H96" s="389">
        <v>545.67999999999995</v>
      </c>
      <c r="I96" s="390">
        <f t="shared" si="50"/>
        <v>1.0080357637670183</v>
      </c>
      <c r="J96" s="389">
        <v>3.8100000000000005</v>
      </c>
      <c r="K96" s="390">
        <f t="shared" si="51"/>
        <v>7.0382206786987625E-3</v>
      </c>
      <c r="L96" s="389">
        <v>425.58</v>
      </c>
      <c r="M96" s="390">
        <f t="shared" si="52"/>
        <v>1.0150739844457171</v>
      </c>
      <c r="N96" s="391">
        <v>3472.7328000000043</v>
      </c>
      <c r="O96" s="389">
        <v>1.96</v>
      </c>
      <c r="P96" s="390">
        <f t="shared" si="44"/>
        <v>3.6207119501967381E-3</v>
      </c>
      <c r="Q96" s="404">
        <f t="shared" si="45"/>
        <v>834.13679999999999</v>
      </c>
      <c r="R96" s="392">
        <f t="shared" si="46"/>
        <v>6.1999999999999682</v>
      </c>
      <c r="S96" s="390">
        <f t="shared" si="47"/>
        <v>1.1453272495520235E-2</v>
      </c>
      <c r="T96" s="394" t="s">
        <v>174</v>
      </c>
      <c r="U96" s="394" t="s">
        <v>457</v>
      </c>
      <c r="V96" s="395" t="s">
        <v>578</v>
      </c>
      <c r="W96" s="395" t="s">
        <v>680</v>
      </c>
      <c r="X96" s="395">
        <v>1</v>
      </c>
      <c r="Y96" s="396" t="s">
        <v>517</v>
      </c>
      <c r="AC96" s="400"/>
    </row>
    <row r="97" spans="2:34" s="148" customFormat="1" ht="27" customHeight="1">
      <c r="B97" s="879"/>
      <c r="C97" s="880"/>
      <c r="D97" s="384">
        <v>19</v>
      </c>
      <c r="E97" s="387" t="s">
        <v>496</v>
      </c>
      <c r="F97" s="388">
        <v>2563.1200000000003</v>
      </c>
      <c r="G97" s="389">
        <v>231389</v>
      </c>
      <c r="H97" s="389">
        <v>231541</v>
      </c>
      <c r="I97" s="390">
        <f t="shared" si="50"/>
        <v>1.0006569024456651</v>
      </c>
      <c r="J97" s="389">
        <v>690</v>
      </c>
      <c r="K97" s="390">
        <f t="shared" si="51"/>
        <v>2.9819913651902208E-3</v>
      </c>
      <c r="L97" s="389">
        <v>3.2199999999999998</v>
      </c>
      <c r="M97" s="390">
        <f t="shared" si="52"/>
        <v>1.0036388938108554</v>
      </c>
      <c r="N97" s="391">
        <v>2711.2400000000007</v>
      </c>
      <c r="O97" s="389">
        <v>46</v>
      </c>
      <c r="P97" s="390">
        <f t="shared" si="44"/>
        <v>1.9879942434601473E-4</v>
      </c>
      <c r="Q97" s="404">
        <f t="shared" si="45"/>
        <v>148.11999999999998</v>
      </c>
      <c r="R97" s="392">
        <f t="shared" si="46"/>
        <v>796</v>
      </c>
      <c r="S97" s="390">
        <f t="shared" si="47"/>
        <v>3.4400943865092984E-3</v>
      </c>
      <c r="T97" s="394" t="s">
        <v>174</v>
      </c>
      <c r="U97" s="394" t="s">
        <v>216</v>
      </c>
      <c r="V97" s="395" t="s">
        <v>575</v>
      </c>
      <c r="W97" s="395" t="s">
        <v>769</v>
      </c>
      <c r="X97" s="395">
        <v>1</v>
      </c>
      <c r="Y97" s="396" t="s">
        <v>342</v>
      </c>
      <c r="AB97" s="403"/>
      <c r="AC97" s="400"/>
    </row>
    <row r="98" spans="2:34" s="148" customFormat="1" ht="27" customHeight="1">
      <c r="B98" s="881"/>
      <c r="C98" s="882"/>
      <c r="D98" s="384">
        <v>20</v>
      </c>
      <c r="E98" s="387" t="s">
        <v>433</v>
      </c>
      <c r="F98" s="388">
        <v>2429.6193000000198</v>
      </c>
      <c r="G98" s="389">
        <v>1837</v>
      </c>
      <c r="H98" s="389">
        <v>1837.3600000000001</v>
      </c>
      <c r="I98" s="390">
        <f t="shared" si="50"/>
        <v>1.0001959716929778</v>
      </c>
      <c r="J98" s="389">
        <v>19.440000000000001</v>
      </c>
      <c r="K98" s="390">
        <f t="shared" si="51"/>
        <v>1.0582471420794775E-2</v>
      </c>
      <c r="L98" s="389">
        <v>157.87000000000003</v>
      </c>
      <c r="M98" s="390">
        <f t="shared" si="52"/>
        <v>1.0107784431137725</v>
      </c>
      <c r="N98" s="391">
        <v>3125.82600000002</v>
      </c>
      <c r="O98" s="389">
        <v>4.41</v>
      </c>
      <c r="P98" s="390">
        <f t="shared" si="44"/>
        <v>2.4006532389765924E-3</v>
      </c>
      <c r="Q98" s="404">
        <f t="shared" si="45"/>
        <v>696.20670000000018</v>
      </c>
      <c r="R98" s="392">
        <f t="shared" si="46"/>
        <v>15.390000000000182</v>
      </c>
      <c r="S98" s="390">
        <f t="shared" si="47"/>
        <v>8.3777898747959614E-3</v>
      </c>
      <c r="T98" s="394" t="s">
        <v>174</v>
      </c>
      <c r="U98" s="394" t="s">
        <v>457</v>
      </c>
      <c r="V98" s="395" t="s">
        <v>565</v>
      </c>
      <c r="W98" s="395" t="s">
        <v>566</v>
      </c>
      <c r="X98" s="395">
        <v>1</v>
      </c>
      <c r="Y98" s="396" t="s">
        <v>342</v>
      </c>
      <c r="AB98" s="403"/>
      <c r="AC98" s="400"/>
    </row>
    <row r="99" spans="2:34" ht="16.5" customHeight="1">
      <c r="B99" s="899" t="s">
        <v>475</v>
      </c>
      <c r="C99" s="900"/>
      <c r="D99" s="905" t="s">
        <v>170</v>
      </c>
      <c r="E99" s="905"/>
      <c r="F99" s="905"/>
      <c r="G99" s="905" t="s">
        <v>184</v>
      </c>
      <c r="H99" s="905"/>
      <c r="I99" s="905"/>
      <c r="J99" s="905"/>
      <c r="K99" s="905"/>
      <c r="L99" s="905"/>
      <c r="M99" s="905"/>
      <c r="N99" s="905"/>
      <c r="O99" s="905"/>
      <c r="P99" s="905"/>
      <c r="Q99" s="905"/>
      <c r="R99" s="905"/>
      <c r="S99" s="905"/>
      <c r="T99" s="905" t="s">
        <v>171</v>
      </c>
      <c r="U99" s="890" t="s">
        <v>245</v>
      </c>
      <c r="V99" s="910" t="s">
        <v>483</v>
      </c>
      <c r="W99" s="910" t="s">
        <v>477</v>
      </c>
      <c r="X99" s="886" t="s">
        <v>246</v>
      </c>
      <c r="Y99" s="889" t="s">
        <v>172</v>
      </c>
      <c r="AA99" s="905" t="s">
        <v>247</v>
      </c>
      <c r="AB99" s="905"/>
      <c r="AC99" s="905"/>
      <c r="AD99" s="905"/>
      <c r="AE99" s="905"/>
      <c r="AF99" s="905"/>
      <c r="AG99" s="905"/>
      <c r="AH99" s="905"/>
    </row>
    <row r="100" spans="2:34" ht="17.100000000000001" customHeight="1">
      <c r="B100" s="901"/>
      <c r="C100" s="902"/>
      <c r="D100" s="906" t="s">
        <v>169</v>
      </c>
      <c r="E100" s="905" t="s">
        <v>173</v>
      </c>
      <c r="F100" s="905"/>
      <c r="G100" s="905" t="s">
        <v>185</v>
      </c>
      <c r="H100" s="905"/>
      <c r="I100" s="905"/>
      <c r="J100" s="905"/>
      <c r="K100" s="905"/>
      <c r="L100" s="905"/>
      <c r="M100" s="905"/>
      <c r="N100" s="905"/>
      <c r="O100" s="905" t="s">
        <v>174</v>
      </c>
      <c r="P100" s="905"/>
      <c r="Q100" s="905"/>
      <c r="R100" s="905"/>
      <c r="S100" s="905"/>
      <c r="T100" s="905"/>
      <c r="U100" s="893"/>
      <c r="V100" s="887"/>
      <c r="W100" s="911"/>
      <c r="X100" s="887"/>
      <c r="Y100" s="889"/>
      <c r="AA100" s="905"/>
      <c r="AB100" s="905"/>
      <c r="AC100" s="905"/>
      <c r="AD100" s="905"/>
      <c r="AE100" s="905"/>
      <c r="AF100" s="905"/>
      <c r="AG100" s="905"/>
      <c r="AH100" s="905"/>
    </row>
    <row r="101" spans="2:34" ht="17.100000000000001" customHeight="1">
      <c r="B101" s="901"/>
      <c r="C101" s="902"/>
      <c r="D101" s="906"/>
      <c r="E101" s="906" t="s">
        <v>175</v>
      </c>
      <c r="F101" s="913" t="s">
        <v>484</v>
      </c>
      <c r="G101" s="907" t="s">
        <v>186</v>
      </c>
      <c r="H101" s="907"/>
      <c r="I101" s="907"/>
      <c r="J101" s="907"/>
      <c r="K101" s="907"/>
      <c r="L101" s="907"/>
      <c r="M101" s="907"/>
      <c r="N101" s="907"/>
      <c r="O101" s="914" t="s">
        <v>168</v>
      </c>
      <c r="P101" s="915"/>
      <c r="Q101" s="916"/>
      <c r="R101" s="907" t="s">
        <v>176</v>
      </c>
      <c r="S101" s="907"/>
      <c r="T101" s="905"/>
      <c r="U101" s="893"/>
      <c r="V101" s="887"/>
      <c r="W101" s="911"/>
      <c r="X101" s="887"/>
      <c r="Y101" s="889"/>
      <c r="AA101" s="905"/>
      <c r="AB101" s="905"/>
      <c r="AC101" s="905"/>
      <c r="AD101" s="905"/>
      <c r="AE101" s="905"/>
      <c r="AF101" s="905"/>
      <c r="AG101" s="905"/>
      <c r="AH101" s="905"/>
    </row>
    <row r="102" spans="2:34" ht="38.450000000000003" customHeight="1">
      <c r="B102" s="903"/>
      <c r="C102" s="904"/>
      <c r="D102" s="906"/>
      <c r="E102" s="906"/>
      <c r="F102" s="913"/>
      <c r="G102" s="385" t="s">
        <v>177</v>
      </c>
      <c r="H102" s="385" t="s">
        <v>252</v>
      </c>
      <c r="I102" s="385" t="s">
        <v>253</v>
      </c>
      <c r="J102" s="385" t="s">
        <v>178</v>
      </c>
      <c r="K102" s="385" t="s">
        <v>250</v>
      </c>
      <c r="L102" s="385" t="s">
        <v>179</v>
      </c>
      <c r="M102" s="385" t="s">
        <v>187</v>
      </c>
      <c r="N102" s="385" t="s">
        <v>180</v>
      </c>
      <c r="O102" s="386" t="s">
        <v>181</v>
      </c>
      <c r="P102" s="386" t="s">
        <v>182</v>
      </c>
      <c r="Q102" s="385" t="s">
        <v>183</v>
      </c>
      <c r="R102" s="386" t="s">
        <v>181</v>
      </c>
      <c r="S102" s="386" t="s">
        <v>182</v>
      </c>
      <c r="T102" s="905"/>
      <c r="U102" s="896"/>
      <c r="V102" s="888"/>
      <c r="W102" s="912"/>
      <c r="X102" s="888"/>
      <c r="Y102" s="889"/>
      <c r="AA102" s="161" t="s">
        <v>244</v>
      </c>
      <c r="AB102" s="161" t="s">
        <v>478</v>
      </c>
      <c r="AC102" s="156" t="s">
        <v>394</v>
      </c>
      <c r="AD102" s="156" t="s">
        <v>339</v>
      </c>
      <c r="AE102" s="156" t="s">
        <v>457</v>
      </c>
      <c r="AF102" s="156" t="s">
        <v>215</v>
      </c>
      <c r="AG102" s="156" t="s">
        <v>216</v>
      </c>
      <c r="AH102" s="156" t="s">
        <v>395</v>
      </c>
    </row>
    <row r="103" spans="2:34" s="148" customFormat="1" ht="27" customHeight="1">
      <c r="B103" s="877" t="s">
        <v>663</v>
      </c>
      <c r="C103" s="878"/>
      <c r="D103" s="384">
        <v>1</v>
      </c>
      <c r="E103" s="387" t="s">
        <v>337</v>
      </c>
      <c r="F103" s="388">
        <v>15522.904700000005</v>
      </c>
      <c r="G103" s="389">
        <v>4768.8900000000003</v>
      </c>
      <c r="H103" s="389">
        <v>4725.7</v>
      </c>
      <c r="I103" s="390">
        <f>H103/G103</f>
        <v>0.99094338514832581</v>
      </c>
      <c r="J103" s="389">
        <v>148.47999999999999</v>
      </c>
      <c r="K103" s="390">
        <f>J103/G103</f>
        <v>3.1135127880911488E-2</v>
      </c>
      <c r="L103" s="389">
        <v>147.43000000000004</v>
      </c>
      <c r="M103" s="390">
        <f>(H103+J103)/G103</f>
        <v>1.0220785130292371</v>
      </c>
      <c r="N103" s="391">
        <v>15522.904700000005</v>
      </c>
      <c r="O103" s="389">
        <v>0</v>
      </c>
      <c r="P103" s="390">
        <f>O103/G103</f>
        <v>0</v>
      </c>
      <c r="Q103" s="404">
        <f>O103*L103</f>
        <v>0</v>
      </c>
      <c r="R103" s="392">
        <f>((H103+J103)-G103)-O103</f>
        <v>105.28999999999905</v>
      </c>
      <c r="S103" s="390">
        <f>R103/G103</f>
        <v>2.2078513029237211E-2</v>
      </c>
      <c r="T103" s="394" t="s">
        <v>174</v>
      </c>
      <c r="U103" s="394" t="s">
        <v>215</v>
      </c>
      <c r="V103" s="395"/>
      <c r="W103" s="395"/>
      <c r="X103" s="395">
        <v>1</v>
      </c>
      <c r="Y103" s="396" t="s">
        <v>342</v>
      </c>
      <c r="Z103" s="397" t="s">
        <v>479</v>
      </c>
      <c r="AA103" s="398">
        <f>SUM(X103:X122)</f>
        <v>20</v>
      </c>
      <c r="AB103" s="399">
        <f>SUMIF($U$103:$U$122,TRIM(AB102),$X$103:$X$122)</f>
        <v>0</v>
      </c>
      <c r="AC103" s="399">
        <f t="shared" ref="AC103:AH103" si="53">SUMIF($U$103:$U$122,TRIM(AC102),$X$103:$X$122)</f>
        <v>0</v>
      </c>
      <c r="AD103" s="399">
        <f t="shared" si="53"/>
        <v>0</v>
      </c>
      <c r="AE103" s="399">
        <f t="shared" si="53"/>
        <v>14</v>
      </c>
      <c r="AF103" s="399">
        <f t="shared" si="53"/>
        <v>2</v>
      </c>
      <c r="AG103" s="399">
        <f t="shared" si="53"/>
        <v>4</v>
      </c>
      <c r="AH103" s="399">
        <f t="shared" si="53"/>
        <v>0</v>
      </c>
    </row>
    <row r="104" spans="2:34" s="148" customFormat="1" ht="27" customHeight="1">
      <c r="B104" s="879"/>
      <c r="C104" s="880"/>
      <c r="D104" s="384">
        <v>2</v>
      </c>
      <c r="E104" s="387" t="s">
        <v>726</v>
      </c>
      <c r="F104" s="388">
        <v>9063.2451000000347</v>
      </c>
      <c r="G104" s="389">
        <v>22815.390000000003</v>
      </c>
      <c r="H104" s="389">
        <v>22741.280000000002</v>
      </c>
      <c r="I104" s="390">
        <f t="shared" ref="I104:I105" si="54">H104/G104</f>
        <v>0.99675175396957927</v>
      </c>
      <c r="J104" s="389">
        <v>304.89999999999998</v>
      </c>
      <c r="K104" s="390">
        <f t="shared" ref="K104:K109" si="55">J104/G104</f>
        <v>1.3363786461682221E-2</v>
      </c>
      <c r="L104" s="389">
        <v>39.389999999999993</v>
      </c>
      <c r="M104" s="390">
        <f t="shared" ref="M104:M109" si="56">(H104+J104)/G104</f>
        <v>1.0101155404312616</v>
      </c>
      <c r="N104" s="391">
        <v>9090.8181000000332</v>
      </c>
      <c r="O104" s="389">
        <v>0.7</v>
      </c>
      <c r="P104" s="390">
        <f t="shared" ref="P104:P122" si="57">O104/G104</f>
        <v>3.0681044680805361E-5</v>
      </c>
      <c r="Q104" s="404">
        <f t="shared" ref="Q104:Q122" si="58">O104*L104</f>
        <v>27.572999999999993</v>
      </c>
      <c r="R104" s="392">
        <f t="shared" ref="R104:R122" si="59">((H104+J104)-G104)-O104</f>
        <v>230.09000000000088</v>
      </c>
      <c r="S104" s="390">
        <f t="shared" ref="S104:S122" si="60">R104/G104</f>
        <v>1.0084859386580762E-2</v>
      </c>
      <c r="T104" s="394" t="s">
        <v>174</v>
      </c>
      <c r="U104" s="394" t="s">
        <v>216</v>
      </c>
      <c r="V104" s="395"/>
      <c r="W104" s="395"/>
      <c r="X104" s="395">
        <v>1</v>
      </c>
      <c r="Y104" s="396" t="s">
        <v>342</v>
      </c>
      <c r="AA104" s="398"/>
      <c r="AB104" s="405">
        <f>SUMIF($U$103:$U$122,TRIM(AB102),$F$103:$F$122)</f>
        <v>0</v>
      </c>
      <c r="AC104" s="405">
        <f t="shared" ref="AC104:AH104" si="61">SUMIF($U$103:$U$122,TRIM(AC102),$F$103:$F$122)</f>
        <v>0</v>
      </c>
      <c r="AD104" s="405">
        <f t="shared" si="61"/>
        <v>0</v>
      </c>
      <c r="AE104" s="405">
        <f t="shared" si="61"/>
        <v>61035.200699999972</v>
      </c>
      <c r="AF104" s="405">
        <f t="shared" si="61"/>
        <v>21192.504700000005</v>
      </c>
      <c r="AG104" s="405">
        <f t="shared" si="61"/>
        <v>22518.722300000023</v>
      </c>
      <c r="AH104" s="405">
        <f t="shared" si="61"/>
        <v>0</v>
      </c>
    </row>
    <row r="105" spans="2:34" s="148" customFormat="1" ht="27" customHeight="1">
      <c r="B105" s="879"/>
      <c r="C105" s="880"/>
      <c r="D105" s="384">
        <v>3</v>
      </c>
      <c r="E105" s="387" t="s">
        <v>731</v>
      </c>
      <c r="F105" s="388">
        <v>7700.1992999999975</v>
      </c>
      <c r="G105" s="389">
        <v>2469.8699999999994</v>
      </c>
      <c r="H105" s="389">
        <v>2428.8200000000002</v>
      </c>
      <c r="I105" s="390">
        <f t="shared" si="54"/>
        <v>0.98337969204856968</v>
      </c>
      <c r="J105" s="389">
        <v>119.75999999999999</v>
      </c>
      <c r="K105" s="390">
        <f t="shared" si="55"/>
        <v>4.848838197961837E-2</v>
      </c>
      <c r="L105" s="389">
        <v>97.830000000000013</v>
      </c>
      <c r="M105" s="390">
        <f t="shared" si="56"/>
        <v>1.031868074028188</v>
      </c>
      <c r="N105" s="391">
        <v>7700.1992999999975</v>
      </c>
      <c r="O105" s="389">
        <v>0</v>
      </c>
      <c r="P105" s="390">
        <f t="shared" si="57"/>
        <v>0</v>
      </c>
      <c r="Q105" s="404">
        <f t="shared" si="58"/>
        <v>0</v>
      </c>
      <c r="R105" s="392">
        <f t="shared" si="59"/>
        <v>78.710000000000491</v>
      </c>
      <c r="S105" s="390">
        <f t="shared" si="60"/>
        <v>3.1868074028187927E-2</v>
      </c>
      <c r="T105" s="394" t="s">
        <v>174</v>
      </c>
      <c r="U105" s="394" t="s">
        <v>457</v>
      </c>
      <c r="V105" s="395"/>
      <c r="W105" s="395"/>
      <c r="X105" s="395">
        <v>1</v>
      </c>
      <c r="Y105" s="396" t="s">
        <v>717</v>
      </c>
      <c r="AA105" s="384"/>
      <c r="AB105" s="406">
        <f>AB103/$AA103</f>
        <v>0</v>
      </c>
      <c r="AC105" s="406">
        <f t="shared" ref="AC105:AH105" si="62">AC103/$AA103</f>
        <v>0</v>
      </c>
      <c r="AD105" s="406">
        <f t="shared" si="62"/>
        <v>0</v>
      </c>
      <c r="AE105" s="406">
        <f t="shared" si="62"/>
        <v>0.7</v>
      </c>
      <c r="AF105" s="406">
        <f t="shared" si="62"/>
        <v>0.1</v>
      </c>
      <c r="AG105" s="406">
        <f t="shared" si="62"/>
        <v>0.2</v>
      </c>
      <c r="AH105" s="406">
        <f t="shared" si="62"/>
        <v>0</v>
      </c>
    </row>
    <row r="106" spans="2:34" s="148" customFormat="1" ht="27" customHeight="1">
      <c r="B106" s="879"/>
      <c r="C106" s="880"/>
      <c r="D106" s="384">
        <v>4</v>
      </c>
      <c r="E106" s="387" t="s">
        <v>368</v>
      </c>
      <c r="F106" s="388">
        <v>6673.4315999999999</v>
      </c>
      <c r="G106" s="389">
        <v>746.3599999999999</v>
      </c>
      <c r="H106" s="389">
        <v>733.74</v>
      </c>
      <c r="I106" s="390">
        <f>H106/G106</f>
        <v>0.98309126962859761</v>
      </c>
      <c r="J106" s="389">
        <v>29.200000000000003</v>
      </c>
      <c r="K106" s="390">
        <f t="shared" si="55"/>
        <v>3.9123211318934571E-2</v>
      </c>
      <c r="L106" s="389">
        <v>426.69</v>
      </c>
      <c r="M106" s="390">
        <f t="shared" si="56"/>
        <v>1.0222144809475322</v>
      </c>
      <c r="N106" s="391">
        <v>7074.5201999999999</v>
      </c>
      <c r="O106" s="389">
        <v>0.94000000000000006</v>
      </c>
      <c r="P106" s="390">
        <f t="shared" si="57"/>
        <v>1.2594458438287155E-3</v>
      </c>
      <c r="Q106" s="404">
        <f t="shared" si="58"/>
        <v>401.08860000000004</v>
      </c>
      <c r="R106" s="392">
        <f t="shared" si="59"/>
        <v>15.640000000000155</v>
      </c>
      <c r="S106" s="390">
        <f t="shared" si="60"/>
        <v>2.0955035103703518E-2</v>
      </c>
      <c r="T106" s="394" t="s">
        <v>174</v>
      </c>
      <c r="U106" s="394" t="s">
        <v>457</v>
      </c>
      <c r="V106" s="395"/>
      <c r="W106" s="395"/>
      <c r="X106" s="395">
        <v>1</v>
      </c>
      <c r="Y106" s="396" t="s">
        <v>369</v>
      </c>
    </row>
    <row r="107" spans="2:34" s="148" customFormat="1" ht="27" customHeight="1">
      <c r="B107" s="879"/>
      <c r="C107" s="880"/>
      <c r="D107" s="384">
        <v>5</v>
      </c>
      <c r="E107" s="387" t="s">
        <v>543</v>
      </c>
      <c r="F107" s="388">
        <v>5838.5984999999973</v>
      </c>
      <c r="G107" s="389">
        <v>1067.0900000000001</v>
      </c>
      <c r="H107" s="389">
        <v>1037.92</v>
      </c>
      <c r="I107" s="390">
        <f t="shared" ref="I107:I122" si="63">H107/G107</f>
        <v>0.97266397398532456</v>
      </c>
      <c r="J107" s="389">
        <v>78.52000000000001</v>
      </c>
      <c r="K107" s="390">
        <f t="shared" si="55"/>
        <v>7.3583296629150308E-2</v>
      </c>
      <c r="L107" s="389">
        <v>118.30999999999997</v>
      </c>
      <c r="M107" s="390">
        <f t="shared" si="56"/>
        <v>1.0462472706144748</v>
      </c>
      <c r="N107" s="391">
        <v>5838.5984999999973</v>
      </c>
      <c r="O107" s="389">
        <v>0</v>
      </c>
      <c r="P107" s="390">
        <f t="shared" si="57"/>
        <v>0</v>
      </c>
      <c r="Q107" s="404">
        <f t="shared" si="58"/>
        <v>0</v>
      </c>
      <c r="R107" s="392">
        <f t="shared" si="59"/>
        <v>49.349999999999909</v>
      </c>
      <c r="S107" s="390">
        <f t="shared" si="60"/>
        <v>4.6247270614474791E-2</v>
      </c>
      <c r="T107" s="394" t="s">
        <v>174</v>
      </c>
      <c r="U107" s="394" t="s">
        <v>457</v>
      </c>
      <c r="V107" s="395"/>
      <c r="W107" s="395"/>
      <c r="X107" s="395">
        <v>1</v>
      </c>
      <c r="Y107" s="396" t="s">
        <v>533</v>
      </c>
    </row>
    <row r="108" spans="2:34" s="148" customFormat="1" ht="27" customHeight="1">
      <c r="B108" s="879"/>
      <c r="C108" s="880"/>
      <c r="D108" s="384">
        <v>6</v>
      </c>
      <c r="E108" s="387" t="s">
        <v>518</v>
      </c>
      <c r="F108" s="388">
        <v>5747.7725999999993</v>
      </c>
      <c r="G108" s="389">
        <v>1173.1399999999999</v>
      </c>
      <c r="H108" s="389">
        <v>1145.8600000000001</v>
      </c>
      <c r="I108" s="390">
        <f t="shared" si="63"/>
        <v>0.97674616840274842</v>
      </c>
      <c r="J108" s="389">
        <v>57.6</v>
      </c>
      <c r="K108" s="390">
        <f t="shared" si="55"/>
        <v>4.9098999266924667E-2</v>
      </c>
      <c r="L108" s="389">
        <v>191.21</v>
      </c>
      <c r="M108" s="390">
        <f t="shared" si="56"/>
        <v>1.0258451676696729</v>
      </c>
      <c r="N108" s="391">
        <v>5797.4871999999996</v>
      </c>
      <c r="O108" s="389">
        <v>0.26</v>
      </c>
      <c r="P108" s="390">
        <f t="shared" si="57"/>
        <v>2.2162742724653498E-4</v>
      </c>
      <c r="Q108" s="404">
        <f t="shared" si="58"/>
        <v>49.714600000000004</v>
      </c>
      <c r="R108" s="392">
        <f t="shared" si="59"/>
        <v>30.060000000000162</v>
      </c>
      <c r="S108" s="390">
        <f t="shared" si="60"/>
        <v>2.5623540242426451E-2</v>
      </c>
      <c r="T108" s="394" t="s">
        <v>174</v>
      </c>
      <c r="U108" s="394" t="s">
        <v>457</v>
      </c>
      <c r="V108" s="395"/>
      <c r="W108" s="395"/>
      <c r="X108" s="395">
        <v>1</v>
      </c>
      <c r="Y108" s="396" t="s">
        <v>519</v>
      </c>
    </row>
    <row r="109" spans="2:34" s="148" customFormat="1" ht="27" customHeight="1">
      <c r="B109" s="879"/>
      <c r="C109" s="880"/>
      <c r="D109" s="384">
        <v>7</v>
      </c>
      <c r="E109" s="387" t="s">
        <v>729</v>
      </c>
      <c r="F109" s="388">
        <v>5669.6000000000022</v>
      </c>
      <c r="G109" s="389">
        <v>314.35000000000002</v>
      </c>
      <c r="H109" s="389">
        <v>314.66999999999996</v>
      </c>
      <c r="I109" s="390">
        <f t="shared" si="63"/>
        <v>1.0010179735963096</v>
      </c>
      <c r="J109" s="389">
        <v>7.7</v>
      </c>
      <c r="K109" s="390">
        <f t="shared" si="55"/>
        <v>2.4494989661205661E-2</v>
      </c>
      <c r="L109" s="389">
        <v>760</v>
      </c>
      <c r="M109" s="390">
        <f t="shared" si="56"/>
        <v>1.0255129632575153</v>
      </c>
      <c r="N109" s="391">
        <v>6095.2000000000025</v>
      </c>
      <c r="O109" s="389">
        <v>0.56000000000000005</v>
      </c>
      <c r="P109" s="390">
        <f t="shared" si="57"/>
        <v>1.7814537935422301E-3</v>
      </c>
      <c r="Q109" s="404">
        <f t="shared" si="58"/>
        <v>425.6</v>
      </c>
      <c r="R109" s="392">
        <f t="shared" si="59"/>
        <v>7.4599999999999245</v>
      </c>
      <c r="S109" s="390">
        <f t="shared" si="60"/>
        <v>2.3731509463973035E-2</v>
      </c>
      <c r="T109" s="394" t="s">
        <v>174</v>
      </c>
      <c r="U109" s="394" t="s">
        <v>215</v>
      </c>
      <c r="V109" s="395"/>
      <c r="W109" s="395"/>
      <c r="X109" s="395">
        <v>1</v>
      </c>
      <c r="Y109" s="396" t="s">
        <v>713</v>
      </c>
    </row>
    <row r="110" spans="2:34" s="148" customFormat="1" ht="27" customHeight="1">
      <c r="B110" s="879"/>
      <c r="C110" s="880"/>
      <c r="D110" s="384">
        <v>8</v>
      </c>
      <c r="E110" s="387" t="s">
        <v>514</v>
      </c>
      <c r="F110" s="388">
        <v>5239.5700000000006</v>
      </c>
      <c r="G110" s="389">
        <v>157.1</v>
      </c>
      <c r="H110" s="389">
        <v>149.29</v>
      </c>
      <c r="I110" s="390">
        <f t="shared" si="63"/>
        <v>0.95028644175684274</v>
      </c>
      <c r="J110" s="389">
        <v>16.14</v>
      </c>
      <c r="K110" s="390">
        <f>J110/G110</f>
        <v>0.10273711012094208</v>
      </c>
      <c r="L110" s="389">
        <v>629</v>
      </c>
      <c r="M110" s="390">
        <f>(H110+J110)/G110</f>
        <v>1.0530235518777848</v>
      </c>
      <c r="N110" s="391">
        <v>5239.5700000000006</v>
      </c>
      <c r="O110" s="389">
        <v>0</v>
      </c>
      <c r="P110" s="390">
        <f t="shared" si="57"/>
        <v>0</v>
      </c>
      <c r="Q110" s="404">
        <f t="shared" si="58"/>
        <v>0</v>
      </c>
      <c r="R110" s="392">
        <f t="shared" si="59"/>
        <v>8.3300000000000125</v>
      </c>
      <c r="S110" s="390">
        <f t="shared" si="60"/>
        <v>5.302355187778493E-2</v>
      </c>
      <c r="T110" s="394" t="s">
        <v>174</v>
      </c>
      <c r="U110" s="394" t="s">
        <v>457</v>
      </c>
      <c r="V110" s="395"/>
      <c r="W110" s="395"/>
      <c r="X110" s="395">
        <v>1</v>
      </c>
      <c r="Y110" s="396" t="s">
        <v>503</v>
      </c>
    </row>
    <row r="111" spans="2:34" s="148" customFormat="1" ht="27" customHeight="1">
      <c r="B111" s="879"/>
      <c r="C111" s="880"/>
      <c r="D111" s="384">
        <v>9</v>
      </c>
      <c r="E111" s="387" t="s">
        <v>504</v>
      </c>
      <c r="F111" s="388">
        <v>4973.453799999992</v>
      </c>
      <c r="G111" s="389">
        <v>1012.82</v>
      </c>
      <c r="H111" s="389">
        <v>1016.6999999999999</v>
      </c>
      <c r="I111" s="390">
        <f t="shared" si="63"/>
        <v>1.0038308880156395</v>
      </c>
      <c r="J111" s="389">
        <v>5.26</v>
      </c>
      <c r="K111" s="390">
        <f t="shared" ref="K111:K122" si="64">J111/G111</f>
        <v>5.1934203510989119E-3</v>
      </c>
      <c r="L111" s="389">
        <v>605.77999999999986</v>
      </c>
      <c r="M111" s="390">
        <f t="shared" ref="M111:M122" si="65">(H111+J111)/G111</f>
        <v>1.0090243083667383</v>
      </c>
      <c r="N111" s="391">
        <v>5536.8291999999919</v>
      </c>
      <c r="O111" s="389">
        <v>0.93</v>
      </c>
      <c r="P111" s="390">
        <f t="shared" si="57"/>
        <v>9.1822831302699397E-4</v>
      </c>
      <c r="Q111" s="404">
        <f t="shared" si="58"/>
        <v>563.3753999999999</v>
      </c>
      <c r="R111" s="392">
        <f t="shared" si="59"/>
        <v>8.209999999999873</v>
      </c>
      <c r="S111" s="390">
        <f t="shared" si="60"/>
        <v>8.106080053711294E-3</v>
      </c>
      <c r="T111" s="394" t="s">
        <v>174</v>
      </c>
      <c r="U111" s="394" t="s">
        <v>216</v>
      </c>
      <c r="V111" s="395"/>
      <c r="W111" s="395"/>
      <c r="X111" s="395">
        <v>1</v>
      </c>
      <c r="Y111" s="396" t="s">
        <v>344</v>
      </c>
    </row>
    <row r="112" spans="2:34" s="148" customFormat="1" ht="27" customHeight="1">
      <c r="B112" s="879"/>
      <c r="C112" s="880"/>
      <c r="D112" s="384">
        <v>10</v>
      </c>
      <c r="E112" s="387" t="s">
        <v>461</v>
      </c>
      <c r="F112" s="388">
        <v>4907.3062000000054</v>
      </c>
      <c r="G112" s="389">
        <v>400.78</v>
      </c>
      <c r="H112" s="389">
        <v>392.73</v>
      </c>
      <c r="I112" s="390">
        <f t="shared" si="63"/>
        <v>0.97991416737362158</v>
      </c>
      <c r="J112" s="389">
        <v>22.070000000000004</v>
      </c>
      <c r="K112" s="390">
        <f t="shared" si="64"/>
        <v>5.5067618144618011E-2</v>
      </c>
      <c r="L112" s="389">
        <v>368.13999999999993</v>
      </c>
      <c r="M112" s="390">
        <f t="shared" si="65"/>
        <v>1.0349817855182395</v>
      </c>
      <c r="N112" s="391">
        <v>5161.3228000000063</v>
      </c>
      <c r="O112" s="389">
        <v>0.69</v>
      </c>
      <c r="P112" s="390">
        <f t="shared" si="57"/>
        <v>1.721642796546734E-3</v>
      </c>
      <c r="Q112" s="404">
        <f t="shared" si="58"/>
        <v>254.01659999999993</v>
      </c>
      <c r="R112" s="392">
        <f t="shared" si="59"/>
        <v>13.330000000000039</v>
      </c>
      <c r="S112" s="390">
        <f t="shared" si="60"/>
        <v>3.3260142721692802E-2</v>
      </c>
      <c r="T112" s="394" t="s">
        <v>174</v>
      </c>
      <c r="U112" s="394" t="s">
        <v>457</v>
      </c>
      <c r="V112" s="395"/>
      <c r="W112" s="395"/>
      <c r="X112" s="395">
        <v>1</v>
      </c>
      <c r="Y112" s="396" t="s">
        <v>462</v>
      </c>
    </row>
    <row r="113" spans="2:34" s="148" customFormat="1" ht="27" customHeight="1">
      <c r="B113" s="879"/>
      <c r="C113" s="880"/>
      <c r="D113" s="384">
        <v>11</v>
      </c>
      <c r="E113" s="387" t="s">
        <v>509</v>
      </c>
      <c r="F113" s="388">
        <v>4640.081200000006</v>
      </c>
      <c r="G113" s="389">
        <v>1115.5</v>
      </c>
      <c r="H113" s="389">
        <v>1109.43</v>
      </c>
      <c r="I113" s="390">
        <f t="shared" si="63"/>
        <v>0.99455849394890194</v>
      </c>
      <c r="J113" s="389">
        <v>17.93</v>
      </c>
      <c r="K113" s="390">
        <f t="shared" si="64"/>
        <v>1.6073509636934109E-2</v>
      </c>
      <c r="L113" s="389">
        <v>407.74000000000007</v>
      </c>
      <c r="M113" s="390">
        <f t="shared" si="65"/>
        <v>1.010632003585836</v>
      </c>
      <c r="N113" s="391">
        <v>4835.7964000000056</v>
      </c>
      <c r="O113" s="389">
        <v>0.48</v>
      </c>
      <c r="P113" s="390">
        <f t="shared" si="57"/>
        <v>4.3030031376064545E-4</v>
      </c>
      <c r="Q113" s="404">
        <f t="shared" si="58"/>
        <v>195.71520000000004</v>
      </c>
      <c r="R113" s="392">
        <f t="shared" si="59"/>
        <v>11.380000000000127</v>
      </c>
      <c r="S113" s="390">
        <f t="shared" si="60"/>
        <v>1.0201703272075415E-2</v>
      </c>
      <c r="T113" s="394" t="s">
        <v>174</v>
      </c>
      <c r="U113" s="394" t="s">
        <v>216</v>
      </c>
      <c r="V113" s="395"/>
      <c r="W113" s="395"/>
      <c r="X113" s="395">
        <v>1</v>
      </c>
      <c r="Y113" s="396" t="s">
        <v>511</v>
      </c>
    </row>
    <row r="114" spans="2:34" s="148" customFormat="1" ht="27" customHeight="1">
      <c r="B114" s="879"/>
      <c r="C114" s="880"/>
      <c r="D114" s="384">
        <v>12</v>
      </c>
      <c r="E114" s="387" t="s">
        <v>580</v>
      </c>
      <c r="F114" s="388">
        <v>4086.7252999999996</v>
      </c>
      <c r="G114" s="389">
        <v>410.52</v>
      </c>
      <c r="H114" s="389">
        <v>400.17999999999995</v>
      </c>
      <c r="I114" s="390">
        <f t="shared" si="63"/>
        <v>0.97481243301178988</v>
      </c>
      <c r="J114" s="389">
        <v>22.45</v>
      </c>
      <c r="K114" s="390">
        <f t="shared" si="64"/>
        <v>5.4686738770340054E-2</v>
      </c>
      <c r="L114" s="389">
        <v>370.50999999999993</v>
      </c>
      <c r="M114" s="390">
        <f t="shared" si="65"/>
        <v>1.0294991717821298</v>
      </c>
      <c r="N114" s="391">
        <v>4486.8760999999995</v>
      </c>
      <c r="O114" s="389">
        <v>1.08</v>
      </c>
      <c r="P114" s="390">
        <f t="shared" si="57"/>
        <v>2.6308097047646889E-3</v>
      </c>
      <c r="Q114" s="404">
        <f t="shared" si="58"/>
        <v>400.15079999999995</v>
      </c>
      <c r="R114" s="392">
        <f t="shared" si="59"/>
        <v>11.029999999999957</v>
      </c>
      <c r="S114" s="390">
        <f t="shared" si="60"/>
        <v>2.6868362077365187E-2</v>
      </c>
      <c r="T114" s="394" t="s">
        <v>174</v>
      </c>
      <c r="U114" s="394" t="s">
        <v>457</v>
      </c>
      <c r="V114" s="395"/>
      <c r="W114" s="395"/>
      <c r="X114" s="395">
        <v>1</v>
      </c>
      <c r="Y114" s="396" t="s">
        <v>361</v>
      </c>
    </row>
    <row r="115" spans="2:34" s="148" customFormat="1" ht="27" customHeight="1">
      <c r="B115" s="879"/>
      <c r="C115" s="880"/>
      <c r="D115" s="384">
        <v>13</v>
      </c>
      <c r="E115" s="387" t="s">
        <v>812</v>
      </c>
      <c r="F115" s="388">
        <v>3841.9421999999913</v>
      </c>
      <c r="G115" s="389">
        <v>4526.5600000000004</v>
      </c>
      <c r="H115" s="389">
        <v>4468.7299999999996</v>
      </c>
      <c r="I115" s="390">
        <f t="shared" si="63"/>
        <v>0.98722429394507072</v>
      </c>
      <c r="J115" s="389">
        <v>122.79</v>
      </c>
      <c r="K115" s="390">
        <f t="shared" si="64"/>
        <v>2.7126559683291505E-2</v>
      </c>
      <c r="L115" s="389">
        <v>62.43</v>
      </c>
      <c r="M115" s="390">
        <f t="shared" si="65"/>
        <v>1.0143508536283621</v>
      </c>
      <c r="N115" s="391">
        <v>4055.4527999999914</v>
      </c>
      <c r="O115" s="389">
        <v>3.42</v>
      </c>
      <c r="P115" s="390">
        <f t="shared" si="57"/>
        <v>7.5554063129617188E-4</v>
      </c>
      <c r="Q115" s="404">
        <f t="shared" si="58"/>
        <v>213.51059999999998</v>
      </c>
      <c r="R115" s="392">
        <f t="shared" si="59"/>
        <v>61.539999999999125</v>
      </c>
      <c r="S115" s="390">
        <f t="shared" si="60"/>
        <v>1.359531299706601E-2</v>
      </c>
      <c r="T115" s="394" t="s">
        <v>174</v>
      </c>
      <c r="U115" s="394" t="s">
        <v>216</v>
      </c>
      <c r="V115" s="395"/>
      <c r="W115" s="395"/>
      <c r="X115" s="395">
        <v>1</v>
      </c>
      <c r="Y115" s="396" t="s">
        <v>785</v>
      </c>
    </row>
    <row r="116" spans="2:34" s="148" customFormat="1" ht="27" customHeight="1">
      <c r="B116" s="879"/>
      <c r="C116" s="880"/>
      <c r="D116" s="384">
        <v>14</v>
      </c>
      <c r="E116" s="387" t="s">
        <v>528</v>
      </c>
      <c r="F116" s="388">
        <v>3493.5935999999879</v>
      </c>
      <c r="G116" s="389">
        <v>1121.83</v>
      </c>
      <c r="H116" s="389">
        <v>1127.01</v>
      </c>
      <c r="I116" s="390">
        <f t="shared" si="63"/>
        <v>1.0046174554076821</v>
      </c>
      <c r="J116" s="389">
        <v>9.4</v>
      </c>
      <c r="K116" s="390">
        <f t="shared" si="64"/>
        <v>8.3791661838246451E-3</v>
      </c>
      <c r="L116" s="389">
        <v>266.27999999999997</v>
      </c>
      <c r="M116" s="390">
        <f t="shared" si="65"/>
        <v>1.0129966215915069</v>
      </c>
      <c r="N116" s="391">
        <v>3882.3623999999877</v>
      </c>
      <c r="O116" s="389">
        <v>1.46</v>
      </c>
      <c r="P116" s="390">
        <f t="shared" si="57"/>
        <v>1.3014449604663808E-3</v>
      </c>
      <c r="Q116" s="404">
        <f t="shared" si="58"/>
        <v>388.76879999999994</v>
      </c>
      <c r="R116" s="392">
        <f t="shared" si="59"/>
        <v>13.120000000000154</v>
      </c>
      <c r="S116" s="390">
        <f t="shared" si="60"/>
        <v>1.1695176631040492E-2</v>
      </c>
      <c r="T116" s="394" t="s">
        <v>174</v>
      </c>
      <c r="U116" s="394" t="s">
        <v>457</v>
      </c>
      <c r="V116" s="395"/>
      <c r="W116" s="395"/>
      <c r="X116" s="395">
        <v>1</v>
      </c>
      <c r="Y116" s="396" t="s">
        <v>529</v>
      </c>
    </row>
    <row r="117" spans="2:34" s="148" customFormat="1" ht="27" customHeight="1">
      <c r="B117" s="879"/>
      <c r="C117" s="880"/>
      <c r="D117" s="384">
        <v>15</v>
      </c>
      <c r="E117" s="387" t="s">
        <v>338</v>
      </c>
      <c r="F117" s="388">
        <v>3426.7360000000017</v>
      </c>
      <c r="G117" s="389">
        <v>1645.9799999999998</v>
      </c>
      <c r="H117" s="389">
        <v>1570.16</v>
      </c>
      <c r="I117" s="390">
        <f t="shared" si="63"/>
        <v>0.95393625681964556</v>
      </c>
      <c r="J117" s="389">
        <v>131.19999999999999</v>
      </c>
      <c r="K117" s="390">
        <f t="shared" si="64"/>
        <v>7.9709352483019233E-2</v>
      </c>
      <c r="L117" s="389">
        <v>70.220000000000013</v>
      </c>
      <c r="M117" s="390">
        <f t="shared" si="65"/>
        <v>1.0336456093026649</v>
      </c>
      <c r="N117" s="391">
        <v>3888.783600000002</v>
      </c>
      <c r="O117" s="389">
        <v>6.5799999999999992</v>
      </c>
      <c r="P117" s="390">
        <f t="shared" si="57"/>
        <v>3.9976184400782513E-3</v>
      </c>
      <c r="Q117" s="404">
        <f t="shared" si="58"/>
        <v>462.04760000000005</v>
      </c>
      <c r="R117" s="392">
        <f t="shared" si="59"/>
        <v>48.800000000000338</v>
      </c>
      <c r="S117" s="390">
        <f t="shared" si="60"/>
        <v>2.9647990862586633E-2</v>
      </c>
      <c r="T117" s="394" t="s">
        <v>174</v>
      </c>
      <c r="U117" s="394" t="s">
        <v>457</v>
      </c>
      <c r="V117" s="394"/>
      <c r="W117" s="395"/>
      <c r="X117" s="395">
        <v>1</v>
      </c>
      <c r="Y117" s="396" t="s">
        <v>345</v>
      </c>
    </row>
    <row r="118" spans="2:34" s="148" customFormat="1" ht="27" customHeight="1">
      <c r="B118" s="879"/>
      <c r="C118" s="880"/>
      <c r="D118" s="384">
        <v>16</v>
      </c>
      <c r="E118" s="387" t="s">
        <v>367</v>
      </c>
      <c r="F118" s="388">
        <v>2993.8999999999937</v>
      </c>
      <c r="G118" s="389">
        <v>1119.52</v>
      </c>
      <c r="H118" s="389">
        <v>1137.56</v>
      </c>
      <c r="I118" s="390">
        <f t="shared" si="63"/>
        <v>1.0161140488780906</v>
      </c>
      <c r="J118" s="389">
        <v>3.6</v>
      </c>
      <c r="K118" s="390">
        <f t="shared" si="64"/>
        <v>3.2156638559382592E-3</v>
      </c>
      <c r="L118" s="389">
        <v>152.75</v>
      </c>
      <c r="M118" s="390">
        <f t="shared" si="65"/>
        <v>1.0193297127340288</v>
      </c>
      <c r="N118" s="391">
        <v>3305.5099999999934</v>
      </c>
      <c r="O118" s="389">
        <v>2.04</v>
      </c>
      <c r="P118" s="390">
        <f t="shared" si="57"/>
        <v>1.8222095183650137E-3</v>
      </c>
      <c r="Q118" s="404">
        <f t="shared" si="58"/>
        <v>311.61</v>
      </c>
      <c r="R118" s="392">
        <f t="shared" si="59"/>
        <v>19.599999999999874</v>
      </c>
      <c r="S118" s="390">
        <f t="shared" si="60"/>
        <v>1.7507503215663744E-2</v>
      </c>
      <c r="T118" s="394" t="s">
        <v>174</v>
      </c>
      <c r="U118" s="394" t="s">
        <v>457</v>
      </c>
      <c r="V118" s="395"/>
      <c r="W118" s="395"/>
      <c r="X118" s="395">
        <v>1</v>
      </c>
      <c r="Y118" s="396" t="s">
        <v>369</v>
      </c>
    </row>
    <row r="119" spans="2:34" s="148" customFormat="1" ht="27" customHeight="1">
      <c r="B119" s="879"/>
      <c r="C119" s="880"/>
      <c r="D119" s="384">
        <v>17</v>
      </c>
      <c r="E119" s="387" t="s">
        <v>727</v>
      </c>
      <c r="F119" s="388">
        <v>2992.64</v>
      </c>
      <c r="G119" s="389">
        <v>261.94</v>
      </c>
      <c r="H119" s="389">
        <v>261.78000000000003</v>
      </c>
      <c r="I119" s="390">
        <f t="shared" si="63"/>
        <v>0.99938917309307485</v>
      </c>
      <c r="J119" s="389">
        <v>3.5</v>
      </c>
      <c r="K119" s="390">
        <f t="shared" si="64"/>
        <v>1.3361838588989846E-2</v>
      </c>
      <c r="L119" s="389">
        <v>896</v>
      </c>
      <c r="M119" s="390">
        <f t="shared" si="65"/>
        <v>1.0127510116820646</v>
      </c>
      <c r="N119" s="391">
        <v>2992.64</v>
      </c>
      <c r="O119" s="389">
        <v>0</v>
      </c>
      <c r="P119" s="390">
        <f t="shared" si="57"/>
        <v>0</v>
      </c>
      <c r="Q119" s="404">
        <f t="shared" si="58"/>
        <v>0</v>
      </c>
      <c r="R119" s="392">
        <f t="shared" si="59"/>
        <v>3.3400000000000318</v>
      </c>
      <c r="S119" s="390">
        <f t="shared" si="60"/>
        <v>1.2751011682064717E-2</v>
      </c>
      <c r="T119" s="394" t="s">
        <v>174</v>
      </c>
      <c r="U119" s="394" t="s">
        <v>457</v>
      </c>
      <c r="V119" s="395"/>
      <c r="W119" s="395"/>
      <c r="X119" s="395">
        <v>1</v>
      </c>
      <c r="Y119" s="396" t="s">
        <v>734</v>
      </c>
    </row>
    <row r="120" spans="2:34" s="148" customFormat="1" ht="27" customHeight="1">
      <c r="B120" s="879"/>
      <c r="C120" s="880"/>
      <c r="D120" s="384">
        <v>18</v>
      </c>
      <c r="E120" s="387" t="s">
        <v>813</v>
      </c>
      <c r="F120" s="388">
        <v>2719.9269000000008</v>
      </c>
      <c r="G120" s="389">
        <v>1866.6200000000001</v>
      </c>
      <c r="H120" s="389">
        <v>1833.66</v>
      </c>
      <c r="I120" s="390">
        <f t="shared" si="63"/>
        <v>0.98234241570324976</v>
      </c>
      <c r="J120" s="389">
        <v>80.319999999999993</v>
      </c>
      <c r="K120" s="390">
        <f t="shared" si="64"/>
        <v>4.3029647169750669E-2</v>
      </c>
      <c r="L120" s="389">
        <v>66.13</v>
      </c>
      <c r="M120" s="390">
        <f t="shared" si="65"/>
        <v>1.0253720628730003</v>
      </c>
      <c r="N120" s="391">
        <v>3131.9168000000009</v>
      </c>
      <c r="O120" s="389">
        <v>6.23</v>
      </c>
      <c r="P120" s="390">
        <f t="shared" si="57"/>
        <v>3.3375834395859899E-3</v>
      </c>
      <c r="Q120" s="404">
        <f t="shared" si="58"/>
        <v>411.98989999999998</v>
      </c>
      <c r="R120" s="392">
        <f t="shared" si="59"/>
        <v>41.129999999999896</v>
      </c>
      <c r="S120" s="390">
        <f t="shared" si="60"/>
        <v>2.2034479433414349E-2</v>
      </c>
      <c r="T120" s="394" t="s">
        <v>174</v>
      </c>
      <c r="U120" s="394" t="s">
        <v>457</v>
      </c>
      <c r="V120" s="395"/>
      <c r="W120" s="395"/>
      <c r="X120" s="395">
        <v>1</v>
      </c>
      <c r="Y120" s="396" t="s">
        <v>343</v>
      </c>
    </row>
    <row r="121" spans="2:34" s="148" customFormat="1" ht="27" customHeight="1">
      <c r="B121" s="879"/>
      <c r="C121" s="880"/>
      <c r="D121" s="384">
        <v>19</v>
      </c>
      <c r="E121" s="387" t="s">
        <v>455</v>
      </c>
      <c r="F121" s="388">
        <v>2663.8826999999937</v>
      </c>
      <c r="G121" s="389">
        <v>1205.52</v>
      </c>
      <c r="H121" s="389">
        <v>1168.29</v>
      </c>
      <c r="I121" s="390">
        <f t="shared" si="63"/>
        <v>0.96911706151702171</v>
      </c>
      <c r="J121" s="389">
        <v>70.800000000000011</v>
      </c>
      <c r="K121" s="390">
        <f t="shared" si="64"/>
        <v>5.8729842723472037E-2</v>
      </c>
      <c r="L121" s="389">
        <v>99.51</v>
      </c>
      <c r="M121" s="390">
        <f t="shared" si="65"/>
        <v>1.0278469042404936</v>
      </c>
      <c r="N121" s="391">
        <v>3340.5506999999934</v>
      </c>
      <c r="O121" s="389">
        <v>6.8</v>
      </c>
      <c r="P121" s="390">
        <f t="shared" si="57"/>
        <v>5.6407193576216074E-3</v>
      </c>
      <c r="Q121" s="404">
        <f t="shared" si="58"/>
        <v>676.66800000000001</v>
      </c>
      <c r="R121" s="392">
        <f t="shared" si="59"/>
        <v>26.769999999999936</v>
      </c>
      <c r="S121" s="390">
        <f t="shared" si="60"/>
        <v>2.2206184882872067E-2</v>
      </c>
      <c r="T121" s="394" t="s">
        <v>174</v>
      </c>
      <c r="U121" s="394" t="s">
        <v>457</v>
      </c>
      <c r="V121" s="395"/>
      <c r="W121" s="395"/>
      <c r="X121" s="395">
        <v>1</v>
      </c>
      <c r="Y121" s="396" t="s">
        <v>356</v>
      </c>
    </row>
    <row r="122" spans="2:34" s="148" customFormat="1" ht="27" customHeight="1">
      <c r="B122" s="881"/>
      <c r="C122" s="882"/>
      <c r="D122" s="384">
        <v>20</v>
      </c>
      <c r="E122" s="387" t="s">
        <v>542</v>
      </c>
      <c r="F122" s="388">
        <v>2550.9180000000006</v>
      </c>
      <c r="G122" s="389">
        <v>1450.77</v>
      </c>
      <c r="H122" s="389">
        <v>1417.26</v>
      </c>
      <c r="I122" s="390">
        <f t="shared" si="63"/>
        <v>0.97690192104882234</v>
      </c>
      <c r="J122" s="389">
        <v>74.150000000000006</v>
      </c>
      <c r="K122" s="390">
        <f t="shared" si="64"/>
        <v>5.1110789442847596E-2</v>
      </c>
      <c r="L122" s="389">
        <v>84.3</v>
      </c>
      <c r="M122" s="390">
        <f t="shared" si="65"/>
        <v>1.0280127104916701</v>
      </c>
      <c r="N122" s="391">
        <v>3425.9520000000011</v>
      </c>
      <c r="O122" s="389">
        <v>10.38</v>
      </c>
      <c r="P122" s="390">
        <f t="shared" si="57"/>
        <v>7.1548212328625491E-3</v>
      </c>
      <c r="Q122" s="404">
        <f t="shared" si="58"/>
        <v>875.03399999999999</v>
      </c>
      <c r="R122" s="392">
        <f t="shared" si="59"/>
        <v>30.260000000000097</v>
      </c>
      <c r="S122" s="390">
        <f t="shared" si="60"/>
        <v>2.0857889258807459E-2</v>
      </c>
      <c r="T122" s="394" t="s">
        <v>174</v>
      </c>
      <c r="U122" s="394" t="s">
        <v>457</v>
      </c>
      <c r="V122" s="395"/>
      <c r="W122" s="395"/>
      <c r="X122" s="395">
        <v>1</v>
      </c>
      <c r="Y122" s="396" t="s">
        <v>534</v>
      </c>
      <c r="AB122" s="403"/>
      <c r="AC122" s="400"/>
    </row>
    <row r="123" spans="2:34" ht="16.5" customHeight="1">
      <c r="B123" s="899" t="s">
        <v>475</v>
      </c>
      <c r="C123" s="900"/>
      <c r="D123" s="905" t="s">
        <v>170</v>
      </c>
      <c r="E123" s="905"/>
      <c r="F123" s="905"/>
      <c r="G123" s="905" t="s">
        <v>184</v>
      </c>
      <c r="H123" s="905"/>
      <c r="I123" s="905"/>
      <c r="J123" s="905"/>
      <c r="K123" s="905"/>
      <c r="L123" s="905"/>
      <c r="M123" s="905"/>
      <c r="N123" s="905"/>
      <c r="O123" s="905"/>
      <c r="P123" s="905"/>
      <c r="Q123" s="905"/>
      <c r="R123" s="905"/>
      <c r="S123" s="905"/>
      <c r="T123" s="905" t="s">
        <v>171</v>
      </c>
      <c r="U123" s="890" t="s">
        <v>245</v>
      </c>
      <c r="V123" s="910" t="s">
        <v>483</v>
      </c>
      <c r="W123" s="910" t="s">
        <v>477</v>
      </c>
      <c r="X123" s="886" t="s">
        <v>246</v>
      </c>
      <c r="Y123" s="889" t="s">
        <v>172</v>
      </c>
      <c r="AA123" s="905" t="s">
        <v>247</v>
      </c>
      <c r="AB123" s="905"/>
      <c r="AC123" s="905"/>
      <c r="AD123" s="905"/>
      <c r="AE123" s="905"/>
      <c r="AF123" s="905"/>
      <c r="AG123" s="905"/>
      <c r="AH123" s="905"/>
    </row>
    <row r="124" spans="2:34" ht="17.100000000000001" customHeight="1">
      <c r="B124" s="901"/>
      <c r="C124" s="902"/>
      <c r="D124" s="906" t="s">
        <v>169</v>
      </c>
      <c r="E124" s="905" t="s">
        <v>173</v>
      </c>
      <c r="F124" s="905"/>
      <c r="G124" s="905" t="s">
        <v>185</v>
      </c>
      <c r="H124" s="905"/>
      <c r="I124" s="905"/>
      <c r="J124" s="905"/>
      <c r="K124" s="905"/>
      <c r="L124" s="905"/>
      <c r="M124" s="905"/>
      <c r="N124" s="905"/>
      <c r="O124" s="905" t="s">
        <v>174</v>
      </c>
      <c r="P124" s="905"/>
      <c r="Q124" s="905"/>
      <c r="R124" s="905"/>
      <c r="S124" s="905"/>
      <c r="T124" s="905"/>
      <c r="U124" s="893"/>
      <c r="V124" s="887"/>
      <c r="W124" s="911"/>
      <c r="X124" s="887"/>
      <c r="Y124" s="889"/>
      <c r="AA124" s="905"/>
      <c r="AB124" s="905"/>
      <c r="AC124" s="905"/>
      <c r="AD124" s="905"/>
      <c r="AE124" s="905"/>
      <c r="AF124" s="905"/>
      <c r="AG124" s="905"/>
      <c r="AH124" s="905"/>
    </row>
    <row r="125" spans="2:34" ht="17.100000000000001" customHeight="1">
      <c r="B125" s="901"/>
      <c r="C125" s="902"/>
      <c r="D125" s="906"/>
      <c r="E125" s="906" t="s">
        <v>175</v>
      </c>
      <c r="F125" s="913" t="s">
        <v>484</v>
      </c>
      <c r="G125" s="907" t="s">
        <v>186</v>
      </c>
      <c r="H125" s="907"/>
      <c r="I125" s="907"/>
      <c r="J125" s="907"/>
      <c r="K125" s="907"/>
      <c r="L125" s="907"/>
      <c r="M125" s="907"/>
      <c r="N125" s="907"/>
      <c r="O125" s="914" t="s">
        <v>168</v>
      </c>
      <c r="P125" s="915"/>
      <c r="Q125" s="916"/>
      <c r="R125" s="907" t="s">
        <v>176</v>
      </c>
      <c r="S125" s="907"/>
      <c r="T125" s="905"/>
      <c r="U125" s="893"/>
      <c r="V125" s="887"/>
      <c r="W125" s="911"/>
      <c r="X125" s="887"/>
      <c r="Y125" s="889"/>
      <c r="AA125" s="905"/>
      <c r="AB125" s="905"/>
      <c r="AC125" s="905"/>
      <c r="AD125" s="905"/>
      <c r="AE125" s="905"/>
      <c r="AF125" s="905"/>
      <c r="AG125" s="905"/>
      <c r="AH125" s="905"/>
    </row>
    <row r="126" spans="2:34" ht="38.450000000000003" customHeight="1">
      <c r="B126" s="903"/>
      <c r="C126" s="904"/>
      <c r="D126" s="906"/>
      <c r="E126" s="906"/>
      <c r="F126" s="913"/>
      <c r="G126" s="385" t="s">
        <v>177</v>
      </c>
      <c r="H126" s="385" t="s">
        <v>252</v>
      </c>
      <c r="I126" s="385" t="s">
        <v>253</v>
      </c>
      <c r="J126" s="385" t="s">
        <v>178</v>
      </c>
      <c r="K126" s="385" t="s">
        <v>250</v>
      </c>
      <c r="L126" s="385" t="s">
        <v>179</v>
      </c>
      <c r="M126" s="385" t="s">
        <v>187</v>
      </c>
      <c r="N126" s="385" t="s">
        <v>180</v>
      </c>
      <c r="O126" s="386" t="s">
        <v>181</v>
      </c>
      <c r="P126" s="386" t="s">
        <v>182</v>
      </c>
      <c r="Q126" s="385" t="s">
        <v>183</v>
      </c>
      <c r="R126" s="386" t="s">
        <v>181</v>
      </c>
      <c r="S126" s="386" t="s">
        <v>182</v>
      </c>
      <c r="T126" s="905"/>
      <c r="U126" s="896"/>
      <c r="V126" s="888"/>
      <c r="W126" s="912"/>
      <c r="X126" s="888"/>
      <c r="Y126" s="889"/>
      <c r="AA126" s="161" t="s">
        <v>244</v>
      </c>
      <c r="AB126" s="161" t="s">
        <v>478</v>
      </c>
      <c r="AC126" s="156" t="s">
        <v>394</v>
      </c>
      <c r="AD126" s="156" t="s">
        <v>339</v>
      </c>
      <c r="AE126" s="156" t="s">
        <v>457</v>
      </c>
      <c r="AF126" s="156" t="s">
        <v>215</v>
      </c>
      <c r="AG126" s="156" t="s">
        <v>216</v>
      </c>
      <c r="AH126" s="156" t="s">
        <v>395</v>
      </c>
    </row>
    <row r="127" spans="2:34" s="148" customFormat="1" ht="27" customHeight="1">
      <c r="B127" s="877" t="s">
        <v>664</v>
      </c>
      <c r="C127" s="878"/>
      <c r="D127" s="384">
        <v>1</v>
      </c>
      <c r="E127" s="387"/>
      <c r="F127" s="388"/>
      <c r="G127" s="389"/>
      <c r="H127" s="389"/>
      <c r="I127" s="390" t="e">
        <f>H127/G127</f>
        <v>#DIV/0!</v>
      </c>
      <c r="J127" s="389"/>
      <c r="K127" s="390" t="e">
        <f>J127/G127</f>
        <v>#DIV/0!</v>
      </c>
      <c r="L127" s="389"/>
      <c r="M127" s="390" t="e">
        <f>(H127+J127)/G127</f>
        <v>#DIV/0!</v>
      </c>
      <c r="N127" s="391"/>
      <c r="O127" s="389"/>
      <c r="P127" s="390" t="e">
        <f>O127/G127</f>
        <v>#DIV/0!</v>
      </c>
      <c r="Q127" s="404">
        <f>O127*L127</f>
        <v>0</v>
      </c>
      <c r="R127" s="392">
        <f>((H127+J127)-G127)-O127</f>
        <v>0</v>
      </c>
      <c r="S127" s="390" t="e">
        <f>R127/G127</f>
        <v>#DIV/0!</v>
      </c>
      <c r="T127" s="394"/>
      <c r="U127" s="394"/>
      <c r="V127" s="395"/>
      <c r="W127" s="395"/>
      <c r="X127" s="395">
        <v>1</v>
      </c>
      <c r="Y127" s="396"/>
      <c r="Z127" s="397" t="s">
        <v>479</v>
      </c>
      <c r="AA127" s="398">
        <f>SUM(X127:X146)</f>
        <v>20</v>
      </c>
      <c r="AB127" s="399">
        <f>SUMIF($U$127:$U$146,TRIM(AB126),$X$127:$X$146)</f>
        <v>0</v>
      </c>
      <c r="AC127" s="399">
        <f t="shared" ref="AC127:AH127" si="66">SUMIF($U$127:$U$146,TRIM(AC126),$X$127:$X$146)</f>
        <v>0</v>
      </c>
      <c r="AD127" s="399">
        <f t="shared" si="66"/>
        <v>0</v>
      </c>
      <c r="AE127" s="399">
        <f t="shared" si="66"/>
        <v>0</v>
      </c>
      <c r="AF127" s="399">
        <f t="shared" si="66"/>
        <v>0</v>
      </c>
      <c r="AG127" s="399">
        <f t="shared" si="66"/>
        <v>0</v>
      </c>
      <c r="AH127" s="399">
        <f t="shared" si="66"/>
        <v>0</v>
      </c>
    </row>
    <row r="128" spans="2:34" s="148" customFormat="1" ht="27" customHeight="1">
      <c r="B128" s="879"/>
      <c r="C128" s="880"/>
      <c r="D128" s="384">
        <v>2</v>
      </c>
      <c r="E128" s="387"/>
      <c r="F128" s="388"/>
      <c r="G128" s="389"/>
      <c r="H128" s="389"/>
      <c r="I128" s="390" t="e">
        <f t="shared" ref="I128:I129" si="67">H128/G128</f>
        <v>#DIV/0!</v>
      </c>
      <c r="J128" s="389"/>
      <c r="K128" s="390" t="e">
        <f t="shared" ref="K128:K133" si="68">J128/G128</f>
        <v>#DIV/0!</v>
      </c>
      <c r="L128" s="389"/>
      <c r="M128" s="390" t="e">
        <f t="shared" ref="M128:M133" si="69">(H128+J128)/G128</f>
        <v>#DIV/0!</v>
      </c>
      <c r="N128" s="391"/>
      <c r="O128" s="389"/>
      <c r="P128" s="390" t="e">
        <f t="shared" ref="P128:P146" si="70">O128/G128</f>
        <v>#DIV/0!</v>
      </c>
      <c r="Q128" s="404">
        <f t="shared" ref="Q128:Q146" si="71">O128*L128</f>
        <v>0</v>
      </c>
      <c r="R128" s="392">
        <f t="shared" ref="R128:R146" si="72">((H128+J128)-G128)-O128</f>
        <v>0</v>
      </c>
      <c r="S128" s="390" t="e">
        <f t="shared" ref="S128:S146" si="73">R128/G128</f>
        <v>#DIV/0!</v>
      </c>
      <c r="T128" s="394"/>
      <c r="U128" s="394"/>
      <c r="V128" s="395"/>
      <c r="W128" s="395"/>
      <c r="X128" s="395">
        <v>1</v>
      </c>
      <c r="Y128" s="396"/>
      <c r="AA128" s="398"/>
      <c r="AB128" s="405">
        <f>SUMIF($U$127:$U$146,TRIM(AB126),$F$127:$F$146)</f>
        <v>0</v>
      </c>
      <c r="AC128" s="405">
        <f t="shared" ref="AC128:AH128" si="74">SUMIF($U$127:$U$146,TRIM(AC126),$F$127:$F$146)</f>
        <v>0</v>
      </c>
      <c r="AD128" s="405">
        <f t="shared" si="74"/>
        <v>0</v>
      </c>
      <c r="AE128" s="405">
        <f t="shared" si="74"/>
        <v>0</v>
      </c>
      <c r="AF128" s="405">
        <f t="shared" si="74"/>
        <v>0</v>
      </c>
      <c r="AG128" s="405">
        <f t="shared" si="74"/>
        <v>0</v>
      </c>
      <c r="AH128" s="405">
        <f t="shared" si="74"/>
        <v>0</v>
      </c>
    </row>
    <row r="129" spans="2:34" s="148" customFormat="1" ht="27" customHeight="1">
      <c r="B129" s="879"/>
      <c r="C129" s="880"/>
      <c r="D129" s="384">
        <v>3</v>
      </c>
      <c r="E129" s="387"/>
      <c r="F129" s="388"/>
      <c r="G129" s="389"/>
      <c r="H129" s="389"/>
      <c r="I129" s="390" t="e">
        <f t="shared" si="67"/>
        <v>#DIV/0!</v>
      </c>
      <c r="J129" s="389"/>
      <c r="K129" s="390" t="e">
        <f t="shared" si="68"/>
        <v>#DIV/0!</v>
      </c>
      <c r="L129" s="389"/>
      <c r="M129" s="390" t="e">
        <f t="shared" si="69"/>
        <v>#DIV/0!</v>
      </c>
      <c r="N129" s="391"/>
      <c r="O129" s="389"/>
      <c r="P129" s="390" t="e">
        <f t="shared" si="70"/>
        <v>#DIV/0!</v>
      </c>
      <c r="Q129" s="404">
        <f t="shared" si="71"/>
        <v>0</v>
      </c>
      <c r="R129" s="392">
        <f t="shared" si="72"/>
        <v>0</v>
      </c>
      <c r="S129" s="390" t="e">
        <f t="shared" si="73"/>
        <v>#DIV/0!</v>
      </c>
      <c r="T129" s="394"/>
      <c r="U129" s="394"/>
      <c r="V129" s="395"/>
      <c r="W129" s="395"/>
      <c r="X129" s="395">
        <v>1</v>
      </c>
      <c r="Y129" s="396"/>
      <c r="AA129" s="384"/>
      <c r="AB129" s="406">
        <f>AB127/$AA127</f>
        <v>0</v>
      </c>
      <c r="AC129" s="406">
        <f t="shared" ref="AC129:AH129" si="75">AC127/$AA127</f>
        <v>0</v>
      </c>
      <c r="AD129" s="406">
        <f t="shared" si="75"/>
        <v>0</v>
      </c>
      <c r="AE129" s="406">
        <f t="shared" si="75"/>
        <v>0</v>
      </c>
      <c r="AF129" s="406">
        <f t="shared" si="75"/>
        <v>0</v>
      </c>
      <c r="AG129" s="406">
        <f t="shared" si="75"/>
        <v>0</v>
      </c>
      <c r="AH129" s="406">
        <f t="shared" si="75"/>
        <v>0</v>
      </c>
    </row>
    <row r="130" spans="2:34" s="148" customFormat="1" ht="27" customHeight="1">
      <c r="B130" s="879"/>
      <c r="C130" s="880"/>
      <c r="D130" s="384">
        <v>4</v>
      </c>
      <c r="E130" s="387"/>
      <c r="F130" s="388"/>
      <c r="G130" s="389"/>
      <c r="H130" s="389"/>
      <c r="I130" s="390" t="e">
        <f>H130/G130</f>
        <v>#DIV/0!</v>
      </c>
      <c r="J130" s="389"/>
      <c r="K130" s="390" t="e">
        <f t="shared" si="68"/>
        <v>#DIV/0!</v>
      </c>
      <c r="L130" s="389"/>
      <c r="M130" s="390" t="e">
        <f t="shared" si="69"/>
        <v>#DIV/0!</v>
      </c>
      <c r="N130" s="391"/>
      <c r="O130" s="389"/>
      <c r="P130" s="390" t="e">
        <f t="shared" si="70"/>
        <v>#DIV/0!</v>
      </c>
      <c r="Q130" s="404">
        <f t="shared" si="71"/>
        <v>0</v>
      </c>
      <c r="R130" s="392">
        <f t="shared" si="72"/>
        <v>0</v>
      </c>
      <c r="S130" s="390" t="e">
        <f t="shared" si="73"/>
        <v>#DIV/0!</v>
      </c>
      <c r="T130" s="394"/>
      <c r="U130" s="394"/>
      <c r="V130" s="395"/>
      <c r="W130" s="395"/>
      <c r="X130" s="395">
        <v>1</v>
      </c>
      <c r="Y130" s="396"/>
    </row>
    <row r="131" spans="2:34" s="148" customFormat="1" ht="27" customHeight="1">
      <c r="B131" s="879"/>
      <c r="C131" s="880"/>
      <c r="D131" s="384">
        <v>5</v>
      </c>
      <c r="E131" s="387"/>
      <c r="F131" s="388"/>
      <c r="G131" s="389"/>
      <c r="H131" s="389"/>
      <c r="I131" s="390" t="e">
        <f t="shared" ref="I131:I146" si="76">H131/G131</f>
        <v>#DIV/0!</v>
      </c>
      <c r="J131" s="389"/>
      <c r="K131" s="390" t="e">
        <f t="shared" si="68"/>
        <v>#DIV/0!</v>
      </c>
      <c r="L131" s="389"/>
      <c r="M131" s="390" t="e">
        <f t="shared" si="69"/>
        <v>#DIV/0!</v>
      </c>
      <c r="N131" s="391"/>
      <c r="O131" s="389"/>
      <c r="P131" s="390" t="e">
        <f t="shared" si="70"/>
        <v>#DIV/0!</v>
      </c>
      <c r="Q131" s="404">
        <f t="shared" si="71"/>
        <v>0</v>
      </c>
      <c r="R131" s="392">
        <f t="shared" si="72"/>
        <v>0</v>
      </c>
      <c r="S131" s="390" t="e">
        <f t="shared" si="73"/>
        <v>#DIV/0!</v>
      </c>
      <c r="T131" s="394"/>
      <c r="U131" s="394"/>
      <c r="V131" s="395"/>
      <c r="W131" s="395"/>
      <c r="X131" s="395">
        <v>1</v>
      </c>
      <c r="Y131" s="396"/>
    </row>
    <row r="132" spans="2:34" s="148" customFormat="1" ht="27" customHeight="1">
      <c r="B132" s="879"/>
      <c r="C132" s="880"/>
      <c r="D132" s="384">
        <v>6</v>
      </c>
      <c r="E132" s="387"/>
      <c r="F132" s="388"/>
      <c r="G132" s="389"/>
      <c r="H132" s="389"/>
      <c r="I132" s="390" t="e">
        <f t="shared" si="76"/>
        <v>#DIV/0!</v>
      </c>
      <c r="J132" s="389"/>
      <c r="K132" s="390" t="e">
        <f t="shared" si="68"/>
        <v>#DIV/0!</v>
      </c>
      <c r="L132" s="389"/>
      <c r="M132" s="390" t="e">
        <f t="shared" si="69"/>
        <v>#DIV/0!</v>
      </c>
      <c r="N132" s="391"/>
      <c r="O132" s="389"/>
      <c r="P132" s="390" t="e">
        <f t="shared" si="70"/>
        <v>#DIV/0!</v>
      </c>
      <c r="Q132" s="404">
        <f t="shared" si="71"/>
        <v>0</v>
      </c>
      <c r="R132" s="392">
        <f t="shared" si="72"/>
        <v>0</v>
      </c>
      <c r="S132" s="390" t="e">
        <f t="shared" si="73"/>
        <v>#DIV/0!</v>
      </c>
      <c r="T132" s="394"/>
      <c r="U132" s="394"/>
      <c r="V132" s="395"/>
      <c r="W132" s="395"/>
      <c r="X132" s="395">
        <v>1</v>
      </c>
      <c r="Y132" s="396"/>
    </row>
    <row r="133" spans="2:34" s="148" customFormat="1" ht="27" customHeight="1">
      <c r="B133" s="879"/>
      <c r="C133" s="880"/>
      <c r="D133" s="384">
        <v>7</v>
      </c>
      <c r="E133" s="387"/>
      <c r="F133" s="388"/>
      <c r="G133" s="389"/>
      <c r="H133" s="389"/>
      <c r="I133" s="390" t="e">
        <f t="shared" si="76"/>
        <v>#DIV/0!</v>
      </c>
      <c r="J133" s="389"/>
      <c r="K133" s="390" t="e">
        <f t="shared" si="68"/>
        <v>#DIV/0!</v>
      </c>
      <c r="L133" s="389"/>
      <c r="M133" s="390" t="e">
        <f t="shared" si="69"/>
        <v>#DIV/0!</v>
      </c>
      <c r="N133" s="391"/>
      <c r="O133" s="389"/>
      <c r="P133" s="390" t="e">
        <f t="shared" si="70"/>
        <v>#DIV/0!</v>
      </c>
      <c r="Q133" s="404">
        <f t="shared" si="71"/>
        <v>0</v>
      </c>
      <c r="R133" s="392">
        <f t="shared" si="72"/>
        <v>0</v>
      </c>
      <c r="S133" s="390" t="e">
        <f t="shared" si="73"/>
        <v>#DIV/0!</v>
      </c>
      <c r="T133" s="394"/>
      <c r="U133" s="394"/>
      <c r="V133" s="395"/>
      <c r="W133" s="395"/>
      <c r="X133" s="395">
        <v>1</v>
      </c>
      <c r="Y133" s="396"/>
    </row>
    <row r="134" spans="2:34" s="148" customFormat="1" ht="27" customHeight="1">
      <c r="B134" s="879"/>
      <c r="C134" s="880"/>
      <c r="D134" s="384">
        <v>8</v>
      </c>
      <c r="E134" s="387"/>
      <c r="F134" s="388"/>
      <c r="G134" s="389"/>
      <c r="H134" s="389"/>
      <c r="I134" s="390" t="e">
        <f t="shared" si="76"/>
        <v>#DIV/0!</v>
      </c>
      <c r="J134" s="389"/>
      <c r="K134" s="390" t="e">
        <f>J134/G134</f>
        <v>#DIV/0!</v>
      </c>
      <c r="L134" s="389"/>
      <c r="M134" s="390" t="e">
        <f>(H134+J134)/G134</f>
        <v>#DIV/0!</v>
      </c>
      <c r="N134" s="391"/>
      <c r="O134" s="389"/>
      <c r="P134" s="390" t="e">
        <f t="shared" si="70"/>
        <v>#DIV/0!</v>
      </c>
      <c r="Q134" s="404">
        <f t="shared" si="71"/>
        <v>0</v>
      </c>
      <c r="R134" s="392">
        <f t="shared" si="72"/>
        <v>0</v>
      </c>
      <c r="S134" s="390" t="e">
        <f t="shared" si="73"/>
        <v>#DIV/0!</v>
      </c>
      <c r="T134" s="394"/>
      <c r="U134" s="394"/>
      <c r="V134" s="395"/>
      <c r="W134" s="395"/>
      <c r="X134" s="395">
        <v>1</v>
      </c>
      <c r="Y134" s="396"/>
    </row>
    <row r="135" spans="2:34" s="148" customFormat="1" ht="27" customHeight="1">
      <c r="B135" s="879"/>
      <c r="C135" s="880"/>
      <c r="D135" s="384">
        <v>9</v>
      </c>
      <c r="E135" s="387"/>
      <c r="F135" s="388"/>
      <c r="G135" s="389"/>
      <c r="H135" s="389"/>
      <c r="I135" s="390" t="e">
        <f t="shared" si="76"/>
        <v>#DIV/0!</v>
      </c>
      <c r="J135" s="389"/>
      <c r="K135" s="390" t="e">
        <f t="shared" ref="K135:K146" si="77">J135/G135</f>
        <v>#DIV/0!</v>
      </c>
      <c r="L135" s="389"/>
      <c r="M135" s="390" t="e">
        <f t="shared" ref="M135:M146" si="78">(H135+J135)/G135</f>
        <v>#DIV/0!</v>
      </c>
      <c r="N135" s="391"/>
      <c r="O135" s="389"/>
      <c r="P135" s="390" t="e">
        <f t="shared" si="70"/>
        <v>#DIV/0!</v>
      </c>
      <c r="Q135" s="404">
        <f t="shared" si="71"/>
        <v>0</v>
      </c>
      <c r="R135" s="392">
        <f t="shared" si="72"/>
        <v>0</v>
      </c>
      <c r="S135" s="390" t="e">
        <f t="shared" si="73"/>
        <v>#DIV/0!</v>
      </c>
      <c r="T135" s="394"/>
      <c r="U135" s="394"/>
      <c r="V135" s="395"/>
      <c r="W135" s="395"/>
      <c r="X135" s="395">
        <v>1</v>
      </c>
      <c r="Y135" s="396"/>
    </row>
    <row r="136" spans="2:34" s="148" customFormat="1" ht="27" customHeight="1">
      <c r="B136" s="879"/>
      <c r="C136" s="880"/>
      <c r="D136" s="384">
        <v>10</v>
      </c>
      <c r="E136" s="387"/>
      <c r="F136" s="388"/>
      <c r="G136" s="389"/>
      <c r="H136" s="389"/>
      <c r="I136" s="390" t="e">
        <f t="shared" si="76"/>
        <v>#DIV/0!</v>
      </c>
      <c r="J136" s="389"/>
      <c r="K136" s="390" t="e">
        <f t="shared" si="77"/>
        <v>#DIV/0!</v>
      </c>
      <c r="L136" s="389"/>
      <c r="M136" s="390" t="e">
        <f t="shared" si="78"/>
        <v>#DIV/0!</v>
      </c>
      <c r="N136" s="391"/>
      <c r="O136" s="389"/>
      <c r="P136" s="390" t="e">
        <f t="shared" si="70"/>
        <v>#DIV/0!</v>
      </c>
      <c r="Q136" s="404">
        <f t="shared" si="71"/>
        <v>0</v>
      </c>
      <c r="R136" s="392">
        <f t="shared" si="72"/>
        <v>0</v>
      </c>
      <c r="S136" s="390" t="e">
        <f t="shared" si="73"/>
        <v>#DIV/0!</v>
      </c>
      <c r="T136" s="394"/>
      <c r="U136" s="394"/>
      <c r="V136" s="395"/>
      <c r="W136" s="395"/>
      <c r="X136" s="395">
        <v>1</v>
      </c>
      <c r="Y136" s="396"/>
    </row>
    <row r="137" spans="2:34" s="148" customFormat="1" ht="27" customHeight="1">
      <c r="B137" s="879"/>
      <c r="C137" s="880"/>
      <c r="D137" s="384">
        <v>11</v>
      </c>
      <c r="E137" s="387"/>
      <c r="F137" s="388"/>
      <c r="G137" s="389"/>
      <c r="H137" s="389"/>
      <c r="I137" s="390" t="e">
        <f t="shared" si="76"/>
        <v>#DIV/0!</v>
      </c>
      <c r="J137" s="389"/>
      <c r="K137" s="390" t="e">
        <f t="shared" si="77"/>
        <v>#DIV/0!</v>
      </c>
      <c r="L137" s="389"/>
      <c r="M137" s="390" t="e">
        <f t="shared" si="78"/>
        <v>#DIV/0!</v>
      </c>
      <c r="N137" s="391"/>
      <c r="O137" s="389"/>
      <c r="P137" s="390" t="e">
        <f t="shared" si="70"/>
        <v>#DIV/0!</v>
      </c>
      <c r="Q137" s="404">
        <f t="shared" si="71"/>
        <v>0</v>
      </c>
      <c r="R137" s="392">
        <f t="shared" si="72"/>
        <v>0</v>
      </c>
      <c r="S137" s="390" t="e">
        <f t="shared" si="73"/>
        <v>#DIV/0!</v>
      </c>
      <c r="T137" s="394"/>
      <c r="U137" s="394"/>
      <c r="V137" s="395"/>
      <c r="W137" s="395"/>
      <c r="X137" s="395">
        <v>1</v>
      </c>
      <c r="Y137" s="396"/>
    </row>
    <row r="138" spans="2:34" s="148" customFormat="1" ht="27" customHeight="1">
      <c r="B138" s="879"/>
      <c r="C138" s="880"/>
      <c r="D138" s="384">
        <v>12</v>
      </c>
      <c r="E138" s="387"/>
      <c r="F138" s="388"/>
      <c r="G138" s="389"/>
      <c r="H138" s="389"/>
      <c r="I138" s="390" t="e">
        <f t="shared" si="76"/>
        <v>#DIV/0!</v>
      </c>
      <c r="J138" s="389"/>
      <c r="K138" s="390" t="e">
        <f t="shared" si="77"/>
        <v>#DIV/0!</v>
      </c>
      <c r="L138" s="389"/>
      <c r="M138" s="390" t="e">
        <f t="shared" si="78"/>
        <v>#DIV/0!</v>
      </c>
      <c r="N138" s="391"/>
      <c r="O138" s="389"/>
      <c r="P138" s="390" t="e">
        <f t="shared" si="70"/>
        <v>#DIV/0!</v>
      </c>
      <c r="Q138" s="404">
        <f t="shared" si="71"/>
        <v>0</v>
      </c>
      <c r="R138" s="392">
        <f t="shared" si="72"/>
        <v>0</v>
      </c>
      <c r="S138" s="390" t="e">
        <f t="shared" si="73"/>
        <v>#DIV/0!</v>
      </c>
      <c r="T138" s="394"/>
      <c r="U138" s="394"/>
      <c r="V138" s="395"/>
      <c r="W138" s="395"/>
      <c r="X138" s="395">
        <v>1</v>
      </c>
      <c r="Y138" s="396"/>
      <c r="AA138" s="890" t="s">
        <v>247</v>
      </c>
      <c r="AB138" s="891"/>
      <c r="AC138" s="891"/>
      <c r="AD138" s="891"/>
      <c r="AE138" s="891"/>
      <c r="AF138" s="891"/>
      <c r="AG138" s="891"/>
      <c r="AH138" s="892"/>
    </row>
    <row r="139" spans="2:34" s="148" customFormat="1" ht="27" customHeight="1">
      <c r="B139" s="879"/>
      <c r="C139" s="880"/>
      <c r="D139" s="384">
        <v>13</v>
      </c>
      <c r="E139" s="387"/>
      <c r="F139" s="388"/>
      <c r="G139" s="389"/>
      <c r="H139" s="389"/>
      <c r="I139" s="390" t="e">
        <f t="shared" si="76"/>
        <v>#DIV/0!</v>
      </c>
      <c r="J139" s="389"/>
      <c r="K139" s="390" t="e">
        <f t="shared" si="77"/>
        <v>#DIV/0!</v>
      </c>
      <c r="L139" s="389"/>
      <c r="M139" s="390" t="e">
        <f t="shared" si="78"/>
        <v>#DIV/0!</v>
      </c>
      <c r="N139" s="391"/>
      <c r="O139" s="389"/>
      <c r="P139" s="390" t="e">
        <f t="shared" si="70"/>
        <v>#DIV/0!</v>
      </c>
      <c r="Q139" s="404">
        <f t="shared" si="71"/>
        <v>0</v>
      </c>
      <c r="R139" s="392">
        <f t="shared" si="72"/>
        <v>0</v>
      </c>
      <c r="S139" s="390" t="e">
        <f t="shared" si="73"/>
        <v>#DIV/0!</v>
      </c>
      <c r="T139" s="394"/>
      <c r="U139" s="394"/>
      <c r="V139" s="395"/>
      <c r="W139" s="395"/>
      <c r="X139" s="395">
        <v>1</v>
      </c>
      <c r="Y139" s="396"/>
      <c r="AA139" s="893"/>
      <c r="AB139" s="894"/>
      <c r="AC139" s="894"/>
      <c r="AD139" s="894"/>
      <c r="AE139" s="894"/>
      <c r="AF139" s="894"/>
      <c r="AG139" s="894"/>
      <c r="AH139" s="895"/>
    </row>
    <row r="140" spans="2:34" s="148" customFormat="1" ht="27" customHeight="1">
      <c r="B140" s="879"/>
      <c r="C140" s="880"/>
      <c r="D140" s="384">
        <v>14</v>
      </c>
      <c r="E140" s="387"/>
      <c r="F140" s="388"/>
      <c r="G140" s="389"/>
      <c r="H140" s="389"/>
      <c r="I140" s="390" t="e">
        <f t="shared" si="76"/>
        <v>#DIV/0!</v>
      </c>
      <c r="J140" s="389"/>
      <c r="K140" s="390" t="e">
        <f t="shared" si="77"/>
        <v>#DIV/0!</v>
      </c>
      <c r="L140" s="389"/>
      <c r="M140" s="390" t="e">
        <f t="shared" si="78"/>
        <v>#DIV/0!</v>
      </c>
      <c r="N140" s="391"/>
      <c r="O140" s="389"/>
      <c r="P140" s="390" t="e">
        <f t="shared" si="70"/>
        <v>#DIV/0!</v>
      </c>
      <c r="Q140" s="404">
        <f t="shared" si="71"/>
        <v>0</v>
      </c>
      <c r="R140" s="392">
        <f t="shared" si="72"/>
        <v>0</v>
      </c>
      <c r="S140" s="390" t="e">
        <f t="shared" si="73"/>
        <v>#DIV/0!</v>
      </c>
      <c r="T140" s="394"/>
      <c r="U140" s="394"/>
      <c r="V140" s="395"/>
      <c r="W140" s="395"/>
      <c r="X140" s="395">
        <v>1</v>
      </c>
      <c r="Y140" s="396"/>
      <c r="AA140" s="896"/>
      <c r="AB140" s="897"/>
      <c r="AC140" s="897"/>
      <c r="AD140" s="897"/>
      <c r="AE140" s="897"/>
      <c r="AF140" s="897"/>
      <c r="AG140" s="897"/>
      <c r="AH140" s="898"/>
    </row>
    <row r="141" spans="2:34" s="148" customFormat="1" ht="27" customHeight="1">
      <c r="B141" s="879"/>
      <c r="C141" s="880"/>
      <c r="D141" s="384">
        <v>15</v>
      </c>
      <c r="E141" s="387"/>
      <c r="F141" s="388"/>
      <c r="G141" s="389"/>
      <c r="H141" s="389"/>
      <c r="I141" s="390" t="e">
        <f t="shared" si="76"/>
        <v>#DIV/0!</v>
      </c>
      <c r="J141" s="389"/>
      <c r="K141" s="390" t="e">
        <f t="shared" si="77"/>
        <v>#DIV/0!</v>
      </c>
      <c r="L141" s="389"/>
      <c r="M141" s="390" t="e">
        <f t="shared" si="78"/>
        <v>#DIV/0!</v>
      </c>
      <c r="N141" s="391"/>
      <c r="O141" s="389"/>
      <c r="P141" s="390" t="e">
        <f t="shared" si="70"/>
        <v>#DIV/0!</v>
      </c>
      <c r="Q141" s="404">
        <f t="shared" si="71"/>
        <v>0</v>
      </c>
      <c r="R141" s="392">
        <f t="shared" si="72"/>
        <v>0</v>
      </c>
      <c r="S141" s="390" t="e">
        <f t="shared" si="73"/>
        <v>#DIV/0!</v>
      </c>
      <c r="T141" s="394"/>
      <c r="U141" s="394"/>
      <c r="V141" s="394"/>
      <c r="W141" s="395"/>
      <c r="X141" s="395">
        <v>1</v>
      </c>
      <c r="Y141" s="396"/>
      <c r="AA141" s="161" t="s">
        <v>244</v>
      </c>
      <c r="AB141" s="161" t="s">
        <v>478</v>
      </c>
      <c r="AC141" s="156" t="s">
        <v>394</v>
      </c>
      <c r="AD141" s="156" t="s">
        <v>339</v>
      </c>
      <c r="AE141" s="156" t="s">
        <v>457</v>
      </c>
      <c r="AF141" s="156" t="s">
        <v>215</v>
      </c>
      <c r="AG141" s="156" t="s">
        <v>216</v>
      </c>
      <c r="AH141" s="156" t="s">
        <v>395</v>
      </c>
    </row>
    <row r="142" spans="2:34" s="148" customFormat="1" ht="27" customHeight="1">
      <c r="B142" s="879"/>
      <c r="C142" s="880"/>
      <c r="D142" s="384">
        <v>16</v>
      </c>
      <c r="E142" s="387"/>
      <c r="F142" s="388"/>
      <c r="G142" s="389"/>
      <c r="H142" s="389"/>
      <c r="I142" s="390" t="e">
        <f t="shared" si="76"/>
        <v>#DIV/0!</v>
      </c>
      <c r="J142" s="389"/>
      <c r="K142" s="390" t="e">
        <f t="shared" si="77"/>
        <v>#DIV/0!</v>
      </c>
      <c r="L142" s="389"/>
      <c r="M142" s="390" t="e">
        <f t="shared" si="78"/>
        <v>#DIV/0!</v>
      </c>
      <c r="N142" s="391"/>
      <c r="O142" s="389"/>
      <c r="P142" s="390" t="e">
        <f t="shared" si="70"/>
        <v>#DIV/0!</v>
      </c>
      <c r="Q142" s="404">
        <f t="shared" si="71"/>
        <v>0</v>
      </c>
      <c r="R142" s="392">
        <f t="shared" si="72"/>
        <v>0</v>
      </c>
      <c r="S142" s="390" t="e">
        <f t="shared" si="73"/>
        <v>#DIV/0!</v>
      </c>
      <c r="T142" s="394"/>
      <c r="U142" s="394"/>
      <c r="V142" s="395"/>
      <c r="W142" s="395"/>
      <c r="X142" s="395">
        <v>1</v>
      </c>
      <c r="Y142" s="396"/>
      <c r="Z142" s="441" t="s">
        <v>527</v>
      </c>
      <c r="AA142" s="407">
        <f t="shared" ref="AA142:AH142" si="79">AA31+AA55+AA79+AA7</f>
        <v>80</v>
      </c>
      <c r="AB142" s="407">
        <f t="shared" si="79"/>
        <v>0</v>
      </c>
      <c r="AC142" s="407">
        <f t="shared" si="79"/>
        <v>0</v>
      </c>
      <c r="AD142" s="407">
        <f t="shared" si="79"/>
        <v>0</v>
      </c>
      <c r="AE142" s="407">
        <f t="shared" si="79"/>
        <v>63</v>
      </c>
      <c r="AF142" s="407">
        <f t="shared" si="79"/>
        <v>4</v>
      </c>
      <c r="AG142" s="407">
        <f t="shared" si="79"/>
        <v>13</v>
      </c>
      <c r="AH142" s="407">
        <f t="shared" si="79"/>
        <v>0</v>
      </c>
    </row>
    <row r="143" spans="2:34" s="148" customFormat="1" ht="27" customHeight="1">
      <c r="B143" s="879"/>
      <c r="C143" s="880"/>
      <c r="D143" s="384">
        <v>17</v>
      </c>
      <c r="E143" s="387"/>
      <c r="F143" s="388"/>
      <c r="G143" s="389"/>
      <c r="H143" s="389"/>
      <c r="I143" s="390" t="e">
        <f t="shared" si="76"/>
        <v>#DIV/0!</v>
      </c>
      <c r="J143" s="389"/>
      <c r="K143" s="390" t="e">
        <f t="shared" si="77"/>
        <v>#DIV/0!</v>
      </c>
      <c r="L143" s="389"/>
      <c r="M143" s="390" t="e">
        <f t="shared" si="78"/>
        <v>#DIV/0!</v>
      </c>
      <c r="N143" s="391"/>
      <c r="O143" s="389"/>
      <c r="P143" s="390" t="e">
        <f t="shared" si="70"/>
        <v>#DIV/0!</v>
      </c>
      <c r="Q143" s="404">
        <f t="shared" si="71"/>
        <v>0</v>
      </c>
      <c r="R143" s="392">
        <f t="shared" si="72"/>
        <v>0</v>
      </c>
      <c r="S143" s="390" t="e">
        <f t="shared" si="73"/>
        <v>#DIV/0!</v>
      </c>
      <c r="T143" s="394"/>
      <c r="U143" s="394"/>
      <c r="V143" s="395"/>
      <c r="W143" s="395"/>
      <c r="X143" s="395">
        <v>1</v>
      </c>
      <c r="Y143" s="396"/>
      <c r="AA143" s="408"/>
      <c r="AB143" s="405">
        <f t="shared" ref="AB143:AH143" si="80">AB32+AB56+AB80+AB8</f>
        <v>0</v>
      </c>
      <c r="AC143" s="405">
        <f t="shared" si="80"/>
        <v>0</v>
      </c>
      <c r="AD143" s="405">
        <f t="shared" si="80"/>
        <v>0</v>
      </c>
      <c r="AE143" s="405">
        <f t="shared" si="80"/>
        <v>233952.23119999998</v>
      </c>
      <c r="AF143" s="405">
        <f t="shared" si="80"/>
        <v>75705.305000000022</v>
      </c>
      <c r="AG143" s="405">
        <f t="shared" si="80"/>
        <v>75384.780400000091</v>
      </c>
      <c r="AH143" s="405">
        <f t="shared" si="80"/>
        <v>0</v>
      </c>
    </row>
    <row r="144" spans="2:34" s="148" customFormat="1" ht="27" customHeight="1">
      <c r="B144" s="879"/>
      <c r="C144" s="880"/>
      <c r="D144" s="384">
        <v>18</v>
      </c>
      <c r="E144" s="387"/>
      <c r="F144" s="388"/>
      <c r="G144" s="389"/>
      <c r="H144" s="389"/>
      <c r="I144" s="390" t="e">
        <f t="shared" si="76"/>
        <v>#DIV/0!</v>
      </c>
      <c r="J144" s="389"/>
      <c r="K144" s="390" t="e">
        <f t="shared" si="77"/>
        <v>#DIV/0!</v>
      </c>
      <c r="L144" s="389"/>
      <c r="M144" s="390" t="e">
        <f t="shared" si="78"/>
        <v>#DIV/0!</v>
      </c>
      <c r="N144" s="391"/>
      <c r="O144" s="389"/>
      <c r="P144" s="390" t="e">
        <f t="shared" si="70"/>
        <v>#DIV/0!</v>
      </c>
      <c r="Q144" s="404">
        <f t="shared" si="71"/>
        <v>0</v>
      </c>
      <c r="R144" s="392">
        <f t="shared" si="72"/>
        <v>0</v>
      </c>
      <c r="S144" s="390" t="e">
        <f t="shared" si="73"/>
        <v>#DIV/0!</v>
      </c>
      <c r="T144" s="394"/>
      <c r="U144" s="394"/>
      <c r="V144" s="395"/>
      <c r="W144" s="395"/>
      <c r="X144" s="395">
        <v>1</v>
      </c>
      <c r="Y144" s="396"/>
      <c r="AA144" s="384"/>
      <c r="AB144" s="406">
        <f>AB142/$AA142</f>
        <v>0</v>
      </c>
      <c r="AC144" s="406">
        <f t="shared" ref="AC144:AH144" si="81">AC142/$AA142</f>
        <v>0</v>
      </c>
      <c r="AD144" s="406">
        <f t="shared" si="81"/>
        <v>0</v>
      </c>
      <c r="AE144" s="406">
        <f t="shared" si="81"/>
        <v>0.78749999999999998</v>
      </c>
      <c r="AF144" s="406">
        <f t="shared" si="81"/>
        <v>0.05</v>
      </c>
      <c r="AG144" s="406">
        <f t="shared" si="81"/>
        <v>0.16250000000000001</v>
      </c>
      <c r="AH144" s="406">
        <f t="shared" si="81"/>
        <v>0</v>
      </c>
    </row>
    <row r="145" spans="2:29" s="148" customFormat="1" ht="27" customHeight="1">
      <c r="B145" s="879"/>
      <c r="C145" s="880"/>
      <c r="D145" s="384">
        <v>19</v>
      </c>
      <c r="E145" s="387"/>
      <c r="F145" s="388"/>
      <c r="G145" s="389"/>
      <c r="H145" s="389"/>
      <c r="I145" s="390" t="e">
        <f t="shared" si="76"/>
        <v>#DIV/0!</v>
      </c>
      <c r="J145" s="389"/>
      <c r="K145" s="390" t="e">
        <f t="shared" si="77"/>
        <v>#DIV/0!</v>
      </c>
      <c r="L145" s="389"/>
      <c r="M145" s="390" t="e">
        <f t="shared" si="78"/>
        <v>#DIV/0!</v>
      </c>
      <c r="N145" s="391"/>
      <c r="O145" s="389"/>
      <c r="P145" s="390" t="e">
        <f t="shared" si="70"/>
        <v>#DIV/0!</v>
      </c>
      <c r="Q145" s="404">
        <f t="shared" si="71"/>
        <v>0</v>
      </c>
      <c r="R145" s="392">
        <f t="shared" si="72"/>
        <v>0</v>
      </c>
      <c r="S145" s="390" t="e">
        <f t="shared" si="73"/>
        <v>#DIV/0!</v>
      </c>
      <c r="T145" s="394"/>
      <c r="U145" s="394"/>
      <c r="V145" s="395"/>
      <c r="W145" s="395"/>
      <c r="X145" s="395">
        <v>1</v>
      </c>
      <c r="Y145" s="396"/>
      <c r="AB145" s="403"/>
      <c r="AC145" s="400"/>
    </row>
    <row r="146" spans="2:29" s="148" customFormat="1" ht="27" customHeight="1">
      <c r="B146" s="881"/>
      <c r="C146" s="882"/>
      <c r="D146" s="384">
        <v>20</v>
      </c>
      <c r="E146" s="387"/>
      <c r="F146" s="388"/>
      <c r="G146" s="389"/>
      <c r="H146" s="389"/>
      <c r="I146" s="390" t="e">
        <f t="shared" si="76"/>
        <v>#DIV/0!</v>
      </c>
      <c r="J146" s="389"/>
      <c r="K146" s="390" t="e">
        <f t="shared" si="77"/>
        <v>#DIV/0!</v>
      </c>
      <c r="L146" s="389"/>
      <c r="M146" s="390" t="e">
        <f t="shared" si="78"/>
        <v>#DIV/0!</v>
      </c>
      <c r="N146" s="391"/>
      <c r="O146" s="389"/>
      <c r="P146" s="390" t="e">
        <f t="shared" si="70"/>
        <v>#DIV/0!</v>
      </c>
      <c r="Q146" s="404">
        <f t="shared" si="71"/>
        <v>0</v>
      </c>
      <c r="R146" s="392">
        <f t="shared" si="72"/>
        <v>0</v>
      </c>
      <c r="S146" s="390" t="e">
        <f t="shared" si="73"/>
        <v>#DIV/0!</v>
      </c>
      <c r="T146" s="394"/>
      <c r="U146" s="394"/>
      <c r="V146" s="395"/>
      <c r="W146" s="395"/>
      <c r="X146" s="395">
        <v>1</v>
      </c>
      <c r="Y146" s="396"/>
      <c r="AB146" s="403"/>
      <c r="AC146" s="400"/>
    </row>
    <row r="150" spans="2:29" ht="14.1" customHeight="1"/>
    <row r="160" spans="2:29" ht="14.1" customHeight="1"/>
    <row r="170" ht="14.1" customHeight="1"/>
    <row r="180" ht="14.1" customHeight="1"/>
    <row r="190" ht="14.1" customHeight="1"/>
    <row r="200" ht="14.1" customHeight="1"/>
  </sheetData>
  <mergeCells count="122">
    <mergeCell ref="AA138:AH140"/>
    <mergeCell ref="Y123:Y126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Q125"/>
    <mergeCell ref="R125:S125"/>
    <mergeCell ref="B123:C126"/>
    <mergeCell ref="B127:C146"/>
    <mergeCell ref="D123:F123"/>
    <mergeCell ref="G123:S123"/>
    <mergeCell ref="T123:T126"/>
    <mergeCell ref="U123:U126"/>
    <mergeCell ref="V123:V126"/>
    <mergeCell ref="W123:W126"/>
    <mergeCell ref="X123:X126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</mergeCells>
  <phoneticPr fontId="15" type="noConversion"/>
  <dataValidations count="1">
    <dataValidation type="list" allowBlank="1" showInputMessage="1" showErrorMessage="1" sqref="T1:U1048576" xr:uid="{16F69879-E398-43D9-A093-C124A462F859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42" t="s">
        <v>12</v>
      </c>
      <c r="D21" s="925"/>
      <c r="E21" s="918"/>
      <c r="F21" s="49" t="s">
        <v>46</v>
      </c>
      <c r="G21" s="49" t="s">
        <v>48</v>
      </c>
      <c r="H21" s="49" t="s">
        <v>49</v>
      </c>
      <c r="I21" s="8" t="s">
        <v>13</v>
      </c>
      <c r="J21" s="934" t="s">
        <v>51</v>
      </c>
      <c r="K21" s="918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17" t="s">
        <v>14</v>
      </c>
      <c r="D22" s="925"/>
      <c r="E22" s="918"/>
      <c r="F22" s="4">
        <v>3</v>
      </c>
      <c r="G22" s="4">
        <v>3000</v>
      </c>
      <c r="H22" s="4">
        <v>1000</v>
      </c>
      <c r="I22" s="4">
        <v>10</v>
      </c>
      <c r="J22" s="924" t="s">
        <v>76</v>
      </c>
      <c r="K22" s="918"/>
      <c r="M22" s="52" t="s">
        <v>26</v>
      </c>
      <c r="N22" s="57" t="s">
        <v>47</v>
      </c>
      <c r="O22" s="930" t="s">
        <v>12</v>
      </c>
      <c r="P22" s="925"/>
      <c r="Q22" s="918"/>
      <c r="R22" s="936" t="s">
        <v>53</v>
      </c>
      <c r="S22" s="925"/>
      <c r="T22" s="918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34" t="s">
        <v>51</v>
      </c>
      <c r="AA22" s="918"/>
    </row>
    <row r="23" spans="1:27" ht="15.75" customHeight="1">
      <c r="A23" s="23"/>
      <c r="B23" s="6">
        <v>2</v>
      </c>
      <c r="C23" s="939"/>
      <c r="D23" s="925"/>
      <c r="E23" s="918"/>
      <c r="F23" s="4"/>
      <c r="G23" s="4"/>
      <c r="H23" s="4"/>
      <c r="I23" s="4"/>
      <c r="J23" s="939"/>
      <c r="K23" s="918"/>
      <c r="M23" s="56" t="s">
        <v>42</v>
      </c>
      <c r="N23" s="24">
        <v>1</v>
      </c>
      <c r="O23" s="924" t="s">
        <v>82</v>
      </c>
      <c r="P23" s="925"/>
      <c r="Q23" s="918"/>
      <c r="R23" s="924" t="s">
        <v>85</v>
      </c>
      <c r="S23" s="925"/>
      <c r="T23" s="918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24" t="s">
        <v>86</v>
      </c>
      <c r="AA23" s="918"/>
    </row>
    <row r="24" spans="1:27" ht="15.75" customHeight="1">
      <c r="A24" s="23"/>
      <c r="B24" s="6">
        <v>3</v>
      </c>
      <c r="C24" s="939"/>
      <c r="D24" s="925"/>
      <c r="E24" s="918"/>
      <c r="F24" s="4"/>
      <c r="G24" s="4"/>
      <c r="H24" s="4"/>
      <c r="I24" s="4"/>
      <c r="J24" s="939"/>
      <c r="K24" s="918"/>
      <c r="M24" s="25"/>
      <c r="N24" s="24">
        <v>2</v>
      </c>
      <c r="O24" s="917"/>
      <c r="P24" s="925"/>
      <c r="Q24" s="918"/>
      <c r="R24" s="917"/>
      <c r="S24" s="925"/>
      <c r="T24" s="918"/>
      <c r="U24" s="4"/>
      <c r="V24" s="14"/>
      <c r="W24" s="4"/>
      <c r="X24" s="16">
        <f t="shared" si="16"/>
        <v>0</v>
      </c>
      <c r="Y24" s="4"/>
      <c r="Z24" s="917"/>
      <c r="AA24" s="918"/>
    </row>
    <row r="25" spans="1:27" ht="15.75" customHeight="1">
      <c r="A25" s="23"/>
      <c r="B25" s="6">
        <v>4</v>
      </c>
      <c r="C25" s="939"/>
      <c r="D25" s="925"/>
      <c r="E25" s="918"/>
      <c r="F25" s="4"/>
      <c r="G25" s="4"/>
      <c r="H25" s="4"/>
      <c r="I25" s="4"/>
      <c r="J25" s="939"/>
      <c r="K25" s="918"/>
      <c r="M25" s="25"/>
      <c r="N25" s="24">
        <v>3</v>
      </c>
      <c r="O25" s="917"/>
      <c r="P25" s="925"/>
      <c r="Q25" s="918"/>
      <c r="R25" s="917"/>
      <c r="S25" s="925"/>
      <c r="T25" s="918"/>
      <c r="U25" s="4"/>
      <c r="V25" s="14"/>
      <c r="W25" s="4"/>
      <c r="X25" s="16">
        <f t="shared" si="16"/>
        <v>0</v>
      </c>
      <c r="Y25" s="4"/>
      <c r="Z25" s="917"/>
      <c r="AA25" s="918"/>
    </row>
    <row r="26" spans="1:27" ht="15.75" customHeight="1">
      <c r="A26" s="23"/>
      <c r="B26" s="26">
        <v>5</v>
      </c>
      <c r="C26" s="943"/>
      <c r="D26" s="926"/>
      <c r="E26" s="920"/>
      <c r="F26" s="27"/>
      <c r="G26" s="27"/>
      <c r="H26" s="27"/>
      <c r="I26" s="27"/>
      <c r="J26" s="943"/>
      <c r="K26" s="920"/>
      <c r="M26" s="25"/>
      <c r="N26" s="24">
        <v>4</v>
      </c>
      <c r="O26" s="917"/>
      <c r="P26" s="925"/>
      <c r="Q26" s="918"/>
      <c r="R26" s="917"/>
      <c r="S26" s="925"/>
      <c r="T26" s="918"/>
      <c r="U26" s="4"/>
      <c r="V26" s="14"/>
      <c r="W26" s="4"/>
      <c r="X26" s="16">
        <f t="shared" si="16"/>
        <v>0</v>
      </c>
      <c r="Y26" s="4"/>
      <c r="Z26" s="917"/>
      <c r="AA26" s="918"/>
    </row>
    <row r="27" spans="1:27" ht="15.75" customHeight="1">
      <c r="A27" s="23"/>
      <c r="B27" s="69" t="s">
        <v>101</v>
      </c>
      <c r="C27" s="927" t="s">
        <v>75</v>
      </c>
      <c r="D27" s="928"/>
      <c r="E27" s="929"/>
      <c r="F27" s="28">
        <v>4</v>
      </c>
      <c r="G27" s="28">
        <v>2800</v>
      </c>
      <c r="H27" s="28">
        <v>700</v>
      </c>
      <c r="I27" s="28" t="s">
        <v>15</v>
      </c>
      <c r="J27" s="927" t="s">
        <v>77</v>
      </c>
      <c r="K27" s="929"/>
      <c r="M27" s="25"/>
      <c r="N27" s="29">
        <v>5</v>
      </c>
      <c r="O27" s="919"/>
      <c r="P27" s="926"/>
      <c r="Q27" s="920"/>
      <c r="R27" s="919"/>
      <c r="S27" s="926"/>
      <c r="T27" s="920"/>
      <c r="U27" s="27"/>
      <c r="V27" s="30"/>
      <c r="W27" s="27"/>
      <c r="X27" s="31">
        <f t="shared" si="16"/>
        <v>0</v>
      </c>
      <c r="Y27" s="4"/>
      <c r="Z27" s="919"/>
      <c r="AA27" s="920"/>
    </row>
    <row r="28" spans="1:27" ht="15.75" customHeight="1">
      <c r="A28" s="23"/>
      <c r="B28" s="70" t="s">
        <v>102</v>
      </c>
      <c r="C28" s="939"/>
      <c r="D28" s="925"/>
      <c r="E28" s="918"/>
      <c r="F28" s="4"/>
      <c r="G28" s="4"/>
      <c r="H28" s="4"/>
      <c r="I28" s="4"/>
      <c r="J28" s="939"/>
      <c r="K28" s="918"/>
      <c r="M28" s="32"/>
      <c r="N28" s="55"/>
      <c r="O28" s="921"/>
      <c r="P28" s="925"/>
      <c r="Q28" s="925"/>
      <c r="R28" s="921"/>
      <c r="S28" s="925"/>
      <c r="T28" s="925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21"/>
      <c r="AA28" s="918"/>
    </row>
    <row r="29" spans="1:27" ht="15.75" customHeight="1">
      <c r="A29" s="23"/>
      <c r="B29" s="70" t="s">
        <v>100</v>
      </c>
      <c r="C29" s="939"/>
      <c r="D29" s="925"/>
      <c r="E29" s="918"/>
      <c r="F29" s="4"/>
      <c r="G29" s="4"/>
      <c r="H29" s="4"/>
      <c r="I29" s="4"/>
      <c r="J29" s="939"/>
      <c r="K29" s="918"/>
      <c r="M29" s="56" t="s">
        <v>43</v>
      </c>
      <c r="N29" s="24">
        <v>1</v>
      </c>
      <c r="O29" s="940" t="s">
        <v>16</v>
      </c>
      <c r="P29" s="941"/>
      <c r="Q29" s="923"/>
      <c r="R29" s="922" t="s">
        <v>87</v>
      </c>
      <c r="S29" s="941"/>
      <c r="T29" s="923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22" t="s">
        <v>88</v>
      </c>
      <c r="AA29" s="923"/>
    </row>
    <row r="30" spans="1:27" ht="15.75" customHeight="1">
      <c r="A30" s="23"/>
      <c r="B30" s="70" t="s">
        <v>99</v>
      </c>
      <c r="C30" s="939"/>
      <c r="D30" s="925"/>
      <c r="E30" s="918"/>
      <c r="F30" s="4"/>
      <c r="G30" s="4"/>
      <c r="H30" s="4"/>
      <c r="I30" s="4"/>
      <c r="J30" s="939"/>
      <c r="K30" s="918"/>
      <c r="M30" s="25"/>
      <c r="N30" s="24">
        <v>2</v>
      </c>
      <c r="O30" s="917"/>
      <c r="P30" s="925"/>
      <c r="Q30" s="918"/>
      <c r="R30" s="917"/>
      <c r="S30" s="925"/>
      <c r="T30" s="918"/>
      <c r="U30" s="4"/>
      <c r="V30" s="14"/>
      <c r="W30" s="4"/>
      <c r="X30" s="16">
        <f t="shared" si="17"/>
        <v>0</v>
      </c>
      <c r="Y30" s="4"/>
      <c r="Z30" s="917"/>
      <c r="AA30" s="918"/>
    </row>
    <row r="31" spans="1:27" ht="15.75" customHeight="1">
      <c r="A31" s="20"/>
      <c r="B31" s="70" t="s">
        <v>103</v>
      </c>
      <c r="C31" s="939"/>
      <c r="D31" s="925"/>
      <c r="E31" s="918"/>
      <c r="F31" s="4"/>
      <c r="G31" s="4"/>
      <c r="H31" s="4"/>
      <c r="I31" s="4"/>
      <c r="J31" s="939"/>
      <c r="K31" s="918"/>
      <c r="M31" s="25"/>
      <c r="N31" s="24">
        <v>3</v>
      </c>
      <c r="O31" s="917"/>
      <c r="P31" s="925"/>
      <c r="Q31" s="918"/>
      <c r="R31" s="917"/>
      <c r="S31" s="925"/>
      <c r="T31" s="918"/>
      <c r="U31" s="4"/>
      <c r="V31" s="14"/>
      <c r="W31" s="4"/>
      <c r="X31" s="16">
        <f t="shared" si="17"/>
        <v>0</v>
      </c>
      <c r="Y31" s="4"/>
      <c r="Z31" s="917"/>
      <c r="AA31" s="918"/>
    </row>
    <row r="32" spans="1:27" ht="15.75" customHeight="1">
      <c r="A32" s="67"/>
      <c r="M32" s="25"/>
      <c r="N32" s="24">
        <v>4</v>
      </c>
      <c r="O32" s="917"/>
      <c r="P32" s="925"/>
      <c r="Q32" s="918"/>
      <c r="R32" s="917"/>
      <c r="S32" s="925"/>
      <c r="T32" s="918"/>
      <c r="U32" s="4"/>
      <c r="V32" s="14"/>
      <c r="W32" s="4"/>
      <c r="X32" s="16">
        <f t="shared" si="17"/>
        <v>0</v>
      </c>
      <c r="Y32" s="4"/>
      <c r="Z32" s="917"/>
      <c r="AA32" s="918"/>
    </row>
    <row r="33" spans="1:27" ht="15.75" customHeight="1">
      <c r="A33" s="18"/>
      <c r="B33" s="49" t="s">
        <v>47</v>
      </c>
      <c r="C33" s="942" t="s">
        <v>12</v>
      </c>
      <c r="D33" s="925"/>
      <c r="E33" s="918"/>
      <c r="F33" s="49" t="s">
        <v>46</v>
      </c>
      <c r="G33" s="49" t="s">
        <v>48</v>
      </c>
      <c r="H33" s="49" t="s">
        <v>49</v>
      </c>
      <c r="I33" s="8" t="s">
        <v>13</v>
      </c>
      <c r="J33" s="934" t="s">
        <v>51</v>
      </c>
      <c r="K33" s="918"/>
      <c r="M33" s="25"/>
      <c r="N33" s="29">
        <v>5</v>
      </c>
      <c r="O33" s="917"/>
      <c r="P33" s="925"/>
      <c r="Q33" s="918"/>
      <c r="R33" s="917"/>
      <c r="S33" s="925"/>
      <c r="T33" s="918"/>
      <c r="U33" s="27"/>
      <c r="V33" s="30"/>
      <c r="W33" s="27"/>
      <c r="X33" s="31">
        <f t="shared" si="17"/>
        <v>0</v>
      </c>
      <c r="Y33" s="4"/>
      <c r="Z33" s="917"/>
      <c r="AA33" s="918"/>
    </row>
    <row r="34" spans="1:27" ht="15.75" customHeight="1">
      <c r="A34" s="52" t="s">
        <v>35</v>
      </c>
      <c r="B34" s="6">
        <v>1</v>
      </c>
      <c r="C34" s="924" t="s">
        <v>79</v>
      </c>
      <c r="D34" s="925"/>
      <c r="E34" s="918"/>
      <c r="F34" s="4">
        <v>3</v>
      </c>
      <c r="G34" s="4">
        <v>2500</v>
      </c>
      <c r="H34" s="4">
        <v>833.33</v>
      </c>
      <c r="I34" s="4">
        <v>20</v>
      </c>
      <c r="J34" s="924" t="s">
        <v>78</v>
      </c>
      <c r="K34" s="918"/>
      <c r="M34" s="68"/>
      <c r="N34" s="45"/>
      <c r="O34" s="921"/>
      <c r="P34" s="925"/>
      <c r="Q34" s="925"/>
      <c r="R34" s="921"/>
      <c r="S34" s="925"/>
      <c r="T34" s="925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21"/>
      <c r="AA34" s="918"/>
    </row>
    <row r="35" spans="1:27" ht="15.75" customHeight="1">
      <c r="A35" s="23"/>
      <c r="B35" s="6">
        <v>2</v>
      </c>
      <c r="C35" s="917"/>
      <c r="D35" s="925"/>
      <c r="E35" s="918"/>
      <c r="F35" s="4"/>
      <c r="G35" s="4"/>
      <c r="H35" s="4"/>
      <c r="I35" s="4"/>
      <c r="J35" s="917"/>
      <c r="K35" s="918"/>
      <c r="M35" s="1"/>
      <c r="N35" s="1"/>
      <c r="O35" s="932"/>
      <c r="P35" s="933"/>
      <c r="Q35" s="933"/>
      <c r="R35" s="932"/>
      <c r="S35" s="933"/>
      <c r="T35" s="933"/>
      <c r="U35" s="1"/>
      <c r="V35" s="38"/>
      <c r="W35" s="1"/>
      <c r="X35" s="1"/>
      <c r="Y35" s="932"/>
      <c r="Z35" s="933"/>
      <c r="AA35" s="933"/>
    </row>
    <row r="36" spans="1:27" ht="15.75" customHeight="1">
      <c r="A36" s="23"/>
      <c r="B36" s="6">
        <v>3</v>
      </c>
      <c r="C36" s="917"/>
      <c r="D36" s="925"/>
      <c r="E36" s="918"/>
      <c r="F36" s="4"/>
      <c r="G36" s="4"/>
      <c r="H36" s="4"/>
      <c r="I36" s="4"/>
      <c r="J36" s="917"/>
      <c r="K36" s="918"/>
      <c r="M36" s="52" t="s">
        <v>27</v>
      </c>
      <c r="N36" s="57" t="s">
        <v>47</v>
      </c>
      <c r="O36" s="930" t="s">
        <v>12</v>
      </c>
      <c r="P36" s="921"/>
      <c r="Q36" s="931"/>
      <c r="R36" s="936" t="s">
        <v>53</v>
      </c>
      <c r="S36" s="937"/>
      <c r="T36" s="938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34" t="s">
        <v>51</v>
      </c>
      <c r="AA36" s="935"/>
    </row>
    <row r="37" spans="1:27" ht="15.75" customHeight="1">
      <c r="A37" s="23"/>
      <c r="B37" s="6">
        <v>4</v>
      </c>
      <c r="C37" s="917"/>
      <c r="D37" s="925"/>
      <c r="E37" s="918"/>
      <c r="F37" s="4"/>
      <c r="G37" s="4"/>
      <c r="H37" s="4"/>
      <c r="I37" s="4"/>
      <c r="J37" s="917"/>
      <c r="K37" s="918"/>
      <c r="M37" s="56" t="s">
        <v>42</v>
      </c>
      <c r="N37" s="24">
        <v>1</v>
      </c>
      <c r="O37" s="924" t="s">
        <v>89</v>
      </c>
      <c r="P37" s="925"/>
      <c r="Q37" s="918"/>
      <c r="R37" s="924" t="s">
        <v>90</v>
      </c>
      <c r="S37" s="925"/>
      <c r="T37" s="918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24" t="s">
        <v>91</v>
      </c>
      <c r="AA37" s="918"/>
    </row>
    <row r="38" spans="1:27" ht="15.75" customHeight="1">
      <c r="A38" s="23"/>
      <c r="B38" s="26">
        <v>5</v>
      </c>
      <c r="C38" s="919"/>
      <c r="D38" s="926"/>
      <c r="E38" s="920"/>
      <c r="F38" s="27"/>
      <c r="G38" s="27"/>
      <c r="H38" s="27"/>
      <c r="I38" s="27"/>
      <c r="J38" s="919"/>
      <c r="K38" s="920"/>
      <c r="M38" s="25"/>
      <c r="N38" s="24">
        <v>2</v>
      </c>
      <c r="O38" s="917"/>
      <c r="P38" s="925"/>
      <c r="Q38" s="918"/>
      <c r="R38" s="917"/>
      <c r="S38" s="925"/>
      <c r="T38" s="918"/>
      <c r="U38" s="4"/>
      <c r="V38" s="14"/>
      <c r="W38" s="4"/>
      <c r="X38" s="16">
        <f t="shared" si="18"/>
        <v>0</v>
      </c>
      <c r="Y38" s="4"/>
      <c r="Z38" s="917"/>
      <c r="AA38" s="918"/>
    </row>
    <row r="39" spans="1:27" ht="14.25">
      <c r="A39" s="23"/>
      <c r="B39" s="69" t="s">
        <v>101</v>
      </c>
      <c r="C39" s="927" t="s">
        <v>80</v>
      </c>
      <c r="D39" s="928"/>
      <c r="E39" s="929"/>
      <c r="F39" s="28">
        <v>7</v>
      </c>
      <c r="G39" s="28">
        <v>2200</v>
      </c>
      <c r="H39" s="28">
        <v>314.29000000000002</v>
      </c>
      <c r="I39" s="28">
        <v>-15</v>
      </c>
      <c r="J39" s="927" t="s">
        <v>81</v>
      </c>
      <c r="K39" s="929"/>
      <c r="M39" s="25"/>
      <c r="N39" s="24">
        <v>3</v>
      </c>
      <c r="O39" s="917"/>
      <c r="P39" s="925"/>
      <c r="Q39" s="918"/>
      <c r="R39" s="917"/>
      <c r="S39" s="925"/>
      <c r="T39" s="918"/>
      <c r="U39" s="4"/>
      <c r="V39" s="14"/>
      <c r="W39" s="4"/>
      <c r="X39" s="16">
        <f t="shared" si="18"/>
        <v>0</v>
      </c>
      <c r="Y39" s="4"/>
      <c r="Z39" s="917"/>
      <c r="AA39" s="918"/>
    </row>
    <row r="40" spans="1:27" ht="14.25">
      <c r="A40" s="23"/>
      <c r="B40" s="70" t="s">
        <v>102</v>
      </c>
      <c r="C40" s="917"/>
      <c r="D40" s="925"/>
      <c r="E40" s="918"/>
      <c r="F40" s="4"/>
      <c r="G40" s="4"/>
      <c r="H40" s="4"/>
      <c r="I40" s="4"/>
      <c r="J40" s="917"/>
      <c r="K40" s="918"/>
      <c r="M40" s="25"/>
      <c r="N40" s="24">
        <v>4</v>
      </c>
      <c r="O40" s="917"/>
      <c r="P40" s="925"/>
      <c r="Q40" s="918"/>
      <c r="R40" s="917"/>
      <c r="S40" s="925"/>
      <c r="T40" s="918"/>
      <c r="U40" s="4"/>
      <c r="V40" s="14"/>
      <c r="W40" s="4"/>
      <c r="X40" s="16">
        <f t="shared" si="18"/>
        <v>0</v>
      </c>
      <c r="Y40" s="4"/>
      <c r="Z40" s="917"/>
      <c r="AA40" s="918"/>
    </row>
    <row r="41" spans="1:27" ht="14.25">
      <c r="A41" s="23"/>
      <c r="B41" s="70" t="s">
        <v>100</v>
      </c>
      <c r="C41" s="917"/>
      <c r="D41" s="925"/>
      <c r="E41" s="918"/>
      <c r="F41" s="4"/>
      <c r="G41" s="4"/>
      <c r="H41" s="4"/>
      <c r="I41" s="4"/>
      <c r="J41" s="917"/>
      <c r="K41" s="918"/>
      <c r="M41" s="25"/>
      <c r="N41" s="29">
        <v>5</v>
      </c>
      <c r="O41" s="919"/>
      <c r="P41" s="926"/>
      <c r="Q41" s="920"/>
      <c r="R41" s="919"/>
      <c r="S41" s="926"/>
      <c r="T41" s="920"/>
      <c r="U41" s="27"/>
      <c r="V41" s="30"/>
      <c r="W41" s="27"/>
      <c r="X41" s="31">
        <f t="shared" si="18"/>
        <v>0</v>
      </c>
      <c r="Y41" s="4"/>
      <c r="Z41" s="917"/>
      <c r="AA41" s="918"/>
    </row>
    <row r="42" spans="1:27" ht="14.25">
      <c r="A42" s="23"/>
      <c r="B42" s="70" t="s">
        <v>99</v>
      </c>
      <c r="C42" s="917"/>
      <c r="D42" s="925"/>
      <c r="E42" s="918"/>
      <c r="F42" s="4"/>
      <c r="G42" s="4"/>
      <c r="H42" s="4"/>
      <c r="I42" s="4"/>
      <c r="J42" s="917"/>
      <c r="K42" s="918"/>
      <c r="M42" s="32"/>
      <c r="N42" s="54"/>
      <c r="O42" s="921"/>
      <c r="P42" s="925"/>
      <c r="Q42" s="925"/>
      <c r="R42" s="921"/>
      <c r="S42" s="925"/>
      <c r="T42" s="925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21"/>
      <c r="AA42" s="918"/>
    </row>
    <row r="43" spans="1:27" ht="14.25">
      <c r="A43" s="20"/>
      <c r="B43" s="70" t="s">
        <v>103</v>
      </c>
      <c r="C43" s="917"/>
      <c r="D43" s="925"/>
      <c r="E43" s="918"/>
      <c r="F43" s="4"/>
      <c r="G43" s="4"/>
      <c r="H43" s="4"/>
      <c r="I43" s="4"/>
      <c r="J43" s="917"/>
      <c r="K43" s="918"/>
      <c r="M43" s="56" t="s">
        <v>43</v>
      </c>
      <c r="N43" s="24">
        <v>1</v>
      </c>
      <c r="O43" s="924" t="s">
        <v>89</v>
      </c>
      <c r="P43" s="925"/>
      <c r="Q43" s="918"/>
      <c r="R43" s="922" t="s">
        <v>93</v>
      </c>
      <c r="S43" s="941"/>
      <c r="T43" s="923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24" t="s">
        <v>92</v>
      </c>
      <c r="AA43" s="918"/>
    </row>
    <row r="44" spans="1:27" ht="14.25">
      <c r="A44" s="67"/>
      <c r="M44" s="25"/>
      <c r="N44" s="24">
        <v>2</v>
      </c>
      <c r="O44" s="917"/>
      <c r="P44" s="925"/>
      <c r="Q44" s="918"/>
      <c r="R44" s="917"/>
      <c r="S44" s="925"/>
      <c r="T44" s="918"/>
      <c r="U44" s="4"/>
      <c r="V44" s="14"/>
      <c r="W44" s="4"/>
      <c r="X44" s="37">
        <f t="shared" si="19"/>
        <v>0</v>
      </c>
      <c r="Y44" s="4"/>
      <c r="Z44" s="917"/>
      <c r="AA44" s="918"/>
    </row>
    <row r="45" spans="1:27" ht="14.25">
      <c r="A45" s="18"/>
      <c r="B45" s="49" t="s">
        <v>47</v>
      </c>
      <c r="C45" s="942" t="s">
        <v>12</v>
      </c>
      <c r="D45" s="925"/>
      <c r="E45" s="918"/>
      <c r="F45" s="49" t="s">
        <v>46</v>
      </c>
      <c r="G45" s="49" t="s">
        <v>48</v>
      </c>
      <c r="H45" s="49" t="s">
        <v>49</v>
      </c>
      <c r="I45" s="8" t="s">
        <v>13</v>
      </c>
      <c r="J45" s="934" t="s">
        <v>51</v>
      </c>
      <c r="K45" s="918"/>
      <c r="M45" s="25"/>
      <c r="N45" s="24">
        <v>3</v>
      </c>
      <c r="O45" s="917"/>
      <c r="P45" s="925"/>
      <c r="Q45" s="918"/>
      <c r="R45" s="917"/>
      <c r="S45" s="925"/>
      <c r="T45" s="918"/>
      <c r="U45" s="4"/>
      <c r="V45" s="14"/>
      <c r="W45" s="4"/>
      <c r="X45" s="37">
        <f t="shared" si="19"/>
        <v>0</v>
      </c>
      <c r="Y45" s="4"/>
      <c r="Z45" s="917"/>
      <c r="AA45" s="918"/>
    </row>
    <row r="46" spans="1:27" ht="14.25">
      <c r="A46" s="52" t="s">
        <v>36</v>
      </c>
      <c r="B46" s="6">
        <v>1</v>
      </c>
      <c r="C46" s="924" t="s">
        <v>82</v>
      </c>
      <c r="D46" s="925"/>
      <c r="E46" s="918"/>
      <c r="F46" s="4">
        <v>15</v>
      </c>
      <c r="G46" s="4">
        <v>1200</v>
      </c>
      <c r="H46" s="4">
        <v>80</v>
      </c>
      <c r="I46" s="4">
        <v>5</v>
      </c>
      <c r="J46" s="924" t="s">
        <v>83</v>
      </c>
      <c r="K46" s="918"/>
      <c r="M46" s="25"/>
      <c r="N46" s="24">
        <v>4</v>
      </c>
      <c r="O46" s="917"/>
      <c r="P46" s="925"/>
      <c r="Q46" s="918"/>
      <c r="R46" s="917"/>
      <c r="S46" s="925"/>
      <c r="T46" s="918"/>
      <c r="U46" s="4"/>
      <c r="V46" s="14"/>
      <c r="W46" s="4"/>
      <c r="X46" s="37">
        <f t="shared" si="19"/>
        <v>0</v>
      </c>
      <c r="Y46" s="4"/>
      <c r="Z46" s="917"/>
      <c r="AA46" s="918"/>
    </row>
    <row r="47" spans="1:27" ht="14.25">
      <c r="A47" s="23"/>
      <c r="B47" s="6">
        <v>2</v>
      </c>
      <c r="C47" s="917"/>
      <c r="D47" s="925"/>
      <c r="E47" s="918"/>
      <c r="F47" s="4"/>
      <c r="G47" s="4"/>
      <c r="H47" s="4"/>
      <c r="I47" s="4"/>
      <c r="J47" s="917"/>
      <c r="K47" s="918"/>
      <c r="M47" s="25"/>
      <c r="N47" s="29">
        <v>5</v>
      </c>
      <c r="O47" s="917"/>
      <c r="P47" s="925"/>
      <c r="Q47" s="918"/>
      <c r="R47" s="917"/>
      <c r="S47" s="925"/>
      <c r="T47" s="918"/>
      <c r="U47" s="27"/>
      <c r="V47" s="30"/>
      <c r="W47" s="27"/>
      <c r="X47" s="40">
        <f t="shared" si="19"/>
        <v>0</v>
      </c>
      <c r="Y47" s="4"/>
      <c r="Z47" s="917"/>
      <c r="AA47" s="918"/>
    </row>
    <row r="48" spans="1:27" ht="14.25">
      <c r="A48" s="23"/>
      <c r="B48" s="6">
        <v>3</v>
      </c>
      <c r="C48" s="917"/>
      <c r="D48" s="925"/>
      <c r="E48" s="918"/>
      <c r="F48" s="4"/>
      <c r="G48" s="4"/>
      <c r="H48" s="4"/>
      <c r="I48" s="4"/>
      <c r="J48" s="917"/>
      <c r="K48" s="918"/>
      <c r="M48" s="68"/>
      <c r="N48" s="45"/>
      <c r="O48" s="921"/>
      <c r="P48" s="925"/>
      <c r="Q48" s="925"/>
      <c r="R48" s="921"/>
      <c r="S48" s="925"/>
      <c r="T48" s="925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21"/>
      <c r="AA48" s="918"/>
    </row>
    <row r="49" spans="1:27" ht="14.25">
      <c r="A49" s="23"/>
      <c r="B49" s="6">
        <v>4</v>
      </c>
      <c r="C49" s="917"/>
      <c r="D49" s="925"/>
      <c r="E49" s="918"/>
      <c r="F49" s="4"/>
      <c r="G49" s="4"/>
      <c r="H49" s="4"/>
      <c r="I49" s="4"/>
      <c r="J49" s="917"/>
      <c r="K49" s="91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19"/>
      <c r="D50" s="926"/>
      <c r="E50" s="920"/>
      <c r="F50" s="27"/>
      <c r="G50" s="27"/>
      <c r="H50" s="27"/>
      <c r="I50" s="27"/>
      <c r="J50" s="919"/>
      <c r="K50" s="920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927" t="s">
        <v>89</v>
      </c>
      <c r="D51" s="928"/>
      <c r="E51" s="929"/>
      <c r="F51" s="28">
        <v>18</v>
      </c>
      <c r="G51" s="28">
        <v>800</v>
      </c>
      <c r="H51" s="28">
        <v>44.44</v>
      </c>
      <c r="I51" s="28">
        <v>-15</v>
      </c>
      <c r="J51" s="927" t="s">
        <v>84</v>
      </c>
      <c r="K51" s="929"/>
      <c r="M51" s="8"/>
      <c r="N51" s="8" t="s">
        <v>18</v>
      </c>
      <c r="O51" s="930" t="s">
        <v>12</v>
      </c>
      <c r="P51" s="921"/>
      <c r="Q51" s="931"/>
      <c r="R51" s="936" t="s">
        <v>53</v>
      </c>
      <c r="S51" s="937"/>
      <c r="T51" s="938"/>
      <c r="U51" s="57" t="s">
        <v>54</v>
      </c>
      <c r="V51" s="39" t="s">
        <v>19</v>
      </c>
      <c r="W51" s="57" t="s">
        <v>57</v>
      </c>
      <c r="X51" s="8" t="s">
        <v>2</v>
      </c>
      <c r="Y51" s="930" t="s">
        <v>50</v>
      </c>
      <c r="Z51" s="921"/>
      <c r="AA51" s="931"/>
    </row>
    <row r="52" spans="1:27" ht="14.25">
      <c r="A52" s="23"/>
      <c r="B52" s="70" t="s">
        <v>102</v>
      </c>
      <c r="C52" s="917"/>
      <c r="D52" s="925"/>
      <c r="E52" s="918"/>
      <c r="F52" s="4"/>
      <c r="G52" s="4"/>
      <c r="H52" s="4"/>
      <c r="I52" s="4"/>
      <c r="J52" s="917"/>
      <c r="K52" s="918"/>
      <c r="M52" s="56" t="s">
        <v>42</v>
      </c>
      <c r="N52" s="24">
        <v>1</v>
      </c>
      <c r="O52" s="924" t="s">
        <v>89</v>
      </c>
      <c r="P52" s="925"/>
      <c r="Q52" s="918"/>
      <c r="R52" s="922" t="s">
        <v>93</v>
      </c>
      <c r="S52" s="941"/>
      <c r="T52" s="923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24" t="s">
        <v>97</v>
      </c>
      <c r="Z52" s="925"/>
      <c r="AA52" s="918"/>
    </row>
    <row r="53" spans="1:27" ht="14.25">
      <c r="A53" s="23"/>
      <c r="B53" s="70" t="s">
        <v>100</v>
      </c>
      <c r="C53" s="917"/>
      <c r="D53" s="925"/>
      <c r="E53" s="918"/>
      <c r="F53" s="4"/>
      <c r="G53" s="4"/>
      <c r="H53" s="4"/>
      <c r="I53" s="4"/>
      <c r="J53" s="917"/>
      <c r="K53" s="918"/>
      <c r="M53" s="25"/>
      <c r="N53" s="29">
        <v>2</v>
      </c>
      <c r="O53" s="919"/>
      <c r="P53" s="926"/>
      <c r="Q53" s="920"/>
      <c r="R53" s="919"/>
      <c r="S53" s="926"/>
      <c r="T53" s="920"/>
      <c r="U53" s="27"/>
      <c r="V53" s="30"/>
      <c r="W53" s="30"/>
      <c r="X53" s="41">
        <f t="shared" si="20"/>
        <v>0</v>
      </c>
      <c r="Y53" s="919"/>
      <c r="Z53" s="926"/>
      <c r="AA53" s="920"/>
    </row>
    <row r="54" spans="1:27" ht="14.25">
      <c r="A54" s="23"/>
      <c r="B54" s="70" t="s">
        <v>99</v>
      </c>
      <c r="C54" s="917"/>
      <c r="D54" s="925"/>
      <c r="E54" s="918"/>
      <c r="F54" s="4"/>
      <c r="G54" s="4"/>
      <c r="H54" s="4"/>
      <c r="I54" s="4"/>
      <c r="J54" s="917"/>
      <c r="K54" s="918"/>
      <c r="M54" s="56" t="s">
        <v>43</v>
      </c>
      <c r="N54" s="42">
        <v>1</v>
      </c>
      <c r="O54" s="927" t="s">
        <v>94</v>
      </c>
      <c r="P54" s="928"/>
      <c r="Q54" s="929"/>
      <c r="R54" s="927" t="s">
        <v>95</v>
      </c>
      <c r="S54" s="928"/>
      <c r="T54" s="929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27" t="s">
        <v>96</v>
      </c>
      <c r="Z54" s="928"/>
      <c r="AA54" s="929"/>
    </row>
    <row r="55" spans="1:27" ht="14.25">
      <c r="A55" s="20"/>
      <c r="B55" s="70" t="s">
        <v>103</v>
      </c>
      <c r="C55" s="917"/>
      <c r="D55" s="925"/>
      <c r="E55" s="918"/>
      <c r="F55" s="4"/>
      <c r="G55" s="4"/>
      <c r="H55" s="4"/>
      <c r="I55" s="4"/>
      <c r="J55" s="917"/>
      <c r="K55" s="918"/>
      <c r="M55" s="22"/>
      <c r="N55" s="24">
        <v>2</v>
      </c>
      <c r="O55" s="917"/>
      <c r="P55" s="925"/>
      <c r="Q55" s="918"/>
      <c r="R55" s="917"/>
      <c r="S55" s="925"/>
      <c r="T55" s="918"/>
      <c r="U55" s="4"/>
      <c r="V55" s="14"/>
      <c r="W55" s="14"/>
      <c r="X55" s="13">
        <f t="shared" si="20"/>
        <v>0</v>
      </c>
      <c r="Y55" s="917"/>
      <c r="Z55" s="925"/>
      <c r="AA55" s="918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2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49"/>
    <col min="3" max="3" width="14" style="149" bestFit="1" customWidth="1"/>
    <col min="4" max="4" width="0.28515625" style="149" customWidth="1"/>
    <col min="5" max="5" width="8.7109375" style="149"/>
    <col min="6" max="6" width="16.28515625" style="149" bestFit="1" customWidth="1"/>
    <col min="7" max="16384" width="8.7109375" style="149"/>
  </cols>
  <sheetData>
    <row r="2" spans="2:7" ht="15.75">
      <c r="B2" s="944" t="s">
        <v>255</v>
      </c>
      <c r="C2" s="944"/>
      <c r="D2" s="944"/>
      <c r="E2" s="944"/>
      <c r="F2" s="944"/>
    </row>
    <row r="3" spans="2:7" ht="15">
      <c r="B3" s="150" t="s">
        <v>256</v>
      </c>
      <c r="C3" s="150" t="s">
        <v>257</v>
      </c>
      <c r="D3" s="151"/>
      <c r="E3" s="150" t="s">
        <v>258</v>
      </c>
      <c r="F3" s="150" t="s">
        <v>259</v>
      </c>
      <c r="G3" s="151"/>
    </row>
    <row r="4" spans="2:7" ht="15">
      <c r="B4" s="152" t="s">
        <v>260</v>
      </c>
      <c r="C4" s="152" t="s">
        <v>261</v>
      </c>
      <c r="D4" s="151"/>
      <c r="E4" s="152" t="s">
        <v>262</v>
      </c>
      <c r="F4" s="152" t="s">
        <v>263</v>
      </c>
      <c r="G4" s="151"/>
    </row>
    <row r="5" spans="2:7" ht="15">
      <c r="B5" s="152" t="s">
        <v>264</v>
      </c>
      <c r="C5" s="152" t="s">
        <v>265</v>
      </c>
      <c r="D5" s="151"/>
      <c r="E5" s="152" t="s">
        <v>266</v>
      </c>
      <c r="F5" s="152" t="s">
        <v>267</v>
      </c>
      <c r="G5" s="151"/>
    </row>
    <row r="6" spans="2:7" ht="15">
      <c r="B6" s="152" t="s">
        <v>268</v>
      </c>
      <c r="C6" s="152" t="s">
        <v>269</v>
      </c>
      <c r="D6" s="151"/>
      <c r="E6" s="153" t="s">
        <v>270</v>
      </c>
      <c r="F6" s="153" t="s">
        <v>141</v>
      </c>
      <c r="G6" s="151"/>
    </row>
    <row r="7" spans="2:7" ht="15">
      <c r="B7" s="153" t="s">
        <v>271</v>
      </c>
      <c r="C7" s="153" t="s">
        <v>272</v>
      </c>
      <c r="D7" s="151"/>
      <c r="E7" s="152" t="s">
        <v>273</v>
      </c>
      <c r="F7" s="152" t="s">
        <v>274</v>
      </c>
      <c r="G7" s="151"/>
    </row>
    <row r="8" spans="2:7" ht="15">
      <c r="B8" s="152" t="s">
        <v>275</v>
      </c>
      <c r="C8" s="152" t="s">
        <v>276</v>
      </c>
      <c r="D8" s="151"/>
      <c r="E8" s="152" t="s">
        <v>277</v>
      </c>
      <c r="F8" s="152" t="s">
        <v>278</v>
      </c>
      <c r="G8" s="151"/>
    </row>
    <row r="9" spans="2:7" ht="15">
      <c r="B9" s="152" t="s">
        <v>279</v>
      </c>
      <c r="C9" s="152" t="s">
        <v>280</v>
      </c>
      <c r="D9" s="151"/>
      <c r="E9" s="153" t="s">
        <v>281</v>
      </c>
      <c r="F9" s="153" t="s">
        <v>140</v>
      </c>
      <c r="G9" s="151"/>
    </row>
    <row r="10" spans="2:7" ht="15">
      <c r="B10" s="152" t="s">
        <v>282</v>
      </c>
      <c r="C10" s="152" t="s">
        <v>283</v>
      </c>
      <c r="D10" s="151"/>
      <c r="E10" s="152" t="s">
        <v>284</v>
      </c>
      <c r="F10" s="152" t="s">
        <v>285</v>
      </c>
      <c r="G10" s="151"/>
    </row>
    <row r="11" spans="2:7" ht="15">
      <c r="B11" s="152" t="s">
        <v>286</v>
      </c>
      <c r="C11" s="152" t="s">
        <v>287</v>
      </c>
      <c r="D11" s="151"/>
      <c r="E11" s="152" t="s">
        <v>288</v>
      </c>
      <c r="F11" s="152" t="s">
        <v>278</v>
      </c>
      <c r="G11" s="151"/>
    </row>
    <row r="12" spans="2:7" ht="15">
      <c r="B12" s="152" t="s">
        <v>289</v>
      </c>
      <c r="C12" s="152" t="s">
        <v>290</v>
      </c>
      <c r="D12" s="151"/>
      <c r="E12" s="152" t="s">
        <v>291</v>
      </c>
      <c r="F12" s="152" t="s">
        <v>292</v>
      </c>
      <c r="G12" s="151"/>
    </row>
    <row r="13" spans="2:7" ht="15">
      <c r="B13" s="153" t="s">
        <v>293</v>
      </c>
      <c r="C13" s="153" t="s">
        <v>136</v>
      </c>
      <c r="D13" s="151"/>
      <c r="E13" s="152" t="s">
        <v>294</v>
      </c>
      <c r="F13" s="152" t="s">
        <v>295</v>
      </c>
      <c r="G13" s="151"/>
    </row>
    <row r="14" spans="2:7" ht="15">
      <c r="B14" s="152" t="s">
        <v>296</v>
      </c>
      <c r="C14" s="152" t="s">
        <v>297</v>
      </c>
      <c r="D14" s="151"/>
      <c r="E14" s="153" t="s">
        <v>298</v>
      </c>
      <c r="F14" s="153" t="s">
        <v>299</v>
      </c>
      <c r="G14" s="151"/>
    </row>
    <row r="15" spans="2:7" ht="15">
      <c r="B15" s="153" t="s">
        <v>300</v>
      </c>
      <c r="C15" s="153" t="s">
        <v>301</v>
      </c>
      <c r="D15" s="151"/>
      <c r="E15" s="152" t="s">
        <v>302</v>
      </c>
      <c r="F15" s="152" t="s">
        <v>299</v>
      </c>
      <c r="G15" s="151"/>
    </row>
    <row r="16" spans="2:7" ht="15">
      <c r="B16" s="152" t="s">
        <v>303</v>
      </c>
      <c r="C16" s="152" t="s">
        <v>304</v>
      </c>
      <c r="D16" s="151"/>
      <c r="E16" s="153" t="s">
        <v>305</v>
      </c>
      <c r="F16" s="153" t="s">
        <v>306</v>
      </c>
      <c r="G16" s="151"/>
    </row>
    <row r="17" spans="2:7" ht="15">
      <c r="B17" s="152" t="s">
        <v>307</v>
      </c>
      <c r="C17" s="152" t="s">
        <v>308</v>
      </c>
      <c r="D17" s="151"/>
      <c r="E17" s="152" t="s">
        <v>309</v>
      </c>
      <c r="F17" s="152" t="s">
        <v>310</v>
      </c>
      <c r="G17" s="151"/>
    </row>
    <row r="18" spans="2:7" ht="15">
      <c r="B18" s="152" t="s">
        <v>311</v>
      </c>
      <c r="C18" s="152" t="s">
        <v>312</v>
      </c>
      <c r="D18" s="151"/>
      <c r="E18" s="152" t="s">
        <v>313</v>
      </c>
      <c r="F18" s="152" t="s">
        <v>314</v>
      </c>
      <c r="G18" s="151"/>
    </row>
    <row r="19" spans="2:7" ht="15">
      <c r="B19" s="152" t="s">
        <v>315</v>
      </c>
      <c r="C19" s="152" t="s">
        <v>316</v>
      </c>
      <c r="D19" s="151"/>
      <c r="E19" s="152" t="s">
        <v>317</v>
      </c>
      <c r="F19" s="152" t="s">
        <v>318</v>
      </c>
      <c r="G19" s="151"/>
    </row>
    <row r="20" spans="2:7" ht="15">
      <c r="B20" s="152" t="s">
        <v>319</v>
      </c>
      <c r="C20" s="152" t="s">
        <v>320</v>
      </c>
      <c r="D20" s="151"/>
      <c r="G20" s="151"/>
    </row>
    <row r="21" spans="2:7" ht="15">
      <c r="D21" s="151"/>
      <c r="G21" s="151"/>
    </row>
    <row r="22" spans="2:7" ht="15">
      <c r="D22" s="151"/>
      <c r="G22" s="151"/>
    </row>
    <row r="23" spans="2:7" ht="15">
      <c r="D23" s="151"/>
      <c r="G23" s="151"/>
    </row>
  </sheetData>
  <mergeCells count="1">
    <mergeCell ref="B2:F2"/>
  </mergeCells>
  <phoneticPr fontId="15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工作表38"/>
  <dimension ref="A3:B10"/>
  <sheetViews>
    <sheetView workbookViewId="0">
      <selection activeCell="B7" sqref="B7"/>
    </sheetView>
  </sheetViews>
  <sheetFormatPr defaultRowHeight="12.75"/>
  <sheetData>
    <row r="3" spans="1:2" ht="14.25">
      <c r="A3">
        <v>1</v>
      </c>
      <c r="B3" s="149" t="s">
        <v>373</v>
      </c>
    </row>
    <row r="4" spans="1:2" ht="14.25">
      <c r="A4">
        <v>2</v>
      </c>
      <c r="B4" s="149" t="s">
        <v>394</v>
      </c>
    </row>
    <row r="5" spans="1:2" ht="14.25">
      <c r="A5">
        <v>3</v>
      </c>
      <c r="B5" s="149" t="s">
        <v>339</v>
      </c>
    </row>
    <row r="6" spans="1:2" ht="14.25">
      <c r="A6">
        <v>4</v>
      </c>
      <c r="B6" s="149" t="s">
        <v>214</v>
      </c>
    </row>
    <row r="7" spans="1:2" ht="15">
      <c r="A7">
        <v>5</v>
      </c>
      <c r="B7" s="151" t="s">
        <v>760</v>
      </c>
    </row>
    <row r="8" spans="1:2" ht="14.25">
      <c r="A8">
        <v>6</v>
      </c>
      <c r="B8" s="149" t="s">
        <v>216</v>
      </c>
    </row>
    <row r="9" spans="1:2" ht="14.25">
      <c r="A9">
        <v>7</v>
      </c>
      <c r="B9" s="149" t="s">
        <v>395</v>
      </c>
    </row>
    <row r="10" spans="1:2" ht="14.25">
      <c r="A10">
        <v>8</v>
      </c>
      <c r="B10" s="149" t="s">
        <v>396</v>
      </c>
    </row>
  </sheetData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270491D-5CE4-4BE1-A5C7-942928EC791F}"/>
</file>

<file path=customXml/itemProps3.xml><?xml version="1.0" encoding="utf-8"?>
<ds:datastoreItem xmlns:ds="http://schemas.openxmlformats.org/officeDocument/2006/customXml" ds:itemID="{C51FF5BF-654E-4FE5-A4DD-C1AEDE02BEC2}"/>
</file>

<file path=customXml/itemProps4.xml><?xml version="1.0" encoding="utf-8"?>
<ds:datastoreItem xmlns:ds="http://schemas.openxmlformats.org/officeDocument/2006/customXml" ds:itemID="{937E4139-EA53-4A01-9B8C-5EF3950622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具名範圍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2025-12-24T07:22:09Z</cp:lastPrinted>
  <dcterms:created xsi:type="dcterms:W3CDTF">2025-07-03T16:36:59Z</dcterms:created>
  <dcterms:modified xsi:type="dcterms:W3CDTF">2026-05-06T08:15:23Z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