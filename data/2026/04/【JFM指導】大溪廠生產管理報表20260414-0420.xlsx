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" activeTab="2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工作表1" sheetId="66" r:id="rId9"/>
    <sheet name="（５-2）品群別人時生產性(18℃-壽司手卷)" sheetId="45" r:id="rId10"/>
    <sheet name="（５-3）品群別人時生產性(4℃-飯糰)" sheetId="46" r:id="rId11"/>
    <sheet name="（５-4）品群別人時生產性(4℃-壽司手卷)" sheetId="47" r:id="rId12"/>
    <sheet name="（５-5）品群別人時生產性(微波主食) " sheetId="48" r:id="rId13"/>
    <sheet name="（５-6）品群別人時生產性(便當)" sheetId="49" r:id="rId14"/>
    <sheet name="（５-7）品群別人時生產性(熱食義麵) " sheetId="50" r:id="rId15"/>
    <sheet name="（５-8）品群別人時生產性(季節調理麵) " sheetId="51" r:id="rId16"/>
    <sheet name="（５-9）品群別人時生產性(微波小吃)" sheetId="52" r:id="rId17"/>
    <sheet name="生產管理報表 6-1" sheetId="15" r:id="rId18"/>
    <sheet name="生產管理報表 6-2" sheetId="22" r:id="rId19"/>
    <sheet name="生產管理報表 6-3" sheetId="23" r:id="rId20"/>
    <sheet name="生產管理報表 6-4" sheetId="24" r:id="rId21"/>
    <sheet name="生產管理報表 6-5" sheetId="25" r:id="rId22"/>
    <sheet name="生產管理報表 7-1(月)" sheetId="40" state="hidden" r:id="rId23"/>
    <sheet name="生產管理報表 8-1(月報廢)" sheetId="57" state="hidden" r:id="rId24"/>
    <sheet name="生產管理報表 8-2(月報廢)" sheetId="58" state="hidden" r:id="rId25"/>
    <sheet name="生產管理報表 8-3(月超用)" sheetId="59" state="hidden" r:id="rId26"/>
    <sheet name="生產管理報表 8-4(月超用)" sheetId="60" state="hidden" r:id="rId27"/>
    <sheet name="生產管理報表 7-1 (週)" sheetId="41" r:id="rId28"/>
    <sheet name="生產管理報表 8-5(週報廢)" sheetId="19" r:id="rId29"/>
    <sheet name="生產管理報表 8-6(週報廢)" sheetId="20" r:id="rId30"/>
    <sheet name="生產管理報表 8-7(週超用)" sheetId="61" r:id="rId31"/>
    <sheet name="生產管理報表 8-8(週超用) " sheetId="62" r:id="rId32"/>
    <sheet name="生產管理報表 9" sheetId="21" r:id="rId33"/>
    <sheet name="日別報廢率總表" sheetId="56" r:id="rId34"/>
    <sheet name="報廢20大－原因別分析" sheetId="63" r:id="rId35"/>
    <sheet name="超用20大－原因別分析" sheetId="64" r:id="rId36"/>
    <sheet name="填寫舉例" sheetId="1" r:id="rId37"/>
    <sheet name="鮮食品群番" sheetId="38" r:id="rId38"/>
    <sheet name="下拉式選單" sheetId="54" r:id="rId39"/>
  </sheets>
  <externalReferences>
    <externalReference r:id="rId40"/>
  </externalReferences>
  <definedNames>
    <definedName name="_xlnm._FilterDatabase" localSheetId="7" hidden="1">'（５-1）品群別人時生產性(18℃-飯糰)'!#REF!</definedName>
    <definedName name="_xlnm._FilterDatabase" localSheetId="9" hidden="1">'（５-2）品群別人時生產性(18℃-壽司手卷)'!#REF!</definedName>
    <definedName name="_xlnm._FilterDatabase" localSheetId="10" hidden="1">'（５-3）品群別人時生產性(4℃-飯糰)'!#REF!</definedName>
    <definedName name="_xlnm._FilterDatabase" localSheetId="11" hidden="1">'（５-4）品群別人時生產性(4℃-壽司手卷)'!#REF!</definedName>
    <definedName name="_xlnm._FilterDatabase" localSheetId="12" hidden="1">'（５-5）品群別人時生產性(微波主食) '!#REF!</definedName>
    <definedName name="_xlnm._FilterDatabase" localSheetId="13" hidden="1">'（５-6）品群別人時生產性(便當)'!#REF!</definedName>
    <definedName name="_xlnm._FilterDatabase" localSheetId="14" hidden="1">'（５-7）品群別人時生產性(熱食義麵) '!#REF!</definedName>
    <definedName name="_xlnm._FilterDatabase" localSheetId="15" hidden="1">'（５-8）品群別人時生產性(季節調理麵) '!#REF!</definedName>
    <definedName name="_xlnm._FilterDatabase" localSheetId="16" hidden="1">'（５-9）品群別人時生產性(微波小吃)'!#REF!</definedName>
    <definedName name="_xlnm._FilterDatabase" localSheetId="23" hidden="1">#REF!</definedName>
    <definedName name="_xlnm._FilterDatabase" localSheetId="25" hidden="1">#REF!</definedName>
    <definedName name="_xlnm._FilterDatabase" localSheetId="28" hidden="1">#REF!</definedName>
    <definedName name="_xlnm._FilterDatabase" localSheetId="30" hidden="1">#REF!</definedName>
    <definedName name="_xlnm._FilterDatabase" localSheetId="34" hidden="1">'報廢20大－原因別分析'!#REF!</definedName>
    <definedName name="_xlnm._FilterDatabase" localSheetId="35" hidden="1">'超用20大－原因別分析'!#REF!</definedName>
    <definedName name="_xlnm.Print_Area" localSheetId="17">'生產管理報表 6-1'!$A$1:$L$80</definedName>
    <definedName name="_xlnm.Print_Area" localSheetId="18">'生產管理報表 6-2'!$A$1:$L$80</definedName>
    <definedName name="_xlnm.Print_Area" localSheetId="19">'生產管理報表 6-3'!$A$1:$L$80</definedName>
    <definedName name="_xlnm.Print_Area" localSheetId="20">'生產管理報表 6-4'!$A$1:$L$80</definedName>
    <definedName name="_xlnm.Print_Area" localSheetId="21">'生產管理報表 6-5'!$A$1:$L$80</definedName>
    <definedName name="_xlnm.Print_Area" localSheetId="27">'生產管理報表 7-1 (週)'!$A$1:$M$70</definedName>
    <definedName name="_xlnm.Print_Area" localSheetId="22">'生產管理報表 7-1(月)'!$A$1:$M$15</definedName>
    <definedName name="_xlnm.Print_Area" localSheetId="23">'生產管理報表 8-1(月報廢)'!$A$1:$P$30</definedName>
    <definedName name="_xlnm.Print_Area" localSheetId="24">'生產管理報表 8-2(月報廢)'!$A$1:$P$38</definedName>
    <definedName name="_xlnm.Print_Area" localSheetId="25">'生產管理報表 8-3(月超用)'!$A$1:$Q$30</definedName>
    <definedName name="_xlnm.Print_Area" localSheetId="26">'生產管理報表 8-4(月超用)'!$A$1:$P$38</definedName>
    <definedName name="_xlnm.Print_Area" localSheetId="28">'生產管理報表 8-5(週報廢)'!$A$1:$Q$58</definedName>
    <definedName name="_xlnm.Print_Area" localSheetId="29">'生產管理報表 8-6(週報廢)'!$A$1:$P$74</definedName>
    <definedName name="_xlnm.Print_Area" localSheetId="30">'生產管理報表 8-7(週超用)'!$A$1:$Q$30</definedName>
    <definedName name="_xlnm.Print_Area" localSheetId="31">'生產管理報表 8-8(週超用) '!$A$1:$P$58</definedName>
    <definedName name="_xlnm.Print_Area" localSheetId="32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7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5" l="1"/>
  <c r="I21" i="5"/>
  <c r="B35" i="39" l="1"/>
  <c r="C31" i="41"/>
  <c r="B31" i="41"/>
  <c r="B27" i="41"/>
  <c r="J60" i="25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74" i="22"/>
  <c r="J72" i="22"/>
  <c r="J71" i="22"/>
  <c r="J61" i="22"/>
  <c r="J60" i="22"/>
  <c r="J75" i="15"/>
  <c r="J74" i="15"/>
  <c r="J73" i="15"/>
  <c r="J72" i="15"/>
  <c r="J71" i="15"/>
  <c r="J69" i="15"/>
  <c r="J68" i="15"/>
  <c r="J67" i="15"/>
  <c r="J66" i="15"/>
  <c r="J65" i="15"/>
  <c r="J64" i="15"/>
  <c r="J63" i="15"/>
  <c r="J62" i="15"/>
  <c r="J61" i="15"/>
  <c r="J60" i="15"/>
  <c r="B60" i="25"/>
  <c r="A60" i="25"/>
  <c r="C1" i="50"/>
  <c r="B34" i="39"/>
  <c r="C1" i="52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B47" i="52"/>
  <c r="AD47" i="52" s="1"/>
  <c r="W47" i="52"/>
  <c r="Y47" i="52" s="1"/>
  <c r="T47" i="52"/>
  <c r="R47" i="52"/>
  <c r="J47" i="52"/>
  <c r="I47" i="52"/>
  <c r="H47" i="52"/>
  <c r="G47" i="52"/>
  <c r="C1" i="51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S47" i="51"/>
  <c r="AQ47" i="51"/>
  <c r="AL47" i="51"/>
  <c r="AN47" i="51" s="1"/>
  <c r="AI47" i="51"/>
  <c r="AG47" i="51"/>
  <c r="AB47" i="51"/>
  <c r="AD47" i="51" s="1"/>
  <c r="W47" i="51"/>
  <c r="Y47" i="51" s="1"/>
  <c r="R47" i="51"/>
  <c r="K47" i="51" s="1"/>
  <c r="J47" i="51"/>
  <c r="I47" i="51"/>
  <c r="G47" i="51"/>
  <c r="H47" i="51" s="1"/>
  <c r="P43" i="50"/>
  <c r="C1" i="49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H55" i="49" s="1"/>
  <c r="AB55" i="49"/>
  <c r="W55" i="49"/>
  <c r="R55" i="49"/>
  <c r="K55" i="49"/>
  <c r="J55" i="49"/>
  <c r="I55" i="49"/>
  <c r="G55" i="49"/>
  <c r="AV54" i="49"/>
  <c r="AQ54" i="49"/>
  <c r="AL54" i="49"/>
  <c r="AG54" i="49"/>
  <c r="AH54" i="49" s="1"/>
  <c r="AB54" i="49"/>
  <c r="W54" i="49"/>
  <c r="R54" i="49"/>
  <c r="K54" i="49"/>
  <c r="J54" i="49"/>
  <c r="I54" i="49"/>
  <c r="G54" i="49"/>
  <c r="AV53" i="49"/>
  <c r="K53" i="49" s="1"/>
  <c r="AQ53" i="49"/>
  <c r="AL53" i="49"/>
  <c r="AG53" i="49"/>
  <c r="AH53" i="49" s="1"/>
  <c r="AB53" i="49"/>
  <c r="W53" i="49"/>
  <c r="R53" i="49"/>
  <c r="J53" i="49"/>
  <c r="I53" i="49"/>
  <c r="G53" i="49"/>
  <c r="AV52" i="49"/>
  <c r="AQ52" i="49"/>
  <c r="AL52" i="49"/>
  <c r="AG52" i="49"/>
  <c r="AH52" i="49" s="1"/>
  <c r="AB52" i="49"/>
  <c r="W52" i="49"/>
  <c r="R52" i="49"/>
  <c r="J52" i="49"/>
  <c r="I52" i="49"/>
  <c r="G52" i="49"/>
  <c r="AV51" i="49"/>
  <c r="AQ51" i="49"/>
  <c r="K51" i="49" s="1"/>
  <c r="AL51" i="49"/>
  <c r="AG51" i="49"/>
  <c r="AH51" i="49" s="1"/>
  <c r="AB51" i="49"/>
  <c r="W51" i="49"/>
  <c r="R51" i="49"/>
  <c r="J51" i="49"/>
  <c r="I51" i="49"/>
  <c r="G51" i="49"/>
  <c r="AV50" i="49"/>
  <c r="AQ50" i="49"/>
  <c r="K50" i="49" s="1"/>
  <c r="AL50" i="49"/>
  <c r="AG50" i="49"/>
  <c r="AH50" i="49" s="1"/>
  <c r="AB50" i="49"/>
  <c r="W50" i="49"/>
  <c r="R50" i="49"/>
  <c r="J50" i="49"/>
  <c r="I50" i="49"/>
  <c r="G50" i="49"/>
  <c r="AV49" i="49"/>
  <c r="AQ49" i="49"/>
  <c r="AL49" i="49"/>
  <c r="K49" i="49" s="1"/>
  <c r="AG49" i="49"/>
  <c r="AH49" i="49" s="1"/>
  <c r="AB49" i="49"/>
  <c r="W49" i="49"/>
  <c r="R49" i="49"/>
  <c r="J49" i="49"/>
  <c r="I49" i="49"/>
  <c r="G49" i="49"/>
  <c r="AV48" i="49"/>
  <c r="AQ48" i="49"/>
  <c r="AL48" i="49"/>
  <c r="AH48" i="49"/>
  <c r="AG48" i="49"/>
  <c r="AB48" i="49"/>
  <c r="W48" i="49"/>
  <c r="R48" i="49"/>
  <c r="J48" i="49"/>
  <c r="I48" i="49"/>
  <c r="G48" i="49"/>
  <c r="AV47" i="49"/>
  <c r="AQ47" i="49"/>
  <c r="AS47" i="49" s="1"/>
  <c r="AL47" i="49"/>
  <c r="AG47" i="49"/>
  <c r="AH47" i="49" s="1"/>
  <c r="AB47" i="49"/>
  <c r="AD47" i="49" s="1"/>
  <c r="W47" i="49"/>
  <c r="Y47" i="49" s="1"/>
  <c r="R47" i="49"/>
  <c r="T47" i="49" s="1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C1" i="48"/>
  <c r="M48" i="48"/>
  <c r="M49" i="48"/>
  <c r="M50" i="48"/>
  <c r="M51" i="48"/>
  <c r="M52" i="48"/>
  <c r="M53" i="48"/>
  <c r="M54" i="48"/>
  <c r="M55" i="48"/>
  <c r="M47" i="48"/>
  <c r="AV55" i="48"/>
  <c r="K55" i="48"/>
  <c r="J55" i="48"/>
  <c r="I55" i="48"/>
  <c r="G55" i="48"/>
  <c r="AV54" i="48"/>
  <c r="AQ54" i="48"/>
  <c r="AL54" i="48"/>
  <c r="AG54" i="48"/>
  <c r="AH54" i="48" s="1"/>
  <c r="AB54" i="48"/>
  <c r="AC54" i="48" s="1"/>
  <c r="W54" i="48"/>
  <c r="R54" i="48"/>
  <c r="K54" i="48"/>
  <c r="J54" i="48"/>
  <c r="I54" i="48"/>
  <c r="G54" i="48"/>
  <c r="AV53" i="48"/>
  <c r="AQ53" i="48"/>
  <c r="AL53" i="48"/>
  <c r="AG53" i="48"/>
  <c r="AH53" i="48" s="1"/>
  <c r="AB53" i="48"/>
  <c r="AC53" i="48" s="1"/>
  <c r="W53" i="48"/>
  <c r="R53" i="48"/>
  <c r="K53" i="48" s="1"/>
  <c r="J53" i="48"/>
  <c r="I53" i="48"/>
  <c r="G53" i="48"/>
  <c r="AV52" i="48"/>
  <c r="AQ52" i="48"/>
  <c r="AL52" i="48"/>
  <c r="AG52" i="48"/>
  <c r="AH52" i="48" s="1"/>
  <c r="AB52" i="48"/>
  <c r="AC52" i="48" s="1"/>
  <c r="W52" i="48"/>
  <c r="R52" i="48"/>
  <c r="K52" i="48" s="1"/>
  <c r="J52" i="48"/>
  <c r="I52" i="48"/>
  <c r="G52" i="48"/>
  <c r="AV51" i="48"/>
  <c r="AQ51" i="48"/>
  <c r="AL51" i="48"/>
  <c r="AG51" i="48"/>
  <c r="AH51" i="48" s="1"/>
  <c r="AB51" i="48"/>
  <c r="AC51" i="48" s="1"/>
  <c r="W51" i="48"/>
  <c r="R51" i="48"/>
  <c r="K51" i="48"/>
  <c r="J51" i="48"/>
  <c r="I51" i="48"/>
  <c r="G51" i="48"/>
  <c r="AV50" i="48"/>
  <c r="K50" i="48" s="1"/>
  <c r="AQ50" i="48"/>
  <c r="AL50" i="48"/>
  <c r="AG50" i="48"/>
  <c r="AH50" i="48" s="1"/>
  <c r="AB50" i="48"/>
  <c r="AC50" i="48" s="1"/>
  <c r="W50" i="48"/>
  <c r="R50" i="48"/>
  <c r="J50" i="48"/>
  <c r="I50" i="48"/>
  <c r="G50" i="48"/>
  <c r="AV49" i="48"/>
  <c r="K49" i="48" s="1"/>
  <c r="AQ49" i="48"/>
  <c r="AL49" i="48"/>
  <c r="AG49" i="48"/>
  <c r="AH49" i="48" s="1"/>
  <c r="AB49" i="48"/>
  <c r="AC49" i="48" s="1"/>
  <c r="W49" i="48"/>
  <c r="R49" i="48"/>
  <c r="J49" i="48"/>
  <c r="I49" i="48"/>
  <c r="G49" i="48"/>
  <c r="AV48" i="48"/>
  <c r="AQ48" i="48"/>
  <c r="K48" i="48" s="1"/>
  <c r="AL48" i="48"/>
  <c r="AG48" i="48"/>
  <c r="AH48" i="48" s="1"/>
  <c r="AB48" i="48"/>
  <c r="AC48" i="48" s="1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K47" i="48"/>
  <c r="J47" i="48"/>
  <c r="I47" i="48"/>
  <c r="G47" i="48"/>
  <c r="H47" i="48" s="1"/>
  <c r="C1" i="47"/>
  <c r="AW50" i="47"/>
  <c r="AW49" i="47"/>
  <c r="AW47" i="47"/>
  <c r="AR50" i="47"/>
  <c r="AR49" i="47"/>
  <c r="AR48" i="47"/>
  <c r="AR47" i="47"/>
  <c r="AM50" i="47"/>
  <c r="AM49" i="47"/>
  <c r="AM48" i="47"/>
  <c r="AM47" i="47"/>
  <c r="AH50" i="47"/>
  <c r="AH49" i="47"/>
  <c r="AH48" i="47"/>
  <c r="AH47" i="47"/>
  <c r="AC50" i="47"/>
  <c r="AC49" i="47"/>
  <c r="AC48" i="47"/>
  <c r="AC47" i="47"/>
  <c r="X50" i="47"/>
  <c r="X49" i="47"/>
  <c r="X48" i="47"/>
  <c r="X47" i="47"/>
  <c r="S48" i="47"/>
  <c r="S49" i="47"/>
  <c r="S50" i="47"/>
  <c r="S47" i="47"/>
  <c r="M48" i="47"/>
  <c r="M49" i="47"/>
  <c r="M50" i="47"/>
  <c r="M47" i="47"/>
  <c r="AV50" i="47"/>
  <c r="AQ50" i="47"/>
  <c r="AL50" i="47"/>
  <c r="AG50" i="47"/>
  <c r="AB50" i="47"/>
  <c r="W50" i="47"/>
  <c r="R50" i="47"/>
  <c r="J50" i="47"/>
  <c r="I50" i="47"/>
  <c r="G50" i="47"/>
  <c r="AV49" i="47"/>
  <c r="AQ49" i="47"/>
  <c r="AL49" i="47"/>
  <c r="AG49" i="47"/>
  <c r="AB49" i="47"/>
  <c r="AD47" i="47" s="1"/>
  <c r="W49" i="47"/>
  <c r="R49" i="47"/>
  <c r="J49" i="47"/>
  <c r="I49" i="47"/>
  <c r="G49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N47" i="47"/>
  <c r="AL47" i="47"/>
  <c r="AG47" i="47"/>
  <c r="AI47" i="47" s="1"/>
  <c r="AB47" i="47"/>
  <c r="W47" i="47"/>
  <c r="Y47" i="47" s="1"/>
  <c r="R47" i="47"/>
  <c r="T47" i="47" s="1"/>
  <c r="J47" i="47"/>
  <c r="I47" i="47"/>
  <c r="H47" i="47"/>
  <c r="G47" i="47"/>
  <c r="C1" i="46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W48" i="46" s="1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W47" i="46" s="1"/>
  <c r="AQ47" i="46"/>
  <c r="AS47" i="46" s="1"/>
  <c r="AL47" i="46"/>
  <c r="AN47" i="46" s="1"/>
  <c r="AG47" i="46"/>
  <c r="AI47" i="46" s="1"/>
  <c r="AB47" i="46"/>
  <c r="AD47" i="46" s="1"/>
  <c r="W47" i="46"/>
  <c r="R47" i="46"/>
  <c r="T47" i="46" s="1"/>
  <c r="J47" i="46"/>
  <c r="I47" i="46"/>
  <c r="G47" i="46"/>
  <c r="H47" i="46" s="1"/>
  <c r="B29" i="39"/>
  <c r="C1" i="45"/>
  <c r="S51" i="45"/>
  <c r="S50" i="45"/>
  <c r="S49" i="45"/>
  <c r="S48" i="45"/>
  <c r="S47" i="45"/>
  <c r="X51" i="45"/>
  <c r="X50" i="45"/>
  <c r="X49" i="45"/>
  <c r="X48" i="45"/>
  <c r="X47" i="45"/>
  <c r="AC51" i="45"/>
  <c r="AC50" i="45"/>
  <c r="AC49" i="45"/>
  <c r="AC48" i="45"/>
  <c r="AC47" i="45"/>
  <c r="AD47" i="45"/>
  <c r="AH51" i="45"/>
  <c r="AH50" i="45"/>
  <c r="AH49" i="45"/>
  <c r="AH48" i="45"/>
  <c r="AH47" i="45"/>
  <c r="AW51" i="45"/>
  <c r="AW50" i="45"/>
  <c r="AW49" i="45"/>
  <c r="AW48" i="45"/>
  <c r="AW47" i="45"/>
  <c r="AR51" i="45"/>
  <c r="AR50" i="45"/>
  <c r="AR49" i="45"/>
  <c r="AR48" i="45"/>
  <c r="AR47" i="45"/>
  <c r="AM48" i="45"/>
  <c r="AM49" i="45"/>
  <c r="AM50" i="45"/>
  <c r="AM51" i="45"/>
  <c r="AM47" i="45"/>
  <c r="M48" i="45"/>
  <c r="M49" i="45"/>
  <c r="M50" i="45"/>
  <c r="M51" i="45"/>
  <c r="M47" i="45"/>
  <c r="AV51" i="45"/>
  <c r="AQ51" i="45"/>
  <c r="AL51" i="45"/>
  <c r="AG51" i="45"/>
  <c r="AB51" i="45"/>
  <c r="W51" i="45"/>
  <c r="R51" i="45"/>
  <c r="K51" i="45"/>
  <c r="J51" i="45"/>
  <c r="I51" i="45"/>
  <c r="G51" i="45"/>
  <c r="AV50" i="45"/>
  <c r="AQ50" i="45"/>
  <c r="AL50" i="45"/>
  <c r="AG50" i="45"/>
  <c r="AB50" i="45"/>
  <c r="W50" i="45"/>
  <c r="R50" i="45"/>
  <c r="K50" i="45"/>
  <c r="J50" i="45"/>
  <c r="I50" i="45"/>
  <c r="G50" i="45"/>
  <c r="AV49" i="45"/>
  <c r="K49" i="45" s="1"/>
  <c r="AQ49" i="45"/>
  <c r="AL49" i="45"/>
  <c r="AG49" i="45"/>
  <c r="AB49" i="45"/>
  <c r="W49" i="45"/>
  <c r="R49" i="45"/>
  <c r="J49" i="45"/>
  <c r="I49" i="45"/>
  <c r="G49" i="45"/>
  <c r="AV48" i="45"/>
  <c r="K48" i="45" s="1"/>
  <c r="AQ48" i="45"/>
  <c r="AL48" i="45"/>
  <c r="AG48" i="45"/>
  <c r="AB48" i="45"/>
  <c r="W48" i="45"/>
  <c r="R48" i="45"/>
  <c r="J48" i="45"/>
  <c r="I48" i="45"/>
  <c r="G48" i="45"/>
  <c r="AV47" i="45"/>
  <c r="AX47" i="45" s="1"/>
  <c r="AS47" i="45"/>
  <c r="AQ47" i="45"/>
  <c r="AL47" i="45"/>
  <c r="AN47" i="45" s="1"/>
  <c r="AG47" i="45"/>
  <c r="AI47" i="45" s="1"/>
  <c r="AB47" i="45"/>
  <c r="W47" i="45"/>
  <c r="Y47" i="45" s="1"/>
  <c r="R47" i="45"/>
  <c r="T47" i="45" s="1"/>
  <c r="K47" i="45"/>
  <c r="J47" i="45"/>
  <c r="I47" i="45"/>
  <c r="G47" i="45"/>
  <c r="H47" i="45" s="1"/>
  <c r="B28" i="39"/>
  <c r="C1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83" i="44"/>
  <c r="AV116" i="44"/>
  <c r="AQ116" i="44"/>
  <c r="AL116" i="44"/>
  <c r="AG116" i="44"/>
  <c r="AB116" i="44"/>
  <c r="W116" i="44"/>
  <c r="R116" i="44"/>
  <c r="K116" i="44"/>
  <c r="J116" i="44"/>
  <c r="I116" i="44"/>
  <c r="G116" i="44"/>
  <c r="AV115" i="44"/>
  <c r="AQ115" i="44"/>
  <c r="AL115" i="44"/>
  <c r="AG115" i="44"/>
  <c r="AB115" i="44"/>
  <c r="W115" i="44"/>
  <c r="R115" i="44"/>
  <c r="K115" i="44"/>
  <c r="J115" i="44"/>
  <c r="I115" i="44"/>
  <c r="G115" i="44"/>
  <c r="AV114" i="44"/>
  <c r="AQ114" i="44"/>
  <c r="AL114" i="44"/>
  <c r="AG114" i="44"/>
  <c r="AB114" i="44"/>
  <c r="K114" i="44" s="1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K113" i="44" s="1"/>
  <c r="J113" i="44"/>
  <c r="I113" i="44"/>
  <c r="G113" i="44"/>
  <c r="AV112" i="44"/>
  <c r="AQ112" i="44"/>
  <c r="AL112" i="44"/>
  <c r="AG112" i="44"/>
  <c r="AB112" i="44"/>
  <c r="W112" i="44"/>
  <c r="R112" i="44"/>
  <c r="K112" i="44"/>
  <c r="J112" i="44"/>
  <c r="I112" i="44"/>
  <c r="G112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K101" i="44" s="1"/>
  <c r="J101" i="44"/>
  <c r="I101" i="44"/>
  <c r="G101" i="44"/>
  <c r="AV100" i="44"/>
  <c r="AQ100" i="44"/>
  <c r="AL100" i="44"/>
  <c r="AG100" i="44"/>
  <c r="AB100" i="44"/>
  <c r="W100" i="44"/>
  <c r="R100" i="44"/>
  <c r="K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K96" i="44" s="1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K95" i="44" s="1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 s="1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K86" i="44" s="1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X83" i="44" s="1"/>
  <c r="AQ84" i="44"/>
  <c r="AL84" i="44"/>
  <c r="AG84" i="44"/>
  <c r="AB84" i="44"/>
  <c r="AD83" i="44" s="1"/>
  <c r="W84" i="44"/>
  <c r="R84" i="44"/>
  <c r="J84" i="44"/>
  <c r="I84" i="44"/>
  <c r="G84" i="44"/>
  <c r="AV83" i="44"/>
  <c r="AQ83" i="44"/>
  <c r="AS83" i="44" s="1"/>
  <c r="AL83" i="44"/>
  <c r="AN83" i="44" s="1"/>
  <c r="AG83" i="44"/>
  <c r="AB83" i="44"/>
  <c r="W83" i="44"/>
  <c r="Y83" i="44" s="1"/>
  <c r="R83" i="44"/>
  <c r="T83" i="44" s="1"/>
  <c r="J83" i="44"/>
  <c r="I83" i="44"/>
  <c r="G83" i="44"/>
  <c r="H83" i="44" s="1"/>
  <c r="H23" i="39"/>
  <c r="H22" i="39"/>
  <c r="H21" i="39"/>
  <c r="H20" i="39"/>
  <c r="H19" i="39"/>
  <c r="H18" i="39"/>
  <c r="H17" i="39"/>
  <c r="H16" i="39"/>
  <c r="H15" i="39"/>
  <c r="B21" i="6"/>
  <c r="AC27" i="6"/>
  <c r="S27" i="6"/>
  <c r="M27" i="6"/>
  <c r="F27" i="6"/>
  <c r="AC26" i="6"/>
  <c r="S26" i="6"/>
  <c r="M26" i="6"/>
  <c r="N26" i="6" s="1"/>
  <c r="F26" i="6"/>
  <c r="AC25" i="6"/>
  <c r="S25" i="6"/>
  <c r="M25" i="6"/>
  <c r="F25" i="6" s="1"/>
  <c r="AC24" i="6"/>
  <c r="S24" i="6"/>
  <c r="M24" i="6"/>
  <c r="N24" i="6" s="1"/>
  <c r="F24" i="6"/>
  <c r="AC23" i="6"/>
  <c r="S23" i="6"/>
  <c r="M23" i="6"/>
  <c r="N23" i="6" s="1"/>
  <c r="F23" i="6"/>
  <c r="AC22" i="6"/>
  <c r="AD22" i="6" s="1"/>
  <c r="S22" i="6"/>
  <c r="M22" i="6"/>
  <c r="N22" i="6" s="1"/>
  <c r="F22" i="6"/>
  <c r="AC21" i="6"/>
  <c r="S21" i="6"/>
  <c r="M21" i="6"/>
  <c r="N21" i="6" s="1"/>
  <c r="F21" i="6"/>
  <c r="B23" i="39"/>
  <c r="B22" i="39"/>
  <c r="B21" i="39"/>
  <c r="B20" i="39"/>
  <c r="B19" i="39"/>
  <c r="B18" i="39"/>
  <c r="B17" i="39"/>
  <c r="B16" i="39"/>
  <c r="B15" i="39"/>
  <c r="B21" i="7"/>
  <c r="AJ27" i="7"/>
  <c r="AH27" i="7"/>
  <c r="AC27" i="7"/>
  <c r="AD27" i="7" s="1"/>
  <c r="S27" i="7"/>
  <c r="T27" i="7" s="1"/>
  <c r="M27" i="7"/>
  <c r="N27" i="7" s="1"/>
  <c r="F27" i="7"/>
  <c r="AL27" i="7" s="1"/>
  <c r="AL26" i="7"/>
  <c r="AJ26" i="7"/>
  <c r="AH26" i="7"/>
  <c r="AC26" i="7"/>
  <c r="AD26" i="7" s="1"/>
  <c r="S26" i="7"/>
  <c r="T26" i="7" s="1"/>
  <c r="M26" i="7"/>
  <c r="N26" i="7" s="1"/>
  <c r="F26" i="7"/>
  <c r="AF26" i="7" s="1"/>
  <c r="AL25" i="7"/>
  <c r="AJ25" i="7"/>
  <c r="AH25" i="7"/>
  <c r="AC25" i="7"/>
  <c r="AD25" i="7" s="1"/>
  <c r="S25" i="7"/>
  <c r="T25" i="7" s="1"/>
  <c r="M25" i="7"/>
  <c r="N25" i="7" s="1"/>
  <c r="F25" i="7"/>
  <c r="AF25" i="7" s="1"/>
  <c r="AL24" i="7"/>
  <c r="AJ24" i="7"/>
  <c r="AH24" i="7"/>
  <c r="AC24" i="7"/>
  <c r="AD24" i="7" s="1"/>
  <c r="S24" i="7"/>
  <c r="T24" i="7" s="1"/>
  <c r="M24" i="7"/>
  <c r="N24" i="7" s="1"/>
  <c r="F24" i="7"/>
  <c r="AF24" i="7" s="1"/>
  <c r="AL23" i="7"/>
  <c r="AJ23" i="7"/>
  <c r="AH23" i="7"/>
  <c r="AC23" i="7"/>
  <c r="AD23" i="7" s="1"/>
  <c r="S23" i="7"/>
  <c r="T23" i="7" s="1"/>
  <c r="M23" i="7"/>
  <c r="N23" i="7" s="1"/>
  <c r="F23" i="7"/>
  <c r="AF23" i="7" s="1"/>
  <c r="AL22" i="7"/>
  <c r="AJ22" i="7"/>
  <c r="AH22" i="7"/>
  <c r="AC22" i="7"/>
  <c r="AD22" i="7" s="1"/>
  <c r="S22" i="7"/>
  <c r="T22" i="7" s="1"/>
  <c r="M22" i="7"/>
  <c r="N22" i="7" s="1"/>
  <c r="F22" i="7"/>
  <c r="AF22" i="7" s="1"/>
  <c r="AL21" i="7"/>
  <c r="AJ21" i="7"/>
  <c r="AH21" i="7"/>
  <c r="AC21" i="7"/>
  <c r="AD21" i="7" s="1"/>
  <c r="S21" i="7"/>
  <c r="T21" i="7" s="1"/>
  <c r="M21" i="7"/>
  <c r="N21" i="7" s="1"/>
  <c r="G21" i="7"/>
  <c r="F21" i="7"/>
  <c r="AF21" i="7" s="1"/>
  <c r="U20" i="5"/>
  <c r="U21" i="5"/>
  <c r="U22" i="5"/>
  <c r="U23" i="5"/>
  <c r="U24" i="5"/>
  <c r="U25" i="5"/>
  <c r="U19" i="5"/>
  <c r="AI47" i="52" l="1"/>
  <c r="K47" i="52"/>
  <c r="L47" i="51"/>
  <c r="T47" i="51"/>
  <c r="U42" i="50"/>
  <c r="K47" i="49"/>
  <c r="AX47" i="49"/>
  <c r="K52" i="49"/>
  <c r="K48" i="49"/>
  <c r="AI47" i="49"/>
  <c r="AN47" i="49"/>
  <c r="AS47" i="48"/>
  <c r="T47" i="48"/>
  <c r="AH47" i="48"/>
  <c r="AN47" i="48"/>
  <c r="L47" i="48"/>
  <c r="B32" i="39" s="1"/>
  <c r="AC47" i="48"/>
  <c r="K47" i="47"/>
  <c r="K50" i="47"/>
  <c r="K49" i="47"/>
  <c r="K48" i="47"/>
  <c r="Y47" i="46"/>
  <c r="K47" i="46"/>
  <c r="L47" i="45"/>
  <c r="K98" i="44"/>
  <c r="K92" i="44"/>
  <c r="K97" i="44"/>
  <c r="K110" i="44"/>
  <c r="K91" i="44"/>
  <c r="K105" i="44"/>
  <c r="AI83" i="44"/>
  <c r="K83" i="44"/>
  <c r="K109" i="44"/>
  <c r="K104" i="44"/>
  <c r="K90" i="44"/>
  <c r="K85" i="44"/>
  <c r="K103" i="44"/>
  <c r="K108" i="44"/>
  <c r="K84" i="44"/>
  <c r="K102" i="44"/>
  <c r="AL25" i="6"/>
  <c r="AJ25" i="6"/>
  <c r="AH25" i="6"/>
  <c r="AF25" i="6"/>
  <c r="AB25" i="6"/>
  <c r="Z25" i="6"/>
  <c r="X25" i="6"/>
  <c r="V25" i="6"/>
  <c r="R25" i="6"/>
  <c r="P25" i="6"/>
  <c r="J25" i="6"/>
  <c r="L25" i="6"/>
  <c r="AL23" i="6"/>
  <c r="AJ23" i="6"/>
  <c r="AH23" i="6"/>
  <c r="AF23" i="6"/>
  <c r="AB23" i="6"/>
  <c r="Z23" i="6"/>
  <c r="X23" i="6"/>
  <c r="V23" i="6"/>
  <c r="R23" i="6"/>
  <c r="P23" i="6"/>
  <c r="N25" i="6"/>
  <c r="J23" i="6"/>
  <c r="T25" i="6"/>
  <c r="L23" i="6"/>
  <c r="AD25" i="6"/>
  <c r="AL21" i="6"/>
  <c r="AJ21" i="6"/>
  <c r="AH21" i="6"/>
  <c r="AF21" i="6"/>
  <c r="AB21" i="6"/>
  <c r="Z21" i="6"/>
  <c r="X21" i="6"/>
  <c r="V21" i="6"/>
  <c r="R21" i="6"/>
  <c r="P21" i="6"/>
  <c r="G21" i="6"/>
  <c r="AL26" i="6"/>
  <c r="AJ26" i="6"/>
  <c r="AH26" i="6"/>
  <c r="AF26" i="6"/>
  <c r="AB26" i="6"/>
  <c r="Z26" i="6"/>
  <c r="X26" i="6"/>
  <c r="V26" i="6"/>
  <c r="R26" i="6"/>
  <c r="P26" i="6"/>
  <c r="J21" i="6"/>
  <c r="T23" i="6"/>
  <c r="J26" i="6"/>
  <c r="L21" i="6"/>
  <c r="AD23" i="6"/>
  <c r="L26" i="6"/>
  <c r="AL24" i="6"/>
  <c r="AJ24" i="6"/>
  <c r="AH24" i="6"/>
  <c r="AF24" i="6"/>
  <c r="AB24" i="6"/>
  <c r="Z24" i="6"/>
  <c r="X24" i="6"/>
  <c r="V24" i="6"/>
  <c r="R24" i="6"/>
  <c r="P24" i="6"/>
  <c r="T21" i="6"/>
  <c r="J24" i="6"/>
  <c r="T26" i="6"/>
  <c r="AD21" i="6"/>
  <c r="L24" i="6"/>
  <c r="AD26" i="6"/>
  <c r="AL22" i="6"/>
  <c r="AJ22" i="6"/>
  <c r="AH22" i="6"/>
  <c r="AF22" i="6"/>
  <c r="AB22" i="6"/>
  <c r="Z22" i="6"/>
  <c r="X22" i="6"/>
  <c r="V22" i="6"/>
  <c r="R22" i="6"/>
  <c r="P22" i="6"/>
  <c r="AL27" i="6"/>
  <c r="AJ27" i="6"/>
  <c r="AH27" i="6"/>
  <c r="AF27" i="6"/>
  <c r="AB27" i="6"/>
  <c r="Z27" i="6"/>
  <c r="X27" i="6"/>
  <c r="V27" i="6"/>
  <c r="R27" i="6"/>
  <c r="P27" i="6"/>
  <c r="J22" i="6"/>
  <c r="T24" i="6"/>
  <c r="J27" i="6"/>
  <c r="L22" i="6"/>
  <c r="AD24" i="6"/>
  <c r="L27" i="6"/>
  <c r="N27" i="6"/>
  <c r="T27" i="6"/>
  <c r="T22" i="6"/>
  <c r="AD27" i="6"/>
  <c r="V27" i="7"/>
  <c r="J21" i="7"/>
  <c r="J22" i="7"/>
  <c r="J23" i="7"/>
  <c r="J24" i="7"/>
  <c r="J25" i="7"/>
  <c r="J26" i="7"/>
  <c r="J27" i="7"/>
  <c r="L21" i="7"/>
  <c r="L22" i="7"/>
  <c r="L23" i="7"/>
  <c r="L24" i="7"/>
  <c r="L25" i="7"/>
  <c r="L26" i="7"/>
  <c r="L27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V21" i="7"/>
  <c r="V22" i="7"/>
  <c r="V23" i="7"/>
  <c r="V24" i="7"/>
  <c r="V25" i="7"/>
  <c r="V26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AB21" i="7"/>
  <c r="AB22" i="7"/>
  <c r="AB23" i="7"/>
  <c r="AB24" i="7"/>
  <c r="AB25" i="7"/>
  <c r="AB26" i="7"/>
  <c r="AB27" i="7"/>
  <c r="AF27" i="7"/>
  <c r="I19" i="5"/>
  <c r="J19" i="5" s="1"/>
  <c r="I20" i="5"/>
  <c r="I22" i="5"/>
  <c r="I23" i="5"/>
  <c r="I24" i="5"/>
  <c r="B7" i="39"/>
  <c r="B6" i="39"/>
  <c r="L47" i="52" l="1"/>
  <c r="B36" i="39" s="1"/>
  <c r="U43" i="50"/>
  <c r="Z42" i="50"/>
  <c r="L47" i="49"/>
  <c r="B33" i="39" s="1"/>
  <c r="L47" i="47"/>
  <c r="B31" i="39" s="1"/>
  <c r="L47" i="46"/>
  <c r="B30" i="39" s="1"/>
  <c r="L83" i="44"/>
  <c r="Z43" i="50" l="1"/>
  <c r="AE42" i="50"/>
  <c r="AE43" i="50" l="1"/>
  <c r="AJ42" i="50"/>
  <c r="AJ43" i="50" l="1"/>
  <c r="AO42" i="50"/>
  <c r="AO43" i="50" l="1"/>
  <c r="AT42" i="50"/>
  <c r="AT43" i="50" s="1"/>
  <c r="I11" i="39" l="1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J18" i="56"/>
  <c r="J19" i="56"/>
  <c r="J20" i="56"/>
  <c r="J21" i="56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M85" i="62" l="1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K30" i="61"/>
  <c r="K22" i="61"/>
  <c r="K14" i="61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8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K50" i="19"/>
  <c r="M57" i="19"/>
  <c r="M56" i="19"/>
  <c r="M55" i="19"/>
  <c r="M54" i="19"/>
  <c r="M53" i="19"/>
  <c r="M58" i="19" s="1"/>
  <c r="K58" i="19" s="1"/>
  <c r="M50" i="19"/>
  <c r="M49" i="19"/>
  <c r="M48" i="19"/>
  <c r="M47" i="19"/>
  <c r="M46" i="19"/>
  <c r="M45" i="19"/>
  <c r="M41" i="19"/>
  <c r="M40" i="19"/>
  <c r="M39" i="19"/>
  <c r="M38" i="19"/>
  <c r="M37" i="19"/>
  <c r="M42" i="19" l="1"/>
  <c r="K42" i="19" s="1"/>
  <c r="M58" i="62"/>
  <c r="K58" i="62" s="1"/>
  <c r="M42" i="62"/>
  <c r="K42" i="62" s="1"/>
  <c r="M50" i="63"/>
  <c r="K50" i="63"/>
  <c r="I50" i="63"/>
  <c r="M49" i="63"/>
  <c r="K49" i="63"/>
  <c r="I49" i="63"/>
  <c r="M48" i="63"/>
  <c r="K48" i="63"/>
  <c r="I48" i="63"/>
  <c r="M47" i="63"/>
  <c r="K47" i="63"/>
  <c r="I47" i="63"/>
  <c r="M46" i="63"/>
  <c r="K46" i="63"/>
  <c r="I46" i="63"/>
  <c r="M45" i="63"/>
  <c r="K45" i="63"/>
  <c r="I45" i="63"/>
  <c r="M44" i="63"/>
  <c r="K44" i="63"/>
  <c r="I44" i="63"/>
  <c r="M43" i="63"/>
  <c r="K43" i="63"/>
  <c r="I43" i="63"/>
  <c r="M42" i="63"/>
  <c r="K42" i="63"/>
  <c r="I42" i="63"/>
  <c r="M41" i="63"/>
  <c r="K41" i="63"/>
  <c r="I41" i="63"/>
  <c r="M40" i="63"/>
  <c r="K40" i="63"/>
  <c r="I40" i="63"/>
  <c r="M39" i="63"/>
  <c r="K39" i="63"/>
  <c r="I39" i="63"/>
  <c r="M38" i="63"/>
  <c r="K38" i="63"/>
  <c r="I38" i="63"/>
  <c r="M37" i="63"/>
  <c r="K37" i="63"/>
  <c r="I37" i="63"/>
  <c r="M36" i="63"/>
  <c r="K36" i="63"/>
  <c r="I36" i="63"/>
  <c r="M35" i="63"/>
  <c r="K35" i="63"/>
  <c r="I35" i="63"/>
  <c r="M34" i="63"/>
  <c r="K34" i="63"/>
  <c r="I34" i="63"/>
  <c r="M33" i="63"/>
  <c r="K33" i="63"/>
  <c r="I33" i="63"/>
  <c r="M32" i="63"/>
  <c r="K32" i="63"/>
  <c r="I32" i="63"/>
  <c r="M31" i="63"/>
  <c r="K31" i="63"/>
  <c r="I31" i="63"/>
  <c r="K30" i="62"/>
  <c r="K22" i="62"/>
  <c r="K14" i="62"/>
  <c r="K38" i="20"/>
  <c r="K30" i="20"/>
  <c r="K22" i="20"/>
  <c r="K14" i="20"/>
  <c r="K30" i="19"/>
  <c r="K22" i="19"/>
  <c r="K14" i="19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B10" i="41"/>
  <c r="C10" i="41" s="1"/>
  <c r="B9" i="41"/>
  <c r="C9" i="41" s="1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L4" i="56"/>
  <c r="J4" i="56"/>
  <c r="H4" i="56"/>
  <c r="F4" i="56"/>
  <c r="D4" i="56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S139" i="64"/>
  <c r="R139" i="64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S136" i="64"/>
  <c r="R136" i="64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S129" i="64"/>
  <c r="R129" i="64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R127" i="64"/>
  <c r="S127" i="64" s="1"/>
  <c r="Q127" i="64"/>
  <c r="P127" i="64"/>
  <c r="M127" i="64"/>
  <c r="K127" i="64"/>
  <c r="I127" i="64"/>
  <c r="S122" i="64"/>
  <c r="R122" i="64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S105" i="64"/>
  <c r="R105" i="64"/>
  <c r="Q105" i="64"/>
  <c r="P105" i="64"/>
  <c r="M105" i="64"/>
  <c r="K105" i="64"/>
  <c r="I105" i="64"/>
  <c r="S104" i="64"/>
  <c r="R104" i="64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S95" i="64"/>
  <c r="R95" i="64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S92" i="64"/>
  <c r="R92" i="64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S81" i="64"/>
  <c r="R81" i="64"/>
  <c r="Q81" i="64"/>
  <c r="P81" i="64"/>
  <c r="M81" i="64"/>
  <c r="K81" i="64"/>
  <c r="I81" i="64"/>
  <c r="S80" i="64"/>
  <c r="R80" i="64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P55" i="64"/>
  <c r="P56" i="64"/>
  <c r="P57" i="64"/>
  <c r="P58" i="64"/>
  <c r="P59" i="64"/>
  <c r="P60" i="64"/>
  <c r="P61" i="64"/>
  <c r="P62" i="64"/>
  <c r="P63" i="64"/>
  <c r="P64" i="64"/>
  <c r="P65" i="64"/>
  <c r="P66" i="64"/>
  <c r="P67" i="64"/>
  <c r="P68" i="64"/>
  <c r="P69" i="64"/>
  <c r="P70" i="64"/>
  <c r="P71" i="64"/>
  <c r="P72" i="64"/>
  <c r="P73" i="64"/>
  <c r="P74" i="64"/>
  <c r="S26" i="64"/>
  <c r="R26" i="64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S20" i="64"/>
  <c r="R20" i="64"/>
  <c r="Q20" i="64"/>
  <c r="P20" i="64"/>
  <c r="M20" i="64"/>
  <c r="K20" i="64"/>
  <c r="I20" i="64"/>
  <c r="S19" i="64"/>
  <c r="R19" i="64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S16" i="64"/>
  <c r="R16" i="64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K146" i="63"/>
  <c r="I146" i="63"/>
  <c r="K145" i="63"/>
  <c r="I145" i="63"/>
  <c r="K144" i="63"/>
  <c r="I144" i="63"/>
  <c r="K143" i="63"/>
  <c r="I143" i="63"/>
  <c r="K142" i="63"/>
  <c r="I142" i="63"/>
  <c r="K141" i="63"/>
  <c r="I141" i="63"/>
  <c r="K140" i="63"/>
  <c r="I140" i="63"/>
  <c r="K139" i="63"/>
  <c r="I139" i="63"/>
  <c r="K138" i="63"/>
  <c r="I138" i="63"/>
  <c r="K137" i="63"/>
  <c r="I137" i="63"/>
  <c r="K136" i="63"/>
  <c r="I136" i="63"/>
  <c r="K135" i="63"/>
  <c r="I135" i="63"/>
  <c r="K134" i="63"/>
  <c r="I134" i="63"/>
  <c r="K133" i="63"/>
  <c r="I133" i="63"/>
  <c r="K132" i="63"/>
  <c r="I132" i="63"/>
  <c r="K131" i="63"/>
  <c r="I131" i="63"/>
  <c r="K130" i="63"/>
  <c r="I130" i="63"/>
  <c r="K129" i="63"/>
  <c r="I129" i="63"/>
  <c r="K128" i="63"/>
  <c r="I128" i="63"/>
  <c r="K127" i="63"/>
  <c r="I127" i="63"/>
  <c r="K122" i="63"/>
  <c r="I122" i="63"/>
  <c r="K121" i="63"/>
  <c r="I121" i="63"/>
  <c r="K120" i="63"/>
  <c r="I120" i="63"/>
  <c r="K119" i="63"/>
  <c r="I119" i="63"/>
  <c r="K118" i="63"/>
  <c r="I118" i="63"/>
  <c r="K117" i="63"/>
  <c r="I117" i="63"/>
  <c r="K116" i="63"/>
  <c r="I116" i="63"/>
  <c r="K115" i="63"/>
  <c r="I115" i="63"/>
  <c r="K114" i="63"/>
  <c r="I114" i="63"/>
  <c r="K113" i="63"/>
  <c r="I113" i="63"/>
  <c r="K112" i="63"/>
  <c r="I112" i="63"/>
  <c r="K111" i="63"/>
  <c r="I111" i="63"/>
  <c r="K110" i="63"/>
  <c r="I110" i="63"/>
  <c r="K109" i="63"/>
  <c r="I109" i="63"/>
  <c r="K108" i="63"/>
  <c r="I108" i="63"/>
  <c r="K107" i="63"/>
  <c r="I107" i="63"/>
  <c r="K106" i="63"/>
  <c r="I106" i="63"/>
  <c r="K105" i="63"/>
  <c r="I105" i="63"/>
  <c r="K104" i="63"/>
  <c r="I104" i="63"/>
  <c r="K103" i="63"/>
  <c r="I103" i="63"/>
  <c r="K98" i="63"/>
  <c r="I98" i="63"/>
  <c r="K97" i="63"/>
  <c r="I97" i="63"/>
  <c r="K96" i="63"/>
  <c r="I96" i="63"/>
  <c r="K95" i="63"/>
  <c r="I95" i="63"/>
  <c r="K94" i="63"/>
  <c r="I94" i="63"/>
  <c r="K93" i="63"/>
  <c r="I93" i="63"/>
  <c r="K92" i="63"/>
  <c r="I92" i="63"/>
  <c r="K91" i="63"/>
  <c r="I91" i="63"/>
  <c r="K90" i="63"/>
  <c r="I90" i="63"/>
  <c r="K89" i="63"/>
  <c r="I89" i="63"/>
  <c r="K88" i="63"/>
  <c r="I88" i="63"/>
  <c r="K87" i="63"/>
  <c r="I87" i="63"/>
  <c r="K86" i="63"/>
  <c r="I86" i="63"/>
  <c r="K85" i="63"/>
  <c r="I85" i="63"/>
  <c r="K84" i="63"/>
  <c r="I84" i="63"/>
  <c r="K83" i="63"/>
  <c r="I83" i="63"/>
  <c r="K82" i="63"/>
  <c r="I82" i="63"/>
  <c r="K81" i="63"/>
  <c r="I81" i="63"/>
  <c r="K80" i="63"/>
  <c r="I80" i="63"/>
  <c r="K79" i="63"/>
  <c r="I79" i="63"/>
  <c r="I56" i="63"/>
  <c r="K56" i="63"/>
  <c r="I57" i="63"/>
  <c r="K57" i="63"/>
  <c r="I58" i="63"/>
  <c r="K58" i="63"/>
  <c r="I59" i="63"/>
  <c r="K59" i="63"/>
  <c r="I60" i="63"/>
  <c r="K60" i="63"/>
  <c r="I61" i="63"/>
  <c r="K61" i="63"/>
  <c r="I62" i="63"/>
  <c r="K62" i="63"/>
  <c r="I63" i="63"/>
  <c r="K63" i="63"/>
  <c r="I64" i="63"/>
  <c r="K64" i="63"/>
  <c r="I65" i="63"/>
  <c r="K65" i="63"/>
  <c r="I66" i="63"/>
  <c r="K66" i="63"/>
  <c r="I67" i="63"/>
  <c r="K67" i="63"/>
  <c r="I68" i="63"/>
  <c r="K68" i="63"/>
  <c r="I69" i="63"/>
  <c r="K69" i="63"/>
  <c r="I70" i="63"/>
  <c r="K70" i="63"/>
  <c r="I71" i="63"/>
  <c r="K71" i="63"/>
  <c r="I72" i="63"/>
  <c r="K72" i="63"/>
  <c r="I73" i="63"/>
  <c r="K73" i="63"/>
  <c r="I74" i="63"/>
  <c r="K74" i="63"/>
  <c r="Q146" i="63"/>
  <c r="S146" i="63" s="1"/>
  <c r="P146" i="63"/>
  <c r="M146" i="63"/>
  <c r="Q145" i="63"/>
  <c r="R145" i="63" s="1"/>
  <c r="P145" i="63"/>
  <c r="M145" i="63"/>
  <c r="Q144" i="63"/>
  <c r="S144" i="63" s="1"/>
  <c r="P144" i="63"/>
  <c r="M144" i="63"/>
  <c r="Q143" i="63"/>
  <c r="S143" i="63" s="1"/>
  <c r="P143" i="63"/>
  <c r="M143" i="63"/>
  <c r="Q142" i="63"/>
  <c r="S142" i="63" s="1"/>
  <c r="P142" i="63"/>
  <c r="M142" i="63"/>
  <c r="Q141" i="63"/>
  <c r="S141" i="63" s="1"/>
  <c r="P141" i="63"/>
  <c r="M141" i="63"/>
  <c r="Q140" i="63"/>
  <c r="R140" i="63" s="1"/>
  <c r="P140" i="63"/>
  <c r="M140" i="63"/>
  <c r="Q139" i="63"/>
  <c r="S139" i="63" s="1"/>
  <c r="P139" i="63"/>
  <c r="M139" i="63"/>
  <c r="R138" i="63"/>
  <c r="Q138" i="63"/>
  <c r="S138" i="63" s="1"/>
  <c r="P138" i="63"/>
  <c r="M138" i="63"/>
  <c r="Q137" i="63"/>
  <c r="S137" i="63" s="1"/>
  <c r="P137" i="63"/>
  <c r="M137" i="63"/>
  <c r="Q136" i="63"/>
  <c r="R136" i="63" s="1"/>
  <c r="P136" i="63"/>
  <c r="M136" i="63"/>
  <c r="Q135" i="63"/>
  <c r="S135" i="63" s="1"/>
  <c r="P135" i="63"/>
  <c r="M135" i="63"/>
  <c r="Q134" i="63"/>
  <c r="R134" i="63" s="1"/>
  <c r="P134" i="63"/>
  <c r="M134" i="63"/>
  <c r="Q133" i="63"/>
  <c r="S133" i="63" s="1"/>
  <c r="P133" i="63"/>
  <c r="M133" i="63"/>
  <c r="Q132" i="63"/>
  <c r="S132" i="63" s="1"/>
  <c r="P132" i="63"/>
  <c r="M132" i="63"/>
  <c r="Q131" i="63"/>
  <c r="S131" i="63" s="1"/>
  <c r="P131" i="63"/>
  <c r="M131" i="63"/>
  <c r="S130" i="63"/>
  <c r="R130" i="63"/>
  <c r="Q130" i="63"/>
  <c r="P130" i="63"/>
  <c r="M130" i="63"/>
  <c r="Q129" i="63"/>
  <c r="S129" i="63" s="1"/>
  <c r="P129" i="63"/>
  <c r="M129" i="63"/>
  <c r="Q128" i="63"/>
  <c r="R128" i="63" s="1"/>
  <c r="P128" i="63"/>
  <c r="M128" i="63"/>
  <c r="S127" i="63"/>
  <c r="R127" i="63"/>
  <c r="Q127" i="63"/>
  <c r="P127" i="63"/>
  <c r="M127" i="63"/>
  <c r="Q122" i="63"/>
  <c r="S122" i="63" s="1"/>
  <c r="P122" i="63"/>
  <c r="M122" i="63"/>
  <c r="Q121" i="63"/>
  <c r="R121" i="63" s="1"/>
  <c r="P121" i="63"/>
  <c r="M121" i="63"/>
  <c r="Q120" i="63"/>
  <c r="R120" i="63" s="1"/>
  <c r="P120" i="63"/>
  <c r="M120" i="63"/>
  <c r="Q119" i="63"/>
  <c r="S119" i="63" s="1"/>
  <c r="P119" i="63"/>
  <c r="M119" i="63"/>
  <c r="Q118" i="63"/>
  <c r="S118" i="63" s="1"/>
  <c r="P118" i="63"/>
  <c r="M118" i="63"/>
  <c r="Q117" i="63"/>
  <c r="R117" i="63" s="1"/>
  <c r="P117" i="63"/>
  <c r="M117" i="63"/>
  <c r="Q116" i="63"/>
  <c r="S116" i="63" s="1"/>
  <c r="P116" i="63"/>
  <c r="M116" i="63"/>
  <c r="Q115" i="63"/>
  <c r="R115" i="63" s="1"/>
  <c r="P115" i="63"/>
  <c r="M115" i="63"/>
  <c r="Q114" i="63"/>
  <c r="S114" i="63" s="1"/>
  <c r="P114" i="63"/>
  <c r="M114" i="63"/>
  <c r="Q113" i="63"/>
  <c r="S113" i="63" s="1"/>
  <c r="P113" i="63"/>
  <c r="M113" i="63"/>
  <c r="Q112" i="63"/>
  <c r="S112" i="63" s="1"/>
  <c r="P112" i="63"/>
  <c r="M112" i="63"/>
  <c r="Q111" i="63"/>
  <c r="R111" i="63" s="1"/>
  <c r="P111" i="63"/>
  <c r="M111" i="63"/>
  <c r="Q110" i="63"/>
  <c r="R110" i="63" s="1"/>
  <c r="P110" i="63"/>
  <c r="M110" i="63"/>
  <c r="Q109" i="63"/>
  <c r="R109" i="63" s="1"/>
  <c r="P109" i="63"/>
  <c r="M109" i="63"/>
  <c r="Q108" i="63"/>
  <c r="S108" i="63" s="1"/>
  <c r="P108" i="63"/>
  <c r="M108" i="63"/>
  <c r="Q107" i="63"/>
  <c r="R107" i="63" s="1"/>
  <c r="P107" i="63"/>
  <c r="M107" i="63"/>
  <c r="S106" i="63"/>
  <c r="R106" i="63"/>
  <c r="Q106" i="63"/>
  <c r="P106" i="63"/>
  <c r="M106" i="63"/>
  <c r="Q105" i="63"/>
  <c r="S105" i="63" s="1"/>
  <c r="P105" i="63"/>
  <c r="M105" i="63"/>
  <c r="Q104" i="63"/>
  <c r="R104" i="63" s="1"/>
  <c r="P104" i="63"/>
  <c r="M104" i="63"/>
  <c r="Q103" i="63"/>
  <c r="R103" i="63" s="1"/>
  <c r="P103" i="63"/>
  <c r="M103" i="63"/>
  <c r="S98" i="63"/>
  <c r="Q98" i="63"/>
  <c r="R98" i="63" s="1"/>
  <c r="P98" i="63"/>
  <c r="M98" i="63"/>
  <c r="Q97" i="63"/>
  <c r="S97" i="63" s="1"/>
  <c r="P97" i="63"/>
  <c r="M97" i="63"/>
  <c r="Q96" i="63"/>
  <c r="R96" i="63" s="1"/>
  <c r="P96" i="63"/>
  <c r="M96" i="63"/>
  <c r="Q95" i="63"/>
  <c r="S95" i="63" s="1"/>
  <c r="P95" i="63"/>
  <c r="M95" i="63"/>
  <c r="Q94" i="63"/>
  <c r="R94" i="63" s="1"/>
  <c r="P94" i="63"/>
  <c r="M94" i="63"/>
  <c r="Q93" i="63"/>
  <c r="S93" i="63" s="1"/>
  <c r="P93" i="63"/>
  <c r="M93" i="63"/>
  <c r="Q92" i="63"/>
  <c r="S92" i="63" s="1"/>
  <c r="P92" i="63"/>
  <c r="M92" i="63"/>
  <c r="Q91" i="63"/>
  <c r="S91" i="63" s="1"/>
  <c r="P91" i="63"/>
  <c r="M91" i="63"/>
  <c r="Q90" i="63"/>
  <c r="R90" i="63" s="1"/>
  <c r="P90" i="63"/>
  <c r="M90" i="63"/>
  <c r="Q89" i="63"/>
  <c r="R89" i="63" s="1"/>
  <c r="P89" i="63"/>
  <c r="M89" i="63"/>
  <c r="Q88" i="63"/>
  <c r="R88" i="63" s="1"/>
  <c r="P88" i="63"/>
  <c r="M88" i="63"/>
  <c r="Q87" i="63"/>
  <c r="S87" i="63" s="1"/>
  <c r="P87" i="63"/>
  <c r="M87" i="63"/>
  <c r="Q86" i="63"/>
  <c r="S86" i="63" s="1"/>
  <c r="P86" i="63"/>
  <c r="M86" i="63"/>
  <c r="Q85" i="63"/>
  <c r="S85" i="63" s="1"/>
  <c r="P85" i="63"/>
  <c r="M85" i="63"/>
  <c r="S84" i="63"/>
  <c r="Q84" i="63"/>
  <c r="R84" i="63" s="1"/>
  <c r="P84" i="63"/>
  <c r="M84" i="63"/>
  <c r="Q83" i="63"/>
  <c r="S83" i="63" s="1"/>
  <c r="P83" i="63"/>
  <c r="M83" i="63"/>
  <c r="Q82" i="63"/>
  <c r="S82" i="63" s="1"/>
  <c r="P82" i="63"/>
  <c r="M82" i="63"/>
  <c r="S81" i="63"/>
  <c r="Q81" i="63"/>
  <c r="R81" i="63" s="1"/>
  <c r="P81" i="63"/>
  <c r="M81" i="63"/>
  <c r="Q80" i="63"/>
  <c r="R80" i="63" s="1"/>
  <c r="P80" i="63"/>
  <c r="M80" i="63"/>
  <c r="R79" i="63"/>
  <c r="Q79" i="63"/>
  <c r="S79" i="63" s="1"/>
  <c r="P79" i="63"/>
  <c r="M79" i="63"/>
  <c r="Q74" i="63"/>
  <c r="R74" i="63" s="1"/>
  <c r="P74" i="63"/>
  <c r="M74" i="63"/>
  <c r="Q73" i="63"/>
  <c r="R73" i="63" s="1"/>
  <c r="P73" i="63"/>
  <c r="M73" i="63"/>
  <c r="Q72" i="63"/>
  <c r="S72" i="63" s="1"/>
  <c r="P72" i="63"/>
  <c r="M72" i="63"/>
  <c r="Q71" i="63"/>
  <c r="S71" i="63" s="1"/>
  <c r="P71" i="63"/>
  <c r="M71" i="63"/>
  <c r="Q70" i="63"/>
  <c r="S70" i="63" s="1"/>
  <c r="P70" i="63"/>
  <c r="M70" i="63"/>
  <c r="Q69" i="63"/>
  <c r="S69" i="63" s="1"/>
  <c r="P69" i="63"/>
  <c r="M69" i="63"/>
  <c r="Q68" i="63"/>
  <c r="S68" i="63" s="1"/>
  <c r="P68" i="63"/>
  <c r="M68" i="63"/>
  <c r="Q67" i="63"/>
  <c r="S67" i="63" s="1"/>
  <c r="P67" i="63"/>
  <c r="M67" i="63"/>
  <c r="Q66" i="63"/>
  <c r="S66" i="63" s="1"/>
  <c r="P66" i="63"/>
  <c r="M66" i="63"/>
  <c r="Q65" i="63"/>
  <c r="S65" i="63" s="1"/>
  <c r="P65" i="63"/>
  <c r="M65" i="63"/>
  <c r="Q64" i="63"/>
  <c r="S64" i="63" s="1"/>
  <c r="P64" i="63"/>
  <c r="M64" i="63"/>
  <c r="Q63" i="63"/>
  <c r="S63" i="63" s="1"/>
  <c r="P63" i="63"/>
  <c r="M63" i="63"/>
  <c r="Q62" i="63"/>
  <c r="R62" i="63" s="1"/>
  <c r="P62" i="63"/>
  <c r="M62" i="63"/>
  <c r="Q61" i="63"/>
  <c r="S61" i="63" s="1"/>
  <c r="P61" i="63"/>
  <c r="M61" i="63"/>
  <c r="Q60" i="63"/>
  <c r="S60" i="63" s="1"/>
  <c r="P60" i="63"/>
  <c r="M60" i="63"/>
  <c r="Q59" i="63"/>
  <c r="S59" i="63" s="1"/>
  <c r="P59" i="63"/>
  <c r="M59" i="63"/>
  <c r="Q58" i="63"/>
  <c r="R58" i="63" s="1"/>
  <c r="P58" i="63"/>
  <c r="M58" i="63"/>
  <c r="Q57" i="63"/>
  <c r="R57" i="63" s="1"/>
  <c r="P57" i="63"/>
  <c r="M57" i="63"/>
  <c r="Q56" i="63"/>
  <c r="S56" i="63" s="1"/>
  <c r="P56" i="63"/>
  <c r="M56" i="63"/>
  <c r="Q55" i="63"/>
  <c r="S55" i="63" s="1"/>
  <c r="P55" i="63"/>
  <c r="M55" i="63"/>
  <c r="K55" i="63"/>
  <c r="I55" i="63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R24" i="63" s="1"/>
  <c r="P24" i="63"/>
  <c r="M24" i="63"/>
  <c r="K24" i="63"/>
  <c r="I24" i="63"/>
  <c r="Q23" i="63"/>
  <c r="S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S17" i="63"/>
  <c r="R17" i="63"/>
  <c r="Q17" i="63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S14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S12" i="63"/>
  <c r="R12" i="63"/>
  <c r="Q12" i="63"/>
  <c r="P12" i="63"/>
  <c r="M12" i="63"/>
  <c r="K12" i="63"/>
  <c r="I12" i="63"/>
  <c r="S11" i="63"/>
  <c r="R11" i="63"/>
  <c r="Q11" i="63"/>
  <c r="P11" i="63"/>
  <c r="M11" i="63"/>
  <c r="K11" i="63"/>
  <c r="I11" i="63"/>
  <c r="Q10" i="63"/>
  <c r="S10" i="63" s="1"/>
  <c r="P10" i="63"/>
  <c r="M10" i="63"/>
  <c r="K10" i="63"/>
  <c r="I10" i="63"/>
  <c r="S9" i="63"/>
  <c r="Q9" i="63"/>
  <c r="R9" i="63" s="1"/>
  <c r="P9" i="63"/>
  <c r="M9" i="63"/>
  <c r="K9" i="63"/>
  <c r="I9" i="63"/>
  <c r="S8" i="63"/>
  <c r="Q8" i="63"/>
  <c r="R8" i="63" s="1"/>
  <c r="P8" i="63"/>
  <c r="M8" i="63"/>
  <c r="K8" i="63"/>
  <c r="I8" i="63"/>
  <c r="Q7" i="63"/>
  <c r="S7" i="63" s="1"/>
  <c r="P7" i="63"/>
  <c r="M7" i="63"/>
  <c r="K7" i="63"/>
  <c r="I7" i="63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46" i="22"/>
  <c r="J45" i="22"/>
  <c r="J35" i="22"/>
  <c r="J34" i="22"/>
  <c r="J52" i="15"/>
  <c r="J49" i="15"/>
  <c r="J48" i="15"/>
  <c r="J47" i="15"/>
  <c r="J46" i="15"/>
  <c r="J45" i="15"/>
  <c r="J43" i="15"/>
  <c r="J42" i="15"/>
  <c r="J41" i="15"/>
  <c r="J40" i="15"/>
  <c r="J39" i="15"/>
  <c r="J38" i="15"/>
  <c r="J36" i="15"/>
  <c r="J37" i="15"/>
  <c r="J35" i="15"/>
  <c r="J34" i="15"/>
  <c r="J34" i="25"/>
  <c r="B34" i="25"/>
  <c r="A34" i="25"/>
  <c r="AW27" i="52"/>
  <c r="AR27" i="52"/>
  <c r="AM27" i="52"/>
  <c r="AH27" i="52"/>
  <c r="AC27" i="52"/>
  <c r="X27" i="52"/>
  <c r="S27" i="52"/>
  <c r="M27" i="52"/>
  <c r="AX27" i="52"/>
  <c r="AV27" i="52"/>
  <c r="AQ27" i="52"/>
  <c r="AS27" i="52" s="1"/>
  <c r="AL27" i="52"/>
  <c r="AN27" i="52" s="1"/>
  <c r="AG27" i="52"/>
  <c r="AI27" i="52" s="1"/>
  <c r="AD27" i="52"/>
  <c r="AB27" i="52"/>
  <c r="W27" i="52"/>
  <c r="Y27" i="52" s="1"/>
  <c r="R27" i="52"/>
  <c r="K27" i="52" s="1"/>
  <c r="J27" i="52"/>
  <c r="I27" i="52"/>
  <c r="G27" i="52"/>
  <c r="H27" i="52" s="1"/>
  <c r="P23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K29" i="49" s="1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AS27" i="49" s="1"/>
  <c r="AL27" i="49"/>
  <c r="AG27" i="49"/>
  <c r="AB27" i="49"/>
  <c r="W27" i="49"/>
  <c r="Y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L27" i="48"/>
  <c r="AG27" i="48"/>
  <c r="AI27" i="48" s="1"/>
  <c r="AB27" i="48"/>
  <c r="AD27" i="48" s="1"/>
  <c r="W27" i="48"/>
  <c r="R27" i="48"/>
  <c r="J27" i="48"/>
  <c r="I27" i="48"/>
  <c r="H27" i="48"/>
  <c r="G27" i="48"/>
  <c r="AW29" i="47"/>
  <c r="AW28" i="47"/>
  <c r="AW27" i="47"/>
  <c r="AR29" i="47"/>
  <c r="AR28" i="47"/>
  <c r="AR27" i="47"/>
  <c r="AM29" i="47"/>
  <c r="AM28" i="47"/>
  <c r="AM27" i="47"/>
  <c r="AH29" i="47"/>
  <c r="AH28" i="47"/>
  <c r="AH27" i="47"/>
  <c r="AC29" i="47"/>
  <c r="AC28" i="47"/>
  <c r="AC27" i="47"/>
  <c r="X29" i="47"/>
  <c r="X28" i="47"/>
  <c r="X27" i="47"/>
  <c r="S28" i="47"/>
  <c r="S29" i="47"/>
  <c r="S27" i="47"/>
  <c r="M28" i="47"/>
  <c r="M29" i="47"/>
  <c r="M27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K28" i="47" s="1"/>
  <c r="W28" i="47"/>
  <c r="R28" i="47"/>
  <c r="J28" i="47"/>
  <c r="I28" i="47"/>
  <c r="G28" i="47"/>
  <c r="AV27" i="47"/>
  <c r="AQ27" i="47"/>
  <c r="AS27" i="47" s="1"/>
  <c r="AL27" i="47"/>
  <c r="AN27" i="47" s="1"/>
  <c r="AG27" i="47"/>
  <c r="AB27" i="47"/>
  <c r="AD27" i="47" s="1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L27" i="46"/>
  <c r="AN27" i="46" s="1"/>
  <c r="AG27" i="46"/>
  <c r="AI27" i="46" s="1"/>
  <c r="AB27" i="46"/>
  <c r="AD27" i="46" s="1"/>
  <c r="W27" i="46"/>
  <c r="R27" i="46"/>
  <c r="K27" i="46" s="1"/>
  <c r="J27" i="46"/>
  <c r="I27" i="46"/>
  <c r="G27" i="46"/>
  <c r="H27" i="46" s="1"/>
  <c r="AW33" i="45"/>
  <c r="AW32" i="45"/>
  <c r="AW31" i="45"/>
  <c r="AW30" i="45"/>
  <c r="AW29" i="45"/>
  <c r="AW28" i="45"/>
  <c r="AW27" i="45"/>
  <c r="AR34" i="45"/>
  <c r="AR33" i="45"/>
  <c r="AR32" i="45"/>
  <c r="AR31" i="45"/>
  <c r="AR30" i="45"/>
  <c r="AR29" i="45"/>
  <c r="AR28" i="45"/>
  <c r="AR27" i="45"/>
  <c r="AM34" i="45"/>
  <c r="AM33" i="45"/>
  <c r="AM32" i="45"/>
  <c r="AM31" i="45"/>
  <c r="AM30" i="45"/>
  <c r="AM29" i="45"/>
  <c r="AM28" i="45"/>
  <c r="AM27" i="45"/>
  <c r="AH34" i="45"/>
  <c r="AH33" i="45"/>
  <c r="AH32" i="45"/>
  <c r="AH31" i="45"/>
  <c r="AH30" i="45"/>
  <c r="AH29" i="45"/>
  <c r="AH28" i="45"/>
  <c r="AH27" i="45"/>
  <c r="AC34" i="45"/>
  <c r="AC33" i="45"/>
  <c r="AC32" i="45"/>
  <c r="AC31" i="45"/>
  <c r="AC30" i="45"/>
  <c r="AC29" i="45"/>
  <c r="AC28" i="45"/>
  <c r="AC27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27" i="45"/>
  <c r="M28" i="45"/>
  <c r="M29" i="45"/>
  <c r="M30" i="45"/>
  <c r="M31" i="45"/>
  <c r="M32" i="45"/>
  <c r="M33" i="45"/>
  <c r="M34" i="45"/>
  <c r="M27" i="45"/>
  <c r="AQ34" i="45"/>
  <c r="AL34" i="45"/>
  <c r="AG34" i="45"/>
  <c r="AB34" i="45"/>
  <c r="W34" i="45"/>
  <c r="R34" i="45"/>
  <c r="K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K28" i="45" s="1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AW75" i="44"/>
  <c r="AW76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AV76" i="44"/>
  <c r="AV75" i="44"/>
  <c r="AV74" i="44"/>
  <c r="AQ74" i="44"/>
  <c r="AL74" i="44"/>
  <c r="AG74" i="44"/>
  <c r="AB74" i="44"/>
  <c r="W74" i="44"/>
  <c r="R74" i="44"/>
  <c r="AV73" i="44"/>
  <c r="AQ73" i="44"/>
  <c r="AL73" i="44"/>
  <c r="AG73" i="44"/>
  <c r="AB73" i="44"/>
  <c r="W73" i="44"/>
  <c r="R73" i="44"/>
  <c r="AV72" i="44"/>
  <c r="AQ72" i="44"/>
  <c r="AL72" i="44"/>
  <c r="AG72" i="44"/>
  <c r="AB72" i="44"/>
  <c r="W72" i="44"/>
  <c r="R72" i="44"/>
  <c r="AV71" i="44"/>
  <c r="AQ71" i="44"/>
  <c r="AL71" i="44"/>
  <c r="AG71" i="44"/>
  <c r="AB71" i="44"/>
  <c r="W71" i="44"/>
  <c r="R71" i="44"/>
  <c r="AV70" i="44"/>
  <c r="AQ70" i="44"/>
  <c r="AL70" i="44"/>
  <c r="AG70" i="44"/>
  <c r="AB70" i="44"/>
  <c r="W70" i="44"/>
  <c r="R70" i="44"/>
  <c r="AV69" i="44"/>
  <c r="AQ69" i="44"/>
  <c r="AL69" i="44"/>
  <c r="AG69" i="44"/>
  <c r="AB69" i="44"/>
  <c r="W69" i="44"/>
  <c r="R69" i="44"/>
  <c r="AV68" i="44"/>
  <c r="AQ68" i="44"/>
  <c r="AL68" i="44"/>
  <c r="AG68" i="44"/>
  <c r="AB68" i="44"/>
  <c r="W68" i="44"/>
  <c r="R68" i="44"/>
  <c r="AV67" i="44"/>
  <c r="AQ67" i="44"/>
  <c r="AL67" i="44"/>
  <c r="AG67" i="44"/>
  <c r="AB67" i="44"/>
  <c r="W67" i="44"/>
  <c r="R67" i="44"/>
  <c r="AV66" i="44"/>
  <c r="AQ66" i="44"/>
  <c r="AL66" i="44"/>
  <c r="AG66" i="44"/>
  <c r="AB66" i="44"/>
  <c r="W66" i="44"/>
  <c r="R66" i="44"/>
  <c r="AV65" i="44"/>
  <c r="AQ65" i="44"/>
  <c r="AL65" i="44"/>
  <c r="AG65" i="44"/>
  <c r="AB65" i="44"/>
  <c r="W65" i="44"/>
  <c r="R65" i="44"/>
  <c r="AV64" i="44"/>
  <c r="AQ64" i="44"/>
  <c r="AL64" i="44"/>
  <c r="AG64" i="44"/>
  <c r="AB64" i="44"/>
  <c r="W64" i="44"/>
  <c r="R64" i="44"/>
  <c r="AV63" i="44"/>
  <c r="AQ63" i="44"/>
  <c r="AL63" i="44"/>
  <c r="AG63" i="44"/>
  <c r="AB63" i="44"/>
  <c r="W63" i="44"/>
  <c r="R63" i="44"/>
  <c r="AV62" i="44"/>
  <c r="AQ62" i="44"/>
  <c r="AL62" i="44"/>
  <c r="AG62" i="44"/>
  <c r="AB62" i="44"/>
  <c r="W62" i="44"/>
  <c r="R62" i="44"/>
  <c r="AV61" i="44"/>
  <c r="AQ61" i="44"/>
  <c r="AL61" i="44"/>
  <c r="AG61" i="44"/>
  <c r="AB61" i="44"/>
  <c r="W61" i="44"/>
  <c r="R61" i="44"/>
  <c r="AV60" i="44"/>
  <c r="AQ60" i="44"/>
  <c r="AL60" i="44"/>
  <c r="AG60" i="44"/>
  <c r="AB60" i="44"/>
  <c r="W60" i="44"/>
  <c r="R60" i="44"/>
  <c r="AV59" i="44"/>
  <c r="AQ59" i="44"/>
  <c r="AL59" i="44"/>
  <c r="K59" i="44" s="1"/>
  <c r="AG59" i="44"/>
  <c r="AB59" i="44"/>
  <c r="W59" i="44"/>
  <c r="R59" i="44"/>
  <c r="AV58" i="44"/>
  <c r="AQ58" i="44"/>
  <c r="AL58" i="44"/>
  <c r="AG58" i="44"/>
  <c r="AB58" i="44"/>
  <c r="W58" i="44"/>
  <c r="R58" i="44"/>
  <c r="AV57" i="44"/>
  <c r="AQ57" i="44"/>
  <c r="AL57" i="44"/>
  <c r="AG57" i="44"/>
  <c r="AB57" i="44"/>
  <c r="W57" i="44"/>
  <c r="R57" i="44"/>
  <c r="AV56" i="44"/>
  <c r="AQ56" i="44"/>
  <c r="AL56" i="44"/>
  <c r="AG56" i="44"/>
  <c r="AB56" i="44"/>
  <c r="W56" i="44"/>
  <c r="R56" i="44"/>
  <c r="AV55" i="44"/>
  <c r="AQ55" i="44"/>
  <c r="AL55" i="44"/>
  <c r="AG55" i="44"/>
  <c r="AB55" i="44"/>
  <c r="K55" i="44" s="1"/>
  <c r="W55" i="44"/>
  <c r="R55" i="44"/>
  <c r="AV54" i="44"/>
  <c r="AQ54" i="44"/>
  <c r="AL54" i="44"/>
  <c r="AG54" i="44"/>
  <c r="AB54" i="44"/>
  <c r="W54" i="44"/>
  <c r="R54" i="44"/>
  <c r="AV53" i="44"/>
  <c r="AQ53" i="44"/>
  <c r="AL53" i="44"/>
  <c r="AG53" i="44"/>
  <c r="AB53" i="44"/>
  <c r="W53" i="44"/>
  <c r="R53" i="44"/>
  <c r="AV52" i="44"/>
  <c r="AQ52" i="44"/>
  <c r="AL52" i="44"/>
  <c r="AG52" i="44"/>
  <c r="AB52" i="44"/>
  <c r="W52" i="44"/>
  <c r="R52" i="44"/>
  <c r="AV51" i="44"/>
  <c r="AQ51" i="44"/>
  <c r="AL51" i="44"/>
  <c r="AG51" i="44"/>
  <c r="AB51" i="44"/>
  <c r="W51" i="44"/>
  <c r="R51" i="44"/>
  <c r="AV50" i="44"/>
  <c r="AQ50" i="44"/>
  <c r="AL50" i="44"/>
  <c r="AG50" i="44"/>
  <c r="AB50" i="44"/>
  <c r="W50" i="44"/>
  <c r="R50" i="44"/>
  <c r="AV49" i="44"/>
  <c r="AQ49" i="44"/>
  <c r="AL49" i="44"/>
  <c r="AG49" i="44"/>
  <c r="AB49" i="44"/>
  <c r="W49" i="44"/>
  <c r="R49" i="44"/>
  <c r="AV48" i="44"/>
  <c r="AQ48" i="44"/>
  <c r="AL48" i="44"/>
  <c r="AG48" i="44"/>
  <c r="AB48" i="44"/>
  <c r="W48" i="44"/>
  <c r="R48" i="44"/>
  <c r="AV47" i="44"/>
  <c r="AQ47" i="44"/>
  <c r="AL47" i="44"/>
  <c r="AG47" i="44"/>
  <c r="AB47" i="44"/>
  <c r="W47" i="44"/>
  <c r="R47" i="44"/>
  <c r="K47" i="44" s="1"/>
  <c r="AV46" i="44"/>
  <c r="AQ46" i="44"/>
  <c r="AL46" i="44"/>
  <c r="AG46" i="44"/>
  <c r="AB46" i="44"/>
  <c r="W46" i="44"/>
  <c r="R46" i="44"/>
  <c r="AV45" i="44"/>
  <c r="AX45" i="44" s="1"/>
  <c r="AQ45" i="44"/>
  <c r="AL45" i="44"/>
  <c r="AN45" i="44" s="1"/>
  <c r="AI45" i="44"/>
  <c r="AG45" i="44"/>
  <c r="AB45" i="44"/>
  <c r="AD45" i="44" s="1"/>
  <c r="W45" i="44"/>
  <c r="Y45" i="44" s="1"/>
  <c r="R45" i="44"/>
  <c r="T45" i="44" s="1"/>
  <c r="J76" i="44"/>
  <c r="I76" i="44"/>
  <c r="G76" i="44"/>
  <c r="K75" i="44"/>
  <c r="J75" i="44"/>
  <c r="I75" i="44"/>
  <c r="G75" i="44"/>
  <c r="J74" i="44"/>
  <c r="I74" i="44"/>
  <c r="G74" i="44"/>
  <c r="J73" i="44"/>
  <c r="I73" i="44"/>
  <c r="G73" i="44"/>
  <c r="J72" i="44"/>
  <c r="I72" i="44"/>
  <c r="G72" i="44"/>
  <c r="J71" i="44"/>
  <c r="I71" i="44"/>
  <c r="G71" i="44"/>
  <c r="J70" i="44"/>
  <c r="I70" i="44"/>
  <c r="G70" i="44"/>
  <c r="J69" i="44"/>
  <c r="I69" i="44"/>
  <c r="G69" i="44"/>
  <c r="J68" i="44"/>
  <c r="I68" i="44"/>
  <c r="G68" i="44"/>
  <c r="J67" i="44"/>
  <c r="I67" i="44"/>
  <c r="G67" i="44"/>
  <c r="J66" i="44"/>
  <c r="I66" i="44"/>
  <c r="G66" i="44"/>
  <c r="J65" i="44"/>
  <c r="I65" i="44"/>
  <c r="G65" i="44"/>
  <c r="J64" i="44"/>
  <c r="I64" i="44"/>
  <c r="G64" i="44"/>
  <c r="J63" i="44"/>
  <c r="I63" i="44"/>
  <c r="G63" i="44"/>
  <c r="J62" i="44"/>
  <c r="I62" i="44"/>
  <c r="G62" i="44"/>
  <c r="J61" i="44"/>
  <c r="I61" i="44"/>
  <c r="G61" i="44"/>
  <c r="J60" i="44"/>
  <c r="I60" i="44"/>
  <c r="G60" i="44"/>
  <c r="J59" i="44"/>
  <c r="I59" i="44"/>
  <c r="G59" i="44"/>
  <c r="J58" i="44"/>
  <c r="I58" i="44"/>
  <c r="G58" i="44"/>
  <c r="J57" i="44"/>
  <c r="I57" i="44"/>
  <c r="G57" i="44"/>
  <c r="J56" i="44"/>
  <c r="I56" i="44"/>
  <c r="G56" i="44"/>
  <c r="J55" i="44"/>
  <c r="I55" i="44"/>
  <c r="G55" i="44"/>
  <c r="J54" i="44"/>
  <c r="I54" i="44"/>
  <c r="G54" i="44"/>
  <c r="J53" i="44"/>
  <c r="I53" i="44"/>
  <c r="G53" i="44"/>
  <c r="J52" i="44"/>
  <c r="I52" i="44"/>
  <c r="G52" i="44"/>
  <c r="J51" i="44"/>
  <c r="I51" i="44"/>
  <c r="G51" i="44"/>
  <c r="J50" i="44"/>
  <c r="I50" i="44"/>
  <c r="G50" i="44"/>
  <c r="J49" i="44"/>
  <c r="I49" i="44"/>
  <c r="G49" i="44"/>
  <c r="J48" i="44"/>
  <c r="I48" i="44"/>
  <c r="G48" i="44"/>
  <c r="J47" i="44"/>
  <c r="I47" i="44"/>
  <c r="G47" i="44"/>
  <c r="J46" i="44"/>
  <c r="I46" i="44"/>
  <c r="G46" i="44"/>
  <c r="J45" i="44"/>
  <c r="G45" i="44"/>
  <c r="H45" i="44" s="1"/>
  <c r="H8" i="6"/>
  <c r="AL41" i="6"/>
  <c r="AJ41" i="6"/>
  <c r="AH41" i="6"/>
  <c r="AF41" i="6"/>
  <c r="AC41" i="6"/>
  <c r="AD41" i="6" s="1"/>
  <c r="AB41" i="6"/>
  <c r="Z41" i="6"/>
  <c r="X41" i="6"/>
  <c r="V41" i="6"/>
  <c r="S41" i="6"/>
  <c r="T41" i="6" s="1"/>
  <c r="R41" i="6"/>
  <c r="P41" i="6"/>
  <c r="M41" i="6"/>
  <c r="N41" i="6" s="1"/>
  <c r="L41" i="6"/>
  <c r="J41" i="6"/>
  <c r="AL40" i="6"/>
  <c r="AJ40" i="6"/>
  <c r="AH40" i="6"/>
  <c r="AF40" i="6"/>
  <c r="AC40" i="6"/>
  <c r="AD40" i="6" s="1"/>
  <c r="AB40" i="6"/>
  <c r="Z40" i="6"/>
  <c r="X40" i="6"/>
  <c r="V40" i="6"/>
  <c r="S40" i="6"/>
  <c r="T40" i="6" s="1"/>
  <c r="R40" i="6"/>
  <c r="P40" i="6"/>
  <c r="M40" i="6"/>
  <c r="N40" i="6" s="1"/>
  <c r="L40" i="6"/>
  <c r="J40" i="6"/>
  <c r="AL39" i="6"/>
  <c r="AJ39" i="6"/>
  <c r="AH39" i="6"/>
  <c r="AF39" i="6"/>
  <c r="AC39" i="6"/>
  <c r="AD39" i="6" s="1"/>
  <c r="AB39" i="6"/>
  <c r="Z39" i="6"/>
  <c r="X39" i="6"/>
  <c r="V39" i="6"/>
  <c r="S39" i="6"/>
  <c r="T39" i="6" s="1"/>
  <c r="R39" i="6"/>
  <c r="P39" i="6"/>
  <c r="M39" i="6"/>
  <c r="N39" i="6" s="1"/>
  <c r="L39" i="6"/>
  <c r="J39" i="6"/>
  <c r="AL38" i="6"/>
  <c r="AJ38" i="6"/>
  <c r="AH38" i="6"/>
  <c r="AF38" i="6"/>
  <c r="AC38" i="6"/>
  <c r="AD38" i="6" s="1"/>
  <c r="AB38" i="6"/>
  <c r="Z38" i="6"/>
  <c r="X38" i="6"/>
  <c r="V38" i="6"/>
  <c r="S38" i="6"/>
  <c r="T38" i="6" s="1"/>
  <c r="R38" i="6"/>
  <c r="P38" i="6"/>
  <c r="M38" i="6"/>
  <c r="N38" i="6" s="1"/>
  <c r="L38" i="6"/>
  <c r="J38" i="6"/>
  <c r="AL37" i="6"/>
  <c r="AJ37" i="6"/>
  <c r="AH37" i="6"/>
  <c r="AF37" i="6"/>
  <c r="AC37" i="6"/>
  <c r="AD37" i="6" s="1"/>
  <c r="AB37" i="6"/>
  <c r="Z37" i="6"/>
  <c r="X37" i="6"/>
  <c r="V37" i="6"/>
  <c r="S37" i="6"/>
  <c r="T37" i="6" s="1"/>
  <c r="R37" i="6"/>
  <c r="P37" i="6"/>
  <c r="M37" i="6"/>
  <c r="N37" i="6" s="1"/>
  <c r="L37" i="6"/>
  <c r="J37" i="6"/>
  <c r="AL36" i="6"/>
  <c r="AJ36" i="6"/>
  <c r="AH36" i="6"/>
  <c r="AF36" i="6"/>
  <c r="AC36" i="6"/>
  <c r="AD36" i="6" s="1"/>
  <c r="AB36" i="6"/>
  <c r="Z36" i="6"/>
  <c r="X36" i="6"/>
  <c r="V36" i="6"/>
  <c r="S36" i="6"/>
  <c r="T36" i="6" s="1"/>
  <c r="R36" i="6"/>
  <c r="P36" i="6"/>
  <c r="M36" i="6"/>
  <c r="N36" i="6" s="1"/>
  <c r="L36" i="6"/>
  <c r="J36" i="6"/>
  <c r="AL35" i="6"/>
  <c r="AJ35" i="6"/>
  <c r="AH35" i="6"/>
  <c r="AF35" i="6"/>
  <c r="AC35" i="6"/>
  <c r="AD35" i="6" s="1"/>
  <c r="AB35" i="6"/>
  <c r="Z35" i="6"/>
  <c r="X35" i="6"/>
  <c r="V35" i="6"/>
  <c r="S35" i="6"/>
  <c r="T35" i="6" s="1"/>
  <c r="R35" i="6"/>
  <c r="P35" i="6"/>
  <c r="M35" i="6"/>
  <c r="N35" i="6" s="1"/>
  <c r="L35" i="6"/>
  <c r="J35" i="6"/>
  <c r="G35" i="6"/>
  <c r="AL34" i="6"/>
  <c r="AJ34" i="6"/>
  <c r="AH34" i="6"/>
  <c r="AF34" i="6"/>
  <c r="AC34" i="6"/>
  <c r="AD34" i="6" s="1"/>
  <c r="AB34" i="6"/>
  <c r="Z34" i="6"/>
  <c r="X34" i="6"/>
  <c r="V34" i="6"/>
  <c r="S34" i="6"/>
  <c r="T34" i="6" s="1"/>
  <c r="R34" i="6"/>
  <c r="P34" i="6"/>
  <c r="M34" i="6"/>
  <c r="N34" i="6" s="1"/>
  <c r="L34" i="6"/>
  <c r="J34" i="6"/>
  <c r="AL33" i="6"/>
  <c r="AJ33" i="6"/>
  <c r="AH33" i="6"/>
  <c r="AF33" i="6"/>
  <c r="AC33" i="6"/>
  <c r="AD33" i="6" s="1"/>
  <c r="AB33" i="6"/>
  <c r="Z33" i="6"/>
  <c r="X33" i="6"/>
  <c r="V33" i="6"/>
  <c r="S33" i="6"/>
  <c r="T33" i="6" s="1"/>
  <c r="R33" i="6"/>
  <c r="P33" i="6"/>
  <c r="M33" i="6"/>
  <c r="N33" i="6" s="1"/>
  <c r="L33" i="6"/>
  <c r="J33" i="6"/>
  <c r="AL32" i="6"/>
  <c r="AJ32" i="6"/>
  <c r="AH32" i="6"/>
  <c r="AF32" i="6"/>
  <c r="AC32" i="6"/>
  <c r="AD32" i="6" s="1"/>
  <c r="AB32" i="6"/>
  <c r="Z32" i="6"/>
  <c r="X32" i="6"/>
  <c r="V32" i="6"/>
  <c r="S32" i="6"/>
  <c r="T32" i="6" s="1"/>
  <c r="R32" i="6"/>
  <c r="P32" i="6"/>
  <c r="M32" i="6"/>
  <c r="N32" i="6" s="1"/>
  <c r="L32" i="6"/>
  <c r="J32" i="6"/>
  <c r="AL31" i="6"/>
  <c r="AJ31" i="6"/>
  <c r="AH31" i="6"/>
  <c r="AF31" i="6"/>
  <c r="AC31" i="6"/>
  <c r="AD31" i="6" s="1"/>
  <c r="AB31" i="6"/>
  <c r="Z31" i="6"/>
  <c r="X31" i="6"/>
  <c r="V31" i="6"/>
  <c r="S31" i="6"/>
  <c r="T31" i="6" s="1"/>
  <c r="R31" i="6"/>
  <c r="P31" i="6"/>
  <c r="M31" i="6"/>
  <c r="N31" i="6" s="1"/>
  <c r="L31" i="6"/>
  <c r="J31" i="6"/>
  <c r="AL30" i="6"/>
  <c r="AJ30" i="6"/>
  <c r="AH30" i="6"/>
  <c r="AF30" i="6"/>
  <c r="AC30" i="6"/>
  <c r="AD30" i="6" s="1"/>
  <c r="AB30" i="6"/>
  <c r="Z30" i="6"/>
  <c r="X30" i="6"/>
  <c r="V30" i="6"/>
  <c r="S30" i="6"/>
  <c r="T30" i="6" s="1"/>
  <c r="R30" i="6"/>
  <c r="P30" i="6"/>
  <c r="M30" i="6"/>
  <c r="N30" i="6" s="1"/>
  <c r="L30" i="6"/>
  <c r="J30" i="6"/>
  <c r="AL29" i="6"/>
  <c r="AJ29" i="6"/>
  <c r="AH29" i="6"/>
  <c r="AF29" i="6"/>
  <c r="AC29" i="6"/>
  <c r="AD29" i="6" s="1"/>
  <c r="AB29" i="6"/>
  <c r="Z29" i="6"/>
  <c r="X29" i="6"/>
  <c r="V29" i="6"/>
  <c r="S29" i="6"/>
  <c r="T29" i="6" s="1"/>
  <c r="R29" i="6"/>
  <c r="P29" i="6"/>
  <c r="M29" i="6"/>
  <c r="N29" i="6" s="1"/>
  <c r="L29" i="6"/>
  <c r="J29" i="6"/>
  <c r="AL28" i="6"/>
  <c r="AJ28" i="6"/>
  <c r="AH28" i="6"/>
  <c r="AF28" i="6"/>
  <c r="AC28" i="6"/>
  <c r="AD28" i="6" s="1"/>
  <c r="AB28" i="6"/>
  <c r="Z28" i="6"/>
  <c r="X28" i="6"/>
  <c r="V28" i="6"/>
  <c r="S28" i="6"/>
  <c r="T28" i="6" s="1"/>
  <c r="R28" i="6"/>
  <c r="P28" i="6"/>
  <c r="M28" i="6"/>
  <c r="N28" i="6" s="1"/>
  <c r="L28" i="6"/>
  <c r="J28" i="6"/>
  <c r="G28" i="6"/>
  <c r="B14" i="6"/>
  <c r="B28" i="6" s="1"/>
  <c r="B35" i="6" s="1"/>
  <c r="AC20" i="6"/>
  <c r="S20" i="6"/>
  <c r="M20" i="6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F17" i="6"/>
  <c r="AL17" i="6" s="1"/>
  <c r="AC16" i="6"/>
  <c r="S16" i="6"/>
  <c r="M16" i="6"/>
  <c r="F16" i="6"/>
  <c r="AL16" i="6" s="1"/>
  <c r="AC15" i="6"/>
  <c r="S15" i="6"/>
  <c r="M15" i="6"/>
  <c r="AC14" i="6"/>
  <c r="S14" i="6"/>
  <c r="M14" i="6"/>
  <c r="F14" i="6"/>
  <c r="AL14" i="6" s="1"/>
  <c r="H8" i="7"/>
  <c r="F41" i="7"/>
  <c r="F40" i="7"/>
  <c r="F39" i="7"/>
  <c r="F38" i="7"/>
  <c r="F37" i="7"/>
  <c r="F36" i="7"/>
  <c r="F35" i="7"/>
  <c r="G35" i="7" s="1"/>
  <c r="B35" i="7"/>
  <c r="B28" i="7"/>
  <c r="F34" i="7"/>
  <c r="F33" i="7"/>
  <c r="F32" i="7"/>
  <c r="F31" i="7"/>
  <c r="F30" i="7"/>
  <c r="F29" i="7"/>
  <c r="F28" i="7"/>
  <c r="G28" i="7" s="1"/>
  <c r="B14" i="7"/>
  <c r="AC20" i="7"/>
  <c r="S20" i="7"/>
  <c r="M20" i="7"/>
  <c r="F20" i="7"/>
  <c r="AC19" i="7"/>
  <c r="S19" i="7"/>
  <c r="M19" i="7"/>
  <c r="F19" i="7"/>
  <c r="AC18" i="7"/>
  <c r="F18" i="7" s="1"/>
  <c r="S18" i="7"/>
  <c r="M18" i="7"/>
  <c r="AC17" i="7"/>
  <c r="S17" i="7"/>
  <c r="M17" i="7"/>
  <c r="F17" i="7"/>
  <c r="AC16" i="7"/>
  <c r="S16" i="7"/>
  <c r="M16" i="7"/>
  <c r="F16" i="7" s="1"/>
  <c r="G14" i="7" s="1"/>
  <c r="AC15" i="7"/>
  <c r="S15" i="7"/>
  <c r="M15" i="7"/>
  <c r="F15" i="7"/>
  <c r="AC14" i="7"/>
  <c r="S14" i="7"/>
  <c r="M14" i="7"/>
  <c r="F14" i="7"/>
  <c r="U18" i="5"/>
  <c r="U17" i="5"/>
  <c r="U16" i="5"/>
  <c r="U15" i="5"/>
  <c r="U14" i="5"/>
  <c r="U13" i="5"/>
  <c r="U12" i="5"/>
  <c r="T6" i="5"/>
  <c r="K10" i="39" s="1"/>
  <c r="Q6" i="5"/>
  <c r="K9" i="39" s="1"/>
  <c r="N6" i="5"/>
  <c r="K8" i="39" s="1"/>
  <c r="H6" i="5"/>
  <c r="K6" i="39" s="1"/>
  <c r="R65" i="63" l="1"/>
  <c r="R55" i="63"/>
  <c r="R135" i="63"/>
  <c r="S136" i="63"/>
  <c r="R142" i="63"/>
  <c r="R118" i="63"/>
  <c r="R114" i="63"/>
  <c r="S103" i="63"/>
  <c r="S121" i="63"/>
  <c r="S111" i="63"/>
  <c r="S117" i="63"/>
  <c r="R82" i="63"/>
  <c r="S89" i="63"/>
  <c r="S88" i="63"/>
  <c r="S62" i="63"/>
  <c r="S74" i="63"/>
  <c r="S58" i="63"/>
  <c r="R133" i="63"/>
  <c r="R139" i="63"/>
  <c r="R143" i="63"/>
  <c r="S134" i="63"/>
  <c r="R129" i="63"/>
  <c r="R132" i="63"/>
  <c r="R137" i="63"/>
  <c r="R144" i="63"/>
  <c r="S128" i="63"/>
  <c r="S140" i="63"/>
  <c r="R141" i="63"/>
  <c r="R131" i="63"/>
  <c r="S145" i="63"/>
  <c r="R146" i="63"/>
  <c r="S107" i="63"/>
  <c r="S109" i="63"/>
  <c r="S110" i="63"/>
  <c r="R113" i="63"/>
  <c r="R119" i="63"/>
  <c r="R112" i="63"/>
  <c r="S115" i="63"/>
  <c r="R116" i="63"/>
  <c r="S120" i="63"/>
  <c r="R105" i="63"/>
  <c r="R108" i="63"/>
  <c r="S104" i="63"/>
  <c r="R122" i="63"/>
  <c r="R85" i="63"/>
  <c r="R91" i="63"/>
  <c r="R95" i="63"/>
  <c r="R92" i="63"/>
  <c r="S80" i="63"/>
  <c r="R83" i="63"/>
  <c r="S96" i="63"/>
  <c r="R86" i="63"/>
  <c r="R93" i="63"/>
  <c r="R97" i="63"/>
  <c r="S90" i="63"/>
  <c r="S94" i="63"/>
  <c r="R87" i="63"/>
  <c r="R61" i="63"/>
  <c r="R67" i="63"/>
  <c r="R71" i="63"/>
  <c r="R64" i="63"/>
  <c r="R56" i="63"/>
  <c r="R68" i="63"/>
  <c r="R72" i="63"/>
  <c r="R59" i="63"/>
  <c r="R69" i="63"/>
  <c r="S73" i="63"/>
  <c r="R63" i="63"/>
  <c r="R66" i="63"/>
  <c r="R70" i="63"/>
  <c r="R60" i="63"/>
  <c r="S57" i="63"/>
  <c r="S15" i="63"/>
  <c r="R18" i="63"/>
  <c r="R21" i="63"/>
  <c r="R7" i="63"/>
  <c r="S24" i="63"/>
  <c r="S13" i="63"/>
  <c r="R16" i="63"/>
  <c r="R19" i="63"/>
  <c r="R22" i="63"/>
  <c r="R25" i="63"/>
  <c r="R10" i="63"/>
  <c r="R20" i="63"/>
  <c r="R23" i="63"/>
  <c r="R26" i="63"/>
  <c r="L27" i="52"/>
  <c r="T27" i="52"/>
  <c r="U22" i="51"/>
  <c r="U22" i="50"/>
  <c r="AN27" i="49"/>
  <c r="AD27" i="49"/>
  <c r="K27" i="49"/>
  <c r="K32" i="48"/>
  <c r="AN27" i="48"/>
  <c r="AS27" i="48"/>
  <c r="T27" i="48"/>
  <c r="Y27" i="48"/>
  <c r="AX27" i="47"/>
  <c r="T27" i="47"/>
  <c r="K29" i="47"/>
  <c r="AI27" i="47"/>
  <c r="L27" i="46"/>
  <c r="Y27" i="46"/>
  <c r="AS27" i="46"/>
  <c r="T27" i="46"/>
  <c r="H27" i="45"/>
  <c r="Y27" i="45"/>
  <c r="K33" i="45"/>
  <c r="AD27" i="45"/>
  <c r="AI27" i="45"/>
  <c r="K27" i="45"/>
  <c r="K32" i="45"/>
  <c r="AX27" i="45"/>
  <c r="T27" i="45"/>
  <c r="K30" i="45"/>
  <c r="K29" i="45"/>
  <c r="AS27" i="45"/>
  <c r="AN27" i="45"/>
  <c r="K66" i="44"/>
  <c r="AS45" i="44"/>
  <c r="K63" i="44"/>
  <c r="K68" i="44"/>
  <c r="K58" i="44"/>
  <c r="K76" i="44"/>
  <c r="I45" i="44"/>
  <c r="K73" i="44"/>
  <c r="K54" i="44"/>
  <c r="K67" i="44"/>
  <c r="K48" i="44"/>
  <c r="K62" i="44"/>
  <c r="K74" i="44"/>
  <c r="K57" i="44"/>
  <c r="K46" i="44"/>
  <c r="K53" i="44"/>
  <c r="K72" i="44"/>
  <c r="K61" i="44"/>
  <c r="K52" i="44"/>
  <c r="K71" i="44"/>
  <c r="K45" i="44"/>
  <c r="K56" i="44"/>
  <c r="K65" i="44"/>
  <c r="K70" i="44"/>
  <c r="K51" i="44"/>
  <c r="K60" i="44"/>
  <c r="K50" i="44"/>
  <c r="K64" i="44"/>
  <c r="K69" i="44"/>
  <c r="K49" i="44"/>
  <c r="AD16" i="6"/>
  <c r="N17" i="6"/>
  <c r="T18" i="6"/>
  <c r="AD18" i="6"/>
  <c r="T14" i="6"/>
  <c r="T19" i="6"/>
  <c r="T20" i="6"/>
  <c r="T16" i="6"/>
  <c r="T17" i="6"/>
  <c r="N18" i="6"/>
  <c r="N19" i="6"/>
  <c r="AD14" i="6"/>
  <c r="AD19" i="6"/>
  <c r="N15" i="6"/>
  <c r="AD15" i="6"/>
  <c r="N16" i="6"/>
  <c r="AD17" i="6"/>
  <c r="N14" i="6"/>
  <c r="F15" i="6"/>
  <c r="AL15" i="6" s="1"/>
  <c r="F20" i="6"/>
  <c r="AL20" i="6" s="1"/>
  <c r="J15" i="6"/>
  <c r="J17" i="6"/>
  <c r="J20" i="6"/>
  <c r="L14" i="6"/>
  <c r="L17" i="6"/>
  <c r="L20" i="6"/>
  <c r="P15" i="6"/>
  <c r="P17" i="6"/>
  <c r="P19" i="6"/>
  <c r="R15" i="6"/>
  <c r="R20" i="6"/>
  <c r="V15" i="6"/>
  <c r="V17" i="6"/>
  <c r="V19" i="6"/>
  <c r="X19" i="6"/>
  <c r="Z19" i="6"/>
  <c r="J14" i="6"/>
  <c r="J16" i="6"/>
  <c r="J18" i="6"/>
  <c r="J19" i="6"/>
  <c r="L15" i="6"/>
  <c r="L16" i="6"/>
  <c r="L18" i="6"/>
  <c r="L19" i="6"/>
  <c r="P14" i="6"/>
  <c r="P16" i="6"/>
  <c r="P18" i="6"/>
  <c r="P20" i="6"/>
  <c r="R14" i="6"/>
  <c r="R16" i="6"/>
  <c r="R17" i="6"/>
  <c r="R18" i="6"/>
  <c r="R19" i="6"/>
  <c r="V14" i="6"/>
  <c r="V16" i="6"/>
  <c r="V18" i="6"/>
  <c r="V20" i="6"/>
  <c r="X14" i="6"/>
  <c r="X15" i="6"/>
  <c r="X16" i="6"/>
  <c r="X17" i="6"/>
  <c r="X18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N17" i="7"/>
  <c r="N14" i="7"/>
  <c r="T14" i="7"/>
  <c r="AD14" i="7"/>
  <c r="AL15" i="7"/>
  <c r="AJ15" i="7"/>
  <c r="AB15" i="7"/>
  <c r="AH15" i="7"/>
  <c r="AF15" i="7"/>
  <c r="Z15" i="7"/>
  <c r="X15" i="7"/>
  <c r="V15" i="7"/>
  <c r="R15" i="7"/>
  <c r="P15" i="7"/>
  <c r="L15" i="7"/>
  <c r="J15" i="7"/>
  <c r="AD15" i="7"/>
  <c r="AL20" i="7"/>
  <c r="AJ20" i="7"/>
  <c r="AB20" i="7"/>
  <c r="AH20" i="7"/>
  <c r="AF20" i="7"/>
  <c r="Z20" i="7"/>
  <c r="X20" i="7"/>
  <c r="V20" i="7"/>
  <c r="R20" i="7"/>
  <c r="P20" i="7"/>
  <c r="L20" i="7"/>
  <c r="J20" i="7"/>
  <c r="AL17" i="7"/>
  <c r="AJ17" i="7"/>
  <c r="AB17" i="7"/>
  <c r="AH17" i="7"/>
  <c r="AF17" i="7"/>
  <c r="Z17" i="7"/>
  <c r="X17" i="7"/>
  <c r="V17" i="7"/>
  <c r="R17" i="7"/>
  <c r="P17" i="7"/>
  <c r="L17" i="7"/>
  <c r="J17" i="7"/>
  <c r="T17" i="7"/>
  <c r="AD17" i="7"/>
  <c r="AL14" i="7"/>
  <c r="AJ14" i="7"/>
  <c r="AH14" i="7"/>
  <c r="AF14" i="7"/>
  <c r="AB14" i="7"/>
  <c r="Z14" i="7"/>
  <c r="X14" i="7"/>
  <c r="V14" i="7"/>
  <c r="R14" i="7"/>
  <c r="P14" i="7"/>
  <c r="L14" i="7"/>
  <c r="J14" i="7"/>
  <c r="AL18" i="7"/>
  <c r="AJ18" i="7"/>
  <c r="AB18" i="7"/>
  <c r="AH18" i="7"/>
  <c r="AF18" i="7"/>
  <c r="Z18" i="7"/>
  <c r="X18" i="7"/>
  <c r="V18" i="7"/>
  <c r="R18" i="7"/>
  <c r="P18" i="7"/>
  <c r="L18" i="7"/>
  <c r="J18" i="7"/>
  <c r="N18" i="7"/>
  <c r="T18" i="7"/>
  <c r="AD18" i="7"/>
  <c r="AL19" i="7"/>
  <c r="AJ19" i="7"/>
  <c r="AH19" i="7"/>
  <c r="AF19" i="7"/>
  <c r="AB19" i="7"/>
  <c r="X19" i="7"/>
  <c r="V19" i="7"/>
  <c r="R19" i="7"/>
  <c r="P19" i="7"/>
  <c r="L19" i="7"/>
  <c r="J19" i="7"/>
  <c r="N15" i="7"/>
  <c r="N19" i="7"/>
  <c r="T15" i="7"/>
  <c r="T19" i="7"/>
  <c r="Z19" i="7"/>
  <c r="AD19" i="7"/>
  <c r="AL16" i="7"/>
  <c r="AJ16" i="7"/>
  <c r="AH16" i="7"/>
  <c r="AF16" i="7"/>
  <c r="AB16" i="7"/>
  <c r="Z16" i="7"/>
  <c r="X16" i="7"/>
  <c r="V16" i="7"/>
  <c r="R16" i="7"/>
  <c r="P16" i="7"/>
  <c r="L16" i="7"/>
  <c r="J16" i="7"/>
  <c r="N16" i="7"/>
  <c r="T16" i="7"/>
  <c r="N20" i="7"/>
  <c r="AD16" i="7"/>
  <c r="T20" i="7"/>
  <c r="AD20" i="7"/>
  <c r="W6" i="5"/>
  <c r="K11" i="39" s="1"/>
  <c r="U23" i="51" l="1"/>
  <c r="Z22" i="51"/>
  <c r="U23" i="50"/>
  <c r="Z22" i="50"/>
  <c r="L27" i="49"/>
  <c r="L27" i="48"/>
  <c r="L27" i="47"/>
  <c r="L27" i="45"/>
  <c r="M65" i="44"/>
  <c r="M56" i="44"/>
  <c r="M68" i="44"/>
  <c r="M62" i="44"/>
  <c r="M46" i="44"/>
  <c r="M66" i="44"/>
  <c r="M52" i="44"/>
  <c r="M48" i="44"/>
  <c r="M69" i="44"/>
  <c r="M53" i="44"/>
  <c r="M50" i="44"/>
  <c r="M60" i="44"/>
  <c r="M63" i="44"/>
  <c r="M45" i="44"/>
  <c r="M58" i="44"/>
  <c r="M74" i="44"/>
  <c r="M49" i="44"/>
  <c r="M61" i="44"/>
  <c r="M54" i="44"/>
  <c r="M57" i="44"/>
  <c r="M70" i="44"/>
  <c r="M75" i="44"/>
  <c r="M71" i="44"/>
  <c r="M67" i="44"/>
  <c r="M72" i="44"/>
  <c r="M64" i="44"/>
  <c r="M73" i="44"/>
  <c r="M76" i="44"/>
  <c r="M55" i="44"/>
  <c r="M59" i="44"/>
  <c r="M51" i="44"/>
  <c r="M47" i="44"/>
  <c r="L45" i="44"/>
  <c r="G14" i="6"/>
  <c r="AD20" i="6"/>
  <c r="AJ20" i="6"/>
  <c r="T15" i="6"/>
  <c r="N20" i="6"/>
  <c r="Z23" i="51" l="1"/>
  <c r="AE22" i="51"/>
  <c r="Z23" i="50"/>
  <c r="AE22" i="50"/>
  <c r="AE23" i="51" l="1"/>
  <c r="AJ22" i="51"/>
  <c r="AE23" i="50"/>
  <c r="AJ22" i="50"/>
  <c r="AJ23" i="51" l="1"/>
  <c r="AO22" i="51"/>
  <c r="AJ23" i="50"/>
  <c r="AO22" i="50"/>
  <c r="AO23" i="51" l="1"/>
  <c r="AT22" i="51"/>
  <c r="AT23" i="51" s="1"/>
  <c r="AO23" i="50"/>
  <c r="AT22" i="50"/>
  <c r="AT23" i="50" s="1"/>
  <c r="V33" i="5" l="1"/>
  <c r="S33" i="5"/>
  <c r="P33" i="5"/>
  <c r="M33" i="5"/>
  <c r="J33" i="5"/>
  <c r="G33" i="5"/>
  <c r="V26" i="5"/>
  <c r="S26" i="5"/>
  <c r="P26" i="5"/>
  <c r="M26" i="5"/>
  <c r="J26" i="5"/>
  <c r="G26" i="5"/>
  <c r="H6" i="3" l="1"/>
  <c r="E6" i="39" s="1"/>
  <c r="T6" i="3"/>
  <c r="E10" i="39" s="1"/>
  <c r="N6" i="3"/>
  <c r="E8" i="39" s="1"/>
  <c r="K6" i="3"/>
  <c r="E7" i="39" s="1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G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G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B10" i="39" s="1"/>
  <c r="O19" i="3"/>
  <c r="M19" i="3"/>
  <c r="B8" i="39" s="1"/>
  <c r="J19" i="3"/>
  <c r="G19" i="3"/>
  <c r="V19" i="5"/>
  <c r="S19" i="5"/>
  <c r="I10" i="39" s="1"/>
  <c r="P19" i="5"/>
  <c r="I9" i="39" s="1"/>
  <c r="M19" i="5"/>
  <c r="I8" i="39" s="1"/>
  <c r="I7" i="39"/>
  <c r="G19" i="5"/>
  <c r="I6" i="39" s="1"/>
  <c r="V12" i="5"/>
  <c r="M12" i="5"/>
  <c r="G5" i="5"/>
  <c r="I12" i="5"/>
  <c r="J12" i="5" s="1"/>
  <c r="I13" i="5"/>
  <c r="I14" i="5"/>
  <c r="I15" i="5"/>
  <c r="I16" i="5"/>
  <c r="I17" i="5"/>
  <c r="I18" i="5"/>
  <c r="B12" i="5"/>
  <c r="B19" i="5" s="1"/>
  <c r="B26" i="5" s="1"/>
  <c r="B33" i="5" s="1"/>
  <c r="S12" i="5"/>
  <c r="P12" i="5"/>
  <c r="G12" i="5"/>
  <c r="V33" i="3" l="1"/>
  <c r="Q6" i="3"/>
  <c r="E9" i="39" s="1"/>
  <c r="W6" i="3"/>
  <c r="E11" i="39" s="1"/>
  <c r="V26" i="3"/>
  <c r="P19" i="3"/>
  <c r="B9" i="39" s="1"/>
  <c r="P26" i="3"/>
  <c r="V19" i="3"/>
  <c r="B11" i="39" s="1"/>
  <c r="P33" i="3"/>
  <c r="U18" i="3" l="1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O12" i="3"/>
  <c r="M12" i="3"/>
  <c r="J12" i="3"/>
  <c r="G12" i="3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14" i="20" s="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14" i="62" l="1"/>
  <c r="M22" i="62"/>
  <c r="M22" i="20"/>
  <c r="M14" i="19"/>
  <c r="P12" i="3"/>
  <c r="V12" i="3"/>
  <c r="M30" i="62"/>
  <c r="E29" i="13" l="1"/>
  <c r="E30" i="13"/>
  <c r="E31" i="13"/>
  <c r="E32" i="13"/>
  <c r="E33" i="13"/>
  <c r="E34" i="13"/>
  <c r="E35" i="13"/>
  <c r="E36" i="13"/>
  <c r="E28" i="13"/>
  <c r="C29" i="13"/>
  <c r="C30" i="13"/>
  <c r="C31" i="13"/>
  <c r="C32" i="13"/>
  <c r="C33" i="13"/>
  <c r="C34" i="13"/>
  <c r="C35" i="13"/>
  <c r="C36" i="13"/>
  <c r="C28" i="13"/>
  <c r="J16" i="13"/>
  <c r="J24" i="13" s="1"/>
  <c r="J17" i="13"/>
  <c r="J18" i="13"/>
  <c r="J19" i="13"/>
  <c r="J20" i="13"/>
  <c r="J21" i="13"/>
  <c r="J22" i="13"/>
  <c r="J23" i="13"/>
  <c r="J15" i="13"/>
  <c r="D20" i="13"/>
  <c r="D21" i="13"/>
  <c r="D22" i="13"/>
  <c r="D23" i="13"/>
  <c r="D18" i="13"/>
  <c r="D19" i="13"/>
  <c r="D17" i="13"/>
  <c r="D16" i="13"/>
  <c r="D15" i="13"/>
  <c r="H23" i="13"/>
  <c r="H22" i="13"/>
  <c r="H21" i="13"/>
  <c r="H20" i="13"/>
  <c r="H18" i="13"/>
  <c r="H17" i="13"/>
  <c r="B23" i="13"/>
  <c r="B22" i="13"/>
  <c r="B21" i="13"/>
  <c r="B20" i="13"/>
  <c r="B18" i="13"/>
  <c r="B17" i="13"/>
  <c r="K11" i="13"/>
  <c r="K10" i="13"/>
  <c r="K9" i="13"/>
  <c r="K8" i="13"/>
  <c r="K7" i="13"/>
  <c r="K6" i="13"/>
  <c r="J11" i="13"/>
  <c r="J10" i="13"/>
  <c r="J9" i="13"/>
  <c r="J8" i="13"/>
  <c r="J7" i="13"/>
  <c r="J6" i="13"/>
  <c r="I11" i="13"/>
  <c r="I10" i="13"/>
  <c r="I9" i="13"/>
  <c r="I8" i="13"/>
  <c r="I7" i="13"/>
  <c r="I6" i="13"/>
  <c r="E11" i="13"/>
  <c r="E10" i="13"/>
  <c r="E9" i="13"/>
  <c r="E8" i="13"/>
  <c r="E7" i="13"/>
  <c r="E6" i="13"/>
  <c r="C11" i="13"/>
  <c r="C10" i="13"/>
  <c r="D10" i="13" s="1"/>
  <c r="C9" i="13"/>
  <c r="C8" i="13"/>
  <c r="D8" i="13" s="1"/>
  <c r="C7" i="13"/>
  <c r="C6" i="13"/>
  <c r="B7" i="13"/>
  <c r="B6" i="13"/>
  <c r="D11" i="13"/>
  <c r="D9" i="13"/>
  <c r="P45" i="65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H11" i="65"/>
  <c r="G11" i="65"/>
  <c r="P11" i="65" s="1"/>
  <c r="F11" i="65"/>
  <c r="E11" i="65"/>
  <c r="D11" i="65"/>
  <c r="P10" i="65"/>
  <c r="P9" i="65"/>
  <c r="O7" i="65"/>
  <c r="N7" i="65"/>
  <c r="M7" i="65"/>
  <c r="L7" i="65"/>
  <c r="K7" i="65"/>
  <c r="J7" i="65"/>
  <c r="I7" i="65"/>
  <c r="H7" i="65"/>
  <c r="G7" i="65"/>
  <c r="P7" i="65" s="1"/>
  <c r="P6" i="65"/>
  <c r="O5" i="65"/>
  <c r="N5" i="65"/>
  <c r="M5" i="65"/>
  <c r="P5" i="65" s="1"/>
  <c r="L5" i="65"/>
  <c r="K5" i="65"/>
  <c r="J5" i="65"/>
  <c r="I5" i="65"/>
  <c r="H5" i="65"/>
  <c r="G5" i="65"/>
  <c r="P4" i="65"/>
  <c r="P3" i="65"/>
  <c r="P2" i="65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8" i="25" l="1"/>
  <c r="A8" i="25"/>
  <c r="AH7" i="52"/>
  <c r="AC7" i="52"/>
  <c r="X7" i="52"/>
  <c r="S7" i="52"/>
  <c r="AV7" i="52"/>
  <c r="AX7" i="52" s="1"/>
  <c r="AQ7" i="52"/>
  <c r="AS7" i="52" s="1"/>
  <c r="AL7" i="52"/>
  <c r="AN7" i="52" s="1"/>
  <c r="AG7" i="52"/>
  <c r="AI7" i="52" s="1"/>
  <c r="AB7" i="52"/>
  <c r="AD7" i="52" s="1"/>
  <c r="W7" i="52"/>
  <c r="Y7" i="52" s="1"/>
  <c r="R7" i="52"/>
  <c r="T7" i="52" s="1"/>
  <c r="J7" i="52"/>
  <c r="I7" i="52"/>
  <c r="G7" i="52"/>
  <c r="H7" i="52" s="1"/>
  <c r="AW10" i="49"/>
  <c r="AW9" i="49"/>
  <c r="AW8" i="49"/>
  <c r="AW7" i="49"/>
  <c r="AR15" i="49"/>
  <c r="AR14" i="49"/>
  <c r="AM7" i="49"/>
  <c r="AH15" i="49"/>
  <c r="AH14" i="49"/>
  <c r="AH13" i="49"/>
  <c r="AH12" i="49"/>
  <c r="X10" i="49"/>
  <c r="AV15" i="49"/>
  <c r="AQ15" i="49"/>
  <c r="AL15" i="49"/>
  <c r="AG15" i="49"/>
  <c r="AB15" i="49"/>
  <c r="AC15" i="49" s="1"/>
  <c r="W15" i="49"/>
  <c r="R15" i="49"/>
  <c r="K15" i="49"/>
  <c r="J15" i="49"/>
  <c r="I15" i="49"/>
  <c r="G15" i="49"/>
  <c r="AV14" i="49"/>
  <c r="AW14" i="49" s="1"/>
  <c r="AQ14" i="49"/>
  <c r="AL14" i="49"/>
  <c r="AM14" i="49" s="1"/>
  <c r="AG14" i="49"/>
  <c r="AB14" i="49"/>
  <c r="AC14" i="49" s="1"/>
  <c r="W14" i="49"/>
  <c r="X14" i="49" s="1"/>
  <c r="R14" i="49"/>
  <c r="S14" i="49" s="1"/>
  <c r="K14" i="49"/>
  <c r="J14" i="49"/>
  <c r="I14" i="49"/>
  <c r="G14" i="49"/>
  <c r="AV13" i="49"/>
  <c r="AQ13" i="49"/>
  <c r="AR13" i="49" s="1"/>
  <c r="AL13" i="49"/>
  <c r="AG13" i="49"/>
  <c r="AB13" i="49"/>
  <c r="AC13" i="49" s="1"/>
  <c r="W13" i="49"/>
  <c r="R13" i="49"/>
  <c r="S13" i="49" s="1"/>
  <c r="J13" i="49"/>
  <c r="I13" i="49"/>
  <c r="G13" i="49"/>
  <c r="AV12" i="49"/>
  <c r="AQ12" i="49"/>
  <c r="AR12" i="49" s="1"/>
  <c r="AL12" i="49"/>
  <c r="AM12" i="49" s="1"/>
  <c r="AG12" i="49"/>
  <c r="AB12" i="49"/>
  <c r="AC12" i="49" s="1"/>
  <c r="W12" i="49"/>
  <c r="X12" i="49" s="1"/>
  <c r="R12" i="49"/>
  <c r="S12" i="49" s="1"/>
  <c r="J12" i="49"/>
  <c r="I12" i="49"/>
  <c r="G12" i="49"/>
  <c r="AV11" i="49"/>
  <c r="AQ11" i="49"/>
  <c r="AR11" i="49" s="1"/>
  <c r="AL11" i="49"/>
  <c r="AG11" i="49"/>
  <c r="AH11" i="49" s="1"/>
  <c r="AB11" i="49"/>
  <c r="W11" i="49"/>
  <c r="R11" i="49"/>
  <c r="S11" i="49" s="1"/>
  <c r="J11" i="49"/>
  <c r="I11" i="49"/>
  <c r="G11" i="49"/>
  <c r="AV10" i="49"/>
  <c r="AW11" i="49" s="1"/>
  <c r="AQ10" i="49"/>
  <c r="AR10" i="49" s="1"/>
  <c r="AL10" i="49"/>
  <c r="AM10" i="49" s="1"/>
  <c r="AG10" i="49"/>
  <c r="AH10" i="49" s="1"/>
  <c r="AB10" i="49"/>
  <c r="AC10" i="49" s="1"/>
  <c r="W10" i="49"/>
  <c r="R10" i="49"/>
  <c r="S10" i="49" s="1"/>
  <c r="J10" i="49"/>
  <c r="I10" i="49"/>
  <c r="G10" i="49"/>
  <c r="AV9" i="49"/>
  <c r="AQ9" i="49"/>
  <c r="AR9" i="49" s="1"/>
  <c r="AL9" i="49"/>
  <c r="AG9" i="49"/>
  <c r="AH9" i="49" s="1"/>
  <c r="AB9" i="49"/>
  <c r="W9" i="49"/>
  <c r="X9" i="49" s="1"/>
  <c r="R9" i="49"/>
  <c r="S9" i="49" s="1"/>
  <c r="J9" i="49"/>
  <c r="I9" i="49"/>
  <c r="G9" i="49"/>
  <c r="AV8" i="49"/>
  <c r="AW15" i="49" s="1"/>
  <c r="AQ8" i="49"/>
  <c r="AR8" i="49" s="1"/>
  <c r="AL8" i="49"/>
  <c r="AM8" i="49" s="1"/>
  <c r="AG8" i="49"/>
  <c r="AH8" i="49" s="1"/>
  <c r="AB8" i="49"/>
  <c r="AC11" i="49" s="1"/>
  <c r="W8" i="49"/>
  <c r="X8" i="49" s="1"/>
  <c r="R8" i="49"/>
  <c r="S8" i="49" s="1"/>
  <c r="J8" i="49"/>
  <c r="I8" i="49"/>
  <c r="G8" i="49"/>
  <c r="AV7" i="49"/>
  <c r="AQ7" i="49"/>
  <c r="AR7" i="49" s="1"/>
  <c r="AL7" i="49"/>
  <c r="AG7" i="49"/>
  <c r="AB7" i="49"/>
  <c r="W7" i="49"/>
  <c r="R7" i="49"/>
  <c r="S15" i="49" s="1"/>
  <c r="J7" i="49"/>
  <c r="I7" i="49"/>
  <c r="G7" i="49"/>
  <c r="AH13" i="48"/>
  <c r="AH12" i="48"/>
  <c r="X12" i="48"/>
  <c r="X11" i="48"/>
  <c r="X9" i="48"/>
  <c r="X8" i="48"/>
  <c r="AV14" i="48"/>
  <c r="AQ14" i="48"/>
  <c r="AR14" i="48" s="1"/>
  <c r="AL14" i="48"/>
  <c r="AM7" i="48" s="1"/>
  <c r="AG14" i="48"/>
  <c r="AB14" i="48"/>
  <c r="W14" i="48"/>
  <c r="R14" i="48"/>
  <c r="J14" i="48"/>
  <c r="I14" i="48"/>
  <c r="G14" i="48"/>
  <c r="AV13" i="48"/>
  <c r="AQ13" i="48"/>
  <c r="AR13" i="48" s="1"/>
  <c r="AL13" i="48"/>
  <c r="AM13" i="48" s="1"/>
  <c r="AG13" i="48"/>
  <c r="AB13" i="48"/>
  <c r="AC13" i="48" s="1"/>
  <c r="W13" i="48"/>
  <c r="R13" i="48"/>
  <c r="S13" i="48" s="1"/>
  <c r="K13" i="48"/>
  <c r="J13" i="48"/>
  <c r="I13" i="48"/>
  <c r="G13" i="48"/>
  <c r="AV12" i="48"/>
  <c r="K12" i="48" s="1"/>
  <c r="AQ12" i="48"/>
  <c r="AR12" i="48" s="1"/>
  <c r="AL12" i="48"/>
  <c r="AG12" i="48"/>
  <c r="AB12" i="48"/>
  <c r="W12" i="48"/>
  <c r="R12" i="48"/>
  <c r="S12" i="48" s="1"/>
  <c r="J12" i="48"/>
  <c r="I12" i="48"/>
  <c r="G12" i="48"/>
  <c r="AV11" i="48"/>
  <c r="AQ11" i="48"/>
  <c r="AR11" i="48" s="1"/>
  <c r="AL11" i="48"/>
  <c r="AG11" i="48"/>
  <c r="AH11" i="48" s="1"/>
  <c r="AB11" i="48"/>
  <c r="AC11" i="48" s="1"/>
  <c r="W11" i="48"/>
  <c r="R11" i="48"/>
  <c r="S11" i="48" s="1"/>
  <c r="J11" i="48"/>
  <c r="I11" i="48"/>
  <c r="G11" i="48"/>
  <c r="AV10" i="48"/>
  <c r="AW10" i="48" s="1"/>
  <c r="AQ10" i="48"/>
  <c r="AL10" i="48"/>
  <c r="AG10" i="48"/>
  <c r="AH10" i="48" s="1"/>
  <c r="AB10" i="48"/>
  <c r="W10" i="48"/>
  <c r="R10" i="48"/>
  <c r="S10" i="48" s="1"/>
  <c r="J10" i="48"/>
  <c r="I10" i="48"/>
  <c r="G10" i="48"/>
  <c r="AV9" i="48"/>
  <c r="AQ9" i="48"/>
  <c r="AL9" i="48"/>
  <c r="AG9" i="48"/>
  <c r="AH9" i="48" s="1"/>
  <c r="AB9" i="48"/>
  <c r="AC9" i="48" s="1"/>
  <c r="W9" i="48"/>
  <c r="R9" i="48"/>
  <c r="S9" i="48" s="1"/>
  <c r="J9" i="48"/>
  <c r="I9" i="48"/>
  <c r="G9" i="48"/>
  <c r="AV8" i="48"/>
  <c r="AW14" i="48" s="1"/>
  <c r="AQ8" i="48"/>
  <c r="AL8" i="48"/>
  <c r="AG8" i="48"/>
  <c r="AH8" i="48" s="1"/>
  <c r="AB8" i="48"/>
  <c r="W8" i="48"/>
  <c r="R8" i="48"/>
  <c r="S8" i="48" s="1"/>
  <c r="J8" i="48"/>
  <c r="I8" i="48"/>
  <c r="G8" i="48"/>
  <c r="AV7" i="48"/>
  <c r="AW7" i="48" s="1"/>
  <c r="AQ7" i="48"/>
  <c r="AR10" i="48" s="1"/>
  <c r="AL7" i="48"/>
  <c r="AM12" i="48" s="1"/>
  <c r="AG7" i="48"/>
  <c r="AI7" i="48" s="1"/>
  <c r="AB7" i="48"/>
  <c r="AC10" i="48" s="1"/>
  <c r="W7" i="48"/>
  <c r="Y7" i="48" s="1"/>
  <c r="R7" i="48"/>
  <c r="T7" i="48" s="1"/>
  <c r="J7" i="48"/>
  <c r="I7" i="48"/>
  <c r="G7" i="48"/>
  <c r="H7" i="48" s="1"/>
  <c r="AV8" i="47"/>
  <c r="AQ8" i="47"/>
  <c r="AL8" i="47"/>
  <c r="AG8" i="47"/>
  <c r="AB8" i="47"/>
  <c r="W8" i="47"/>
  <c r="R8" i="47"/>
  <c r="S8" i="47" s="1"/>
  <c r="J8" i="47"/>
  <c r="I8" i="47"/>
  <c r="G8" i="47"/>
  <c r="AV7" i="47"/>
  <c r="AW7" i="47" s="1"/>
  <c r="AQ7" i="47"/>
  <c r="AR7" i="47" s="1"/>
  <c r="AL7" i="47"/>
  <c r="AN7" i="47" s="1"/>
  <c r="AG7" i="47"/>
  <c r="AI7" i="47" s="1"/>
  <c r="AB7" i="47"/>
  <c r="AC7" i="47" s="1"/>
  <c r="W7" i="47"/>
  <c r="Y7" i="47" s="1"/>
  <c r="R7" i="47"/>
  <c r="J7" i="47"/>
  <c r="I7" i="47"/>
  <c r="G7" i="47"/>
  <c r="S8" i="46"/>
  <c r="AV8" i="46"/>
  <c r="AW8" i="46" s="1"/>
  <c r="AQ8" i="46"/>
  <c r="AR8" i="46" s="1"/>
  <c r="AL8" i="46"/>
  <c r="AG8" i="46"/>
  <c r="AB8" i="46"/>
  <c r="W8" i="46"/>
  <c r="R8" i="46"/>
  <c r="J8" i="46"/>
  <c r="I8" i="46"/>
  <c r="G8" i="46"/>
  <c r="AV7" i="46"/>
  <c r="AX7" i="46" s="1"/>
  <c r="AQ7" i="46"/>
  <c r="AR7" i="46" s="1"/>
  <c r="AL7" i="46"/>
  <c r="AN7" i="46" s="1"/>
  <c r="AG7" i="46"/>
  <c r="AH8" i="46" s="1"/>
  <c r="AB7" i="46"/>
  <c r="AD7" i="46" s="1"/>
  <c r="W7" i="46"/>
  <c r="Y7" i="46" s="1"/>
  <c r="T7" i="46"/>
  <c r="R7" i="46"/>
  <c r="J7" i="46"/>
  <c r="I7" i="46"/>
  <c r="G7" i="46"/>
  <c r="AR16" i="45"/>
  <c r="AR14" i="45"/>
  <c r="AR13" i="45"/>
  <c r="AR12" i="45"/>
  <c r="AR11" i="45"/>
  <c r="AR10" i="45"/>
  <c r="AR9" i="45"/>
  <c r="AR8" i="45"/>
  <c r="AR7" i="45"/>
  <c r="AH12" i="45"/>
  <c r="AH11" i="45"/>
  <c r="AH10" i="45"/>
  <c r="AH9" i="45"/>
  <c r="AH8" i="45"/>
  <c r="AH7" i="45"/>
  <c r="X9" i="45"/>
  <c r="X8" i="45"/>
  <c r="X7" i="45"/>
  <c r="AV16" i="45"/>
  <c r="AW16" i="45" s="1"/>
  <c r="AQ16" i="45"/>
  <c r="AL16" i="45"/>
  <c r="AM16" i="45" s="1"/>
  <c r="AG16" i="45"/>
  <c r="AB16" i="45"/>
  <c r="AC16" i="45" s="1"/>
  <c r="W16" i="45"/>
  <c r="R16" i="45"/>
  <c r="K16" i="45" s="1"/>
  <c r="J16" i="45"/>
  <c r="I16" i="45"/>
  <c r="G16" i="45"/>
  <c r="AQ15" i="45"/>
  <c r="AR15" i="45" s="1"/>
  <c r="AL15" i="45"/>
  <c r="AM15" i="45" s="1"/>
  <c r="AG15" i="45"/>
  <c r="AH15" i="45" s="1"/>
  <c r="AB15" i="45"/>
  <c r="AC15" i="45" s="1"/>
  <c r="W15" i="45"/>
  <c r="X15" i="45" s="1"/>
  <c r="R15" i="45"/>
  <c r="S15" i="45" s="1"/>
  <c r="K15" i="45"/>
  <c r="J15" i="45"/>
  <c r="I15" i="45"/>
  <c r="G15" i="45"/>
  <c r="AQ14" i="45"/>
  <c r="AL14" i="45"/>
  <c r="AG14" i="45"/>
  <c r="AB14" i="45"/>
  <c r="AC14" i="45" s="1"/>
  <c r="W14" i="45"/>
  <c r="R14" i="45"/>
  <c r="S14" i="45" s="1"/>
  <c r="J14" i="45"/>
  <c r="I14" i="45"/>
  <c r="G14" i="45"/>
  <c r="AV13" i="45"/>
  <c r="AW13" i="45" s="1"/>
  <c r="AQ13" i="45"/>
  <c r="AL13" i="45"/>
  <c r="AM13" i="45" s="1"/>
  <c r="AG13" i="45"/>
  <c r="AH13" i="45" s="1"/>
  <c r="AB13" i="45"/>
  <c r="AC13" i="45" s="1"/>
  <c r="W13" i="45"/>
  <c r="X13" i="45" s="1"/>
  <c r="R13" i="45"/>
  <c r="S13" i="45" s="1"/>
  <c r="J13" i="45"/>
  <c r="I13" i="45"/>
  <c r="G13" i="45"/>
  <c r="AV12" i="45"/>
  <c r="AW12" i="45" s="1"/>
  <c r="AQ12" i="45"/>
  <c r="AL12" i="45"/>
  <c r="AM12" i="45" s="1"/>
  <c r="AG12" i="45"/>
  <c r="AB12" i="45"/>
  <c r="AC12" i="45" s="1"/>
  <c r="W12" i="45"/>
  <c r="R12" i="45"/>
  <c r="S12" i="45" s="1"/>
  <c r="J12" i="45"/>
  <c r="I12" i="45"/>
  <c r="G12" i="45"/>
  <c r="AV11" i="45"/>
  <c r="AW11" i="45" s="1"/>
  <c r="AQ11" i="45"/>
  <c r="AL11" i="45"/>
  <c r="AM11" i="45" s="1"/>
  <c r="AG11" i="45"/>
  <c r="AB11" i="45"/>
  <c r="AC11" i="45" s="1"/>
  <c r="W11" i="45"/>
  <c r="X11" i="45" s="1"/>
  <c r="R11" i="45"/>
  <c r="S11" i="45" s="1"/>
  <c r="J11" i="45"/>
  <c r="I11" i="45"/>
  <c r="G11" i="45"/>
  <c r="AV10" i="45"/>
  <c r="AQ10" i="45"/>
  <c r="AL10" i="45"/>
  <c r="AG10" i="45"/>
  <c r="AB10" i="45"/>
  <c r="W10" i="45"/>
  <c r="R10" i="45"/>
  <c r="S10" i="45" s="1"/>
  <c r="J10" i="45"/>
  <c r="I10" i="45"/>
  <c r="G10" i="45"/>
  <c r="AV9" i="45"/>
  <c r="AW9" i="45" s="1"/>
  <c r="AQ9" i="45"/>
  <c r="AL9" i="45"/>
  <c r="AM9" i="45" s="1"/>
  <c r="AG9" i="45"/>
  <c r="AB9" i="45"/>
  <c r="AC9" i="45" s="1"/>
  <c r="W9" i="45"/>
  <c r="R9" i="45"/>
  <c r="S9" i="45" s="1"/>
  <c r="J9" i="45"/>
  <c r="I9" i="45"/>
  <c r="G9" i="45"/>
  <c r="AV8" i="45"/>
  <c r="AQ8" i="45"/>
  <c r="AL8" i="45"/>
  <c r="AG8" i="45"/>
  <c r="AB8" i="45"/>
  <c r="W8" i="45"/>
  <c r="R8" i="45"/>
  <c r="S8" i="45" s="1"/>
  <c r="J8" i="45"/>
  <c r="I8" i="45"/>
  <c r="G8" i="45"/>
  <c r="AV7" i="45"/>
  <c r="AX7" i="45" s="1"/>
  <c r="AQ7" i="45"/>
  <c r="AS7" i="45" s="1"/>
  <c r="AL7" i="45"/>
  <c r="AG7" i="45"/>
  <c r="AI7" i="45" s="1"/>
  <c r="AB7" i="45"/>
  <c r="AC10" i="45" s="1"/>
  <c r="W7" i="45"/>
  <c r="X10" i="45" s="1"/>
  <c r="R7" i="45"/>
  <c r="T7" i="45" s="1"/>
  <c r="J7" i="45"/>
  <c r="I7" i="45"/>
  <c r="G7" i="45"/>
  <c r="AW20" i="44"/>
  <c r="AR9" i="44"/>
  <c r="X29" i="44"/>
  <c r="X9" i="44"/>
  <c r="AV37" i="44"/>
  <c r="AW37" i="44" s="1"/>
  <c r="K37" i="44"/>
  <c r="J37" i="44"/>
  <c r="I37" i="44"/>
  <c r="G37" i="44"/>
  <c r="AV36" i="44"/>
  <c r="AW36" i="44" s="1"/>
  <c r="AQ36" i="44"/>
  <c r="AR36" i="44" s="1"/>
  <c r="AL36" i="44"/>
  <c r="AM36" i="44" s="1"/>
  <c r="AG36" i="44"/>
  <c r="AB36" i="44"/>
  <c r="AC36" i="44" s="1"/>
  <c r="W36" i="44"/>
  <c r="X36" i="44" s="1"/>
  <c r="R36" i="44"/>
  <c r="J36" i="44"/>
  <c r="I36" i="44"/>
  <c r="G36" i="44"/>
  <c r="AV35" i="44"/>
  <c r="AW35" i="44" s="1"/>
  <c r="AQ35" i="44"/>
  <c r="AR35" i="44" s="1"/>
  <c r="AL35" i="44"/>
  <c r="AM35" i="44" s="1"/>
  <c r="AG35" i="44"/>
  <c r="AB35" i="44"/>
  <c r="AC35" i="44" s="1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K34" i="44"/>
  <c r="J34" i="44"/>
  <c r="I34" i="44"/>
  <c r="G34" i="44"/>
  <c r="AV33" i="44"/>
  <c r="AW33" i="44" s="1"/>
  <c r="AQ33" i="44"/>
  <c r="AL33" i="44"/>
  <c r="AM33" i="44" s="1"/>
  <c r="AG33" i="44"/>
  <c r="AB33" i="44"/>
  <c r="AC33" i="44" s="1"/>
  <c r="W33" i="44"/>
  <c r="R33" i="44"/>
  <c r="J33" i="44"/>
  <c r="I33" i="44"/>
  <c r="G33" i="44"/>
  <c r="AV32" i="44"/>
  <c r="AW32" i="44" s="1"/>
  <c r="AQ32" i="44"/>
  <c r="AL32" i="44"/>
  <c r="AM32" i="44" s="1"/>
  <c r="AG32" i="44"/>
  <c r="AB32" i="44"/>
  <c r="W32" i="44"/>
  <c r="R32" i="44"/>
  <c r="S32" i="44" s="1"/>
  <c r="J32" i="44"/>
  <c r="I32" i="44"/>
  <c r="G32" i="44"/>
  <c r="AV31" i="44"/>
  <c r="AW19" i="44" s="1"/>
  <c r="AQ31" i="44"/>
  <c r="AL31" i="44"/>
  <c r="AG31" i="44"/>
  <c r="AB31" i="44"/>
  <c r="W31" i="44"/>
  <c r="R31" i="44"/>
  <c r="J31" i="44"/>
  <c r="I31" i="44"/>
  <c r="G31" i="44"/>
  <c r="AV30" i="44"/>
  <c r="AW30" i="44" s="1"/>
  <c r="AQ30" i="44"/>
  <c r="AL30" i="44"/>
  <c r="AG30" i="44"/>
  <c r="AB30" i="44"/>
  <c r="W30" i="44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S29" i="44" s="1"/>
  <c r="K29" i="44"/>
  <c r="J29" i="44"/>
  <c r="I29" i="44"/>
  <c r="G29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AC27" i="44" s="1"/>
  <c r="W27" i="44"/>
  <c r="X27" i="44" s="1"/>
  <c r="R27" i="44"/>
  <c r="S27" i="44" s="1"/>
  <c r="J27" i="44"/>
  <c r="I27" i="44"/>
  <c r="G27" i="44"/>
  <c r="AV26" i="44"/>
  <c r="AW26" i="44" s="1"/>
  <c r="AQ26" i="44"/>
  <c r="AR26" i="44" s="1"/>
  <c r="AL26" i="44"/>
  <c r="AM26" i="44" s="1"/>
  <c r="AG26" i="44"/>
  <c r="AH26" i="44" s="1"/>
  <c r="AB26" i="44"/>
  <c r="AC26" i="44" s="1"/>
  <c r="W26" i="44"/>
  <c r="X26" i="44" s="1"/>
  <c r="R26" i="44"/>
  <c r="S26" i="44" s="1"/>
  <c r="K26" i="44"/>
  <c r="J26" i="44"/>
  <c r="I26" i="44"/>
  <c r="G26" i="44"/>
  <c r="AV25" i="44"/>
  <c r="AQ25" i="44"/>
  <c r="AR25" i="44" s="1"/>
  <c r="AL25" i="44"/>
  <c r="AG25" i="44"/>
  <c r="AH25" i="44" s="1"/>
  <c r="AB25" i="44"/>
  <c r="W25" i="44"/>
  <c r="X25" i="44" s="1"/>
  <c r="R25" i="44"/>
  <c r="K25" i="44"/>
  <c r="J25" i="44"/>
  <c r="I25" i="44"/>
  <c r="G25" i="44"/>
  <c r="AV24" i="44"/>
  <c r="AQ24" i="44"/>
  <c r="AR24" i="44" s="1"/>
  <c r="AL24" i="44"/>
  <c r="AM24" i="44" s="1"/>
  <c r="AG24" i="44"/>
  <c r="AH24" i="44" s="1"/>
  <c r="AB24" i="44"/>
  <c r="AC24" i="44" s="1"/>
  <c r="W24" i="44"/>
  <c r="X24" i="44" s="1"/>
  <c r="R24" i="44"/>
  <c r="S24" i="44" s="1"/>
  <c r="J24" i="44"/>
  <c r="I24" i="44"/>
  <c r="G24" i="44"/>
  <c r="AV23" i="44"/>
  <c r="AQ23" i="44"/>
  <c r="AR23" i="44" s="1"/>
  <c r="AL23" i="44"/>
  <c r="AG23" i="44"/>
  <c r="AH23" i="44" s="1"/>
  <c r="AB23" i="44"/>
  <c r="W23" i="44"/>
  <c r="X23" i="44" s="1"/>
  <c r="R23" i="44"/>
  <c r="J23" i="44"/>
  <c r="I23" i="44"/>
  <c r="G23" i="44"/>
  <c r="AV22" i="44"/>
  <c r="AQ22" i="44"/>
  <c r="AR22" i="44" s="1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Q21" i="44"/>
  <c r="AL21" i="44"/>
  <c r="AG21" i="44"/>
  <c r="AB21" i="44"/>
  <c r="W21" i="44"/>
  <c r="X21" i="44" s="1"/>
  <c r="R21" i="44"/>
  <c r="J21" i="44"/>
  <c r="I21" i="44"/>
  <c r="G21" i="44"/>
  <c r="AV20" i="44"/>
  <c r="AQ20" i="44"/>
  <c r="AL20" i="44"/>
  <c r="AG20" i="44"/>
  <c r="AH20" i="44" s="1"/>
  <c r="AB20" i="44"/>
  <c r="W20" i="44"/>
  <c r="R20" i="44"/>
  <c r="S20" i="44" s="1"/>
  <c r="J20" i="44"/>
  <c r="I20" i="44"/>
  <c r="G20" i="44"/>
  <c r="AV19" i="44"/>
  <c r="AQ19" i="44"/>
  <c r="AL19" i="44"/>
  <c r="AG19" i="44"/>
  <c r="AB19" i="44"/>
  <c r="W19" i="44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AC18" i="44" s="1"/>
  <c r="W18" i="44"/>
  <c r="X18" i="44" s="1"/>
  <c r="R18" i="44"/>
  <c r="S18" i="44" s="1"/>
  <c r="J18" i="44"/>
  <c r="I18" i="44"/>
  <c r="G18" i="44"/>
  <c r="AV17" i="44"/>
  <c r="AW17" i="44" s="1"/>
  <c r="AQ17" i="44"/>
  <c r="AR17" i="44" s="1"/>
  <c r="AL17" i="44"/>
  <c r="AM17" i="44" s="1"/>
  <c r="AG17" i="44"/>
  <c r="AH17" i="44" s="1"/>
  <c r="AB17" i="44"/>
  <c r="AC17" i="44" s="1"/>
  <c r="W17" i="44"/>
  <c r="X17" i="44" s="1"/>
  <c r="R17" i="44"/>
  <c r="S17" i="44" s="1"/>
  <c r="J17" i="44"/>
  <c r="I17" i="44"/>
  <c r="G17" i="44"/>
  <c r="AV16" i="44"/>
  <c r="AW16" i="44" s="1"/>
  <c r="AQ16" i="44"/>
  <c r="AR16" i="44" s="1"/>
  <c r="AL16" i="44"/>
  <c r="AM16" i="44" s="1"/>
  <c r="AG16" i="44"/>
  <c r="AH16" i="44" s="1"/>
  <c r="AB16" i="44"/>
  <c r="AC16" i="44" s="1"/>
  <c r="W16" i="44"/>
  <c r="X16" i="44" s="1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AC15" i="44" s="1"/>
  <c r="W15" i="44"/>
  <c r="X15" i="44" s="1"/>
  <c r="R15" i="44"/>
  <c r="K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X13" i="44" s="1"/>
  <c r="R14" i="44"/>
  <c r="K14" i="44" s="1"/>
  <c r="J14" i="44"/>
  <c r="I14" i="44"/>
  <c r="G14" i="44"/>
  <c r="AV13" i="44"/>
  <c r="AW13" i="44" s="1"/>
  <c r="AQ13" i="44"/>
  <c r="AL13" i="44"/>
  <c r="AM13" i="44" s="1"/>
  <c r="AG13" i="44"/>
  <c r="AB13" i="44"/>
  <c r="AC13" i="44" s="1"/>
  <c r="W13" i="44"/>
  <c r="X19" i="44" s="1"/>
  <c r="R13" i="44"/>
  <c r="K13" i="44" s="1"/>
  <c r="J13" i="44"/>
  <c r="I13" i="44"/>
  <c r="G13" i="44"/>
  <c r="AV12" i="44"/>
  <c r="AW12" i="44" s="1"/>
  <c r="AQ12" i="44"/>
  <c r="AR12" i="44" s="1"/>
  <c r="AL12" i="44"/>
  <c r="AM12" i="44" s="1"/>
  <c r="AG12" i="44"/>
  <c r="AH12" i="44" s="1"/>
  <c r="AB12" i="44"/>
  <c r="AC10" i="44" s="1"/>
  <c r="W12" i="44"/>
  <c r="K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R11" i="44"/>
  <c r="S11" i="44" s="1"/>
  <c r="J11" i="44"/>
  <c r="I11" i="44"/>
  <c r="G11" i="44"/>
  <c r="AV10" i="44"/>
  <c r="AW10" i="44" s="1"/>
  <c r="AQ10" i="44"/>
  <c r="AL10" i="44"/>
  <c r="AM10" i="44" s="1"/>
  <c r="AG10" i="44"/>
  <c r="AH32" i="44" s="1"/>
  <c r="AB10" i="44"/>
  <c r="W10" i="44"/>
  <c r="R10" i="44"/>
  <c r="S10" i="44" s="1"/>
  <c r="J10" i="44"/>
  <c r="I10" i="44"/>
  <c r="G10" i="44"/>
  <c r="AV9" i="44"/>
  <c r="AQ9" i="44"/>
  <c r="AL9" i="44"/>
  <c r="AG9" i="44"/>
  <c r="AH21" i="44" s="1"/>
  <c r="AB9" i="44"/>
  <c r="W9" i="44"/>
  <c r="R9" i="44"/>
  <c r="S9" i="44" s="1"/>
  <c r="J9" i="44"/>
  <c r="I9" i="44"/>
  <c r="G9" i="44"/>
  <c r="AV8" i="44"/>
  <c r="AW9" i="44" s="1"/>
  <c r="AQ8" i="44"/>
  <c r="AR8" i="44" s="1"/>
  <c r="AL8" i="44"/>
  <c r="K8" i="44" s="1"/>
  <c r="AG8" i="44"/>
  <c r="AH8" i="44" s="1"/>
  <c r="AB8" i="44"/>
  <c r="AC8" i="44" s="1"/>
  <c r="W8" i="44"/>
  <c r="X8" i="44" s="1"/>
  <c r="R8" i="44"/>
  <c r="S8" i="44" s="1"/>
  <c r="J8" i="44"/>
  <c r="I8" i="44"/>
  <c r="G8" i="44"/>
  <c r="AV7" i="44"/>
  <c r="AW7" i="44" s="1"/>
  <c r="AQ7" i="44"/>
  <c r="AR7" i="44" s="1"/>
  <c r="AL7" i="44"/>
  <c r="AM7" i="44" s="1"/>
  <c r="AG7" i="44"/>
  <c r="AH7" i="44" s="1"/>
  <c r="AB7" i="44"/>
  <c r="AC7" i="44" s="1"/>
  <c r="W7" i="44"/>
  <c r="X7" i="44" s="1"/>
  <c r="R7" i="44"/>
  <c r="S7" i="44" s="1"/>
  <c r="J7" i="44"/>
  <c r="I7" i="44"/>
  <c r="G7" i="44"/>
  <c r="B28" i="13"/>
  <c r="D28" i="13" s="1"/>
  <c r="AC13" i="7"/>
  <c r="S13" i="7"/>
  <c r="M13" i="7"/>
  <c r="AC12" i="7"/>
  <c r="S12" i="7"/>
  <c r="M12" i="7"/>
  <c r="F12" i="7" s="1"/>
  <c r="AL12" i="7" s="1"/>
  <c r="AC11" i="7"/>
  <c r="S11" i="7"/>
  <c r="M11" i="7"/>
  <c r="F11" i="7"/>
  <c r="AL11" i="7" s="1"/>
  <c r="AC10" i="7"/>
  <c r="S10" i="7"/>
  <c r="M10" i="7"/>
  <c r="F10" i="7"/>
  <c r="AL10" i="7" s="1"/>
  <c r="AC9" i="7"/>
  <c r="S9" i="7"/>
  <c r="M9" i="7"/>
  <c r="F9" i="7" s="1"/>
  <c r="AL9" i="7" s="1"/>
  <c r="AC8" i="7"/>
  <c r="S8" i="7"/>
  <c r="M8" i="7"/>
  <c r="F8" i="7" s="1"/>
  <c r="AL8" i="7" s="1"/>
  <c r="AC7" i="7"/>
  <c r="S7" i="7"/>
  <c r="M7" i="7"/>
  <c r="F7" i="7"/>
  <c r="AL7" i="7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F7" i="6"/>
  <c r="AJ7" i="6" s="1"/>
  <c r="U6" i="5"/>
  <c r="U7" i="5"/>
  <c r="U8" i="5"/>
  <c r="U9" i="5"/>
  <c r="U10" i="5"/>
  <c r="U11" i="5"/>
  <c r="U5" i="5"/>
  <c r="U6" i="3"/>
  <c r="U7" i="3"/>
  <c r="U8" i="3"/>
  <c r="U9" i="3"/>
  <c r="U10" i="3"/>
  <c r="U11" i="3"/>
  <c r="K12" i="49" l="1"/>
  <c r="H7" i="49"/>
  <c r="AC8" i="49"/>
  <c r="AW12" i="49"/>
  <c r="S7" i="49"/>
  <c r="AC9" i="49"/>
  <c r="AM11" i="49"/>
  <c r="AW13" i="49"/>
  <c r="AD7" i="49"/>
  <c r="AM15" i="49"/>
  <c r="AM13" i="49"/>
  <c r="AI7" i="49"/>
  <c r="X13" i="49"/>
  <c r="AM9" i="49"/>
  <c r="K7" i="49"/>
  <c r="AH7" i="49"/>
  <c r="T7" i="49"/>
  <c r="Y7" i="49"/>
  <c r="X11" i="49"/>
  <c r="AC7" i="49"/>
  <c r="X7" i="49"/>
  <c r="X15" i="49"/>
  <c r="AW9" i="48"/>
  <c r="X10" i="48"/>
  <c r="AH14" i="48"/>
  <c r="AM8" i="48"/>
  <c r="X14" i="48"/>
  <c r="AC7" i="48"/>
  <c r="AM11" i="48"/>
  <c r="AC8" i="48"/>
  <c r="S7" i="48"/>
  <c r="AR7" i="48"/>
  <c r="S14" i="48"/>
  <c r="AC12" i="48"/>
  <c r="AR8" i="48"/>
  <c r="K9" i="48"/>
  <c r="M9" i="48" s="1"/>
  <c r="AR9" i="48"/>
  <c r="AC14" i="48"/>
  <c r="AW8" i="48"/>
  <c r="AW13" i="48"/>
  <c r="K7" i="48"/>
  <c r="K14" i="48"/>
  <c r="AH7" i="48"/>
  <c r="AM10" i="48"/>
  <c r="AM14" i="48"/>
  <c r="AW11" i="48"/>
  <c r="AM9" i="48"/>
  <c r="X13" i="48"/>
  <c r="AN7" i="48"/>
  <c r="AW12" i="48"/>
  <c r="K10" i="48"/>
  <c r="X7" i="48"/>
  <c r="T7" i="47"/>
  <c r="AX7" i="47"/>
  <c r="K8" i="47"/>
  <c r="X8" i="47"/>
  <c r="AC8" i="47"/>
  <c r="AH8" i="47"/>
  <c r="AM8" i="47"/>
  <c r="H7" i="47"/>
  <c r="AR8" i="47"/>
  <c r="AW8" i="47"/>
  <c r="AC7" i="46"/>
  <c r="K7" i="46"/>
  <c r="S7" i="46"/>
  <c r="X7" i="46"/>
  <c r="K8" i="46"/>
  <c r="M8" i="46" s="1"/>
  <c r="X8" i="46"/>
  <c r="AH7" i="46"/>
  <c r="AM7" i="46"/>
  <c r="AW7" i="46"/>
  <c r="AC8" i="46"/>
  <c r="AM8" i="46"/>
  <c r="H7" i="46"/>
  <c r="AD7" i="45"/>
  <c r="AN7" i="45"/>
  <c r="X14" i="45"/>
  <c r="AH14" i="45"/>
  <c r="S7" i="45"/>
  <c r="AC7" i="45"/>
  <c r="AM7" i="45"/>
  <c r="AW7" i="45"/>
  <c r="S16" i="45"/>
  <c r="AC8" i="45"/>
  <c r="AM8" i="45"/>
  <c r="AW8" i="45"/>
  <c r="AM10" i="45"/>
  <c r="AW10" i="45"/>
  <c r="K8" i="45"/>
  <c r="K9" i="45"/>
  <c r="K10" i="45"/>
  <c r="M10" i="45" s="1"/>
  <c r="X12" i="45"/>
  <c r="X16" i="45"/>
  <c r="K12" i="45"/>
  <c r="AH16" i="45"/>
  <c r="K14" i="45"/>
  <c r="AM14" i="45"/>
  <c r="H7" i="45"/>
  <c r="K20" i="44"/>
  <c r="S23" i="44"/>
  <c r="X11" i="44"/>
  <c r="X31" i="44"/>
  <c r="AC21" i="44"/>
  <c r="AH11" i="44"/>
  <c r="AH31" i="44"/>
  <c r="AM21" i="44"/>
  <c r="AR11" i="44"/>
  <c r="AR31" i="44"/>
  <c r="AW21" i="44"/>
  <c r="AW25" i="44"/>
  <c r="AR29" i="44"/>
  <c r="AR30" i="44"/>
  <c r="AM22" i="44"/>
  <c r="AH36" i="44"/>
  <c r="AH13" i="44"/>
  <c r="AH33" i="44"/>
  <c r="AM23" i="44"/>
  <c r="AR33" i="44"/>
  <c r="AW23" i="44"/>
  <c r="K36" i="44"/>
  <c r="X14" i="44"/>
  <c r="X34" i="44"/>
  <c r="AH34" i="44"/>
  <c r="AW24" i="44"/>
  <c r="K9" i="44"/>
  <c r="K32" i="44"/>
  <c r="M32" i="44" s="1"/>
  <c r="AC25" i="44"/>
  <c r="AH15" i="44"/>
  <c r="AH35" i="44"/>
  <c r="AM25" i="44"/>
  <c r="AH10" i="44"/>
  <c r="K22" i="44"/>
  <c r="AW22" i="44"/>
  <c r="X33" i="44"/>
  <c r="AR13" i="44"/>
  <c r="AD7" i="44"/>
  <c r="X35" i="44"/>
  <c r="AR15" i="44"/>
  <c r="S36" i="44"/>
  <c r="AM8" i="44"/>
  <c r="AW8" i="44"/>
  <c r="AH29" i="44"/>
  <c r="AR10" i="44"/>
  <c r="AH19" i="44"/>
  <c r="AC11" i="44"/>
  <c r="K21" i="44"/>
  <c r="AC12" i="44"/>
  <c r="AC32" i="44"/>
  <c r="AC19" i="44"/>
  <c r="AH30" i="44"/>
  <c r="X32" i="44"/>
  <c r="AC29" i="44"/>
  <c r="AC30" i="44"/>
  <c r="AM31" i="44"/>
  <c r="K31" i="44"/>
  <c r="S31" i="44"/>
  <c r="AC20" i="44"/>
  <c r="AR19" i="44"/>
  <c r="K35" i="44"/>
  <c r="AM19" i="44"/>
  <c r="X30" i="44"/>
  <c r="AR32" i="44"/>
  <c r="T7" i="44"/>
  <c r="AC23" i="44"/>
  <c r="S35" i="44"/>
  <c r="S15" i="44"/>
  <c r="AC9" i="44"/>
  <c r="AM9" i="44"/>
  <c r="K7" i="44"/>
  <c r="X20" i="44"/>
  <c r="AM30" i="44"/>
  <c r="AW31" i="44"/>
  <c r="S33" i="44"/>
  <c r="AC31" i="44"/>
  <c r="K10" i="44"/>
  <c r="AH9" i="44"/>
  <c r="X10" i="44"/>
  <c r="X12" i="44"/>
  <c r="AC22" i="44"/>
  <c r="AM29" i="44"/>
  <c r="S13" i="44"/>
  <c r="AR21" i="44"/>
  <c r="S25" i="44"/>
  <c r="AM20" i="44"/>
  <c r="S21" i="44"/>
  <c r="AS7" i="44"/>
  <c r="S14" i="44"/>
  <c r="AR20" i="44"/>
  <c r="AW11" i="44"/>
  <c r="T7" i="6"/>
  <c r="H16" i="13"/>
  <c r="I16" i="13" s="1"/>
  <c r="K16" i="13" s="1"/>
  <c r="AL7" i="6"/>
  <c r="AD7" i="6"/>
  <c r="H19" i="13"/>
  <c r="I19" i="13" s="1"/>
  <c r="K19" i="13" s="1"/>
  <c r="N7" i="6"/>
  <c r="H15" i="13"/>
  <c r="I15" i="13" s="1"/>
  <c r="AD8" i="7"/>
  <c r="N9" i="7"/>
  <c r="N10" i="7"/>
  <c r="T10" i="7"/>
  <c r="AD10" i="7"/>
  <c r="N7" i="7"/>
  <c r="B15" i="13"/>
  <c r="C15" i="13" s="1"/>
  <c r="AD11" i="7"/>
  <c r="T7" i="7"/>
  <c r="B16" i="13"/>
  <c r="C16" i="13" s="1"/>
  <c r="E16" i="13" s="1"/>
  <c r="N12" i="7"/>
  <c r="J10" i="7"/>
  <c r="AD7" i="7"/>
  <c r="B19" i="13"/>
  <c r="C19" i="13" s="1"/>
  <c r="E19" i="13" s="1"/>
  <c r="T12" i="7"/>
  <c r="T9" i="7"/>
  <c r="AD9" i="7"/>
  <c r="AD12" i="7"/>
  <c r="N11" i="7"/>
  <c r="T11" i="7"/>
  <c r="N8" i="7"/>
  <c r="F13" i="7"/>
  <c r="AL13" i="7" s="1"/>
  <c r="T8" i="7"/>
  <c r="N13" i="7"/>
  <c r="K7" i="52"/>
  <c r="M7" i="52" s="1"/>
  <c r="AS7" i="49"/>
  <c r="AX7" i="49"/>
  <c r="K11" i="49"/>
  <c r="K10" i="49"/>
  <c r="K9" i="49"/>
  <c r="K8" i="49"/>
  <c r="K13" i="49"/>
  <c r="AN7" i="49"/>
  <c r="AS7" i="48"/>
  <c r="AX7" i="48"/>
  <c r="AD7" i="48"/>
  <c r="K11" i="48"/>
  <c r="K8" i="48"/>
  <c r="AD7" i="47"/>
  <c r="AM7" i="47"/>
  <c r="K7" i="47"/>
  <c r="M8" i="47" s="1"/>
  <c r="AS7" i="47"/>
  <c r="AH7" i="47"/>
  <c r="S7" i="47"/>
  <c r="X7" i="47"/>
  <c r="AI7" i="46"/>
  <c r="AS7" i="46"/>
  <c r="K7" i="45"/>
  <c r="K13" i="45"/>
  <c r="K11" i="45"/>
  <c r="Y7" i="45"/>
  <c r="K24" i="44"/>
  <c r="K33" i="44"/>
  <c r="AX7" i="44"/>
  <c r="K19" i="44"/>
  <c r="Y7" i="44"/>
  <c r="K28" i="44"/>
  <c r="K11" i="44"/>
  <c r="AI7" i="44"/>
  <c r="K17" i="44"/>
  <c r="H7" i="44"/>
  <c r="K18" i="44"/>
  <c r="K23" i="44"/>
  <c r="AN7" i="44"/>
  <c r="K16" i="44"/>
  <c r="K27" i="44"/>
  <c r="J11" i="7"/>
  <c r="J13" i="7"/>
  <c r="L7" i="7"/>
  <c r="L9" i="7"/>
  <c r="L11" i="7"/>
  <c r="L13" i="7"/>
  <c r="P7" i="7"/>
  <c r="P9" i="7"/>
  <c r="P11" i="7"/>
  <c r="R8" i="7"/>
  <c r="R10" i="7"/>
  <c r="R12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J8" i="7"/>
  <c r="J12" i="7"/>
  <c r="L8" i="7"/>
  <c r="L10" i="7"/>
  <c r="L12" i="7"/>
  <c r="P8" i="7"/>
  <c r="P10" i="7"/>
  <c r="P12" i="7"/>
  <c r="R7" i="7"/>
  <c r="R9" i="7"/>
  <c r="R11" i="7"/>
  <c r="R13" i="7"/>
  <c r="AB7" i="7"/>
  <c r="AB8" i="7"/>
  <c r="AB9" i="7"/>
  <c r="AB10" i="7"/>
  <c r="AB11" i="7"/>
  <c r="AB12" i="7"/>
  <c r="G7" i="7"/>
  <c r="J7" i="7"/>
  <c r="AF7" i="7"/>
  <c r="AH11" i="7"/>
  <c r="AH12" i="7"/>
  <c r="AJ7" i="7"/>
  <c r="AJ8" i="7"/>
  <c r="AJ9" i="7"/>
  <c r="AJ10" i="7"/>
  <c r="AJ11" i="7"/>
  <c r="AJ12" i="7"/>
  <c r="AJ13" i="7"/>
  <c r="J9" i="7"/>
  <c r="AF8" i="7"/>
  <c r="AF9" i="7"/>
  <c r="AF10" i="7"/>
  <c r="AF11" i="7"/>
  <c r="AF12" i="7"/>
  <c r="AH7" i="7"/>
  <c r="AH8" i="7"/>
  <c r="AH9" i="7"/>
  <c r="AH10" i="7"/>
  <c r="AH13" i="7"/>
  <c r="N9" i="6"/>
  <c r="T9" i="6"/>
  <c r="AD9" i="6"/>
  <c r="N10" i="6"/>
  <c r="T10" i="6"/>
  <c r="AD10" i="6"/>
  <c r="N11" i="6"/>
  <c r="T11" i="6"/>
  <c r="N12" i="6"/>
  <c r="AD12" i="6"/>
  <c r="N13" i="6"/>
  <c r="F8" i="6"/>
  <c r="F9" i="6"/>
  <c r="F10" i="6"/>
  <c r="F11" i="6"/>
  <c r="F12" i="6"/>
  <c r="F13" i="6"/>
  <c r="T13" i="6" s="1"/>
  <c r="J7" i="6"/>
  <c r="L7" i="6"/>
  <c r="P7" i="6"/>
  <c r="R7" i="6"/>
  <c r="V7" i="6"/>
  <c r="X7" i="6"/>
  <c r="Z7" i="6"/>
  <c r="AB7" i="6"/>
  <c r="AF7" i="6"/>
  <c r="AH7" i="6"/>
  <c r="M7" i="49" l="1"/>
  <c r="M15" i="49"/>
  <c r="M13" i="49"/>
  <c r="M8" i="49"/>
  <c r="M9" i="49"/>
  <c r="M11" i="49"/>
  <c r="M12" i="49"/>
  <c r="M10" i="49"/>
  <c r="M14" i="49"/>
  <c r="M11" i="48"/>
  <c r="M8" i="48"/>
  <c r="M10" i="48"/>
  <c r="M14" i="48"/>
  <c r="M12" i="48"/>
  <c r="M7" i="48"/>
  <c r="M13" i="48"/>
  <c r="M7" i="46"/>
  <c r="L7" i="46"/>
  <c r="M13" i="45"/>
  <c r="M7" i="45"/>
  <c r="M9" i="45"/>
  <c r="M8" i="45"/>
  <c r="M12" i="45"/>
  <c r="M16" i="45"/>
  <c r="M11" i="45"/>
  <c r="M14" i="45"/>
  <c r="M15" i="45"/>
  <c r="M7" i="44"/>
  <c r="M25" i="44"/>
  <c r="M34" i="44"/>
  <c r="M15" i="44"/>
  <c r="M20" i="44"/>
  <c r="M9" i="44"/>
  <c r="M12" i="44"/>
  <c r="M21" i="44"/>
  <c r="M14" i="44"/>
  <c r="M23" i="44"/>
  <c r="M13" i="44"/>
  <c r="M11" i="44"/>
  <c r="M31" i="44"/>
  <c r="M30" i="44"/>
  <c r="M27" i="44"/>
  <c r="M16" i="44"/>
  <c r="M18" i="44"/>
  <c r="M35" i="44"/>
  <c r="M29" i="44"/>
  <c r="M28" i="44"/>
  <c r="M19" i="44"/>
  <c r="M26" i="44"/>
  <c r="M24" i="44"/>
  <c r="M17" i="44"/>
  <c r="M22" i="44"/>
  <c r="M37" i="44"/>
  <c r="M36" i="44"/>
  <c r="M10" i="44"/>
  <c r="M33" i="44"/>
  <c r="M8" i="44"/>
  <c r="K15" i="13"/>
  <c r="I24" i="13"/>
  <c r="E15" i="13"/>
  <c r="C24" i="13"/>
  <c r="Z13" i="7"/>
  <c r="AD13" i="7"/>
  <c r="AB13" i="7"/>
  <c r="T13" i="7"/>
  <c r="AF13" i="7"/>
  <c r="P13" i="7"/>
  <c r="L7" i="52"/>
  <c r="L7" i="49"/>
  <c r="L7" i="48"/>
  <c r="M7" i="47"/>
  <c r="L7" i="47"/>
  <c r="L7" i="45"/>
  <c r="L7" i="44"/>
  <c r="AJ8" i="6"/>
  <c r="AH8" i="6"/>
  <c r="AF8" i="6"/>
  <c r="AB8" i="6"/>
  <c r="Z8" i="6"/>
  <c r="AL8" i="6"/>
  <c r="X8" i="6"/>
  <c r="V8" i="6"/>
  <c r="R8" i="6"/>
  <c r="P8" i="6"/>
  <c r="L8" i="6"/>
  <c r="J8" i="6"/>
  <c r="G7" i="6"/>
  <c r="AD8" i="6"/>
  <c r="AJ13" i="6"/>
  <c r="AH13" i="6"/>
  <c r="AF13" i="6"/>
  <c r="AB13" i="6"/>
  <c r="Z13" i="6"/>
  <c r="AL13" i="6"/>
  <c r="X13" i="6"/>
  <c r="V13" i="6"/>
  <c r="R13" i="6"/>
  <c r="P13" i="6"/>
  <c r="L13" i="6"/>
  <c r="J13" i="6"/>
  <c r="T8" i="6"/>
  <c r="AJ12" i="6"/>
  <c r="AH12" i="6"/>
  <c r="AF12" i="6"/>
  <c r="AB12" i="6"/>
  <c r="Z12" i="6"/>
  <c r="AL12" i="6"/>
  <c r="X12" i="6"/>
  <c r="V12" i="6"/>
  <c r="R12" i="6"/>
  <c r="P12" i="6"/>
  <c r="L12" i="6"/>
  <c r="J12" i="6"/>
  <c r="N8" i="6"/>
  <c r="AJ11" i="6"/>
  <c r="AH11" i="6"/>
  <c r="AF11" i="6"/>
  <c r="AB11" i="6"/>
  <c r="Z11" i="6"/>
  <c r="AL11" i="6"/>
  <c r="X11" i="6"/>
  <c r="V11" i="6"/>
  <c r="R11" i="6"/>
  <c r="P11" i="6"/>
  <c r="L11" i="6"/>
  <c r="J11" i="6"/>
  <c r="AD13" i="6"/>
  <c r="AJ10" i="6"/>
  <c r="AH10" i="6"/>
  <c r="AF10" i="6"/>
  <c r="AB10" i="6"/>
  <c r="Z10" i="6"/>
  <c r="AL10" i="6"/>
  <c r="X10" i="6"/>
  <c r="V10" i="6"/>
  <c r="R10" i="6"/>
  <c r="P10" i="6"/>
  <c r="L10" i="6"/>
  <c r="J10" i="6"/>
  <c r="T12" i="6"/>
  <c r="AJ9" i="6"/>
  <c r="AH9" i="6"/>
  <c r="AF9" i="6"/>
  <c r="AB9" i="6"/>
  <c r="Z9" i="6"/>
  <c r="AL9" i="6"/>
  <c r="X9" i="6"/>
  <c r="V9" i="6"/>
  <c r="R9" i="6"/>
  <c r="P9" i="6"/>
  <c r="L9" i="6"/>
  <c r="J9" i="6"/>
  <c r="AD11" i="6"/>
  <c r="S5" i="3" l="1"/>
  <c r="AC128" i="64" l="1"/>
  <c r="H65" i="41" s="1"/>
  <c r="AD128" i="64"/>
  <c r="J65" i="41" s="1"/>
  <c r="AE128" i="64"/>
  <c r="L65" i="41" s="1"/>
  <c r="AF128" i="64"/>
  <c r="F70" i="41" s="1"/>
  <c r="AG128" i="64"/>
  <c r="H70" i="41" s="1"/>
  <c r="AH128" i="64"/>
  <c r="J70" i="41" s="1"/>
  <c r="AB128" i="64"/>
  <c r="F65" i="41" s="1"/>
  <c r="AC127" i="64"/>
  <c r="AD127" i="64"/>
  <c r="AE127" i="64"/>
  <c r="AF127" i="64"/>
  <c r="AG127" i="64"/>
  <c r="AH127" i="64"/>
  <c r="AB127" i="64"/>
  <c r="AC128" i="63"/>
  <c r="H64" i="41" s="1"/>
  <c r="AD128" i="63"/>
  <c r="J64" i="41" s="1"/>
  <c r="AE128" i="63"/>
  <c r="L64" i="41" s="1"/>
  <c r="AF128" i="63"/>
  <c r="F69" i="41" s="1"/>
  <c r="AG128" i="63"/>
  <c r="H69" i="41" s="1"/>
  <c r="AH128" i="63"/>
  <c r="J69" i="41" s="1"/>
  <c r="AB128" i="63"/>
  <c r="F64" i="41" s="1"/>
  <c r="AC127" i="63"/>
  <c r="AD127" i="63"/>
  <c r="AE127" i="63"/>
  <c r="AF127" i="63"/>
  <c r="AG127" i="63"/>
  <c r="AH127" i="63"/>
  <c r="AB127" i="63"/>
  <c r="P2" i="46" l="1"/>
  <c r="P3" i="46" s="1"/>
  <c r="U2" i="46"/>
  <c r="Z2" i="46" s="1"/>
  <c r="U3" i="46" l="1"/>
  <c r="AE2" i="46"/>
  <c r="Z3" i="46"/>
  <c r="AJ2" i="46" l="1"/>
  <c r="AE3" i="46"/>
  <c r="AJ3" i="46" l="1"/>
  <c r="AO2" i="46"/>
  <c r="AT2" i="46" l="1"/>
  <c r="AT3" i="46" s="1"/>
  <c r="AO3" i="46"/>
  <c r="D28" i="39" l="1"/>
  <c r="M39" i="56" l="1"/>
  <c r="B64" i="41" s="1"/>
  <c r="N39" i="56"/>
  <c r="B65" i="41" s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P3" i="52" l="1"/>
  <c r="U2" i="52"/>
  <c r="U2" i="49"/>
  <c r="P3" i="49"/>
  <c r="U3" i="52" l="1"/>
  <c r="Z2" i="52"/>
  <c r="P3" i="51"/>
  <c r="U2" i="51"/>
  <c r="U2" i="50"/>
  <c r="P3" i="50"/>
  <c r="U3" i="49"/>
  <c r="Z2" i="49"/>
  <c r="P3" i="48"/>
  <c r="U2" i="48"/>
  <c r="U2" i="47"/>
  <c r="P3" i="47"/>
  <c r="Z3" i="52" l="1"/>
  <c r="AE2" i="52"/>
  <c r="Z2" i="51"/>
  <c r="U3" i="51"/>
  <c r="U3" i="50"/>
  <c r="Z2" i="50"/>
  <c r="Z3" i="49"/>
  <c r="AE2" i="49"/>
  <c r="Z2" i="48"/>
  <c r="U3" i="48"/>
  <c r="U3" i="47"/>
  <c r="Z2" i="47"/>
  <c r="AE3" i="52" l="1"/>
  <c r="AJ2" i="52"/>
  <c r="Z3" i="51"/>
  <c r="AE2" i="51"/>
  <c r="Z3" i="50"/>
  <c r="AE2" i="50"/>
  <c r="AE3" i="49"/>
  <c r="AJ2" i="49"/>
  <c r="Z3" i="48"/>
  <c r="AE2" i="48"/>
  <c r="Z3" i="47"/>
  <c r="AE2" i="47"/>
  <c r="AJ3" i="52" l="1"/>
  <c r="AO2" i="52"/>
  <c r="AE3" i="51"/>
  <c r="AJ2" i="51"/>
  <c r="AE3" i="50"/>
  <c r="AJ2" i="50"/>
  <c r="AJ3" i="49"/>
  <c r="AO2" i="49"/>
  <c r="AE3" i="48"/>
  <c r="AJ2" i="48"/>
  <c r="AE3" i="47"/>
  <c r="AJ2" i="47"/>
  <c r="AO3" i="52" l="1"/>
  <c r="AT2" i="52"/>
  <c r="AT3" i="52" s="1"/>
  <c r="AJ3" i="51"/>
  <c r="AO2" i="51"/>
  <c r="AO2" i="50"/>
  <c r="AJ3" i="50"/>
  <c r="AO3" i="49"/>
  <c r="AT2" i="49"/>
  <c r="AT3" i="49" s="1"/>
  <c r="AJ3" i="48"/>
  <c r="AO2" i="48"/>
  <c r="AJ3" i="47"/>
  <c r="AO2" i="47"/>
  <c r="AO3" i="51" l="1"/>
  <c r="AT2" i="51"/>
  <c r="AT3" i="51" s="1"/>
  <c r="AO3" i="50"/>
  <c r="AT2" i="50"/>
  <c r="AT3" i="50" s="1"/>
  <c r="AO3" i="48"/>
  <c r="AT2" i="48"/>
  <c r="AT3" i="48" s="1"/>
  <c r="AO3" i="47"/>
  <c r="AT2" i="47"/>
  <c r="AT3" i="47" s="1"/>
  <c r="AB103" i="64" l="1"/>
  <c r="AA127" i="64"/>
  <c r="R74" i="64"/>
  <c r="S74" i="64" s="1"/>
  <c r="Q74" i="64"/>
  <c r="M74" i="64"/>
  <c r="K74" i="64"/>
  <c r="I74" i="64"/>
  <c r="R73" i="64"/>
  <c r="S73" i="64" s="1"/>
  <c r="Q73" i="64"/>
  <c r="M73" i="64"/>
  <c r="K73" i="64"/>
  <c r="I73" i="64"/>
  <c r="R72" i="64"/>
  <c r="S72" i="64" s="1"/>
  <c r="Q72" i="64"/>
  <c r="M72" i="64"/>
  <c r="K72" i="64"/>
  <c r="I72" i="64"/>
  <c r="R71" i="64"/>
  <c r="S71" i="64" s="1"/>
  <c r="Q71" i="64"/>
  <c r="M71" i="64"/>
  <c r="K71" i="64"/>
  <c r="I71" i="64"/>
  <c r="R70" i="64"/>
  <c r="S70" i="64" s="1"/>
  <c r="Q70" i="64"/>
  <c r="M70" i="64"/>
  <c r="K70" i="64"/>
  <c r="I70" i="64"/>
  <c r="R69" i="64"/>
  <c r="S69" i="64" s="1"/>
  <c r="Q69" i="64"/>
  <c r="M69" i="64"/>
  <c r="K69" i="64"/>
  <c r="I69" i="64"/>
  <c r="R68" i="64"/>
  <c r="S68" i="64" s="1"/>
  <c r="Q68" i="64"/>
  <c r="M68" i="64"/>
  <c r="K68" i="64"/>
  <c r="I68" i="64"/>
  <c r="R67" i="64"/>
  <c r="S67" i="64" s="1"/>
  <c r="Q67" i="64"/>
  <c r="M67" i="64"/>
  <c r="K67" i="64"/>
  <c r="I67" i="64"/>
  <c r="R66" i="64"/>
  <c r="S66" i="64" s="1"/>
  <c r="Q66" i="64"/>
  <c r="M66" i="64"/>
  <c r="K66" i="64"/>
  <c r="I66" i="64"/>
  <c r="R65" i="64"/>
  <c r="S65" i="64" s="1"/>
  <c r="Q65" i="64"/>
  <c r="M65" i="64"/>
  <c r="K65" i="64"/>
  <c r="I65" i="64"/>
  <c r="R64" i="64"/>
  <c r="S64" i="64" s="1"/>
  <c r="Q64" i="64"/>
  <c r="M64" i="64"/>
  <c r="K64" i="64"/>
  <c r="I64" i="64"/>
  <c r="R63" i="64"/>
  <c r="S63" i="64" s="1"/>
  <c r="Q63" i="64"/>
  <c r="M63" i="64"/>
  <c r="K63" i="64"/>
  <c r="I63" i="64"/>
  <c r="R62" i="64"/>
  <c r="S62" i="64" s="1"/>
  <c r="Q62" i="64"/>
  <c r="M62" i="64"/>
  <c r="K62" i="64"/>
  <c r="I62" i="64"/>
  <c r="R61" i="64"/>
  <c r="S61" i="64" s="1"/>
  <c r="Q61" i="64"/>
  <c r="M61" i="64"/>
  <c r="K61" i="64"/>
  <c r="I61" i="64"/>
  <c r="R60" i="64"/>
  <c r="S60" i="64" s="1"/>
  <c r="Q60" i="64"/>
  <c r="M60" i="64"/>
  <c r="K60" i="64"/>
  <c r="I60" i="64"/>
  <c r="R59" i="64"/>
  <c r="S59" i="64" s="1"/>
  <c r="Q59" i="64"/>
  <c r="M59" i="64"/>
  <c r="K59" i="64"/>
  <c r="I59" i="64"/>
  <c r="R58" i="64"/>
  <c r="S58" i="64" s="1"/>
  <c r="Q58" i="64"/>
  <c r="M58" i="64"/>
  <c r="K58" i="64"/>
  <c r="I58" i="64"/>
  <c r="R57" i="64"/>
  <c r="S57" i="64" s="1"/>
  <c r="Q57" i="64"/>
  <c r="M57" i="64"/>
  <c r="K57" i="64"/>
  <c r="I57" i="64"/>
  <c r="R56" i="64"/>
  <c r="S56" i="64" s="1"/>
  <c r="Q56" i="64"/>
  <c r="M56" i="64"/>
  <c r="K56" i="64"/>
  <c r="I56" i="64"/>
  <c r="R55" i="64"/>
  <c r="S55" i="64" s="1"/>
  <c r="Q55" i="64"/>
  <c r="M55" i="64"/>
  <c r="K55" i="64"/>
  <c r="I55" i="64"/>
  <c r="K47" i="56"/>
  <c r="I47" i="56"/>
  <c r="G47" i="56"/>
  <c r="E47" i="56"/>
  <c r="AF3" i="56" s="1"/>
  <c r="B10" i="40" s="1"/>
  <c r="C47" i="56"/>
  <c r="AC3" i="56" s="1"/>
  <c r="B9" i="40" s="1"/>
  <c r="B47" i="56"/>
  <c r="A5" i="56"/>
  <c r="A6" i="56" s="1"/>
  <c r="A7" i="56" s="1"/>
  <c r="A8" i="56" s="1"/>
  <c r="A9" i="56" s="1"/>
  <c r="A10" i="56" s="1"/>
  <c r="N4" i="56"/>
  <c r="M4" i="56"/>
  <c r="AC129" i="64" l="1"/>
  <c r="I65" i="41" s="1"/>
  <c r="AB129" i="64"/>
  <c r="G65" i="41" s="1"/>
  <c r="AE129" i="64"/>
  <c r="M65" i="41" s="1"/>
  <c r="AF129" i="64"/>
  <c r="G70" i="41" s="1"/>
  <c r="AH129" i="64"/>
  <c r="K70" i="41" s="1"/>
  <c r="AG129" i="64"/>
  <c r="I70" i="41" s="1"/>
  <c r="AD129" i="64"/>
  <c r="K65" i="41" s="1"/>
  <c r="AA127" i="63" l="1"/>
  <c r="AB129" i="63" s="1"/>
  <c r="G64" i="41" s="1"/>
  <c r="AH104" i="63"/>
  <c r="AG104" i="63"/>
  <c r="AF104" i="63"/>
  <c r="AE104" i="63"/>
  <c r="AD104" i="63"/>
  <c r="AC104" i="63"/>
  <c r="AB104" i="63"/>
  <c r="AH103" i="63"/>
  <c r="AG103" i="63"/>
  <c r="AG105" i="63" s="1"/>
  <c r="AF103" i="63"/>
  <c r="AE103" i="63"/>
  <c r="AD103" i="63"/>
  <c r="AD105" i="63" s="1"/>
  <c r="AC103" i="63"/>
  <c r="AC105" i="63" s="1"/>
  <c r="AB103" i="63"/>
  <c r="AB105" i="63" s="1"/>
  <c r="AA103" i="63"/>
  <c r="AH80" i="63"/>
  <c r="AG80" i="63"/>
  <c r="AF80" i="63"/>
  <c r="AE80" i="63"/>
  <c r="AD80" i="63"/>
  <c r="AC80" i="63"/>
  <c r="AB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AH56" i="63"/>
  <c r="AG56" i="63"/>
  <c r="AF56" i="63"/>
  <c r="AE56" i="63"/>
  <c r="AD56" i="63"/>
  <c r="AC56" i="63"/>
  <c r="AB56" i="63"/>
  <c r="AH55" i="63"/>
  <c r="AG55" i="63"/>
  <c r="AF55" i="63"/>
  <c r="AE55" i="63"/>
  <c r="AD55" i="63"/>
  <c r="AC55" i="63"/>
  <c r="AB55" i="63"/>
  <c r="AA55" i="63"/>
  <c r="Q50" i="63"/>
  <c r="S50" i="63" s="1"/>
  <c r="P50" i="63"/>
  <c r="Q49" i="63"/>
  <c r="S49" i="63" s="1"/>
  <c r="P49" i="63"/>
  <c r="Q48" i="63"/>
  <c r="R48" i="63" s="1"/>
  <c r="P48" i="63"/>
  <c r="Q47" i="63"/>
  <c r="S47" i="63" s="1"/>
  <c r="P47" i="63"/>
  <c r="Q46" i="63"/>
  <c r="S46" i="63" s="1"/>
  <c r="P46" i="63"/>
  <c r="Q45" i="63"/>
  <c r="S45" i="63" s="1"/>
  <c r="P45" i="63"/>
  <c r="Q44" i="63"/>
  <c r="S44" i="63" s="1"/>
  <c r="P44" i="63"/>
  <c r="Q43" i="63"/>
  <c r="R43" i="63" s="1"/>
  <c r="P43" i="63"/>
  <c r="Q42" i="63"/>
  <c r="S42" i="63" s="1"/>
  <c r="P42" i="63"/>
  <c r="Q41" i="63"/>
  <c r="R41" i="63" s="1"/>
  <c r="P41" i="63"/>
  <c r="Q40" i="63"/>
  <c r="S40" i="63" s="1"/>
  <c r="P40" i="63"/>
  <c r="Q39" i="63"/>
  <c r="S39" i="63" s="1"/>
  <c r="P39" i="63"/>
  <c r="Q38" i="63"/>
  <c r="S38" i="63" s="1"/>
  <c r="P38" i="63"/>
  <c r="Q37" i="63"/>
  <c r="S37" i="63" s="1"/>
  <c r="P37" i="63"/>
  <c r="Q36" i="63"/>
  <c r="S36" i="63" s="1"/>
  <c r="P36" i="63"/>
  <c r="Q35" i="63"/>
  <c r="S35" i="63" s="1"/>
  <c r="P35" i="63"/>
  <c r="Q34" i="63"/>
  <c r="S34" i="63" s="1"/>
  <c r="P34" i="63"/>
  <c r="Q33" i="63"/>
  <c r="R33" i="63" s="1"/>
  <c r="P33" i="63"/>
  <c r="AH32" i="63"/>
  <c r="AG32" i="63"/>
  <c r="AF32" i="63"/>
  <c r="AE32" i="63"/>
  <c r="AD32" i="63"/>
  <c r="AC32" i="63"/>
  <c r="AB32" i="63"/>
  <c r="Q32" i="63"/>
  <c r="R32" i="63" s="1"/>
  <c r="P32" i="63"/>
  <c r="AH31" i="63"/>
  <c r="AG31" i="63"/>
  <c r="AF31" i="63"/>
  <c r="AE31" i="63"/>
  <c r="AD31" i="63"/>
  <c r="AD33" i="63" s="1"/>
  <c r="AC31" i="63"/>
  <c r="AB31" i="63"/>
  <c r="AA31" i="63"/>
  <c r="Q31" i="63"/>
  <c r="S31" i="63" s="1"/>
  <c r="P31" i="63"/>
  <c r="AH8" i="63"/>
  <c r="AG8" i="63"/>
  <c r="AF8" i="63"/>
  <c r="AE8" i="63"/>
  <c r="AD8" i="63"/>
  <c r="AC8" i="63"/>
  <c r="AB8" i="63"/>
  <c r="AH7" i="63"/>
  <c r="AH9" i="63" s="1"/>
  <c r="AG7" i="63"/>
  <c r="AG9" i="63" s="1"/>
  <c r="AF7" i="63"/>
  <c r="AF9" i="63" s="1"/>
  <c r="AE7" i="63"/>
  <c r="AE9" i="63" s="1"/>
  <c r="AD7" i="63"/>
  <c r="AD9" i="63" s="1"/>
  <c r="AC7" i="63"/>
  <c r="AC9" i="63" s="1"/>
  <c r="AB7" i="63"/>
  <c r="AB9" i="63" s="1"/>
  <c r="AA7" i="63"/>
  <c r="AF105" i="63" l="1"/>
  <c r="AH105" i="63"/>
  <c r="AA142" i="63"/>
  <c r="AE105" i="63"/>
  <c r="AG143" i="63"/>
  <c r="H14" i="40" s="1"/>
  <c r="AD142" i="63"/>
  <c r="AF143" i="63"/>
  <c r="F14" i="40" s="1"/>
  <c r="AH57" i="63"/>
  <c r="AH142" i="63"/>
  <c r="AH144" i="63" s="1"/>
  <c r="K14" i="40" s="1"/>
  <c r="AG57" i="63"/>
  <c r="AG142" i="63"/>
  <c r="AG144" i="63" s="1"/>
  <c r="I14" i="40" s="1"/>
  <c r="AB143" i="63"/>
  <c r="F9" i="40" s="1"/>
  <c r="AC143" i="63"/>
  <c r="H9" i="40" s="1"/>
  <c r="AD143" i="63"/>
  <c r="J9" i="40" s="1"/>
  <c r="AE143" i="63"/>
  <c r="L9" i="40" s="1"/>
  <c r="AB57" i="63"/>
  <c r="AB142" i="63"/>
  <c r="AB144" i="63" s="1"/>
  <c r="G9" i="40" s="1"/>
  <c r="AC57" i="63"/>
  <c r="AC142" i="63"/>
  <c r="AC144" i="63" s="1"/>
  <c r="I9" i="40" s="1"/>
  <c r="AH143" i="63"/>
  <c r="J14" i="40" s="1"/>
  <c r="AE57" i="63"/>
  <c r="AE142" i="63"/>
  <c r="AE144" i="63" s="1"/>
  <c r="M9" i="40" s="1"/>
  <c r="AF57" i="63"/>
  <c r="AF142" i="63"/>
  <c r="AF144" i="63" s="1"/>
  <c r="G14" i="40" s="1"/>
  <c r="AC129" i="63"/>
  <c r="I64" i="41" s="1"/>
  <c r="AH129" i="63"/>
  <c r="K69" i="41" s="1"/>
  <c r="AE129" i="63"/>
  <c r="M64" i="41" s="1"/>
  <c r="AF129" i="63"/>
  <c r="G69" i="41" s="1"/>
  <c r="AD129" i="63"/>
  <c r="K64" i="41" s="1"/>
  <c r="AG129" i="63"/>
  <c r="I69" i="41" s="1"/>
  <c r="AB33" i="63"/>
  <c r="AE33" i="63"/>
  <c r="AD144" i="63"/>
  <c r="K9" i="40" s="1"/>
  <c r="S41" i="63"/>
  <c r="S48" i="63"/>
  <c r="R44" i="63"/>
  <c r="R45" i="63"/>
  <c r="R46" i="63"/>
  <c r="R31" i="63"/>
  <c r="S43" i="63"/>
  <c r="S33" i="63"/>
  <c r="R35" i="63"/>
  <c r="R38" i="63"/>
  <c r="AC33" i="63"/>
  <c r="R50" i="63"/>
  <c r="AD57" i="63"/>
  <c r="AH33" i="63"/>
  <c r="R36" i="63"/>
  <c r="R39" i="63"/>
  <c r="R42" i="63"/>
  <c r="R49" i="63"/>
  <c r="R47" i="63"/>
  <c r="AF33" i="63"/>
  <c r="S32" i="63"/>
  <c r="AG33" i="63"/>
  <c r="R34" i="63"/>
  <c r="R37" i="63"/>
  <c r="R40" i="63"/>
  <c r="I5" i="5" l="1"/>
  <c r="M5" i="5"/>
  <c r="P5" i="5"/>
  <c r="S5" i="5"/>
  <c r="V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I6" i="5"/>
  <c r="K6" i="5" s="1"/>
  <c r="K7" i="39" s="1"/>
  <c r="I7" i="5"/>
  <c r="I8" i="5"/>
  <c r="I9" i="5"/>
  <c r="I10" i="5"/>
  <c r="I11" i="5"/>
  <c r="J5" i="5" l="1"/>
  <c r="O6" i="3"/>
  <c r="O7" i="3"/>
  <c r="O8" i="3"/>
  <c r="O9" i="3"/>
  <c r="O10" i="3"/>
  <c r="O11" i="3"/>
  <c r="M5" i="3"/>
  <c r="J5" i="3"/>
  <c r="G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12" i="3"/>
  <c r="B19" i="3" s="1"/>
  <c r="B26" i="3" s="1"/>
  <c r="B33" i="3" s="1"/>
  <c r="O5" i="3"/>
  <c r="U5" i="3"/>
  <c r="V5" i="3" l="1"/>
  <c r="P5" i="3"/>
  <c r="B5" i="40"/>
  <c r="C9" i="40" s="1"/>
  <c r="C65" i="41" l="1"/>
  <c r="C64" i="41"/>
  <c r="M32" i="56" l="1"/>
  <c r="B53" i="41" s="1"/>
  <c r="N32" i="56" l="1"/>
  <c r="D30" i="39" l="1"/>
  <c r="N11" i="56" l="1"/>
  <c r="M11" i="56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B31" i="13"/>
  <c r="D31" i="13" s="1"/>
  <c r="B30" i="13"/>
  <c r="D30" i="13" s="1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C21" i="39" l="1"/>
  <c r="C22" i="39"/>
  <c r="C17" i="39"/>
  <c r="C20" i="39"/>
  <c r="C15" i="39"/>
  <c r="C23" i="39"/>
  <c r="C19" i="39"/>
  <c r="C18" i="39"/>
  <c r="C16" i="39"/>
  <c r="B54" i="41" l="1"/>
  <c r="AC103" i="64" l="1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AB105" i="64" l="1"/>
  <c r="G54" i="41" s="1"/>
  <c r="H59" i="41"/>
  <c r="H54" i="41"/>
  <c r="J59" i="41"/>
  <c r="F54" i="41"/>
  <c r="L54" i="41"/>
  <c r="J54" i="41"/>
  <c r="F59" i="41"/>
  <c r="G58" i="41"/>
  <c r="I58" i="41"/>
  <c r="L53" i="41"/>
  <c r="F53" i="41"/>
  <c r="J58" i="41"/>
  <c r="H58" i="41"/>
  <c r="F58" i="41"/>
  <c r="J53" i="41"/>
  <c r="H53" i="41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AB143" i="64" l="1"/>
  <c r="F10" i="40" s="1"/>
  <c r="F48" i="41"/>
  <c r="J48" i="41"/>
  <c r="H48" i="41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I42" i="41"/>
  <c r="K42" i="41"/>
  <c r="M42" i="41"/>
  <c r="H42" i="41"/>
  <c r="J42" i="41"/>
  <c r="L42" i="41"/>
  <c r="F47" i="41"/>
  <c r="H47" i="41"/>
  <c r="J47" i="41"/>
  <c r="G42" i="41"/>
  <c r="AC81" i="64" l="1"/>
  <c r="I43" i="41" s="1"/>
  <c r="AA142" i="64"/>
  <c r="AB81" i="64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B57" i="64" l="1"/>
  <c r="G32" i="41" s="1"/>
  <c r="AF57" i="64"/>
  <c r="G37" i="41" s="1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AB31" i="64" l="1"/>
  <c r="AB142" i="64" s="1"/>
  <c r="AC31" i="64"/>
  <c r="AC142" i="64" s="1"/>
  <c r="AD31" i="64"/>
  <c r="AD142" i="64" s="1"/>
  <c r="AE31" i="64"/>
  <c r="AE142" i="64" s="1"/>
  <c r="AF31" i="64"/>
  <c r="AG31" i="64"/>
  <c r="AG142" i="64" s="1"/>
  <c r="AH31" i="64"/>
  <c r="AH142" i="64" s="1"/>
  <c r="AC32" i="64"/>
  <c r="AC143" i="64" s="1"/>
  <c r="H10" i="40" s="1"/>
  <c r="AD32" i="64"/>
  <c r="AD143" i="64" s="1"/>
  <c r="J10" i="40" s="1"/>
  <c r="AE32" i="64"/>
  <c r="AE143" i="64" s="1"/>
  <c r="L10" i="40" s="1"/>
  <c r="AF32" i="64"/>
  <c r="AF143" i="64" s="1"/>
  <c r="F15" i="40" s="1"/>
  <c r="AG32" i="64"/>
  <c r="AG143" i="64" s="1"/>
  <c r="H15" i="40" s="1"/>
  <c r="AH32" i="64"/>
  <c r="AH143" i="64" s="1"/>
  <c r="J15" i="40" s="1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C32" i="41" l="1"/>
  <c r="K78" i="62"/>
  <c r="K70" i="62"/>
  <c r="K86" i="62"/>
  <c r="K78" i="19"/>
  <c r="K70" i="19"/>
  <c r="K110" i="20"/>
  <c r="K102" i="20"/>
  <c r="K94" i="20"/>
  <c r="K86" i="20"/>
  <c r="K86" i="19"/>
  <c r="AH144" i="64"/>
  <c r="K15" i="40" s="1"/>
  <c r="AF142" i="64"/>
  <c r="AF144" i="64" s="1"/>
  <c r="G15" i="40" s="1"/>
  <c r="C21" i="41"/>
  <c r="C20" i="41"/>
  <c r="AG144" i="64"/>
  <c r="I15" i="40" s="1"/>
  <c r="AB144" i="64"/>
  <c r="G10" i="40" s="1"/>
  <c r="AE144" i="64"/>
  <c r="M10" i="40" s="1"/>
  <c r="AC144" i="64"/>
  <c r="I10" i="40" s="1"/>
  <c r="AD144" i="64"/>
  <c r="K10" i="40" s="1"/>
  <c r="F26" i="41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C54" i="41" l="1"/>
  <c r="C53" i="41"/>
  <c r="D8" i="39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C10" i="40" l="1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" i="45" l="1"/>
  <c r="P3" i="45"/>
  <c r="U3" i="45" l="1"/>
  <c r="Z2" i="45"/>
  <c r="AE2" i="45" l="1"/>
  <c r="Z3" i="45"/>
  <c r="AJ2" i="45" l="1"/>
  <c r="AE3" i="45"/>
  <c r="AJ3" i="45" l="1"/>
  <c r="AO2" i="45"/>
  <c r="AO3" i="45" l="1"/>
  <c r="AT2" i="45"/>
  <c r="AT3" i="45" s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<sst xmlns="http://schemas.openxmlformats.org/spreadsheetml/2006/main" count="6130" uniqueCount="761">
  <si>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</si>
  <si>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</si>
  <si>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</si>
  <si>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</si>
  <si>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</si>
  <si>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</si>
  <si>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</si>
  <si>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</si>
  <si>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</si>
  <si>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</si>
  <si>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</si>
  <si>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</si>
  <si>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</si>
  <si>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</si>
  <si>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</si>
  <si>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</si>
  <si>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</si>
  <si>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</si>
  <si>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</si>
  <si>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</si>
  <si>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</si>
  <si>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</si>
  <si>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</si>
  <si>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</si>
  <si>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</si>
  <si>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</si>
  <si>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</si>
  <si>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</si>
  <si>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</si>
  <si>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</si>
  <si>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</si>
  <si>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</si>
  <si>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</si>
  <si>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</si>
  <si>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</si>
  <si>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</si>
  <si>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</si>
  <si>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</si>
  <si>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</si>
  <si>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</si>
  <si>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</si>
  <si>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</si>
  <si>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</si>
  <si>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</si>
  <si>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</si>
  <si>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</si>
  <si>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</si>
  <si>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</si>
  <si>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</si>
  <si>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</si>
  <si>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</si>
  <si>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</si>
  <si>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</si>
  <si>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</si>
  <si>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</si>
  <si>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</si>
  <si>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</si>
  <si>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</si>
  <si>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</si>
  <si>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</si>
  <si>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</si>
  <si>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</si>
  <si>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</si>
  <si>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</si>
  <si>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</si>
  <si>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</si>
  <si>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</si>
  <si>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</si>
  <si>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</si>
  <si>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</si>
  <si>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</si>
  <si>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</si>
  <si>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</si>
  <si>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</si>
  <si>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</si>
  <si>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</si>
  <si>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</si>
  <si>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</si>
  <si>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</si>
  <si>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</si>
  <si>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</si>
  <si>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</si>
  <si>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</si>
  <si>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</si>
  <si>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</si>
  <si>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</si>
  <si>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</si>
  <si>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</si>
  <si>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</si>
  <si>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</si>
  <si>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</si>
  <si>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</si>
  <si>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</si>
  <si>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</si>
  <si>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</si>
  <si>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</si>
  <si>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</si>
  <si>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</si>
  <si>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</si>
  <si>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</si>
  <si>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</si>
  <si>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</si>
  <si>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</si>
  <si>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</si>
  <si>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</si>
  <si>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</si>
  <si>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</si>
  <si>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</si>
  <si>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</si>
  <si>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</si>
  <si>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</si>
  <si>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</si>
  <si>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</si>
  <si>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</si>
  <si>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</si>
  <si>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</si>
  <si>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</si>
  <si>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</si>
  <si>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</si>
  <si>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</si>
  <si>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</si>
  <si>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</si>
  <si>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</si>
  <si>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</si>
  <si>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</si>
  <si>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</si>
  <si>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</si>
  <si>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</si>
  <si>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</si>
  <si>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</si>
  <si>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</si>
  <si>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</si>
  <si>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</si>
  <si>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</si>
  <si>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</si>
  <si>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</si>
  <si>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</si>
  <si>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</si>
  <si>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</si>
  <si>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</si>
  <si>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</si>
  <si>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</si>
  <si>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</si>
  <si>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</si>
  <si>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</si>
  <si>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</si>
  <si>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</si>
  <si>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</si>
  <si>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</si>
  <si>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</si>
  <si>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</si>
  <si>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</si>
  <si>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</si>
  <si>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</si>
  <si>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</si>
  <si>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</si>
  <si>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</si>
  <si>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</si>
  <si>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</si>
  <si>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</si>
  <si>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</si>
  <si>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</si>
  <si>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</si>
  <si>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</si>
  <si>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</si>
  <si>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</si>
  <si>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</si>
  <si>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</si>
  <si>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</si>
  <si>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</si>
  <si>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</si>
  <si>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</si>
  <si>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</si>
  <si>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</si>
  <si>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</si>
  <si>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</si>
  <si>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</si>
  <si>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</si>
  <si>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</si>
  <si>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</si>
  <si>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</si>
  <si>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</si>
  <si>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</si>
  <si>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</si>
  <si>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</si>
  <si>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</si>
  <si>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</si>
  <si>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</si>
  <si>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</si>
  <si>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</si>
  <si>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</si>
  <si>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</si>
  <si>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</si>
  <si>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</si>
  <si>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</si>
  <si>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</si>
  <si>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</si>
  <si>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</si>
  <si>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</si>
  <si>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</si>
  <si>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</si>
  <si>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</si>
  <si>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</si>
  <si>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</si>
  <si>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</si>
  <si>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</si>
  <si>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</si>
  <si>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</si>
  <si>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</si>
  <si>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</si>
  <si>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</si>
  <si>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</si>
  <si>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</si>
  <si>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</si>
  <si>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</si>
  <si>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</si>
  <si>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</si>
  <si>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</si>
  <si>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</si>
  <si>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</si>
  <si>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</si>
  <si>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</si>
  <si>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</si>
  <si>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</si>
  <si>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</si>
  <si>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</si>
  <si>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</si>
  <si>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</si>
  <si>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</si>
  <si>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</si>
  <si>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</si>
  <si>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</si>
  <si>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</si>
  <si>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</si>
  <si>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</si>
  <si>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</si>
  <si>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</si>
  <si>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</si>
  <si>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</si>
  <si>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</si>
  <si>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</si>
  <si>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</si>
  <si>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</si>
  <si>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</si>
  <si>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</si>
  <si>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</si>
  <si>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</si>
  <si>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</si>
  <si>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</si>
  <si>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</si>
  <si>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</si>
  <si>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</si>
  <si>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</si>
  <si>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</si>
  <si>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</si>
  <si>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</si>
  <si>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</si>
  <si>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</si>
  <si>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</si>
  <si>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</si>
  <si>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</si>
  <si>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</si>
  <si>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</si>
  <si>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</si>
  <si>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</si>
  <si>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</si>
  <si>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</si>
  <si>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</si>
  <si>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</si>
  <si>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</si>
  <si>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</si>
  <si>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</si>
  <si>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</si>
  <si>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</si>
  <si>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</si>
  <si>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</si>
  <si>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</si>
  <si>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</si>
  <si>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</si>
  <si>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</si>
  <si>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</si>
  <si>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</si>
  <si>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</si>
  <si>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</si>
  <si>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</si>
  <si>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</si>
  <si>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</si>
  <si>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</si>
  <si>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</si>
  <si>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</si>
  <si>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</si>
  <si>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</si>
  <si>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</si>
  <si>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</si>
  <si>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</si>
  <si>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</si>
  <si>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</si>
  <si>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</si>
  <si>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</si>
  <si>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</si>
  <si>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</si>
  <si>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</si>
  <si>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</si>
  <si>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</si>
  <si>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</si>
  <si>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</si>
  <si>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</si>
  <si>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</si>
  <si>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</si>
  <si>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</si>
  <si>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</si>
  <si>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</si>
  <si>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</si>
  <si>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</si>
  <si>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</si>
  <si>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</si>
  <si>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</si>
  <si>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</si>
  <si>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</si>
  <si>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</si>
  <si>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</si>
  <si>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</si>
  <si>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</si>
  <si>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</si>
  <si>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</si>
  <si>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</si>
  <si>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</si>
  <si>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</si>
  <si>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</si>
  <si>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</si>
  <si>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</si>
  <si>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</si>
  <si>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</si>
  <si>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</si>
  <si>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</si>
  <si>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</si>
  <si>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</si>
  <si>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</si>
  <si>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</si>
  <si>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</si>
  <si>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</si>
  <si>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</si>
  <si>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</si>
  <si>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</si>
  <si>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</si>
  <si>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</si>
  <si>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</si>
  <si>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</si>
  <si>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</si>
  <si>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</si>
  <si>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</si>
  <si>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</si>
  <si>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</si>
  <si>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</si>
  <si>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</si>
  <si>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</si>
  <si>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</si>
  <si>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</si>
  <si>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</si>
  <si>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</si>
  <si>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</si>
  <si>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</si>
  <si>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</si>
  <si>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</si>
  <si>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</si>
  <si>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</si>
  <si>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</si>
  <si>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</si>
  <si>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</si>
  <si>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</si>
  <si>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</si>
  <si>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</si>
  <si>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</si>
  <si>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</si>
  <si>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</si>
  <si>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</si>
  <si>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</si>
  <si>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</si>
  <si>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</si>
  <si>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</si>
  <si>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</si>
  <si>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</si>
  <si>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</si>
  <si>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</si>
  <si>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</si>
  <si>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</si>
  <si>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</si>
  <si>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</si>
  <si>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</si>
  <si>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</si>
  <si>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</si>
  <si>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</si>
  <si>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</si>
  <si>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</si>
  <si>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</si>
  <si>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</si>
  <si>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</si>
  <si>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</si>
  <si>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</si>
  <si>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</si>
  <si>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</si>
  <si>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</si>
  <si>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</si>
  <si>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</si>
  <si>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</si>
  <si>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</si>
  <si>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</si>
  <si>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</si>
  <si>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</si>
  <si>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</si>
  <si>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</si>
  <si>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</si>
  <si>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</si>
  <si>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</si>
  <si>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</si>
  <si>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</si>
  <si>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</si>
  <si>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</si>
  <si>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</si>
  <si>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</si>
  <si>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</si>
  <si>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</si>
  <si>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</si>
  <si>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</si>
  <si>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</si>
  <si>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</si>
  <si>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</si>
  <si>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</si>
  <si>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</si>
  <si>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</si>
  <si>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</si>
  <si>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</si>
  <si>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</si>
  <si>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</si>
  <si>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</si>
  <si>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</si>
  <si>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</si>
  <si>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</si>
  <si>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</si>
  <si>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</si>
  <si>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</si>
  <si>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</si>
  <si>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</si>
  <si>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</si>
  <si>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</si>
  <si>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</si>
  <si>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</si>
  <si>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</si>
  <si>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</si>
  <si>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</si>
  <si>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</si>
  <si>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</si>
  <si>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</si>
  <si>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</si>
  <si>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</si>
  <si>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</si>
  <si>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</si>
  <si>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</si>
  <si>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</si>
  <si>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</si>
  <si>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</si>
  <si>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</si>
  <si>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</si>
  <si>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</si>
  <si>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</si>
  <si>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</si>
  <si>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</si>
  <si>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</si>
  <si>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</si>
  <si>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</si>
  <si>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</si>
  <si>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</si>
  <si>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</si>
  <si>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</si>
  <si>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</si>
  <si>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</si>
  <si>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</si>
  <si>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</si>
  <si>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</si>
  <si>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</si>
  <si>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</si>
  <si>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</si>
  <si>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</si>
  <si>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</si>
  <si>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</si>
  <si>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</si>
  <si>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</si>
  <si>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</si>
  <si>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</si>
  <si>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</si>
  <si>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</si>
  <si>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</si>
  <si>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</si>
  <si>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</si>
  <si>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</si>
  <si>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</si>
  <si>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</si>
  <si>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</si>
  <si>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</si>
  <si>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</si>
  <si>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炒蒙古肉片</t>
  </si>
  <si>
    <t>炒蒙古烤肉蔬菜</t>
  </si>
  <si>
    <t>一配鮭魚奶油醬油飯糰</t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</si>
  <si>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</si>
  <si>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</si>
  <si>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</si>
  <si>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壹號醬炙烤牛飯糰</t>
  </si>
  <si>
    <t>切-烤牛五花(112年)</t>
  </si>
  <si>
    <t>因原物料規格差異,超用量偏高，生產餘料報廢
反映研發，後續開發列入考量，建議原物料規格多切製程</t>
    <phoneticPr fontId="16" type="noConversion"/>
  </si>
  <si>
    <t>烤箱製程蛋片規格厚薄差異
準備室分切剔除，確保賣相準定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</si>
  <si>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</si>
  <si>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</si>
  <si>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</si>
  <si>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</si>
  <si>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</si>
  <si>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研發設定</t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</si>
  <si>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</si>
  <si>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炙燒韓式牛五花</t>
  </si>
  <si>
    <t>反映研發，後續開發列入考量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</si>
  <si>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</si>
  <si>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</si>
  <si>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</si>
  <si>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</si>
  <si>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</si>
  <si>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</si>
  <si>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</si>
  <si>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</si>
  <si>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因原物料規格差異,超用量偏高，生產餘料報廢</t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</si>
  <si>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</si>
  <si>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</si>
  <si>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月</t>
    <phoneticPr fontId="16" type="noConversion"/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</si>
  <si>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</si>
  <si>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</si>
  <si>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</si>
  <si>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</si>
  <si>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</si>
  <si>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</si>
  <si>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</si>
  <si>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0331-0406</t>
    <phoneticPr fontId="16" type="noConversion"/>
  </si>
  <si>
    <t>0331-0406 總合計↑</t>
    <phoneticPr fontId="16" type="noConversion"/>
  </si>
  <si>
    <t>抓量較不穩定造成超用
針對人員抓量手法教育訓練，並增加線上抽秤頻率</t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</si>
  <si>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</si>
  <si>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</si>
  <si>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</si>
  <si>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</si>
  <si>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</si>
  <si>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</si>
  <si>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</si>
  <si>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</si>
  <si>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</si>
  <si>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原物料大小顆差異，影響人員放料</t>
  </si>
  <si>
    <t>針對人員抓量手法教育訓練，並增加線上抽秤頻率</t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</si>
  <si>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</si>
  <si>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</si>
  <si>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二配鮮蝦旬彩炊飯飯糰</t>
  </si>
  <si>
    <t>野郎醬(112年)</t>
  </si>
  <si>
    <t>炒培根片(114年)</t>
  </si>
  <si>
    <t>新精選雙色起司絲</t>
  </si>
  <si>
    <t>新品一週,達成率上升.</t>
  </si>
  <si>
    <t>切換膜料,人時性恢復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</si>
  <si>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</si>
  <si>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</si>
  <si>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</si>
  <si>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增加線上抽秤頻率，調理展開量下修，並已採用多次補單方式執行。</t>
  </si>
  <si>
    <t>生產餘料報廢</t>
  </si>
  <si>
    <t>青花菜原物料規格偏大造成超用</t>
  </si>
  <si>
    <t>針對人員抓量手法教育訓練，並增加線上抽秤頻率，用量有逐步下降，目前控制在3%內。</t>
  </si>
  <si>
    <t>注餡機機台工差設定確認</t>
  </si>
  <si>
    <t>操作方式冰杓定量，人員手法差異</t>
  </si>
  <si>
    <t>針對人員手法教育訓練，並增加線上抽秤頻率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</si>
  <si>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</si>
  <si>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</si>
  <si>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</si>
  <si>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</si>
  <si>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</si>
  <si>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</si>
  <si>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</si>
  <si>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</si>
  <si>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</si>
  <si>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</si>
  <si>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</si>
  <si>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</si>
  <si>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一配銀鮭美乃滋脆卷</t>
  </si>
  <si>
    <t>烤墨西哥雞丁</t>
  </si>
  <si>
    <t>冷凍調味鱒鮭魚卵GL10-3</t>
  </si>
  <si>
    <t>反映研發，後續開發列入考量，建議原物料規格多切製程</t>
  </si>
  <si>
    <t>注餡機機台工差設定確認
生產前確認標準定量的機台設定，生產中抽查確認設定及實際出料重量，針對注餡機噴口規格進行測試確認</t>
    <phoneticPr fontId="16" type="noConversion"/>
  </si>
  <si>
    <t>二配溏心蛋五目飯糰</t>
  </si>
  <si>
    <t>消毒蔥花</t>
  </si>
  <si>
    <t>清炒高麗菜(115年)</t>
  </si>
  <si>
    <t>調理展開量下修，並已採用多次補單方式執行，目前已控制在2%內。</t>
  </si>
  <si>
    <t>設定放料量範圍，後續開發列入考量調整，針對人員手法教育訓練，並增加線上抽秤頻率</t>
  </si>
  <si>
    <t>生產前確認標準定量的機台設定，生產中抽查確認設定及實際出料重量，針對注餡機噴口規格進行測試確認</t>
  </si>
  <si>
    <t>原物料大小長短差異，影響人員放料，生產餘料報廢
調理展開量下修，並已採用多次補單方式執行，目前已控制在2%內。</t>
    <phoneticPr fontId="16" type="noConversion"/>
  </si>
  <si>
    <t>青花菜原物料規格偏大造成超用
設定放料量範圍，後續開發列入考量調整，針對人員手法教育訓練，並增加線上抽秤頻率</t>
    <phoneticPr fontId="16" type="noConversion"/>
  </si>
  <si>
    <t>3月報廢</t>
    <phoneticPr fontId="16" type="noConversion"/>
  </si>
  <si>
    <t>3月超用</t>
    <phoneticPr fontId="16" type="noConversion"/>
  </si>
  <si>
    <t>2月超用</t>
  </si>
  <si>
    <t>1月</t>
    <phoneticPr fontId="16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</si>
  <si>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</si>
  <si>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原因:生產餘料產生報廢。對策:增加線上抽秤頻率，調理展開量下修，並已採用多次補單方式執行，報廢量逐步下修，目前控制再2%以下，對比前月報廢率減少0.15%，金額減少688元。</t>
    <phoneticPr fontId="16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</si>
  <si>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6" type="noConversion"/>
  </si>
  <si>
    <t>生產餘料產生報廢,目前報廢量控制再2%以下與超用量比例少,持續下修產出量，報廢量逐步下修前月比減少0.19%。</t>
    <phoneticPr fontId="16" type="noConversion"/>
  </si>
  <si>
    <t>原因:單份用量少抓量不穩定，生產餘料產生報廢。對策:加強線上人員抓量教育訓練，提升小份量操作穩定度，下修調理展開量並改採多次補單備料。</t>
    <phoneticPr fontId="16" type="noConversion"/>
  </si>
  <si>
    <t>原因:線上使用冰杓定量，生產餘料報廢調理展開量下修，並已採用多次補單方式執行</t>
    <phoneticPr fontId="16" type="noConversion"/>
  </si>
  <si>
    <t>主因:因葉梗差異容易取樣不穩導致超用。對策:調理展開量下修，並已採用多次補單方式執行，報廢率持續下修控制在2%內。</t>
    <phoneticPr fontId="16" type="noConversion"/>
  </si>
  <si>
    <t>主要原因:烤盤產生炭渣，豆腐沾黏焦化物。對策:定期更換烤盤，制定烤盤更換時程</t>
    <phoneticPr fontId="16" type="noConversion"/>
  </si>
  <si>
    <t>因烤箱製程蛋片厚薄規格存在差異，準備室於分切時進行篩選剔除，確保產品外觀及賣相穩定，造成剃除報廢。</t>
    <phoneticPr fontId="16" type="noConversion"/>
  </si>
  <si>
    <t>高風險半成品拆袋即用,拆包後無法延用給下配次產生報廢。</t>
    <phoneticPr fontId="16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</si>
  <si>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6" type="noConversion"/>
  </si>
  <si>
    <t>主因:葉菜類人員抓量不穩定導致重量差異影響超用量。對策:針對人員抓量手法教育訓練，目前超用率控制1.5%，對比前月持平，持續追蹤確認用量。</t>
    <phoneticPr fontId="16" type="noConversion"/>
  </si>
  <si>
    <t>主因:雞肉絲糾結成塊長短不一，人員抓量不穩定導致重量差異影響超用。對策:使用前先行撥散，已導入定量管理，目前用量逐步穩定，本月超用量1.8%，控制在2%內。另目前已安排測試廠商提供之截短規格物料，評估其對抓量穩定性及超用改善成效。</t>
    <phoneticPr fontId="16" type="noConversion"/>
  </si>
  <si>
    <t>本月二配新品，主因:冰杓定量，受人員操作影響較大，導致用量控制不穩。對策:針對人員加強冰杓手法定量教育訓練提升用量穩定性。</t>
    <phoneticPr fontId="16" type="noConversion"/>
  </si>
  <si>
    <t>設定注餡機定量作業，因設備工差影響用量穩定度，目前每份平均超用率3%，持續進行機台調整與用量監控。</t>
    <phoneticPr fontId="16" type="noConversion"/>
  </si>
  <si>
    <t>原因分析：
注餡機雖已設定定量作業，但受設備本身工差影響，出料穩定度仍有偏差，導致單份實際用量略高於標準。改善對策：
線上針對注餡機噴口規格進行測試與確認，評估不同口徑對出料穩定度及單份用量之影響，作為機台參數優化與標準設定依據。並強化線上用量監控與抽測機制，提升出料穩定性。</t>
    <phoneticPr fontId="16" type="noConversion"/>
  </si>
  <si>
    <t>主因:青花菜原物料規格偏大造成超用。對策:量測設定放料量範圍，後續開發列入考量調整，並持續針對人員抓量秤重進行教育訓練。</t>
    <phoneticPr fontId="16" type="noConversion"/>
  </si>
  <si>
    <t>主因:賣相設定要鋪滿，肉片狀態影響鋪滿效果。對策:調整分切方式，穩定分切長度減少規格異常。反映研發設定放料重量範圍，目前控制在1%內。</t>
    <phoneticPr fontId="16" type="noConversion"/>
  </si>
  <si>
    <t>主因:原物料肉片的大小塊差異。對策:進行人員分切手法教育訓練，提升作業一致性，降低因規格差異造成之影響。</t>
    <phoneticPr fontId="16" type="noConversion"/>
  </si>
  <si>
    <t>主因:原物料肉塊的大小塊差異，導致超用問題。對策:針對人員分切規格進行教育訓練，規格厚薄盡量一致，降低重量落差導致超用。</t>
    <phoneticPr fontId="16" type="noConversion"/>
  </si>
  <si>
    <t>原因分析：原物料肉片因大小與厚薄規格差異較大，導致人員抓取時難以精準控制單份用量，進而影響用量穩定性並產生超用。改善對策：
強化線上抽測機制，提高抽測頻率，即時掌握用量偏差並進行修正；同步持續進行人員抓量手法教育訓練，提升作業一致性與標準化程度，降低因規格差異造成之用量波動。成效說明：
本月超用金額較前月減少1,874元，顯示改善措施已逐步發揮成效，用量控制趨於穩定。</t>
    <phoneticPr fontId="1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</si>
  <si>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</si>
  <si>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</si>
  <si>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</si>
  <si>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</si>
  <si>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</si>
  <si>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</si>
  <si>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</si>
  <si>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</si>
  <si>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</si>
  <si>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</si>
  <si>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</si>
  <si>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6" type="noConversion"/>
  </si>
  <si>
    <t>業績金額(千元)</t>
    <phoneticPr fontId="16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</si>
  <si>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6" type="noConversion"/>
  </si>
  <si>
    <t>材料費(千元)</t>
    <phoneticPr fontId="16" type="noConversion"/>
  </si>
  <si>
    <t>勞務成本(千元)</t>
    <phoneticPr fontId="16" type="noConversion"/>
  </si>
  <si>
    <t xml:space="preserve">人時性(個/月均) </t>
    <phoneticPr fontId="16" type="noConversion"/>
  </si>
  <si>
    <t xml:space="preserve">人時達成率(%/月均) </t>
    <phoneticPr fontId="16" type="noConversion"/>
  </si>
  <si>
    <t>半成品-報廢(%)</t>
    <phoneticPr fontId="16" type="noConversion"/>
  </si>
  <si>
    <t>半成品-超用(%)</t>
    <phoneticPr fontId="16" type="noConversion"/>
  </si>
  <si>
    <t>二配大飯糰乾燒風味鮮蝦</t>
  </si>
  <si>
    <t>香檸奶油魚排蔬滿盒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</si>
  <si>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性前幾名品項(0331-0406)</t>
    </r>
    <phoneticPr fontId="16" type="noConversion"/>
  </si>
  <si>
    <t>炒黑胡椒豆芽(餐盒)</t>
  </si>
  <si>
    <t>餐盒用-三色高麗菜</t>
  </si>
  <si>
    <t>蒜炒洋菇片(115年)</t>
  </si>
  <si>
    <t>烤巴沙魚排</t>
  </si>
  <si>
    <t>燴蛋飯-炒肉燥</t>
  </si>
  <si>
    <t>（１）收支狀況</t>
    <phoneticPr fontId="16" type="noConversion"/>
  </si>
  <si>
    <t>材料費率(%)</t>
    <phoneticPr fontId="16" type="noConversion"/>
  </si>
  <si>
    <t>勞務費率(%)</t>
    <phoneticPr fontId="16" type="noConversion"/>
  </si>
  <si>
    <t>人時性KPI</t>
    <phoneticPr fontId="16" type="noConversion"/>
  </si>
  <si>
    <t>固定產線-導入率(%)</t>
  </si>
  <si>
    <t>教育訓練-實施率(%)</t>
  </si>
  <si>
    <t>（３）業績構成比</t>
    <phoneticPr fontId="16" type="noConversion"/>
  </si>
  <si>
    <t>18℃-飯糰(061,063)</t>
  </si>
  <si>
    <t>（４）訂單數量構成比</t>
    <phoneticPr fontId="16" type="noConversion"/>
  </si>
  <si>
    <t>（５）品群別人時生產性</t>
    <phoneticPr fontId="16" type="noConversion"/>
  </si>
  <si>
    <t>新品,達成率提升中</t>
    <phoneticPr fontId="16" type="noConversion"/>
  </si>
  <si>
    <t>增加線上抽秤頻率，調理展開量下修，並已採用多次補單方式執行，目前已控制在2%內。</t>
    <phoneticPr fontId="16" type="noConversion"/>
  </si>
  <si>
    <t>增加線上抽秤頻率，調理展開量下修，並已採用多次補單方式執行。</t>
    <phoneticPr fontId="16" type="noConversion"/>
  </si>
  <si>
    <t>魚肉烤箱製程，拿取後破損造成報廢</t>
    <phoneticPr fontId="16" type="noConversion"/>
  </si>
  <si>
    <r>
      <rPr>
        <sz val="12"/>
        <color theme="1"/>
        <rFont val="Microsoft JhengHei"/>
        <family val="2"/>
      </rPr>
      <t>人員拿取手法教育訓練，</t>
    </r>
    <r>
      <rPr>
        <sz val="12"/>
        <color theme="1"/>
        <rFont val="Meiryo UI"/>
        <family val="2"/>
      </rPr>
      <t>增加線上抽秤頻率</t>
    </r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</si>
  <si>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確認設定及實際出料重量。</t>
    </r>
    <phoneticPr fontId="16" type="noConversion"/>
  </si>
  <si>
    <t>因葉梗大小片差異，線上容易取樣不穩導致超用</t>
    <phoneticPr fontId="16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</si>
  <si>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6" type="noConversion"/>
  </si>
  <si>
    <r>
      <t>針對人員抓量手法教育訓練，並增加線上抽秤頻率，用量有逐步下降，目前</t>
    </r>
    <r>
      <rPr>
        <sz val="12"/>
        <color theme="1"/>
        <rFont val="Microsoft JhengHei"/>
        <family val="2"/>
        <charset val="136"/>
      </rPr>
      <t>已在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範圍</t>
    </r>
    <r>
      <rPr>
        <sz val="12"/>
        <color theme="1"/>
        <rFont val="Meiryo UI"/>
        <family val="2"/>
      </rPr>
      <t>內。</t>
    </r>
    <phoneticPr fontId="16" type="noConversion"/>
  </si>
  <si>
    <t>（８）報廢原因別前幾名品項(0331-0406)</t>
    <phoneticPr fontId="16" type="noConversion"/>
  </si>
  <si>
    <t>魚肉烤箱製程，拿取後破損造成報廢
人員拿取手法教育訓練，增加線上抽秤頻率</t>
    <phoneticPr fontId="16" type="noConversion"/>
  </si>
  <si>
    <t>抓量較不穩定造成調理多產
增加線上抽秤頻率，調理展開量下修，並已採用多次補單方式執行</t>
    <phoneticPr fontId="16" type="noConversion"/>
  </si>
  <si>
    <t>（８）超用原因別前幾名品項(0331-0406)</t>
    <phoneticPr fontId="16" type="noConversion"/>
  </si>
  <si>
    <t>原物料肉塊的大小塊差異
回饋研發，後續開發列入考量</t>
    <phoneticPr fontId="16" type="noConversion"/>
  </si>
  <si>
    <t>人員抓量放料手法不穩定
針對人員手法教育訓練，並增加線上抽秤頻率，導入定量管理。</t>
    <phoneticPr fontId="16" type="noConversion"/>
  </si>
  <si>
    <t>注餡機機台工差設定確認
生產前確認標準定量的機台設定，生產中抽查確認設定及實際出料重量。</t>
    <phoneticPr fontId="16" type="noConversion"/>
  </si>
  <si>
    <t>二配贅沢鮭魚肚飯糰</t>
  </si>
  <si>
    <t>二配鹽水G絲飯糰</t>
  </si>
  <si>
    <t>4月平均人時性</t>
    <phoneticPr fontId="16" type="noConversion"/>
  </si>
  <si>
    <t>一配經典人氣雙手卷</t>
  </si>
  <si>
    <t>一配鮭鮪海饌雙手卷</t>
  </si>
  <si>
    <r>
      <rPr>
        <sz val="10"/>
        <color rgb="FFFF0000"/>
        <rFont val="新細明體"/>
        <family val="2"/>
        <charset val="136"/>
      </rPr>
      <t>4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</si>
  <si>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t>產線配置圖－每週更新(0407-0413)</t>
  </si>
  <si>
    <t>元氣三重稻荷組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</si>
  <si>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性前幾名品項(0407-0413)</t>
    </r>
    <phoneticPr fontId="16" type="noConversion"/>
  </si>
  <si>
    <t>0407-0413</t>
    <phoneticPr fontId="16" type="noConversion"/>
  </si>
  <si>
    <t>0414-0420</t>
    <phoneticPr fontId="16" type="noConversion"/>
  </si>
  <si>
    <t>0421-0427</t>
    <phoneticPr fontId="16" type="noConversion"/>
  </si>
  <si>
    <t>0428-0504</t>
    <phoneticPr fontId="16" type="noConversion"/>
  </si>
  <si>
    <t>0505-0511</t>
    <phoneticPr fontId="16" type="noConversion"/>
  </si>
  <si>
    <t>0407-0413 總合計↑</t>
    <phoneticPr fontId="16" type="noConversion"/>
  </si>
  <si>
    <t>0414-0420 總合計↑</t>
    <phoneticPr fontId="16" type="noConversion"/>
  </si>
  <si>
    <t>0421-0427 總合計↑</t>
    <phoneticPr fontId="16" type="noConversion"/>
  </si>
  <si>
    <t>0428-0504 總合計↑</t>
    <phoneticPr fontId="16" type="noConversion"/>
  </si>
  <si>
    <t>0505-0511 總合計↑</t>
    <phoneticPr fontId="16" type="noConversion"/>
  </si>
  <si>
    <t>整顆切片水煮蛋</t>
  </si>
  <si>
    <t>拌鮪魚沙拉(平替)</t>
  </si>
  <si>
    <t>川燙紅蘿蔔塊2cm</t>
  </si>
  <si>
    <t>蒸地瓜泥(烤)(稻荷)</t>
  </si>
  <si>
    <t>贅沢鮭魚肚飯糰</t>
  </si>
  <si>
    <t>兩粒飯糰(鮪魚.焦糖鮭魚)</t>
  </si>
  <si>
    <t>熟化帶皮黃肉地瓜滾刀7-13g</t>
  </si>
  <si>
    <t>設定放料量範圍，後續開發列入考量調整，針對人員手法教育訓練，並增加線上抽秤頻率。</t>
  </si>
  <si>
    <t>針對人員手法教育訓練，並增加線上抽秤頻率。</t>
  </si>
  <si>
    <t>確認分切方式，穩定分切長度減少規格異常。</t>
  </si>
  <si>
    <t>針對人員抓量手法教育訓練，並增加線上抽秤頻率。</t>
  </si>
  <si>
    <t>因葉梗大小片差異，線上容易取樣不穩導致超用</t>
  </si>
  <si>
    <t>針對人員抓量手法教育訓練，並增加線上抽秤頻率，用量有逐步下降，目前已在控制範圍內。</t>
  </si>
  <si>
    <t>生產前確認標準定量的機台設定，生產中抽查確認設定及實際出料重量。</t>
  </si>
  <si>
    <t>針對人員手法教育訓練，並增加線上抽秤頻率，待新規格導入確認用量。</t>
  </si>
  <si>
    <t>針對單籃定量控量確實執行進行確認，並針對3/31.4/1抓量人員手法確認，加強教育訓練，本週用量已下降。</t>
  </si>
  <si>
    <t>本月新品稻荷壽司組，原物料大小規格差異導致超用狀況。</t>
  </si>
  <si>
    <t>針對人員手法教育訓練，並增加線上抽秤頻率，並確認前端分切規格製程。</t>
  </si>
  <si>
    <t>魚肉烤箱製程，拿取後破損造成報廢</t>
  </si>
  <si>
    <t>已加強操作教育訓練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</si>
  <si>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</si>
  <si>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</si>
  <si>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</si>
  <si>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菜梗、葉差異，影響人員放料手感</t>
  </si>
  <si>
    <t>抓量較不穩定，生產餘料報廢</t>
  </si>
  <si>
    <t>分切製程切歪導致規格不符無法使用</t>
  </si>
  <si>
    <t>針對分切人員進行教育訓練，確保分切規格穩定</t>
  </si>
  <si>
    <t>（８）報廢原因別前幾名品項(0407-0413)</t>
    <phoneticPr fontId="16" type="noConversion"/>
  </si>
  <si>
    <t>（８）報廢原因別前幾名品項(0414-0420)</t>
    <phoneticPr fontId="16" type="noConversion"/>
  </si>
  <si>
    <t>（８）超用原因別前幾名品項(0407-0413)</t>
    <phoneticPr fontId="16" type="noConversion"/>
  </si>
  <si>
    <t>（８）超用原因別前幾名品項(0414-0420)</t>
    <phoneticPr fontId="16" type="noConversion"/>
  </si>
  <si>
    <t>魚肉烤箱製程，拿取後破損造成報廢
已加強操作教育訓練</t>
    <phoneticPr fontId="16" type="noConversion"/>
  </si>
  <si>
    <t>分切製程切歪導致規格不符無法使用
針對分切人員進行教育訓練，確保分切規格穩定</t>
    <phoneticPr fontId="16" type="noConversion"/>
  </si>
  <si>
    <t>烤盤產生炭渣，豆腐沾黏焦化物
定期更換烤盤，制定烤盤更換時程，降低豆腐沾黏焦化物而造成報廢</t>
    <phoneticPr fontId="16" type="noConversion"/>
  </si>
  <si>
    <t>贅沢鮭魚肚飯糰</t>
    <phoneticPr fontId="13"/>
  </si>
  <si>
    <t>操作方式冰杓定量,生產餘料報廢
調理展開量下修，並已採用多次補單方式執行</t>
    <phoneticPr fontId="16" type="noConversion"/>
  </si>
  <si>
    <t>每份用量少以致用量易有不穩定的狀況
增加線上抽秤頻率，調理展開量下修，並已採用多次補單方式執行</t>
    <phoneticPr fontId="16" type="noConversion"/>
  </si>
  <si>
    <t>青花菜原物料規格偏大造成超用
設定放料量範圍，後續開發列入考量調整，針對人員手法教育訓練，並增加線上抽秤頻率。</t>
    <phoneticPr fontId="16" type="noConversion"/>
  </si>
  <si>
    <t>賣相設定要鋪滿，肉片狀態影響鋪滿效果
確認分切方式，穩定分切長度減少規格異常。</t>
    <phoneticPr fontId="16" type="noConversion"/>
  </si>
  <si>
    <t>原物料肉塊的大小塊差異
反映研發，後續開發列入考量，設定放料量範圍，針對人員手法教育訓練，並增加線上抽秤頻率。</t>
    <phoneticPr fontId="16" type="noConversion"/>
  </si>
  <si>
    <t>操作方式冰杓定量，人員手法差異
針對人員手法教育訓練，並增加線上抽秤頻率。</t>
    <phoneticPr fontId="16" type="noConversion"/>
  </si>
  <si>
    <t>抓量較不穩定造成超用
針對人員抓量手法教育訓練，並增加線上抽秤頻率。</t>
    <phoneticPr fontId="16" type="noConversion"/>
  </si>
  <si>
    <t>因葉梗大小片差異，線上容易取樣不穩導致超用
針對人員抓量手法教育訓練，並增加線上抽秤頻率，用量有逐步下降，目前已在控制範圍內。</t>
    <phoneticPr fontId="16" type="noConversion"/>
  </si>
  <si>
    <t>W3</t>
    <phoneticPr fontId="16" type="noConversion"/>
  </si>
  <si>
    <t>一配鹽蔥生鮭飯糰</t>
  </si>
  <si>
    <t>一配柚檸海灣貝飯糰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</si>
  <si>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週更新(0414-0420)</t>
    </r>
    <phoneticPr fontId="16" type="noConversion"/>
  </si>
  <si>
    <t>山葵生鮪魚泥脆卷</t>
  </si>
  <si>
    <t>二配打拋風味豆腐飯</t>
  </si>
  <si>
    <t>大滿足香辣涼麵</t>
  </si>
  <si>
    <t>大滿足麻醬涼麵</t>
  </si>
  <si>
    <t>和風涓絲冷麵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</si>
  <si>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性前幾名品項(0414-0420)</t>
    </r>
    <phoneticPr fontId="16" type="noConversion"/>
  </si>
  <si>
    <t>炒紅K碎蛋</t>
  </si>
  <si>
    <t>拌鮭魚沙拉(兩粒)</t>
  </si>
  <si>
    <t>(V)煮鹽水G雞肉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</si>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</sst>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1"/>
      <name val="微軟正黑體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5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0" fontId="17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3" fontId="31" fillId="6" borderId="22" xfId="0" applyNumberFormat="1" applyFont="1" applyFill="1" applyBorder="1" applyAlignment="1">
      <alignment shrinkToFit="1"/>
    </xf>
    <xf numFmtId="0" fontId="110" fillId="0" borderId="84" xfId="11" applyFont="1" applyBorder="1" applyAlignment="1">
      <alignment horizontal="center" vertical="center"/>
    </xf>
    <xf numFmtId="0" fontId="110" fillId="0" borderId="85" xfId="11" applyFont="1" applyBorder="1" applyAlignment="1">
      <alignment horizontal="center" vertical="center"/>
    </xf>
    <xf numFmtId="196" fontId="111" fillId="0" borderId="22" xfId="11" applyNumberFormat="1" applyFont="1" applyBorder="1" applyAlignment="1">
      <alignment horizontal="right" vertical="center"/>
    </xf>
    <xf numFmtId="199" fontId="111" fillId="0" borderId="22" xfId="11" applyNumberFormat="1" applyFont="1" applyBorder="1" applyAlignment="1">
      <alignment horizontal="right" vertical="center"/>
    </xf>
    <xf numFmtId="186" fontId="111" fillId="0" borderId="22" xfId="13" applyNumberFormat="1" applyFont="1" applyBorder="1" applyAlignment="1">
      <alignment vertical="center"/>
    </xf>
    <xf numFmtId="10" fontId="111" fillId="0" borderId="22" xfId="13" applyNumberFormat="1" applyFont="1" applyBorder="1" applyAlignment="1">
      <alignment vertical="center"/>
    </xf>
    <xf numFmtId="183" fontId="111" fillId="0" borderId="22" xfId="11" applyNumberFormat="1" applyFont="1" applyBorder="1" applyAlignment="1">
      <alignment vertical="center"/>
    </xf>
    <xf numFmtId="183" fontId="111" fillId="0" borderId="89" xfId="11" applyNumberFormat="1" applyFont="1" applyBorder="1" applyAlignment="1">
      <alignment vertical="center"/>
    </xf>
    <xf numFmtId="10" fontId="31" fillId="9" borderId="22" xfId="0" applyNumberFormat="1" applyFont="1" applyFill="1" applyBorder="1" applyAlignment="1">
      <alignment shrinkToFit="1"/>
    </xf>
    <xf numFmtId="4" fontId="31" fillId="6" borderId="22" xfId="0" applyNumberFormat="1" applyFont="1" applyFill="1" applyBorder="1" applyAlignment="1">
      <alignment horizontal="right" shrinkToFit="1"/>
    </xf>
    <xf numFmtId="186" fontId="31" fillId="6" borderId="22" xfId="13" applyNumberFormat="1" applyFont="1" applyFill="1" applyBorder="1" applyAlignment="1">
      <alignment horizontal="right" shrinkToFit="1"/>
    </xf>
    <xf numFmtId="10" fontId="31" fillId="6" borderId="22" xfId="13" applyNumberFormat="1" applyFont="1" applyFill="1" applyBorder="1" applyAlignment="1">
      <alignment horizontal="right" shrinkToFit="1"/>
    </xf>
    <xf numFmtId="191" fontId="31" fillId="6" borderId="22" xfId="0" applyNumberFormat="1" applyFont="1" applyFill="1" applyBorder="1" applyAlignment="1">
      <alignment shrinkToFit="1"/>
    </xf>
    <xf numFmtId="188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90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0" fontId="111" fillId="0" borderId="22" xfId="11" applyFont="1" applyBorder="1" applyAlignment="1">
      <alignment vertical="center"/>
    </xf>
    <xf numFmtId="196" fontId="111" fillId="9" borderId="87" xfId="11" applyNumberFormat="1" applyFont="1" applyFill="1" applyBorder="1"/>
    <xf numFmtId="0" fontId="111" fillId="9" borderId="22" xfId="11" applyFont="1" applyFill="1" applyBorder="1" applyAlignment="1">
      <alignment vertical="center"/>
    </xf>
    <xf numFmtId="10" fontId="112" fillId="9" borderId="22" xfId="13" applyNumberFormat="1" applyFont="1" applyFill="1" applyBorder="1" applyAlignment="1">
      <alignment horizontal="right" vertical="center"/>
    </xf>
    <xf numFmtId="10" fontId="111" fillId="9" borderId="22" xfId="13" applyNumberFormat="1" applyFont="1" applyFill="1" applyBorder="1" applyAlignment="1">
      <alignment horizontal="right" vertical="center"/>
    </xf>
    <xf numFmtId="10" fontId="111" fillId="9" borderId="87" xfId="13" applyNumberFormat="1" applyFont="1" applyFill="1" applyBorder="1" applyAlignment="1"/>
    <xf numFmtId="0" fontId="111" fillId="0" borderId="86" xfId="11" applyFont="1" applyBorder="1" applyAlignment="1">
      <alignment horizontal="left"/>
    </xf>
    <xf numFmtId="197" fontId="111" fillId="0" borderId="22" xfId="11" applyNumberFormat="1" applyFont="1" applyBorder="1" applyAlignment="1">
      <alignment horizontal="right" vertical="center"/>
    </xf>
    <xf numFmtId="199" fontId="111" fillId="9" borderId="87" xfId="11" applyNumberFormat="1" applyFont="1" applyFill="1" applyBorder="1"/>
    <xf numFmtId="10" fontId="111" fillId="9" borderId="87" xfId="13" applyNumberFormat="1" applyFont="1" applyFill="1" applyBorder="1" applyAlignment="1">
      <alignment horizontal="right" vertical="center"/>
    </xf>
    <xf numFmtId="186" fontId="111" fillId="9" borderId="87" xfId="13" applyNumberFormat="1" applyFont="1" applyFill="1" applyBorder="1" applyAlignment="1">
      <alignment horizontal="right" vertical="center"/>
    </xf>
    <xf numFmtId="10" fontId="111" fillId="0" borderId="87" xfId="13" applyNumberFormat="1" applyFont="1" applyFill="1" applyBorder="1" applyAlignment="1">
      <alignment horizontal="right" vertical="center"/>
    </xf>
    <xf numFmtId="10" fontId="111" fillId="0" borderId="22" xfId="13" applyNumberFormat="1" applyFont="1" applyBorder="1" applyAlignment="1"/>
    <xf numFmtId="197" fontId="111" fillId="9" borderId="87" xfId="13" applyNumberFormat="1" applyFont="1" applyFill="1" applyBorder="1" applyAlignment="1">
      <alignment horizontal="right" vertical="center"/>
    </xf>
    <xf numFmtId="0" fontId="111" fillId="0" borderId="23" xfId="11" applyFont="1" applyBorder="1" applyAlignment="1">
      <alignment vertical="center"/>
    </xf>
    <xf numFmtId="183" fontId="111" fillId="0" borderId="23" xfId="11" applyNumberFormat="1" applyFont="1" applyBorder="1" applyAlignment="1">
      <alignment vertical="center"/>
    </xf>
    <xf numFmtId="0" fontId="111" fillId="0" borderId="89" xfId="11" applyFont="1" applyBorder="1" applyAlignment="1">
      <alignment vertical="center"/>
    </xf>
    <xf numFmtId="197" fontId="111" fillId="9" borderId="90" xfId="13" applyNumberFormat="1" applyFont="1" applyFill="1" applyBorder="1" applyAlignment="1">
      <alignment horizontal="right" vertical="center"/>
    </xf>
    <xf numFmtId="3" fontId="31" fillId="9" borderId="22" xfId="0" applyNumberFormat="1" applyFont="1" applyFill="1" applyBorder="1" applyAlignment="1">
      <alignment shrinkToFit="1"/>
    </xf>
    <xf numFmtId="4" fontId="31" fillId="9" borderId="22" xfId="0" applyNumberFormat="1" applyFont="1" applyFill="1" applyBorder="1" applyAlignment="1">
      <alignment horizontal="right" shrinkToFit="1"/>
    </xf>
    <xf numFmtId="186" fontId="31" fillId="9" borderId="22" xfId="0" applyNumberFormat="1" applyFont="1" applyFill="1" applyBorder="1" applyAlignment="1">
      <alignment shrinkToFit="1"/>
    </xf>
    <xf numFmtId="10" fontId="31" fillId="6" borderId="22" xfId="13" applyNumberFormat="1" applyFont="1" applyFill="1" applyBorder="1" applyAlignment="1">
      <alignment shrinkToFit="1"/>
    </xf>
    <xf numFmtId="10" fontId="31" fillId="6" borderId="22" xfId="0" applyNumberFormat="1" applyFont="1" applyFill="1" applyBorder="1" applyAlignment="1">
      <alignment shrinkToFit="1"/>
    </xf>
    <xf numFmtId="183" fontId="31" fillId="9" borderId="22" xfId="0" applyNumberFormat="1" applyFont="1" applyFill="1" applyBorder="1" applyAlignment="1">
      <alignment shrinkToFit="1"/>
    </xf>
    <xf numFmtId="183" fontId="31" fillId="6" borderId="22" xfId="0" applyNumberFormat="1" applyFont="1" applyFill="1" applyBorder="1" applyAlignment="1">
      <alignment shrinkToFit="1"/>
    </xf>
    <xf numFmtId="179" fontId="17" fillId="0" borderId="0" xfId="0" applyNumberFormat="1" applyFont="1" applyAlignment="1">
      <alignment horizontal="center"/>
    </xf>
    <xf numFmtId="185" fontId="29" fillId="0" borderId="0" xfId="13" applyNumberFormat="1" applyFont="1" applyAlignment="1"/>
    <xf numFmtId="0" fontId="117" fillId="0" borderId="29" xfId="0" applyFont="1" applyBorder="1" applyAlignment="1">
      <alignment vertical="center"/>
    </xf>
    <xf numFmtId="0" fontId="117" fillId="0" borderId="30" xfId="0" applyFont="1" applyBorder="1" applyAlignment="1">
      <alignment vertical="center"/>
    </xf>
    <xf numFmtId="0" fontId="94" fillId="0" borderId="22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11" fillId="0" borderId="86" xfId="11" applyFont="1" applyBorder="1" applyAlignment="1">
      <alignment horizontal="left" vertical="center"/>
    </xf>
    <xf numFmtId="0" fontId="111" fillId="0" borderId="91" xfId="11" applyFont="1" applyBorder="1" applyAlignment="1">
      <alignment horizontal="left" vertical="center"/>
    </xf>
    <xf numFmtId="0" fontId="111" fillId="0" borderId="88" xfId="11" applyFont="1" applyBorder="1" applyAlignment="1">
      <alignment horizontal="left" vertical="center"/>
    </xf>
    <xf numFmtId="0" fontId="110" fillId="0" borderId="83" xfId="11" applyFont="1" applyBorder="1" applyAlignment="1">
      <alignment horizontal="center" vertical="center"/>
    </xf>
    <xf numFmtId="0" fontId="110" fillId="0" borderId="84" xfId="11" applyFont="1" applyBorder="1" applyAlignment="1">
      <alignment horizontal="center" vertical="center"/>
    </xf>
    <xf numFmtId="0" fontId="111" fillId="0" borderId="92" xfId="11" applyFont="1" applyBorder="1" applyAlignment="1">
      <alignment horizontal="left" vertical="center"/>
    </xf>
    <xf numFmtId="0" fontId="111" fillId="0" borderId="93" xfId="11" applyFont="1" applyBorder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85" fontId="29" fillId="0" borderId="0" xfId="13" applyNumberFormat="1" applyFont="1" applyAlignment="1">
      <alignment horizont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90" fontId="29" fillId="0" borderId="0" xfId="0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/>
    </xf>
    <xf numFmtId="189" fontId="29" fillId="0" borderId="0" xfId="0" applyNumberFormat="1" applyFont="1" applyAlignment="1">
      <alignment horizontal="center"/>
    </xf>
    <xf numFmtId="188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5" borderId="0" xfId="0" applyNumberFormat="1" applyFont="1" applyFill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/>
    </xf>
    <xf numFmtId="185" fontId="17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0" fontId="3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0" fontId="117" fillId="0" borderId="23" xfId="0" applyFont="1" applyBorder="1" applyAlignment="1">
      <alignment horizontal="center" vertical="center"/>
    </xf>
    <xf numFmtId="0" fontId="117" fillId="0" borderId="29" xfId="0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189" fontId="29" fillId="0" borderId="30" xfId="0" applyNumberFormat="1" applyFont="1" applyBorder="1" applyAlignment="1">
      <alignment horizont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77" fontId="17" fillId="0" borderId="22" xfId="0" applyNumberFormat="1" applyFont="1" applyBorder="1" applyAlignment="1">
      <alignment horizontal="center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0" fontId="94" fillId="0" borderId="23" xfId="0" applyFont="1" applyBorder="1" applyAlignment="1">
      <alignment horizontal="center" vertical="center"/>
    </xf>
    <xf numFmtId="0" fontId="94" fillId="0" borderId="29" xfId="0" applyFont="1" applyBorder="1" applyAlignment="1">
      <alignment horizontal="center" vertical="center"/>
    </xf>
    <xf numFmtId="0" fontId="94" fillId="0" borderId="30" xfId="0" applyFont="1" applyBorder="1" applyAlignment="1">
      <alignment horizontal="center" vertical="center"/>
    </xf>
    <xf numFmtId="177" fontId="17" fillId="0" borderId="23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177" fontId="17" fillId="0" borderId="30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9" borderId="22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21" fillId="0" borderId="37" xfId="0" applyFont="1" applyBorder="1" applyAlignment="1">
      <alignment horizontal="left" vertical="center"/>
    </xf>
    <xf numFmtId="0" fontId="123" fillId="0" borderId="32" xfId="0" applyFont="1" applyBorder="1" applyAlignment="1">
      <alignment horizontal="left" vertical="center"/>
    </xf>
    <xf numFmtId="0" fontId="123" fillId="0" borderId="26" xfId="0" applyFont="1" applyBorder="1" applyAlignment="1">
      <alignment horizontal="left" vertical="center"/>
    </xf>
    <xf numFmtId="0" fontId="123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183" fontId="17" fillId="0" borderId="23" xfId="0" applyNumberFormat="1" applyFont="1" applyBorder="1" applyAlignment="1">
      <alignment horizontal="center" vertical="center" shrinkToFit="1"/>
    </xf>
    <xf numFmtId="183" fontId="17" fillId="0" borderId="29" xfId="0" applyNumberFormat="1" applyFont="1" applyBorder="1" applyAlignment="1">
      <alignment horizontal="center" vertical="center" shrinkToFit="1"/>
    </xf>
    <xf numFmtId="183" fontId="17" fillId="0" borderId="30" xfId="0" applyNumberFormat="1" applyFont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183" fontId="17" fillId="9" borderId="23" xfId="0" applyNumberFormat="1" applyFont="1" applyFill="1" applyBorder="1" applyAlignment="1">
      <alignment horizontal="center" vertical="center" shrinkToFit="1"/>
    </xf>
    <xf numFmtId="183" fontId="17" fillId="9" borderId="29" xfId="0" applyNumberFormat="1" applyFont="1" applyFill="1" applyBorder="1" applyAlignment="1">
      <alignment horizontal="center" vertical="center" shrinkToFit="1"/>
    </xf>
    <xf numFmtId="183" fontId="17" fillId="9" borderId="30" xfId="0" applyNumberFormat="1" applyFont="1" applyFill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187" fontId="17" fillId="8" borderId="27" xfId="0" applyNumberFormat="1" applyFont="1" applyFill="1" applyBorder="1" applyAlignment="1">
      <alignment horizontal="center" vertical="center" shrinkToFit="1"/>
    </xf>
    <xf numFmtId="187" fontId="17" fillId="8" borderId="28" xfId="0" applyNumberFormat="1" applyFont="1" applyFill="1" applyBorder="1" applyAlignment="1">
      <alignment horizontal="center" vertical="center" shrinkToFit="1"/>
    </xf>
    <xf numFmtId="187" fontId="17" fillId="8" borderId="25" xfId="0" applyNumberFormat="1" applyFont="1" applyFill="1" applyBorder="1" applyAlignment="1">
      <alignment horizontal="center" vertical="center" shrinkToFi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185" fontId="17" fillId="0" borderId="23" xfId="13" applyNumberFormat="1" applyFont="1" applyBorder="1" applyAlignment="1">
      <alignment horizontal="center" vertical="center" shrinkToFit="1"/>
    </xf>
    <xf numFmtId="185" fontId="17" fillId="0" borderId="29" xfId="13" applyNumberFormat="1" applyFont="1" applyBorder="1" applyAlignment="1">
      <alignment horizontal="center" vertical="center" shrinkToFit="1"/>
    </xf>
    <xf numFmtId="185" fontId="17" fillId="0" borderId="30" xfId="13" applyNumberFormat="1" applyFont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 shrinkToFit="1"/>
    </xf>
    <xf numFmtId="179" fontId="17" fillId="8" borderId="28" xfId="0" applyNumberFormat="1" applyFont="1" applyFill="1" applyBorder="1" applyAlignment="1">
      <alignment horizontal="center" vertical="center" shrinkToFit="1"/>
    </xf>
    <xf numFmtId="179" fontId="17" fillId="8" borderId="25" xfId="0" applyNumberFormat="1" applyFont="1" applyFill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122" fillId="0" borderId="37" xfId="0" applyFont="1" applyBorder="1" applyAlignment="1">
      <alignment horizontal="left" vertical="center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108" fillId="0" borderId="22" xfId="0" applyFont="1" applyBorder="1" applyAlignment="1">
      <alignment shrinkToFit="1"/>
    </xf>
    <xf numFmtId="0" fontId="120" fillId="0" borderId="22" xfId="0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80" fillId="0" borderId="27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wrapText="1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40" fillId="0" borderId="71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195" fontId="85" fillId="9" borderId="22" xfId="15" applyNumberFormat="1" applyFont="1" applyFill="1" applyBorder="1" applyAlignment="1">
      <alignment horizontal="center" vertical="center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41" fillId="5" borderId="22" xfId="22" applyFont="1" applyFill="1" applyBorder="1" applyAlignment="1">
      <alignment horizont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1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9" xfId="0" applyFont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40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sqref="A1:K2"/>
    </sheetView>
  </sheetViews>
  <sheetFormatPr defaultColWidth="8.7109375" defaultRowHeight="13.5"/>
  <cols>
    <col min="1" max="1" width="8.7109375" style="436"/>
    <col min="2" max="2" width="27.7109375" style="436" bestFit="1" customWidth="1"/>
    <col min="3" max="3" width="34.7109375" style="436" customWidth="1"/>
    <col min="4" max="15" width="12.7109375" style="436" customWidth="1"/>
    <col min="16" max="16" width="15.7109375" style="436" customWidth="1"/>
    <col min="17" max="16384" width="8.7109375" style="436"/>
  </cols>
  <sheetData>
    <row r="1" spans="2:16" ht="18.75">
      <c r="B1" s="504" t="s">
        <v>197</v>
      </c>
      <c r="C1" s="505"/>
      <c r="D1" s="447" t="s">
        <v>598</v>
      </c>
      <c r="E1" s="447" t="s">
        <v>620</v>
      </c>
      <c r="F1" s="447" t="s">
        <v>621</v>
      </c>
      <c r="G1" s="447" t="s">
        <v>622</v>
      </c>
      <c r="H1" s="447" t="s">
        <v>623</v>
      </c>
      <c r="I1" s="447" t="s">
        <v>624</v>
      </c>
      <c r="J1" s="447" t="s">
        <v>625</v>
      </c>
      <c r="K1" s="447" t="s">
        <v>626</v>
      </c>
      <c r="L1" s="447" t="s">
        <v>627</v>
      </c>
      <c r="M1" s="447" t="s">
        <v>628</v>
      </c>
      <c r="N1" s="447" t="s">
        <v>629</v>
      </c>
      <c r="O1" s="447" t="s">
        <v>630</v>
      </c>
      <c r="P1" s="448" t="s">
        <v>631</v>
      </c>
    </row>
    <row r="2" spans="2:16" ht="15.75">
      <c r="B2" s="501" t="s">
        <v>648</v>
      </c>
      <c r="C2" s="469" t="s">
        <v>632</v>
      </c>
      <c r="D2" s="449">
        <v>146299.93539000006</v>
      </c>
      <c r="E2" s="449">
        <v>116569.43023000001</v>
      </c>
      <c r="F2" s="449">
        <v>148837.99842999995</v>
      </c>
      <c r="G2" s="449"/>
      <c r="H2" s="449"/>
      <c r="I2" s="449"/>
      <c r="J2" s="449"/>
      <c r="K2" s="449"/>
      <c r="L2" s="449"/>
      <c r="M2" s="449"/>
      <c r="N2" s="449"/>
      <c r="O2" s="449"/>
      <c r="P2" s="470">
        <f>SUM(D2:O2)</f>
        <v>411707.36404999997</v>
      </c>
    </row>
    <row r="3" spans="2:16" ht="15.75">
      <c r="B3" s="501"/>
      <c r="C3" s="469" t="s">
        <v>633</v>
      </c>
      <c r="D3" s="449">
        <v>4768701</v>
      </c>
      <c r="E3" s="449">
        <v>3787002</v>
      </c>
      <c r="F3" s="449">
        <v>5045753</v>
      </c>
      <c r="G3" s="449"/>
      <c r="H3" s="449"/>
      <c r="I3" s="449"/>
      <c r="J3" s="449"/>
      <c r="K3" s="449"/>
      <c r="L3" s="449"/>
      <c r="M3" s="449"/>
      <c r="N3" s="449"/>
      <c r="O3" s="449"/>
      <c r="P3" s="470">
        <f>SUM(D3:O3)</f>
        <v>13601456</v>
      </c>
    </row>
    <row r="4" spans="2:16" ht="15.75">
      <c r="B4" s="501"/>
      <c r="C4" s="469" t="s">
        <v>634</v>
      </c>
      <c r="D4" s="449">
        <v>93253</v>
      </c>
      <c r="E4" s="449">
        <v>74777</v>
      </c>
      <c r="F4" s="449">
        <v>93614</v>
      </c>
      <c r="G4" s="449"/>
      <c r="H4" s="449"/>
      <c r="I4" s="449"/>
      <c r="J4" s="449"/>
      <c r="K4" s="449"/>
      <c r="L4" s="449"/>
      <c r="M4" s="449"/>
      <c r="N4" s="449"/>
      <c r="O4" s="449"/>
      <c r="P4" s="470">
        <f>SUM(D4:O4)</f>
        <v>261644</v>
      </c>
    </row>
    <row r="5" spans="2:16" ht="15.75">
      <c r="B5" s="501"/>
      <c r="C5" s="471" t="s">
        <v>649</v>
      </c>
      <c r="D5" s="472">
        <v>0.65500000000000003</v>
      </c>
      <c r="E5" s="472">
        <v>0.65300000000000002</v>
      </c>
      <c r="F5" s="472">
        <v>0.64800000000000002</v>
      </c>
      <c r="G5" s="473" t="str">
        <f t="shared" ref="G5:O5" si="0">IFERROR(G4/G2, "")</f>
        <v/>
      </c>
      <c r="H5" s="473" t="str">
        <f t="shared" si="0"/>
        <v/>
      </c>
      <c r="I5" s="473" t="str">
        <f t="shared" si="0"/>
        <v/>
      </c>
      <c r="J5" s="473" t="str">
        <f t="shared" si="0"/>
        <v/>
      </c>
      <c r="K5" s="473" t="str">
        <f t="shared" si="0"/>
        <v/>
      </c>
      <c r="L5" s="473" t="str">
        <f t="shared" si="0"/>
        <v/>
      </c>
      <c r="M5" s="473" t="str">
        <f t="shared" si="0"/>
        <v/>
      </c>
      <c r="N5" s="473" t="str">
        <f t="shared" si="0"/>
        <v/>
      </c>
      <c r="O5" s="473" t="str">
        <f t="shared" si="0"/>
        <v/>
      </c>
      <c r="P5" s="474">
        <f>AVERAGEIF(D5:O5, "&gt;0")</f>
        <v>0.65200000000000002</v>
      </c>
    </row>
    <row r="6" spans="2:16" ht="15.75">
      <c r="B6" s="501"/>
      <c r="C6" s="469" t="s">
        <v>635</v>
      </c>
      <c r="D6" s="449">
        <v>22378</v>
      </c>
      <c r="E6" s="449">
        <v>22860</v>
      </c>
      <c r="F6" s="449">
        <v>22710</v>
      </c>
      <c r="G6" s="449"/>
      <c r="H6" s="449"/>
      <c r="I6" s="449"/>
      <c r="J6" s="449"/>
      <c r="K6" s="449"/>
      <c r="L6" s="449"/>
      <c r="M6" s="449"/>
      <c r="N6" s="449"/>
      <c r="O6" s="449"/>
      <c r="P6" s="470">
        <f t="shared" ref="P6" si="1">SUM(D6:O6)</f>
        <v>67948</v>
      </c>
    </row>
    <row r="7" spans="2:16" ht="15.75">
      <c r="B7" s="501"/>
      <c r="C7" s="471" t="s">
        <v>650</v>
      </c>
      <c r="D7" s="472">
        <v>0.157</v>
      </c>
      <c r="E7" s="472">
        <v>0.2</v>
      </c>
      <c r="F7" s="472">
        <v>0.157</v>
      </c>
      <c r="G7" s="473" t="str">
        <f t="shared" ref="G7:O7" si="2">IFERROR(G6/G2, "")</f>
        <v/>
      </c>
      <c r="H7" s="473" t="str">
        <f t="shared" si="2"/>
        <v/>
      </c>
      <c r="I7" s="473" t="str">
        <f t="shared" si="2"/>
        <v/>
      </c>
      <c r="J7" s="473" t="str">
        <f t="shared" si="2"/>
        <v/>
      </c>
      <c r="K7" s="473" t="str">
        <f t="shared" si="2"/>
        <v/>
      </c>
      <c r="L7" s="473" t="str">
        <f t="shared" si="2"/>
        <v/>
      </c>
      <c r="M7" s="473" t="str">
        <f t="shared" si="2"/>
        <v/>
      </c>
      <c r="N7" s="473" t="str">
        <f t="shared" si="2"/>
        <v/>
      </c>
      <c r="O7" s="473" t="str">
        <f t="shared" si="2"/>
        <v/>
      </c>
      <c r="P7" s="474">
        <f>AVERAGEIF(D7:O7, "&gt;0")</f>
        <v>0.17133333333333334</v>
      </c>
    </row>
    <row r="8" spans="2:16" ht="15.75">
      <c r="B8" s="475"/>
      <c r="C8" s="46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70"/>
    </row>
    <row r="9" spans="2:16" ht="15.75">
      <c r="B9" s="501" t="s">
        <v>130</v>
      </c>
      <c r="C9" s="469" t="s">
        <v>651</v>
      </c>
      <c r="D9" s="476">
        <v>497.6</v>
      </c>
      <c r="E9" s="476">
        <v>497.6</v>
      </c>
      <c r="F9" s="476">
        <v>497.6</v>
      </c>
      <c r="G9" s="450"/>
      <c r="H9" s="450"/>
      <c r="I9" s="450"/>
      <c r="J9" s="450"/>
      <c r="K9" s="450"/>
      <c r="L9" s="450"/>
      <c r="M9" s="450"/>
      <c r="N9" s="450"/>
      <c r="O9" s="450"/>
      <c r="P9" s="477">
        <f>AVERAGEIF(D9:O9, "&gt;0")</f>
        <v>497.60000000000008</v>
      </c>
    </row>
    <row r="10" spans="2:16" ht="15.75">
      <c r="B10" s="501"/>
      <c r="C10" s="469" t="s">
        <v>636</v>
      </c>
      <c r="D10" s="476">
        <v>458.3841382804668</v>
      </c>
      <c r="E10" s="476">
        <v>476.04171528829499</v>
      </c>
      <c r="F10" s="476">
        <v>409.81563372836604</v>
      </c>
      <c r="G10" s="450"/>
      <c r="H10" s="450"/>
      <c r="I10" s="450"/>
      <c r="J10" s="450"/>
      <c r="K10" s="450"/>
      <c r="L10" s="450"/>
      <c r="M10" s="450"/>
      <c r="N10" s="450"/>
      <c r="O10" s="450"/>
      <c r="P10" s="477">
        <f>AVERAGEIF(D10:O10, "&gt;0")</f>
        <v>448.08049576570926</v>
      </c>
    </row>
    <row r="11" spans="2:16" ht="15.75">
      <c r="B11" s="501"/>
      <c r="C11" s="471" t="s">
        <v>637</v>
      </c>
      <c r="D11" s="473">
        <f t="shared" ref="D11:O11" si="3">IFERROR(D10/D9, "")</f>
        <v>0.92118998850576117</v>
      </c>
      <c r="E11" s="473">
        <f t="shared" si="3"/>
        <v>0.95667547284625198</v>
      </c>
      <c r="F11" s="473">
        <f t="shared" si="3"/>
        <v>0.82358447292678061</v>
      </c>
      <c r="G11" s="473" t="str">
        <f t="shared" si="3"/>
        <v/>
      </c>
      <c r="H11" s="473" t="str">
        <f t="shared" si="3"/>
        <v/>
      </c>
      <c r="I11" s="473" t="str">
        <f t="shared" si="3"/>
        <v/>
      </c>
      <c r="J11" s="473" t="str">
        <f t="shared" si="3"/>
        <v/>
      </c>
      <c r="K11" s="473" t="str">
        <f t="shared" si="3"/>
        <v/>
      </c>
      <c r="L11" s="473" t="str">
        <f t="shared" si="3"/>
        <v/>
      </c>
      <c r="M11" s="473" t="str">
        <f t="shared" si="3"/>
        <v/>
      </c>
      <c r="N11" s="473" t="str">
        <f t="shared" si="3"/>
        <v/>
      </c>
      <c r="O11" s="473" t="str">
        <f t="shared" si="3"/>
        <v/>
      </c>
      <c r="P11" s="478">
        <f>AVERAGEIF(D11:O11, "&gt;0")</f>
        <v>0.90048331142626459</v>
      </c>
    </row>
    <row r="12" spans="2:16" ht="15.75">
      <c r="B12" s="501"/>
      <c r="C12" s="469" t="s">
        <v>638</v>
      </c>
      <c r="D12" s="452">
        <v>2.4135432458014692E-3</v>
      </c>
      <c r="E12" s="451">
        <v>2.3657636051419204E-3</v>
      </c>
      <c r="F12" s="451">
        <v>2.0222247634522129E-3</v>
      </c>
      <c r="G12" s="451"/>
      <c r="H12" s="451"/>
      <c r="I12" s="451"/>
      <c r="J12" s="451"/>
      <c r="K12" s="451"/>
      <c r="L12" s="451"/>
      <c r="M12" s="451"/>
      <c r="N12" s="451"/>
      <c r="O12" s="451"/>
      <c r="P12" s="479">
        <f>AVERAGEIF(D12:O12, "&gt;0")</f>
        <v>2.267177204798534E-3</v>
      </c>
    </row>
    <row r="13" spans="2:16" ht="15.75">
      <c r="B13" s="501"/>
      <c r="C13" s="469" t="s">
        <v>639</v>
      </c>
      <c r="D13" s="452">
        <v>5.599443330875099E-3</v>
      </c>
      <c r="E13" s="452">
        <v>5.2393000579921759E-3</v>
      </c>
      <c r="F13" s="452">
        <v>4.8799137535570384E-3</v>
      </c>
      <c r="G13" s="452"/>
      <c r="H13" s="452"/>
      <c r="I13" s="452"/>
      <c r="J13" s="452"/>
      <c r="K13" s="452"/>
      <c r="L13" s="452"/>
      <c r="M13" s="452"/>
      <c r="N13" s="452"/>
      <c r="O13" s="452"/>
      <c r="P13" s="478">
        <f>AVERAGEIF(D13:O13, "&gt;0")</f>
        <v>5.2395523808081044E-3</v>
      </c>
    </row>
    <row r="14" spans="2:16" ht="15.75">
      <c r="B14" s="501"/>
      <c r="C14" s="469" t="s">
        <v>652</v>
      </c>
      <c r="D14" s="452">
        <v>0.89999999999999947</v>
      </c>
      <c r="E14" s="452">
        <v>0.89999999999999958</v>
      </c>
      <c r="F14" s="452">
        <v>0.89999999999999947</v>
      </c>
      <c r="G14" s="452"/>
      <c r="H14" s="452"/>
      <c r="I14" s="452"/>
      <c r="J14" s="452"/>
      <c r="K14" s="452"/>
      <c r="L14" s="452"/>
      <c r="M14" s="452"/>
      <c r="N14" s="452"/>
      <c r="O14" s="452"/>
      <c r="P14" s="478">
        <f t="shared" ref="P14" si="4">AVERAGEIF(D14:O14, "&gt;0")</f>
        <v>0.89999999999999947</v>
      </c>
    </row>
    <row r="15" spans="2:16" ht="15.75">
      <c r="B15" s="501"/>
      <c r="C15" s="469" t="s">
        <v>653</v>
      </c>
      <c r="D15" s="452">
        <v>5.7692307692307702E-2</v>
      </c>
      <c r="E15" s="452">
        <v>0.13873626373626369</v>
      </c>
      <c r="F15" s="452">
        <v>0.21960297766749381</v>
      </c>
      <c r="G15" s="452"/>
      <c r="H15" s="452"/>
      <c r="I15" s="452"/>
      <c r="J15" s="452"/>
      <c r="K15" s="452"/>
      <c r="L15" s="452"/>
      <c r="M15" s="452"/>
      <c r="N15" s="452"/>
      <c r="O15" s="452"/>
      <c r="P15" s="480">
        <v>0.21959999999999999</v>
      </c>
    </row>
    <row r="16" spans="2:16" ht="15.75">
      <c r="B16" s="475"/>
      <c r="C16" s="469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78"/>
    </row>
    <row r="17" spans="2:16" ht="15.75">
      <c r="B17" s="502" t="s">
        <v>654</v>
      </c>
      <c r="C17" s="469" t="s">
        <v>655</v>
      </c>
      <c r="D17" s="481">
        <v>0.36139567422949059</v>
      </c>
      <c r="E17" s="481">
        <v>0.34737656751091073</v>
      </c>
      <c r="F17" s="481">
        <v>0.36414345188530645</v>
      </c>
      <c r="G17" s="481"/>
      <c r="H17" s="481"/>
      <c r="I17" s="481"/>
      <c r="J17" s="481"/>
      <c r="K17" s="481"/>
      <c r="L17" s="481"/>
      <c r="M17" s="481"/>
      <c r="N17" s="481"/>
      <c r="O17" s="481"/>
      <c r="P17" s="478">
        <f>AVERAGEIF(D17:O17, "&gt;0")</f>
        <v>0.35763856454190263</v>
      </c>
    </row>
    <row r="18" spans="2:16" ht="15.75">
      <c r="B18" s="506"/>
      <c r="C18" s="469" t="s">
        <v>222</v>
      </c>
      <c r="D18" s="481">
        <v>6.9633574224369291E-2</v>
      </c>
      <c r="E18" s="481">
        <v>7.7793665132509071E-2</v>
      </c>
      <c r="F18" s="481">
        <v>8.4480826486750038E-2</v>
      </c>
      <c r="G18" s="481"/>
      <c r="H18" s="481"/>
      <c r="I18" s="481"/>
      <c r="J18" s="481"/>
      <c r="K18" s="481"/>
      <c r="L18" s="481"/>
      <c r="M18" s="481"/>
      <c r="N18" s="481"/>
      <c r="O18" s="481"/>
      <c r="P18" s="478">
        <f t="shared" ref="P18:P45" si="5">AVERAGEIF(D18:O18, "&gt;0")</f>
        <v>7.73026886145428E-2</v>
      </c>
    </row>
    <row r="19" spans="2:16" ht="15.75">
      <c r="B19" s="506"/>
      <c r="C19" s="469" t="s">
        <v>235</v>
      </c>
      <c r="D19" s="481">
        <v>2.2453221877666876E-2</v>
      </c>
      <c r="E19" s="481">
        <v>2.1676449691951108E-2</v>
      </c>
      <c r="F19" s="481">
        <v>2.4365160296787799E-2</v>
      </c>
      <c r="G19" s="481"/>
      <c r="H19" s="481"/>
      <c r="I19" s="481"/>
      <c r="J19" s="481"/>
      <c r="K19" s="481"/>
      <c r="L19" s="481"/>
      <c r="M19" s="481"/>
      <c r="N19" s="481"/>
      <c r="O19" s="481"/>
      <c r="P19" s="478">
        <f t="shared" si="5"/>
        <v>2.2831610622135262E-2</v>
      </c>
    </row>
    <row r="20" spans="2:16" ht="15.75">
      <c r="B20" s="506"/>
      <c r="C20" s="469" t="s">
        <v>220</v>
      </c>
      <c r="D20" s="481">
        <v>8.5850389930237133E-3</v>
      </c>
      <c r="E20" s="481">
        <v>9.9523222144173289E-3</v>
      </c>
      <c r="F20" s="481">
        <v>1.4684918119400437E-2</v>
      </c>
      <c r="G20" s="481"/>
      <c r="H20" s="481"/>
      <c r="I20" s="481"/>
      <c r="J20" s="481"/>
      <c r="K20" s="481"/>
      <c r="L20" s="481"/>
      <c r="M20" s="481"/>
      <c r="N20" s="481"/>
      <c r="O20" s="481"/>
      <c r="P20" s="478">
        <f t="shared" si="5"/>
        <v>1.1074093108947159E-2</v>
      </c>
    </row>
    <row r="21" spans="2:16" ht="15.75">
      <c r="B21" s="506"/>
      <c r="C21" s="469" t="s">
        <v>224</v>
      </c>
      <c r="D21" s="481">
        <v>0.16215294044225204</v>
      </c>
      <c r="E21" s="481">
        <v>0.18214707911075978</v>
      </c>
      <c r="F21" s="481">
        <v>0.20289323995580696</v>
      </c>
      <c r="G21" s="481"/>
      <c r="H21" s="481"/>
      <c r="I21" s="481"/>
      <c r="J21" s="481"/>
      <c r="K21" s="481"/>
      <c r="L21" s="481"/>
      <c r="M21" s="481"/>
      <c r="N21" s="481"/>
      <c r="O21" s="481"/>
      <c r="P21" s="478">
        <f t="shared" si="5"/>
        <v>0.18239775316960627</v>
      </c>
    </row>
    <row r="22" spans="2:16" ht="15.75">
      <c r="B22" s="506"/>
      <c r="C22" s="469" t="s">
        <v>226</v>
      </c>
      <c r="D22" s="481">
        <v>0.27057088032525339</v>
      </c>
      <c r="E22" s="481">
        <v>0.27529225824200032</v>
      </c>
      <c r="F22" s="481">
        <v>0.29293399487971084</v>
      </c>
      <c r="G22" s="481"/>
      <c r="H22" s="481"/>
      <c r="I22" s="481"/>
      <c r="J22" s="481"/>
      <c r="K22" s="481"/>
      <c r="L22" s="481"/>
      <c r="M22" s="481"/>
      <c r="N22" s="481"/>
      <c r="O22" s="481"/>
      <c r="P22" s="478">
        <f t="shared" si="5"/>
        <v>0.27959904448232148</v>
      </c>
    </row>
    <row r="23" spans="2:16" ht="15.75">
      <c r="B23" s="506"/>
      <c r="C23" s="469" t="s">
        <v>236</v>
      </c>
      <c r="D23" s="481">
        <v>2.9234371078829206E-2</v>
      </c>
      <c r="E23" s="481">
        <v>8.9796818765835347E-3</v>
      </c>
      <c r="F23" s="481">
        <v>0</v>
      </c>
      <c r="G23" s="481"/>
      <c r="H23" s="481"/>
      <c r="I23" s="481"/>
      <c r="J23" s="481"/>
      <c r="K23" s="481"/>
      <c r="L23" s="481"/>
      <c r="M23" s="481"/>
      <c r="N23" s="481"/>
      <c r="O23" s="481"/>
      <c r="P23" s="478">
        <f t="shared" si="5"/>
        <v>1.910702647770637E-2</v>
      </c>
    </row>
    <row r="24" spans="2:16" ht="15.75">
      <c r="B24" s="506"/>
      <c r="C24" s="469" t="s">
        <v>237</v>
      </c>
      <c r="D24" s="481">
        <v>4.0564165966170615E-2</v>
      </c>
      <c r="E24" s="481">
        <v>4.0109498783470192E-2</v>
      </c>
      <c r="F24" s="481">
        <v>1.6541184549440737E-3</v>
      </c>
      <c r="G24" s="481"/>
      <c r="H24" s="481"/>
      <c r="I24" s="481"/>
      <c r="J24" s="481"/>
      <c r="K24" s="481"/>
      <c r="L24" s="481"/>
      <c r="M24" s="481"/>
      <c r="N24" s="481"/>
      <c r="O24" s="481"/>
      <c r="P24" s="478">
        <f t="shared" si="5"/>
        <v>2.7442594401528294E-2</v>
      </c>
    </row>
    <row r="25" spans="2:16" ht="15.75">
      <c r="B25" s="507"/>
      <c r="C25" s="469" t="s">
        <v>232</v>
      </c>
      <c r="D25" s="481">
        <v>3.5410132862943831E-2</v>
      </c>
      <c r="E25" s="481">
        <v>3.6672477437397863E-2</v>
      </c>
      <c r="F25" s="481">
        <v>1.4844289921293864E-2</v>
      </c>
      <c r="G25" s="481"/>
      <c r="H25" s="481"/>
      <c r="I25" s="481"/>
      <c r="J25" s="481"/>
      <c r="K25" s="481"/>
      <c r="L25" s="481"/>
      <c r="M25" s="481"/>
      <c r="N25" s="481"/>
      <c r="O25" s="481"/>
      <c r="P25" s="478">
        <f t="shared" si="5"/>
        <v>2.8975633407211848E-2</v>
      </c>
    </row>
    <row r="26" spans="2:16" ht="15.75">
      <c r="B26" s="475"/>
      <c r="C26" s="469"/>
      <c r="D26" s="452"/>
      <c r="E26" s="452"/>
      <c r="F26" s="452"/>
      <c r="G26" s="452"/>
      <c r="H26" s="452"/>
      <c r="I26" s="452"/>
      <c r="J26" s="452"/>
      <c r="K26" s="452"/>
      <c r="L26" s="452"/>
      <c r="M26" s="452"/>
      <c r="N26" s="452"/>
      <c r="O26" s="452"/>
      <c r="P26" s="478"/>
    </row>
    <row r="27" spans="2:16" ht="15.75">
      <c r="B27" s="502" t="s">
        <v>656</v>
      </c>
      <c r="C27" s="469" t="s">
        <v>655</v>
      </c>
      <c r="D27" s="481">
        <v>0.58577126139802016</v>
      </c>
      <c r="E27" s="481">
        <v>0.57025346170928881</v>
      </c>
      <c r="F27" s="481">
        <v>0.57640851623137324</v>
      </c>
      <c r="G27" s="481"/>
      <c r="H27" s="481"/>
      <c r="I27" s="481"/>
      <c r="J27" s="481"/>
      <c r="K27" s="481"/>
      <c r="L27" s="481"/>
      <c r="M27" s="481"/>
      <c r="N27" s="481"/>
      <c r="O27" s="481"/>
      <c r="P27" s="478">
        <f>AVERAGEIF(D27:O27, "&gt;0")</f>
        <v>0.5774777464462274</v>
      </c>
    </row>
    <row r="28" spans="2:16" ht="15.75">
      <c r="B28" s="506"/>
      <c r="C28" s="469" t="s">
        <v>222</v>
      </c>
      <c r="D28" s="481">
        <v>8.1693945583923164E-2</v>
      </c>
      <c r="E28" s="481">
        <v>9.1615478418020382E-2</v>
      </c>
      <c r="F28" s="481">
        <v>0.10179987010858439</v>
      </c>
      <c r="G28" s="481"/>
      <c r="H28" s="481"/>
      <c r="I28" s="481"/>
      <c r="J28" s="481"/>
      <c r="K28" s="481"/>
      <c r="L28" s="481"/>
      <c r="M28" s="481"/>
      <c r="N28" s="481"/>
      <c r="O28" s="481"/>
      <c r="P28" s="478">
        <f t="shared" si="5"/>
        <v>9.1703098036842637E-2</v>
      </c>
    </row>
    <row r="29" spans="2:16" ht="15.75">
      <c r="B29" s="506"/>
      <c r="C29" s="469" t="s">
        <v>235</v>
      </c>
      <c r="D29" s="481">
        <v>2.4966128092325353E-2</v>
      </c>
      <c r="E29" s="481">
        <v>2.3825971045169769E-2</v>
      </c>
      <c r="F29" s="481">
        <v>2.6809080825002728E-2</v>
      </c>
      <c r="G29" s="481"/>
      <c r="H29" s="481"/>
      <c r="I29" s="481"/>
      <c r="J29" s="481"/>
      <c r="K29" s="481"/>
      <c r="L29" s="481"/>
      <c r="M29" s="481"/>
      <c r="N29" s="481"/>
      <c r="O29" s="481"/>
      <c r="P29" s="478">
        <f t="shared" si="5"/>
        <v>2.5200393320832615E-2</v>
      </c>
    </row>
    <row r="30" spans="2:16" ht="15.75">
      <c r="B30" s="506"/>
      <c r="C30" s="469" t="s">
        <v>220</v>
      </c>
      <c r="D30" s="481">
        <v>9.7963785106258503E-3</v>
      </c>
      <c r="E30" s="481">
        <v>1.1706621755150907E-2</v>
      </c>
      <c r="F30" s="481">
        <v>1.640151628508173E-2</v>
      </c>
      <c r="G30" s="481"/>
      <c r="H30" s="481"/>
      <c r="I30" s="481"/>
      <c r="J30" s="481"/>
      <c r="K30" s="481"/>
      <c r="L30" s="481"/>
      <c r="M30" s="481"/>
      <c r="N30" s="481"/>
      <c r="O30" s="481"/>
      <c r="P30" s="478">
        <f t="shared" si="5"/>
        <v>1.2634838850286162E-2</v>
      </c>
    </row>
    <row r="31" spans="2:16" ht="15.75">
      <c r="B31" s="506"/>
      <c r="C31" s="469" t="s">
        <v>224</v>
      </c>
      <c r="D31" s="481">
        <v>8.9953008167213674E-2</v>
      </c>
      <c r="E31" s="481">
        <v>0.10114834901064219</v>
      </c>
      <c r="F31" s="481">
        <v>0.11343936177613133</v>
      </c>
      <c r="G31" s="481"/>
      <c r="H31" s="481"/>
      <c r="I31" s="481"/>
      <c r="J31" s="481"/>
      <c r="K31" s="481"/>
      <c r="L31" s="481"/>
      <c r="M31" s="481"/>
      <c r="N31" s="481"/>
      <c r="O31" s="481"/>
      <c r="P31" s="478">
        <f t="shared" si="5"/>
        <v>0.1015135729846624</v>
      </c>
    </row>
    <row r="32" spans="2:16" ht="15.75">
      <c r="B32" s="506"/>
      <c r="C32" s="469" t="s">
        <v>226</v>
      </c>
      <c r="D32" s="481">
        <v>0.13708177551916129</v>
      </c>
      <c r="E32" s="481">
        <v>0.14060779476747043</v>
      </c>
      <c r="F32" s="481">
        <v>0.14223546019791297</v>
      </c>
      <c r="G32" s="481"/>
      <c r="H32" s="481"/>
      <c r="I32" s="481"/>
      <c r="J32" s="481"/>
      <c r="K32" s="481"/>
      <c r="L32" s="481"/>
      <c r="M32" s="481"/>
      <c r="N32" s="481"/>
      <c r="O32" s="481"/>
      <c r="P32" s="478">
        <f t="shared" si="5"/>
        <v>0.1399750101615149</v>
      </c>
    </row>
    <row r="33" spans="2:16" ht="15.75">
      <c r="B33" s="506"/>
      <c r="C33" s="469" t="s">
        <v>236</v>
      </c>
      <c r="D33" s="481">
        <v>1.5652480623129864E-2</v>
      </c>
      <c r="E33" s="481">
        <v>4.823868590510383E-3</v>
      </c>
      <c r="F33" s="481">
        <v>0</v>
      </c>
      <c r="G33" s="481"/>
      <c r="H33" s="481"/>
      <c r="I33" s="481"/>
      <c r="J33" s="481"/>
      <c r="K33" s="481"/>
      <c r="L33" s="481"/>
      <c r="M33" s="481"/>
      <c r="N33" s="481"/>
      <c r="O33" s="481"/>
      <c r="P33" s="478">
        <f t="shared" si="5"/>
        <v>1.0238174606820123E-2</v>
      </c>
    </row>
    <row r="34" spans="2:16" ht="15.75">
      <c r="B34" s="506"/>
      <c r="C34" s="469" t="s">
        <v>237</v>
      </c>
      <c r="D34" s="481">
        <v>2.2004734622699137E-2</v>
      </c>
      <c r="E34" s="481">
        <v>2.0902022232890293E-2</v>
      </c>
      <c r="F34" s="481">
        <v>6.7918504928798538E-4</v>
      </c>
      <c r="G34" s="481"/>
      <c r="H34" s="481"/>
      <c r="I34" s="481"/>
      <c r="J34" s="481"/>
      <c r="K34" s="481"/>
      <c r="L34" s="481"/>
      <c r="M34" s="481"/>
      <c r="N34" s="481"/>
      <c r="O34" s="481"/>
      <c r="P34" s="478">
        <f t="shared" si="5"/>
        <v>1.4528647301625805E-2</v>
      </c>
    </row>
    <row r="35" spans="2:16" ht="15.75">
      <c r="B35" s="507"/>
      <c r="C35" s="469" t="s">
        <v>232</v>
      </c>
      <c r="D35" s="481">
        <v>3.3080287482901531E-2</v>
      </c>
      <c r="E35" s="481">
        <v>3.5116432470856891E-2</v>
      </c>
      <c r="F35" s="481">
        <v>2.2227009526625659E-2</v>
      </c>
      <c r="G35" s="481"/>
      <c r="H35" s="481"/>
      <c r="I35" s="481"/>
      <c r="J35" s="481"/>
      <c r="K35" s="481"/>
      <c r="L35" s="481"/>
      <c r="M35" s="481"/>
      <c r="N35" s="481"/>
      <c r="O35" s="481"/>
      <c r="P35" s="478">
        <f t="shared" si="5"/>
        <v>3.0141243160128024E-2</v>
      </c>
    </row>
    <row r="36" spans="2:16" ht="15.75">
      <c r="B36" s="475"/>
      <c r="C36" s="469"/>
      <c r="D36" s="452"/>
      <c r="E36" s="452"/>
      <c r="F36" s="452"/>
      <c r="G36" s="452"/>
      <c r="H36" s="452"/>
      <c r="I36" s="452"/>
      <c r="J36" s="452"/>
      <c r="K36" s="452"/>
      <c r="L36" s="452"/>
      <c r="M36" s="452"/>
      <c r="N36" s="452"/>
      <c r="O36" s="452"/>
      <c r="P36" s="478"/>
    </row>
    <row r="37" spans="2:16" ht="15.75">
      <c r="B37" s="501" t="s">
        <v>657</v>
      </c>
      <c r="C37" s="469" t="s">
        <v>655</v>
      </c>
      <c r="D37" s="453">
        <v>768.96508698264131</v>
      </c>
      <c r="E37" s="453">
        <v>774.12086448722914</v>
      </c>
      <c r="F37" s="453">
        <v>757.5904244152307</v>
      </c>
      <c r="G37" s="453"/>
      <c r="H37" s="453"/>
      <c r="I37" s="453"/>
      <c r="J37" s="453"/>
      <c r="K37" s="453"/>
      <c r="L37" s="453"/>
      <c r="M37" s="453"/>
      <c r="N37" s="453"/>
      <c r="O37" s="453"/>
      <c r="P37" s="482">
        <f>AVERAGEIF(D37:O37, "&gt;0")</f>
        <v>766.89212529503368</v>
      </c>
    </row>
    <row r="38" spans="2:16" ht="15.75">
      <c r="B38" s="502"/>
      <c r="C38" s="483" t="s">
        <v>222</v>
      </c>
      <c r="D38" s="484">
        <v>280.52357557404559</v>
      </c>
      <c r="E38" s="484">
        <v>304.46478382945497</v>
      </c>
      <c r="F38" s="484">
        <v>311.70581961708376</v>
      </c>
      <c r="G38" s="484"/>
      <c r="H38" s="484"/>
      <c r="I38" s="484"/>
      <c r="J38" s="484"/>
      <c r="K38" s="484"/>
      <c r="L38" s="484"/>
      <c r="M38" s="484"/>
      <c r="N38" s="484"/>
      <c r="O38" s="484"/>
      <c r="P38" s="482">
        <f t="shared" si="5"/>
        <v>298.89805967352811</v>
      </c>
    </row>
    <row r="39" spans="2:16" ht="15.75">
      <c r="B39" s="502"/>
      <c r="C39" s="483" t="s">
        <v>235</v>
      </c>
      <c r="D39" s="484">
        <v>258.56166578115295</v>
      </c>
      <c r="E39" s="484">
        <v>203.2437413385673</v>
      </c>
      <c r="F39" s="484">
        <v>331.13667122055222</v>
      </c>
      <c r="G39" s="484"/>
      <c r="H39" s="484"/>
      <c r="I39" s="484"/>
      <c r="J39" s="484"/>
      <c r="K39" s="484"/>
      <c r="L39" s="484"/>
      <c r="M39" s="484"/>
      <c r="N39" s="484"/>
      <c r="O39" s="484"/>
      <c r="P39" s="482">
        <f t="shared" si="5"/>
        <v>264.31402611342418</v>
      </c>
    </row>
    <row r="40" spans="2:16" ht="15.75">
      <c r="B40" s="502"/>
      <c r="C40" s="483" t="s">
        <v>220</v>
      </c>
      <c r="D40" s="484">
        <v>486.07170829520021</v>
      </c>
      <c r="E40" s="484">
        <v>490.19814173593841</v>
      </c>
      <c r="F40" s="484">
        <v>493.97618103140815</v>
      </c>
      <c r="G40" s="484"/>
      <c r="H40" s="484"/>
      <c r="I40" s="484"/>
      <c r="J40" s="484"/>
      <c r="K40" s="484"/>
      <c r="L40" s="484"/>
      <c r="M40" s="484"/>
      <c r="N40" s="484"/>
      <c r="O40" s="484"/>
      <c r="P40" s="482">
        <f t="shared" si="5"/>
        <v>490.08201035418227</v>
      </c>
    </row>
    <row r="41" spans="2:16" ht="15.75">
      <c r="B41" s="502"/>
      <c r="C41" s="483" t="s">
        <v>224</v>
      </c>
      <c r="D41" s="484">
        <v>82.669482447974161</v>
      </c>
      <c r="E41" s="484">
        <v>81.452411562244222</v>
      </c>
      <c r="F41" s="484">
        <v>79.94999927589204</v>
      </c>
      <c r="G41" s="484"/>
      <c r="H41" s="484"/>
      <c r="I41" s="484"/>
      <c r="J41" s="484"/>
      <c r="K41" s="484"/>
      <c r="L41" s="484"/>
      <c r="M41" s="484"/>
      <c r="N41" s="484"/>
      <c r="O41" s="484"/>
      <c r="P41" s="482">
        <f t="shared" si="5"/>
        <v>81.357297762036808</v>
      </c>
    </row>
    <row r="42" spans="2:16" ht="15.75">
      <c r="B42" s="502"/>
      <c r="C42" s="483" t="s">
        <v>226</v>
      </c>
      <c r="D42" s="484">
        <v>78.306366965294018</v>
      </c>
      <c r="E42" s="484">
        <v>77.971322564328403</v>
      </c>
      <c r="F42" s="484">
        <v>77.906796798443906</v>
      </c>
      <c r="G42" s="484"/>
      <c r="H42" s="484"/>
      <c r="I42" s="484"/>
      <c r="J42" s="484"/>
      <c r="K42" s="484"/>
      <c r="L42" s="484"/>
      <c r="M42" s="484"/>
      <c r="N42" s="484"/>
      <c r="O42" s="484"/>
      <c r="P42" s="482">
        <f t="shared" si="5"/>
        <v>78.061495442688781</v>
      </c>
    </row>
    <row r="43" spans="2:16" ht="15.75">
      <c r="B43" s="502"/>
      <c r="C43" s="483" t="s">
        <v>236</v>
      </c>
      <c r="D43" s="484">
        <v>76.250132772766719</v>
      </c>
      <c r="E43" s="484">
        <v>72.949975663847383</v>
      </c>
      <c r="F43" s="484">
        <v>0</v>
      </c>
      <c r="G43" s="484"/>
      <c r="H43" s="484"/>
      <c r="I43" s="484"/>
      <c r="J43" s="484"/>
      <c r="K43" s="484"/>
      <c r="L43" s="484"/>
      <c r="M43" s="484"/>
      <c r="N43" s="484"/>
      <c r="O43" s="484"/>
      <c r="P43" s="482">
        <f t="shared" si="5"/>
        <v>74.600054218307051</v>
      </c>
    </row>
    <row r="44" spans="2:16" ht="15.75">
      <c r="B44" s="502"/>
      <c r="C44" s="483" t="s">
        <v>237</v>
      </c>
      <c r="D44" s="484">
        <v>110.80830487807768</v>
      </c>
      <c r="E44" s="484">
        <v>97.15750138812345</v>
      </c>
      <c r="F44" s="484">
        <v>84.60142398436416</v>
      </c>
      <c r="G44" s="484"/>
      <c r="H44" s="484"/>
      <c r="I44" s="484"/>
      <c r="J44" s="484"/>
      <c r="K44" s="484"/>
      <c r="L44" s="484"/>
      <c r="M44" s="484"/>
      <c r="N44" s="484"/>
      <c r="O44" s="484"/>
      <c r="P44" s="482">
        <f t="shared" si="5"/>
        <v>97.522410083521763</v>
      </c>
    </row>
    <row r="45" spans="2:16" ht="16.5" thickBot="1">
      <c r="B45" s="503"/>
      <c r="C45" s="485" t="s">
        <v>232</v>
      </c>
      <c r="D45" s="454">
        <v>76.123665150077642</v>
      </c>
      <c r="E45" s="454">
        <v>77.592138128204311</v>
      </c>
      <c r="F45" s="454">
        <v>83.044478559400275</v>
      </c>
      <c r="G45" s="454"/>
      <c r="H45" s="454"/>
      <c r="I45" s="454"/>
      <c r="J45" s="454"/>
      <c r="K45" s="454"/>
      <c r="L45" s="454"/>
      <c r="M45" s="454"/>
      <c r="N45" s="454"/>
      <c r="O45" s="454"/>
      <c r="P45" s="486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6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topLeftCell="A10" zoomScale="115" zoomScaleNormal="100" zoomScaleSheetLayoutView="115" workbookViewId="0">
      <selection sqref="A1:K2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508" t="s">
        <v>334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99"/>
    </row>
    <row r="2" spans="1:12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</row>
    <row r="3" spans="1:12" ht="21.6" customHeight="1">
      <c r="A3" s="114" t="s">
        <v>73</v>
      </c>
      <c r="B3" s="115">
        <v>4</v>
      </c>
      <c r="C3" s="114" t="s">
        <v>20</v>
      </c>
      <c r="D3" s="510" t="s">
        <v>371</v>
      </c>
      <c r="E3" s="510"/>
      <c r="F3" s="100"/>
      <c r="G3" s="109"/>
      <c r="H3" s="100"/>
      <c r="I3" s="100"/>
      <c r="J3" s="100"/>
      <c r="K3" s="100"/>
    </row>
    <row r="4" spans="1:12" ht="15.75" customHeight="1">
      <c r="A4" s="110" t="s">
        <v>599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87" t="e">
        <f>'（１）收支狀況'!#REF!/1000</f>
        <v>#REF!</v>
      </c>
      <c r="C6" s="446">
        <f>'數值累積總表(月)'!E2</f>
        <v>116569.43023000001</v>
      </c>
      <c r="D6" s="117" t="e">
        <f t="shared" ref="D6:D11" si="0">B6-C6</f>
        <v>#REF!</v>
      </c>
      <c r="E6" s="446">
        <f>'數值累積總表(月)'!P2</f>
        <v>411707.36404999997</v>
      </c>
      <c r="G6" s="107" t="s">
        <v>198</v>
      </c>
      <c r="H6" s="119">
        <v>497.6</v>
      </c>
      <c r="I6" s="488" t="e">
        <f>'（２）ＫＰＩ達成進度'!#REF!</f>
        <v>#REF!</v>
      </c>
      <c r="J6" s="456">
        <f>'數值累積總表(月)'!E10</f>
        <v>476.04171528829499</v>
      </c>
      <c r="K6" s="456">
        <f>'數值累積總表(月)'!P10</f>
        <v>448.08049576570926</v>
      </c>
      <c r="L6" s="101" t="s">
        <v>195</v>
      </c>
    </row>
    <row r="7" spans="1:12" ht="18" customHeight="1">
      <c r="A7" s="107" t="s">
        <v>25</v>
      </c>
      <c r="B7" s="487" t="e">
        <f>'（１）收支狀況'!#REF!</f>
        <v>#REF!</v>
      </c>
      <c r="C7" s="446">
        <f>'數值累積總表(月)'!E3</f>
        <v>3787002</v>
      </c>
      <c r="D7" s="117" t="e">
        <f t="shared" si="0"/>
        <v>#REF!</v>
      </c>
      <c r="E7" s="446">
        <f>'數值累積總表(月)'!P3</f>
        <v>13601456</v>
      </c>
      <c r="G7" s="107" t="s">
        <v>199</v>
      </c>
      <c r="H7" s="118">
        <v>0.8</v>
      </c>
      <c r="I7" s="455" t="e">
        <f>'（２）ＫＰＩ達成進度'!#REF!</f>
        <v>#REF!</v>
      </c>
      <c r="J7" s="458">
        <f>'數值累積總表(月)'!E11</f>
        <v>0.95667547284625198</v>
      </c>
      <c r="K7" s="458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87">
        <v>93614</v>
      </c>
      <c r="C8" s="446">
        <f>'數值累積總表(月)'!E4</f>
        <v>74777</v>
      </c>
      <c r="D8" s="117">
        <f>B8-C8</f>
        <v>18837</v>
      </c>
      <c r="E8" s="446">
        <f>'數值累積總表(月)'!P4</f>
        <v>261644</v>
      </c>
      <c r="G8" s="107" t="s">
        <v>200</v>
      </c>
      <c r="H8" s="118">
        <v>2.5000000000000001E-3</v>
      </c>
      <c r="I8" s="489" t="e">
        <f>'（２）ＫＰＩ達成進度'!#REF!</f>
        <v>#REF!</v>
      </c>
      <c r="J8" s="457">
        <f>'數值累積總表(月)'!E12</f>
        <v>2.3657636051419204E-3</v>
      </c>
      <c r="K8" s="457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55">
        <v>0.64800000000000002</v>
      </c>
      <c r="C9" s="490">
        <f>'數值累積總表(月)'!E5</f>
        <v>0.65300000000000002</v>
      </c>
      <c r="D9" s="118">
        <f t="shared" si="0"/>
        <v>-5.0000000000000044E-3</v>
      </c>
      <c r="E9" s="490">
        <f>'數值累積總表(月)'!P5</f>
        <v>0.65200000000000002</v>
      </c>
      <c r="G9" s="107" t="s">
        <v>201</v>
      </c>
      <c r="H9" s="118">
        <v>4.0000000000000001E-3</v>
      </c>
      <c r="I9" s="455" t="e">
        <f>'（２）ＫＰＩ達成進度'!#REF!</f>
        <v>#REF!</v>
      </c>
      <c r="J9" s="458">
        <f>'數值累積總表(月)'!E13</f>
        <v>5.2393000579921759E-3</v>
      </c>
      <c r="K9" s="458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87">
        <v>22710</v>
      </c>
      <c r="C10" s="446">
        <f>'數值累積總表(月)'!E6</f>
        <v>22860</v>
      </c>
      <c r="D10" s="117">
        <f>B10-C10</f>
        <v>-150</v>
      </c>
      <c r="E10" s="446">
        <f>'[1]數值累積總表(月)'!P6</f>
        <v>67948</v>
      </c>
      <c r="G10" s="107" t="s">
        <v>202</v>
      </c>
      <c r="H10" s="118">
        <v>0.8</v>
      </c>
      <c r="I10" s="455" t="e">
        <f>'（２）ＫＰＩ達成進度'!#REF!</f>
        <v>#REF!</v>
      </c>
      <c r="J10" s="458">
        <f>'數值累積總表(月)'!E14</f>
        <v>0.89999999999999958</v>
      </c>
      <c r="K10" s="458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55">
        <v>0.157</v>
      </c>
      <c r="C11" s="490">
        <f>'數值累積總表(月)'!E7</f>
        <v>0.2</v>
      </c>
      <c r="D11" s="118">
        <f t="shared" si="0"/>
        <v>-4.300000000000001E-2</v>
      </c>
      <c r="E11" s="490">
        <f>'數值累積總表(月)'!P7</f>
        <v>0.17133333333333334</v>
      </c>
      <c r="G11" s="107" t="s">
        <v>203</v>
      </c>
      <c r="H11" s="118">
        <v>1</v>
      </c>
      <c r="I11" s="455" t="e">
        <f>'（２）ＫＰＩ達成進度'!#REF!</f>
        <v>#REF!</v>
      </c>
      <c r="J11" s="458">
        <f>'數值累積總表(月)'!E15</f>
        <v>0.13873626373626369</v>
      </c>
      <c r="K11" s="458">
        <f>'數值累積總表(月)'!P15</f>
        <v>0.21959999999999999</v>
      </c>
      <c r="L11" s="101" t="s">
        <v>62</v>
      </c>
    </row>
    <row r="12" spans="1:12" ht="9.6" customHeight="1">
      <c r="L12" s="99"/>
    </row>
    <row r="13" spans="1:12" ht="15.75" customHeight="1">
      <c r="A13" s="110" t="s">
        <v>32</v>
      </c>
      <c r="E13" s="317" t="s">
        <v>23</v>
      </c>
      <c r="G13" s="110" t="s">
        <v>33</v>
      </c>
      <c r="K13" s="317" t="s">
        <v>450</v>
      </c>
      <c r="L13" s="99"/>
    </row>
    <row r="14" spans="1:12" s="106" customFormat="1" ht="14.2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392</v>
      </c>
      <c r="B15" s="487">
        <f>SUM('（３）業績構成比'!M7:M7)/1000</f>
        <v>1881.5816699999998</v>
      </c>
      <c r="C15" s="118" t="str">
        <f>IFERROR(B15/$B$6,"")</f>
        <v/>
      </c>
      <c r="D15" s="491">
        <f>'數值累積總表(月)'!E17</f>
        <v>0.34737656751091073</v>
      </c>
      <c r="E15" s="118" t="str">
        <f>IFERROR(C15-D15,"")</f>
        <v/>
      </c>
      <c r="G15" s="107" t="s">
        <v>393</v>
      </c>
      <c r="H15" s="487">
        <f>SUM('（４）訂單數量構成比'!M7:M7)</f>
        <v>101435</v>
      </c>
      <c r="I15" s="118" t="str">
        <f t="shared" ref="I15:I23" si="1">IFERROR(H15/$B$7,"")</f>
        <v/>
      </c>
      <c r="J15" s="491">
        <f>'數值累積總表(月)'!E27</f>
        <v>0.57025346170928881</v>
      </c>
      <c r="K15" s="118" t="str">
        <f>IFERROR(I15-J15,"")</f>
        <v/>
      </c>
      <c r="L15" s="99"/>
    </row>
    <row r="16" spans="1:12" ht="18" customHeight="1">
      <c r="A16" s="107" t="s">
        <v>223</v>
      </c>
      <c r="B16" s="487">
        <f>SUM('（３）業績構成比'!S7:S7)/1000</f>
        <v>431.49772999999999</v>
      </c>
      <c r="C16" s="118" t="str">
        <f t="shared" ref="C16:C23" si="2">IFERROR(B16/$B$6,"")</f>
        <v/>
      </c>
      <c r="D16" s="491">
        <f>'數值累積總表(月)'!E18</f>
        <v>7.7793665132509071E-2</v>
      </c>
      <c r="E16" s="118" t="str">
        <f t="shared" ref="E16:E23" si="3">IFERROR(C16-D16,"")</f>
        <v/>
      </c>
      <c r="G16" s="107" t="s">
        <v>223</v>
      </c>
      <c r="H16" s="487">
        <f>SUM('（４）訂單數量構成比'!S7:S7)</f>
        <v>17522</v>
      </c>
      <c r="I16" s="118" t="str">
        <f t="shared" si="1"/>
        <v/>
      </c>
      <c r="J16" s="491">
        <f>'數值累積總表(月)'!E28</f>
        <v>9.1615478418020382E-2</v>
      </c>
      <c r="K16" s="118" t="str">
        <f t="shared" ref="K16:K23" si="4">IFERROR(I16-J16,"")</f>
        <v/>
      </c>
      <c r="L16" s="99"/>
    </row>
    <row r="17" spans="1:16" ht="18" customHeight="1">
      <c r="A17" s="107" t="s">
        <v>219</v>
      </c>
      <c r="B17" s="487">
        <f>SUM('（３）業績構成比'!U7:U7)/1000</f>
        <v>121.14007000000001</v>
      </c>
      <c r="C17" s="118" t="str">
        <f t="shared" si="2"/>
        <v/>
      </c>
      <c r="D17" s="491">
        <f>'數值累積總表(月)'!E19</f>
        <v>2.1676449691951108E-2</v>
      </c>
      <c r="E17" s="118" t="str">
        <f t="shared" si="3"/>
        <v/>
      </c>
      <c r="G17" s="107" t="s">
        <v>235</v>
      </c>
      <c r="H17" s="487">
        <f>SUM('（４）訂單數量構成比'!U7:U7)</f>
        <v>4406</v>
      </c>
      <c r="I17" s="118" t="str">
        <f t="shared" si="1"/>
        <v/>
      </c>
      <c r="J17" s="491">
        <f>'數值累積總表(月)'!E29</f>
        <v>2.3825971045169769E-2</v>
      </c>
      <c r="K17" s="118" t="str">
        <f t="shared" si="4"/>
        <v/>
      </c>
      <c r="L17" s="99"/>
    </row>
    <row r="18" spans="1:16" ht="18" customHeight="1">
      <c r="A18" s="107" t="s">
        <v>221</v>
      </c>
      <c r="B18" s="487">
        <f>SUM('（３）業績構成比'!W7:W7)/1000</f>
        <v>55.570200000000007</v>
      </c>
      <c r="C18" s="118" t="str">
        <f t="shared" si="2"/>
        <v/>
      </c>
      <c r="D18" s="491">
        <f>'數值累積總表(月)'!E20</f>
        <v>9.9523222144173289E-3</v>
      </c>
      <c r="E18" s="118" t="str">
        <f t="shared" si="3"/>
        <v/>
      </c>
      <c r="G18" s="107" t="s">
        <v>220</v>
      </c>
      <c r="H18" s="487">
        <f>SUM('（４）訂單數量構成比'!W7:W7)</f>
        <v>2100</v>
      </c>
      <c r="I18" s="118" t="str">
        <f t="shared" si="1"/>
        <v/>
      </c>
      <c r="J18" s="491">
        <f>'數值累積總表(月)'!E30</f>
        <v>1.1706621755150907E-2</v>
      </c>
      <c r="K18" s="118" t="str">
        <f t="shared" si="4"/>
        <v/>
      </c>
      <c r="L18" s="99"/>
    </row>
    <row r="19" spans="1:16" ht="18" customHeight="1">
      <c r="A19" s="107" t="s">
        <v>225</v>
      </c>
      <c r="B19" s="487">
        <f>SUM('（３）業績構成比'!AC7:AC7)/1000</f>
        <v>901.91559000000007</v>
      </c>
      <c r="C19" s="118" t="str">
        <f t="shared" si="2"/>
        <v/>
      </c>
      <c r="D19" s="491">
        <f>'數值累積總表(月)'!E21</f>
        <v>0.18214707911075978</v>
      </c>
      <c r="E19" s="118" t="str">
        <f t="shared" si="3"/>
        <v/>
      </c>
      <c r="G19" s="107" t="s">
        <v>224</v>
      </c>
      <c r="H19" s="487">
        <f>SUM('（４）訂單數量構成比'!AC7:AC7)</f>
        <v>17063</v>
      </c>
      <c r="I19" s="118" t="str">
        <f t="shared" si="1"/>
        <v/>
      </c>
      <c r="J19" s="491">
        <f>'數值累積總表(月)'!E31</f>
        <v>0.10114834901064219</v>
      </c>
      <c r="K19" s="118" t="str">
        <f t="shared" si="4"/>
        <v/>
      </c>
      <c r="L19" s="99"/>
    </row>
    <row r="20" spans="1:16" ht="18" customHeight="1">
      <c r="A20" s="107" t="s">
        <v>227</v>
      </c>
      <c r="B20" s="487">
        <f>SUM('（３）業績構成比'!AE7:AE7)/1000</f>
        <v>2104.1695200000004</v>
      </c>
      <c r="C20" s="118" t="str">
        <f t="shared" si="2"/>
        <v/>
      </c>
      <c r="D20" s="491">
        <f>'數值累積總表(月)'!E22</f>
        <v>0.27529225824200032</v>
      </c>
      <c r="E20" s="118" t="str">
        <f t="shared" si="3"/>
        <v/>
      </c>
      <c r="G20" s="107" t="s">
        <v>226</v>
      </c>
      <c r="H20" s="487">
        <f>SUM('（４）訂單數量構成比'!AE7:AE7)</f>
        <v>33080</v>
      </c>
      <c r="I20" s="118" t="str">
        <f t="shared" si="1"/>
        <v/>
      </c>
      <c r="J20" s="491">
        <f>'數值累積總表(月)'!E32</f>
        <v>0.14060779476747043</v>
      </c>
      <c r="K20" s="118" t="str">
        <f t="shared" si="4"/>
        <v/>
      </c>
      <c r="L20" s="99"/>
    </row>
    <row r="21" spans="1:16" ht="18" customHeight="1">
      <c r="A21" s="107" t="s">
        <v>230</v>
      </c>
      <c r="B21" s="487">
        <f>SUM('（３）業績構成比'!AG7:AG7)/1000</f>
        <v>0</v>
      </c>
      <c r="C21" s="118" t="str">
        <f t="shared" si="2"/>
        <v/>
      </c>
      <c r="D21" s="491">
        <f>'數值累積總表(月)'!E23</f>
        <v>8.9796818765835347E-3</v>
      </c>
      <c r="E21" s="118" t="str">
        <f t="shared" si="3"/>
        <v/>
      </c>
      <c r="G21" s="107" t="s">
        <v>236</v>
      </c>
      <c r="H21" s="487">
        <f>SUM('（４）訂單數量構成比'!AG7:AG7)</f>
        <v>0</v>
      </c>
      <c r="I21" s="118" t="str">
        <f t="shared" si="1"/>
        <v/>
      </c>
      <c r="J21" s="491">
        <f>'數值累積總表(月)'!E33</f>
        <v>4.823868590510383E-3</v>
      </c>
      <c r="K21" s="118" t="str">
        <f t="shared" si="4"/>
        <v/>
      </c>
      <c r="L21" s="99"/>
    </row>
    <row r="22" spans="1:16" ht="18" customHeight="1">
      <c r="A22" s="107" t="s">
        <v>231</v>
      </c>
      <c r="B22" s="487">
        <f>SUM('（３）業績構成比'!AI7:AI7)/1000</f>
        <v>0</v>
      </c>
      <c r="C22" s="118" t="str">
        <f t="shared" si="2"/>
        <v/>
      </c>
      <c r="D22" s="491">
        <f>'數值累積總表(月)'!E24</f>
        <v>4.0109498783470192E-2</v>
      </c>
      <c r="E22" s="118" t="str">
        <f t="shared" si="3"/>
        <v/>
      </c>
      <c r="G22" s="107" t="s">
        <v>237</v>
      </c>
      <c r="H22" s="487">
        <f>SUM('（４）訂單數量構成比'!AI7:AI7)</f>
        <v>0</v>
      </c>
      <c r="I22" s="118" t="str">
        <f t="shared" si="1"/>
        <v/>
      </c>
      <c r="J22" s="491">
        <f>'數值累積總表(月)'!E34</f>
        <v>2.0902022232890293E-2</v>
      </c>
      <c r="K22" s="118" t="str">
        <f t="shared" si="4"/>
        <v/>
      </c>
      <c r="L22" s="99"/>
    </row>
    <row r="23" spans="1:16" ht="18" customHeight="1">
      <c r="A23" s="107" t="s">
        <v>233</v>
      </c>
      <c r="B23" s="487">
        <f>SUM('（３）業績構成比'!AK7:AK7)/1000</f>
        <v>70.447199999999995</v>
      </c>
      <c r="C23" s="118" t="str">
        <f t="shared" si="2"/>
        <v/>
      </c>
      <c r="D23" s="491">
        <f>'數值累積總表(月)'!E25</f>
        <v>3.6672477437397863E-2</v>
      </c>
      <c r="E23" s="118" t="str">
        <f t="shared" si="3"/>
        <v/>
      </c>
      <c r="G23" s="107" t="s">
        <v>232</v>
      </c>
      <c r="H23" s="487">
        <f>SUM('（４）訂單數量構成比'!AK7:AK7)</f>
        <v>3576</v>
      </c>
      <c r="I23" s="118" t="str">
        <f t="shared" si="1"/>
        <v/>
      </c>
      <c r="J23" s="491">
        <f>'數值累積總表(月)'!E35</f>
        <v>3.5116432470856891E-2</v>
      </c>
      <c r="K23" s="118" t="str">
        <f t="shared" si="4"/>
        <v/>
      </c>
      <c r="L23" s="99"/>
    </row>
    <row r="24" spans="1:16" ht="15.75" customHeight="1">
      <c r="C24" s="112">
        <f>SUM(C15:C23)</f>
        <v>0</v>
      </c>
      <c r="D24" s="112">
        <f t="shared" ref="D24" si="5">SUM(D15:D23)</f>
        <v>0.99999999999999989</v>
      </c>
      <c r="I24" s="112">
        <f t="shared" ref="I24:J24" si="6">SUM(I15:I23)</f>
        <v>0</v>
      </c>
      <c r="J24" s="112">
        <f t="shared" si="6"/>
        <v>1.0000000000000002</v>
      </c>
      <c r="L24" s="99"/>
    </row>
    <row r="25" spans="1:16" ht="9.6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92">
        <f>'（５-1）品群別人時生產性(18℃-飯糰)'!C1</f>
        <v>738.68930145750983</v>
      </c>
      <c r="C28" s="493">
        <f>'數值累積總表(月)'!E37</f>
        <v>774.12086448722914</v>
      </c>
      <c r="D28" s="222">
        <f t="shared" ref="D28:D36" si="7">B28-C28</f>
        <v>-35.431563029719314</v>
      </c>
      <c r="E28" s="459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92">
        <f>'（５-2）品群別人時生產性(18℃-壽司手卷)'!C1</f>
        <v>321.22080863589929</v>
      </c>
      <c r="C29" s="493">
        <f>'數值累積總表(月)'!E38</f>
        <v>304.46478382945497</v>
      </c>
      <c r="D29" s="222">
        <f t="shared" si="7"/>
        <v>16.756024806444316</v>
      </c>
      <c r="E29" s="459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92">
        <f>'（５-3）品群別人時生產性(4℃-飯糰)'!C1</f>
        <v>331.22035538951383</v>
      </c>
      <c r="C30" s="493">
        <f>'數值累積總表(月)'!E39</f>
        <v>203.2437413385673</v>
      </c>
      <c r="D30" s="222">
        <f t="shared" si="7"/>
        <v>127.97661405094652</v>
      </c>
      <c r="E30" s="459">
        <f>'數值累積總表(月)'!P39</f>
        <v>264.31402611342418</v>
      </c>
      <c r="L30" s="99"/>
    </row>
    <row r="31" spans="1:16" ht="18" customHeight="1">
      <c r="A31" s="107" t="s">
        <v>220</v>
      </c>
      <c r="B31" s="492">
        <f>'（５-4）品群別人時生產性(4℃-壽司手卷)'!C1</f>
        <v>432.90880995704475</v>
      </c>
      <c r="C31" s="493">
        <f>'數值累積總表(月)'!E40</f>
        <v>490.19814173593841</v>
      </c>
      <c r="D31" s="222">
        <f t="shared" si="7"/>
        <v>-57.289331778893654</v>
      </c>
      <c r="E31" s="459">
        <f>'數值累積總表(月)'!P40</f>
        <v>490.08201035418227</v>
      </c>
      <c r="L31" s="99"/>
    </row>
    <row r="32" spans="1:16" ht="18" customHeight="1">
      <c r="A32" s="107" t="s">
        <v>224</v>
      </c>
      <c r="B32" s="492">
        <f>'（５-5）品群別人時生產性(微波主食) '!C1</f>
        <v>81.701028999636705</v>
      </c>
      <c r="C32" s="493">
        <f>'數值累積總表(月)'!E41</f>
        <v>81.452411562244222</v>
      </c>
      <c r="D32" s="222">
        <f t="shared" si="7"/>
        <v>0.24861743739248254</v>
      </c>
      <c r="E32" s="459">
        <f>'數值累積總表(月)'!P41</f>
        <v>81.357297762036808</v>
      </c>
      <c r="L32" s="99"/>
    </row>
    <row r="33" spans="1:12" ht="18" customHeight="1">
      <c r="A33" s="107" t="s">
        <v>226</v>
      </c>
      <c r="B33" s="492">
        <f>'（５-6）品群別人時生產性(便當)'!C1</f>
        <v>78.06814508728111</v>
      </c>
      <c r="C33" s="493">
        <f>'數值累積總表(月)'!E42</f>
        <v>77.971322564328403</v>
      </c>
      <c r="D33" s="222">
        <f t="shared" si="7"/>
        <v>9.6822522952706436E-2</v>
      </c>
      <c r="E33" s="459">
        <f>'數值累積總表(月)'!P42</f>
        <v>78.061495442688781</v>
      </c>
      <c r="L33" s="99"/>
    </row>
    <row r="34" spans="1:12" ht="18" customHeight="1">
      <c r="A34" s="107" t="s">
        <v>236</v>
      </c>
      <c r="B34" s="492">
        <f>'（５-7）品群別人時生產性(熱食義麵) '!C1</f>
        <v>0</v>
      </c>
      <c r="C34" s="493">
        <f>'數值累積總表(月)'!E43</f>
        <v>72.949975663847383</v>
      </c>
      <c r="D34" s="222">
        <f t="shared" si="7"/>
        <v>-72.949975663847383</v>
      </c>
      <c r="E34" s="459">
        <f>'數值累積總表(月)'!P43</f>
        <v>74.600054218307051</v>
      </c>
      <c r="L34" s="99"/>
    </row>
    <row r="35" spans="1:12" ht="18" customHeight="1">
      <c r="A35" s="107" t="s">
        <v>237</v>
      </c>
      <c r="B35" s="492">
        <f>'（５-8）品群別人時生產性(季節調理麵) '!C1</f>
        <v>52.468496434441299</v>
      </c>
      <c r="C35" s="493">
        <f>'數值累積總表(月)'!E44</f>
        <v>97.15750138812345</v>
      </c>
      <c r="D35" s="222">
        <f t="shared" si="7"/>
        <v>-44.689004953682151</v>
      </c>
      <c r="E35" s="459">
        <f>'數值累積總表(月)'!P44</f>
        <v>97.522410083521763</v>
      </c>
      <c r="L35" s="99"/>
    </row>
    <row r="36" spans="1:12" ht="18" customHeight="1">
      <c r="A36" s="103" t="s">
        <v>232</v>
      </c>
      <c r="B36" s="492">
        <f>'（５-9）品群別人時生產性(微波小吃)'!C1</f>
        <v>83.050675247182497</v>
      </c>
      <c r="C36" s="493">
        <f>'數值累積總表(月)'!E45</f>
        <v>77.592138128204311</v>
      </c>
      <c r="D36" s="222">
        <f t="shared" si="7"/>
        <v>5.4585371189781853</v>
      </c>
      <c r="E36" s="459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H7" sqref="H7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508" t="s">
        <v>372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99"/>
    </row>
    <row r="2" spans="1:16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</row>
    <row r="3" spans="1:16" ht="21.6" customHeight="1">
      <c r="A3" s="114" t="s">
        <v>325</v>
      </c>
      <c r="B3" s="115">
        <v>4</v>
      </c>
      <c r="C3" s="157" t="s">
        <v>326</v>
      </c>
      <c r="D3" s="115" t="s">
        <v>736</v>
      </c>
      <c r="E3" s="114" t="s">
        <v>20</v>
      </c>
      <c r="F3" s="511" t="s">
        <v>371</v>
      </c>
      <c r="G3" s="512"/>
      <c r="H3" s="100"/>
      <c r="I3" s="109"/>
      <c r="J3" s="100"/>
      <c r="K3" s="100"/>
      <c r="M3" s="100"/>
      <c r="N3" s="100"/>
    </row>
    <row r="4" spans="1:16" ht="15.75" customHeight="1">
      <c r="A4" s="110" t="s">
        <v>415</v>
      </c>
      <c r="E4" s="102" t="s">
        <v>421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'（１）收支狀況'!G19/1000</f>
        <v>42842.57084</v>
      </c>
      <c r="C6" s="117">
        <v>35260.12975</v>
      </c>
      <c r="D6" s="117">
        <f>B6-C6</f>
        <v>7582.4410900000003</v>
      </c>
      <c r="E6" s="216">
        <f>'（１）收支狀況'!H6:H6/1000</f>
        <v>102658.13326</v>
      </c>
      <c r="G6" s="217" t="s">
        <v>417</v>
      </c>
      <c r="H6" s="218">
        <v>442.4</v>
      </c>
      <c r="I6" s="218">
        <f>'（２）ＫＰＩ達成進度'!G19</f>
        <v>393.52033354984593</v>
      </c>
      <c r="J6" s="218">
        <v>407.83400132115185</v>
      </c>
      <c r="K6" s="218">
        <f>'（２）ＫＰＩ達成進度'!H6</f>
        <v>403.78078283292325</v>
      </c>
      <c r="L6" s="101" t="s">
        <v>195</v>
      </c>
    </row>
    <row r="7" spans="1:16" ht="18" customHeight="1">
      <c r="A7" s="107" t="s">
        <v>25</v>
      </c>
      <c r="B7" s="117">
        <f>'（１）收支狀況'!J19</f>
        <v>1445720</v>
      </c>
      <c r="C7" s="117">
        <v>1171613</v>
      </c>
      <c r="D7" s="117">
        <f t="shared" ref="D7:D11" si="0">B7-C7</f>
        <v>274107</v>
      </c>
      <c r="E7" s="216">
        <f>'（１）收支狀況'!K6:K6</f>
        <v>3434128</v>
      </c>
      <c r="G7" s="217" t="s">
        <v>418</v>
      </c>
      <c r="H7" s="219">
        <v>0.8</v>
      </c>
      <c r="I7" s="219">
        <f>'（２）ＫＰＩ達成進度'!J19</f>
        <v>0.88951250802406412</v>
      </c>
      <c r="J7" s="219">
        <v>0.92186709159392355</v>
      </c>
      <c r="K7" s="219">
        <f>'（２）ＫＰＩ達成進度'!K6</f>
        <v>0.91270520531854271</v>
      </c>
      <c r="L7" s="101" t="s">
        <v>4</v>
      </c>
    </row>
    <row r="8" spans="1:16" ht="18" customHeight="1">
      <c r="A8" s="107" t="s">
        <v>416</v>
      </c>
      <c r="B8" s="117">
        <f>'（１）收支狀況'!M19/1000</f>
        <v>28823.930926192374</v>
      </c>
      <c r="C8" s="117">
        <v>23080.516553049489</v>
      </c>
      <c r="D8" s="117">
        <f>B8-C8</f>
        <v>5743.4143731428849</v>
      </c>
      <c r="E8" s="216">
        <f>'（１）收支狀況'!N6:N6/1000</f>
        <v>68216.662210846815</v>
      </c>
      <c r="G8" s="217" t="s">
        <v>200</v>
      </c>
      <c r="H8" s="118">
        <v>2.5000000000000001E-3</v>
      </c>
      <c r="I8" s="220">
        <f>'（２）ＫＰＩ達成進度'!M19</f>
        <v>2.0149066012127631E-3</v>
      </c>
      <c r="J8" s="220">
        <v>2.0153950640746749E-3</v>
      </c>
      <c r="K8" s="220">
        <f>'（２）ＫＰＩ達成進度'!N6</f>
        <v>2.0138207047059337E-3</v>
      </c>
      <c r="L8" s="101" t="s">
        <v>55</v>
      </c>
    </row>
    <row r="9" spans="1:16" ht="18" customHeight="1">
      <c r="A9" s="107" t="s">
        <v>6</v>
      </c>
      <c r="B9" s="219">
        <f>'（１）收支狀況'!P19</f>
        <v>0.67278714514678206</v>
      </c>
      <c r="C9" s="219">
        <v>0.65457832165377927</v>
      </c>
      <c r="D9" s="219">
        <f t="shared" si="0"/>
        <v>1.820882349300279E-2</v>
      </c>
      <c r="E9" s="219">
        <f>'（１）收支狀況'!Q6</f>
        <v>0.6645032404600224</v>
      </c>
      <c r="G9" s="217" t="s">
        <v>201</v>
      </c>
      <c r="H9" s="118">
        <v>4.0000000000000001E-3</v>
      </c>
      <c r="I9" s="118">
        <f>'（２）ＫＰＩ達成進度'!P19</f>
        <v>4.3163657381009961E-3</v>
      </c>
      <c r="J9" s="118">
        <v>4.3307228070989289E-3</v>
      </c>
      <c r="K9" s="118">
        <f>'（２）ＫＰＩ達成進度'!Q6</f>
        <v>4.3557808432686928E-3</v>
      </c>
      <c r="L9" s="101" t="s">
        <v>98</v>
      </c>
    </row>
    <row r="10" spans="1:16" ht="18" customHeight="1">
      <c r="A10" s="107" t="s">
        <v>64</v>
      </c>
      <c r="B10" s="117">
        <f>'（１）收支狀況'!S19/1000</f>
        <v>6142.920948</v>
      </c>
      <c r="C10" s="117">
        <v>5724.5626380000003</v>
      </c>
      <c r="D10" s="117">
        <f t="shared" si="0"/>
        <v>418.35830999999962</v>
      </c>
      <c r="E10" s="216">
        <f>'（１）收支狀況'!T6/1000</f>
        <v>16301.214217999997</v>
      </c>
      <c r="G10" s="217" t="s">
        <v>419</v>
      </c>
      <c r="H10" s="219">
        <v>0.8</v>
      </c>
      <c r="I10" s="219">
        <f>'（２）ＫＰＩ達成進度'!S19</f>
        <v>0.90000000000000013</v>
      </c>
      <c r="J10" s="219">
        <v>0.90000000000000013</v>
      </c>
      <c r="K10" s="219">
        <f>'（２）ＫＰＩ達成進度'!T6</f>
        <v>0.9</v>
      </c>
      <c r="L10" s="101" t="s">
        <v>7</v>
      </c>
      <c r="M10" s="318"/>
      <c r="N10" s="318"/>
      <c r="O10" s="318"/>
      <c r="P10" s="318"/>
    </row>
    <row r="11" spans="1:16" ht="18" customHeight="1">
      <c r="A11" s="107" t="s">
        <v>65</v>
      </c>
      <c r="B11" s="219">
        <f>'（１）收支狀況'!V19</f>
        <v>0.14338357450446593</v>
      </c>
      <c r="C11" s="219">
        <v>0.16235228510467975</v>
      </c>
      <c r="D11" s="219">
        <f t="shared" si="0"/>
        <v>-1.8968710600213823E-2</v>
      </c>
      <c r="E11" s="219">
        <f>'（１）收支狀況'!W6</f>
        <v>0.15879125891286439</v>
      </c>
      <c r="G11" s="217" t="s">
        <v>420</v>
      </c>
      <c r="H11" s="219">
        <v>1</v>
      </c>
      <c r="I11" s="315">
        <f>16/52*100%</f>
        <v>0.30769230769230771</v>
      </c>
      <c r="J11" s="315">
        <v>0.28846153846153844</v>
      </c>
      <c r="K11" s="315">
        <f>'（２）ＫＰＩ達成進度'!W6</f>
        <v>0.28942307692307684</v>
      </c>
      <c r="L11" s="101" t="s">
        <v>62</v>
      </c>
      <c r="M11" s="319"/>
      <c r="N11" s="319"/>
      <c r="O11" s="319"/>
      <c r="P11" s="319"/>
    </row>
    <row r="12" spans="1:16" ht="9.6" customHeight="1">
      <c r="L12" s="99"/>
    </row>
    <row r="13" spans="1:16" ht="15.75" customHeight="1">
      <c r="A13" s="110" t="s">
        <v>32</v>
      </c>
      <c r="E13" s="317" t="s">
        <v>23</v>
      </c>
      <c r="G13" s="110" t="s">
        <v>33</v>
      </c>
      <c r="K13" s="317" t="s">
        <v>450</v>
      </c>
      <c r="L13" s="99"/>
    </row>
    <row r="14" spans="1:16" s="106" customFormat="1" ht="14.2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392</v>
      </c>
      <c r="B15" s="117">
        <f>SUM('（３）業績構成比'!M21:M27)/1000</f>
        <v>16972.903999999999</v>
      </c>
      <c r="C15" s="219">
        <f>IFERROR(B15/$B$6,"")</f>
        <v>0.39616912961145723</v>
      </c>
      <c r="D15" s="219">
        <v>0.35823353259214819</v>
      </c>
      <c r="E15" s="219">
        <f>IFERROR(C15-D15,"")</f>
        <v>3.7935597019309042E-2</v>
      </c>
      <c r="G15" s="107" t="s">
        <v>393</v>
      </c>
      <c r="H15" s="117">
        <f>SUM('（４）訂單數量構成比'!M21:M27)</f>
        <v>854327</v>
      </c>
      <c r="I15" s="219">
        <f>IFERROR(H15/$B$7,"")</f>
        <v>0.59093531250864617</v>
      </c>
      <c r="J15" s="219">
        <v>0.57500130162434182</v>
      </c>
      <c r="K15" s="219">
        <f t="shared" ref="K15:K23" si="1">IFERROR(I15-J15,"")</f>
        <v>1.593401088430435E-2</v>
      </c>
      <c r="L15" s="99"/>
    </row>
    <row r="16" spans="1:16" ht="18" customHeight="1">
      <c r="A16" s="107" t="s">
        <v>223</v>
      </c>
      <c r="B16" s="117">
        <f>SUM('（３）業績構成比'!S21:S27)/1000</f>
        <v>2346.8853199999999</v>
      </c>
      <c r="C16" s="219">
        <f t="shared" ref="C16:C23" si="2">IFERROR(B16/$B$6,"")</f>
        <v>5.4779283175248404E-2</v>
      </c>
      <c r="D16" s="219">
        <v>7.6066138412323916E-2</v>
      </c>
      <c r="E16" s="219">
        <f t="shared" ref="E16:E23" si="3">IFERROR(C16-D16,"")</f>
        <v>-2.1286855237075512E-2</v>
      </c>
      <c r="G16" s="107" t="s">
        <v>254</v>
      </c>
      <c r="H16" s="117">
        <f>SUM('（４）訂單數量構成比'!S21:S27)</f>
        <v>88052</v>
      </c>
      <c r="I16" s="219">
        <f>IFERROR(H16/$B$7,"")</f>
        <v>6.0905292864455084E-2</v>
      </c>
      <c r="J16" s="219">
        <v>8.9145477218159921E-2</v>
      </c>
      <c r="K16" s="219">
        <f t="shared" si="1"/>
        <v>-2.8240184353704838E-2</v>
      </c>
      <c r="L16" s="99"/>
    </row>
    <row r="17" spans="1:17" ht="18" customHeight="1">
      <c r="A17" s="107" t="s">
        <v>219</v>
      </c>
      <c r="B17" s="117">
        <f>SUM('（３）業績構成比'!U21:U27)/1000</f>
        <v>736.84255000000007</v>
      </c>
      <c r="C17" s="219">
        <f t="shared" si="2"/>
        <v>1.7198840675360368E-2</v>
      </c>
      <c r="D17" s="219">
        <v>2.0699085204018575E-2</v>
      </c>
      <c r="E17" s="219">
        <f t="shared" si="3"/>
        <v>-3.5002445286582071E-3</v>
      </c>
      <c r="G17" s="107" t="s">
        <v>235</v>
      </c>
      <c r="H17" s="117">
        <f>SUM('（４）訂單數量構成比'!U21:U27)</f>
        <v>26510</v>
      </c>
      <c r="I17" s="219">
        <f t="shared" ref="I17:I23" si="4">IFERROR(H17/$B$7,"")</f>
        <v>1.8336884043936585E-2</v>
      </c>
      <c r="J17" s="219">
        <v>2.2621804298859776E-2</v>
      </c>
      <c r="K17" s="219">
        <f t="shared" si="1"/>
        <v>-4.2849202549231913E-3</v>
      </c>
      <c r="L17" s="99"/>
    </row>
    <row r="18" spans="1:17" ht="18" customHeight="1">
      <c r="A18" s="107" t="s">
        <v>221</v>
      </c>
      <c r="B18" s="117">
        <f>SUM('（３）業績構成比'!W21:W27)/1000</f>
        <v>1271.20506</v>
      </c>
      <c r="C18" s="219">
        <f t="shared" si="2"/>
        <v>2.9671540131133736E-2</v>
      </c>
      <c r="D18" s="219">
        <v>3.6981818820448327E-2</v>
      </c>
      <c r="E18" s="219">
        <f t="shared" si="3"/>
        <v>-7.3102786893145914E-3</v>
      </c>
      <c r="G18" s="107" t="s">
        <v>220</v>
      </c>
      <c r="H18" s="117">
        <f>SUM('（４）訂單數量構成比'!W21:W27)</f>
        <v>48063</v>
      </c>
      <c r="I18" s="219">
        <f t="shared" si="4"/>
        <v>3.3245026699499212E-2</v>
      </c>
      <c r="J18" s="219">
        <v>3.794768409022433E-2</v>
      </c>
      <c r="K18" s="219">
        <f t="shared" si="1"/>
        <v>-4.7026573907251179E-3</v>
      </c>
      <c r="L18" s="99"/>
    </row>
    <row r="19" spans="1:17" ht="18" customHeight="1">
      <c r="A19" s="107" t="s">
        <v>225</v>
      </c>
      <c r="B19" s="117">
        <f>SUM('（３）業績構成比'!AC21:AC27)/1000</f>
        <v>6020.3211100000017</v>
      </c>
      <c r="C19" s="219">
        <f t="shared" si="2"/>
        <v>0.14052193862229959</v>
      </c>
      <c r="D19" s="219">
        <v>0.17738386427803773</v>
      </c>
      <c r="E19" s="219">
        <f t="shared" si="3"/>
        <v>-3.6861925655738148E-2</v>
      </c>
      <c r="G19" s="107" t="s">
        <v>224</v>
      </c>
      <c r="H19" s="117">
        <f>SUM('（４）訂單數量構成比'!AC21:AC27)</f>
        <v>114666</v>
      </c>
      <c r="I19" s="219">
        <f t="shared" si="4"/>
        <v>7.9314113382951051E-2</v>
      </c>
      <c r="J19" s="219">
        <v>0.10047430337491987</v>
      </c>
      <c r="K19" s="219">
        <f t="shared" si="1"/>
        <v>-2.1160189991968822E-2</v>
      </c>
      <c r="L19" s="99"/>
    </row>
    <row r="20" spans="1:17" ht="18" customHeight="1">
      <c r="A20" s="107" t="s">
        <v>227</v>
      </c>
      <c r="B20" s="117">
        <f>SUM('（３）業績構成比'!AE21:AE27)/1000</f>
        <v>10968.13118</v>
      </c>
      <c r="C20" s="219">
        <f t="shared" si="2"/>
        <v>0.25601010781919736</v>
      </c>
      <c r="D20" s="219">
        <v>0.31678583003512628</v>
      </c>
      <c r="E20" s="219">
        <f t="shared" si="3"/>
        <v>-6.0775722215928918E-2</v>
      </c>
      <c r="G20" s="107" t="s">
        <v>226</v>
      </c>
      <c r="H20" s="117">
        <f>SUM('（４）訂單數量構成比'!AE21:AE27)</f>
        <v>176301</v>
      </c>
      <c r="I20" s="219">
        <f t="shared" si="4"/>
        <v>0.12194685001245055</v>
      </c>
      <c r="J20" s="219">
        <v>0.15365141902658982</v>
      </c>
      <c r="K20" s="219">
        <f t="shared" si="1"/>
        <v>-3.1704569014139275E-2</v>
      </c>
      <c r="L20" s="99"/>
    </row>
    <row r="21" spans="1:17" ht="18" customHeight="1">
      <c r="A21" s="107" t="s">
        <v>230</v>
      </c>
      <c r="B21" s="117">
        <f>SUM('（３）業績構成比'!AG21:AG27)/1000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SUM('（４）訂單數量構成比'!AG21:AG27)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SUM('（３）業績構成比'!AI21:AI27)/1000</f>
        <v>4044.2029199999997</v>
      </c>
      <c r="C22" s="219">
        <f t="shared" si="2"/>
        <v>9.4396831018929581E-2</v>
      </c>
      <c r="D22" s="219">
        <v>0</v>
      </c>
      <c r="E22" s="219">
        <f t="shared" si="3"/>
        <v>9.4396831018929581E-2</v>
      </c>
      <c r="G22" s="107" t="s">
        <v>237</v>
      </c>
      <c r="H22" s="117">
        <f>SUM('（４）訂單數量構成比'!AI21:AI27)</f>
        <v>113330</v>
      </c>
      <c r="I22" s="219">
        <f t="shared" si="4"/>
        <v>7.8390006363611209E-2</v>
      </c>
      <c r="J22" s="219">
        <v>0</v>
      </c>
      <c r="K22" s="219">
        <f t="shared" si="1"/>
        <v>7.8390006363611209E-2</v>
      </c>
      <c r="L22" s="99"/>
    </row>
    <row r="23" spans="1:17" ht="18" customHeight="1">
      <c r="A23" s="107" t="s">
        <v>233</v>
      </c>
      <c r="B23" s="117">
        <f>SUM('（３）業績構成比'!AK21:AK27)/1000</f>
        <v>482.07869999999997</v>
      </c>
      <c r="C23" s="219">
        <f t="shared" si="2"/>
        <v>1.1252328946373751E-2</v>
      </c>
      <c r="D23" s="219">
        <v>1.3849730657896969E-2</v>
      </c>
      <c r="E23" s="219">
        <f t="shared" si="3"/>
        <v>-2.597401711523218E-3</v>
      </c>
      <c r="G23" s="107" t="s">
        <v>232</v>
      </c>
      <c r="H23" s="117">
        <f>SUM('（４）訂單數量構成比'!AK21:AK27)</f>
        <v>24471</v>
      </c>
      <c r="I23" s="219">
        <f t="shared" si="4"/>
        <v>1.69265141244501E-2</v>
      </c>
      <c r="J23" s="219">
        <v>2.1158010366904428E-2</v>
      </c>
      <c r="K23" s="219">
        <f t="shared" si="1"/>
        <v>-4.2314962424543287E-3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1</v>
      </c>
      <c r="I24" s="112">
        <f>SUM(I15:I23)</f>
        <v>1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433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393</v>
      </c>
      <c r="B28" s="210">
        <f>'（５-1）品群別人時生產性(18℃-飯糰)'!L83</f>
        <v>728.27543199538923</v>
      </c>
      <c r="C28" s="210">
        <v>748.89269830714511</v>
      </c>
      <c r="D28" s="221">
        <f>B28-C28</f>
        <v>-20.617266311755884</v>
      </c>
      <c r="E28" s="222">
        <f>'（５-1）品群別人時生產性(18℃-飯糰)'!C1</f>
        <v>738.68930145750983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'（５-2）品群別人時生產性(18℃-壽司手卷)'!L47</f>
        <v>319.00267830889322</v>
      </c>
      <c r="C29" s="210">
        <v>328.5787466992781</v>
      </c>
      <c r="D29" s="221">
        <f>B29-C29</f>
        <v>-9.5760683903848758</v>
      </c>
      <c r="E29" s="222">
        <f>'（５-2）品群別人時生產性(18℃-壽司手卷)'!C1</f>
        <v>321.22080863589929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'（５-3）品群別人時生產性(4℃-飯糰)'!L47</f>
        <v>331.25346414249219</v>
      </c>
      <c r="C30" s="210">
        <v>331.22235073871883</v>
      </c>
      <c r="D30" s="221">
        <f>B30-C30</f>
        <v>3.1113403773360915E-2</v>
      </c>
      <c r="E30" s="222">
        <f>'（５-3）品群別人時生產性(4℃-飯糰)'!C1</f>
        <v>331.22035538951383</v>
      </c>
      <c r="L30" s="99"/>
    </row>
    <row r="31" spans="1:17" ht="18" customHeight="1">
      <c r="A31" s="107" t="s">
        <v>220</v>
      </c>
      <c r="B31" s="210">
        <f>'（５-4）品群別人時生產性(4℃-壽司手卷)'!L47</f>
        <v>397.22974223260462</v>
      </c>
      <c r="C31" s="210">
        <v>407.51753331212581</v>
      </c>
      <c r="D31" s="221">
        <f>B31-C31</f>
        <v>-10.287791079521185</v>
      </c>
      <c r="E31" s="222">
        <f>'（５-4）品群別人時生產性(4℃-壽司手卷)'!C1</f>
        <v>432.90880995704475</v>
      </c>
      <c r="L31" s="99"/>
    </row>
    <row r="32" spans="1:17" ht="18" customHeight="1">
      <c r="A32" s="107" t="s">
        <v>225</v>
      </c>
      <c r="B32" s="210">
        <f>'（５-5）品群別人時生產性(微波主食) '!L47</f>
        <v>83.235515738202622</v>
      </c>
      <c r="C32" s="210">
        <v>80.940665444417604</v>
      </c>
      <c r="D32" s="221">
        <f t="shared" ref="D32:D36" si="5">B32-C32</f>
        <v>2.2948502937850179</v>
      </c>
      <c r="E32" s="222">
        <f>'（５-5）品群別人時生產性(微波主食) '!C1</f>
        <v>81.701028999636705</v>
      </c>
      <c r="L32" s="99"/>
    </row>
    <row r="33" spans="1:12" ht="18" customHeight="1">
      <c r="A33" s="107" t="s">
        <v>226</v>
      </c>
      <c r="B33" s="210">
        <f>'（５-6）品群別人時生產性(便當)'!L47</f>
        <v>78.328113303259272</v>
      </c>
      <c r="C33" s="210">
        <v>78.075185654829028</v>
      </c>
      <c r="D33" s="221">
        <f t="shared" si="5"/>
        <v>0.25292764843024429</v>
      </c>
      <c r="E33" s="222">
        <f>'（５-6）品群別人時生產性(便當)'!C1</f>
        <v>78.06814508728111</v>
      </c>
      <c r="L33" s="99"/>
    </row>
    <row r="34" spans="1:12" ht="18" customHeight="1">
      <c r="A34" s="107" t="s">
        <v>236</v>
      </c>
      <c r="B34" s="210">
        <f>'（５-7）品群別人時生產性(熱食義麵) '!L47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'（５-6）品群別人時生產性(便當)'!L47</f>
        <v>78.328113303259272</v>
      </c>
      <c r="C35" s="210">
        <v>0</v>
      </c>
      <c r="D35" s="221">
        <f t="shared" si="5"/>
        <v>78.328113303259272</v>
      </c>
      <c r="E35" s="222">
        <f>'（５-8）品群別人時生產性(季節調理麵) '!C1</f>
        <v>52.468496434441299</v>
      </c>
      <c r="L35" s="99"/>
    </row>
    <row r="36" spans="1:12" ht="18" customHeight="1">
      <c r="A36" s="103" t="s">
        <v>232</v>
      </c>
      <c r="B36" s="210">
        <f>'（５-9）品群別人時生產性(微波小吃)'!L47</f>
        <v>83.065201853849089</v>
      </c>
      <c r="C36" s="210">
        <v>83.038533729269133</v>
      </c>
      <c r="D36" s="221">
        <f t="shared" si="5"/>
        <v>2.6668124579956043E-2</v>
      </c>
      <c r="E36" s="223">
        <f>'（５-9）品群別人時生產性(微波小吃)'!C1</f>
        <v>83.050675247182497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39"/>
  <sheetViews>
    <sheetView zoomScale="80" zoomScaleNormal="80" workbookViewId="0">
      <selection activeCell="G12" sqref="G12:G18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18" t="s">
        <v>126</v>
      </c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</row>
    <row r="3" spans="2:23" s="77" customFormat="1" ht="23.45" customHeight="1">
      <c r="B3" s="522" t="s">
        <v>122</v>
      </c>
      <c r="C3" s="523" t="s">
        <v>119</v>
      </c>
      <c r="D3" s="524" t="s">
        <v>105</v>
      </c>
      <c r="E3" s="524"/>
      <c r="F3" s="521" t="s">
        <v>123</v>
      </c>
      <c r="G3" s="521"/>
      <c r="H3" s="521"/>
      <c r="I3" s="519" t="s">
        <v>124</v>
      </c>
      <c r="J3" s="519"/>
      <c r="K3" s="519"/>
      <c r="L3" s="520" t="s">
        <v>125</v>
      </c>
      <c r="M3" s="520"/>
      <c r="N3" s="520"/>
      <c r="O3" s="517" t="s">
        <v>127</v>
      </c>
      <c r="P3" s="517"/>
      <c r="Q3" s="517"/>
      <c r="R3" s="525" t="s">
        <v>128</v>
      </c>
      <c r="S3" s="525"/>
      <c r="T3" s="525"/>
      <c r="U3" s="517" t="s">
        <v>129</v>
      </c>
      <c r="V3" s="517"/>
      <c r="W3" s="517"/>
    </row>
    <row r="4" spans="2:23" s="77" customFormat="1" ht="23.45" customHeight="1">
      <c r="B4" s="522"/>
      <c r="C4" s="523"/>
      <c r="D4" s="524"/>
      <c r="E4" s="524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4">
        <v>46120</v>
      </c>
      <c r="D5" s="80">
        <v>46112</v>
      </c>
      <c r="E5" s="80" t="s">
        <v>118</v>
      </c>
      <c r="F5" s="164">
        <v>5566321.9800000004</v>
      </c>
      <c r="G5" s="528">
        <f>SUM(F5:F11)</f>
        <v>30121754.649999999</v>
      </c>
      <c r="H5" s="460"/>
      <c r="I5" s="214">
        <v>179182</v>
      </c>
      <c r="J5" s="516">
        <f t="shared" ref="J5" si="0">SUM(I5:I11)</f>
        <v>995977</v>
      </c>
      <c r="K5" s="462"/>
      <c r="L5" s="164">
        <v>3707859.0558321653</v>
      </c>
      <c r="M5" s="528">
        <f t="shared" ref="M5" si="1">SUM(L5:L11)</f>
        <v>20020073.787437111</v>
      </c>
      <c r="N5" s="460"/>
      <c r="O5" s="154">
        <f t="shared" ref="O5:O11" si="2">L5/F5</f>
        <v>0.6661237113402062</v>
      </c>
      <c r="P5" s="526">
        <f>M5/G5</f>
        <v>0.66463836586083846</v>
      </c>
      <c r="Q5" s="461"/>
      <c r="R5" s="165">
        <v>863172.13600000006</v>
      </c>
      <c r="S5" s="527">
        <f t="shared" ref="S5" si="3">SUM(R5:R11)</f>
        <v>5296902.7679999992</v>
      </c>
      <c r="T5" s="460"/>
      <c r="U5" s="154">
        <f t="shared" ref="U5:U11" si="4">R5/F5</f>
        <v>0.15507046468052141</v>
      </c>
      <c r="V5" s="526">
        <f>S5/G5</f>
        <v>0.17584974147580076</v>
      </c>
      <c r="W5" s="461"/>
    </row>
    <row r="6" spans="2:23">
      <c r="B6" s="515"/>
      <c r="C6" s="529" t="s">
        <v>113</v>
      </c>
      <c r="D6" s="80">
        <f t="shared" ref="D6:D34" si="5">D5+1</f>
        <v>46113</v>
      </c>
      <c r="E6" s="80" t="s">
        <v>112</v>
      </c>
      <c r="F6" s="164">
        <v>4658389.7299999995</v>
      </c>
      <c r="G6" s="528"/>
      <c r="H6" s="528">
        <f>SUM(F6:F35)</f>
        <v>102658133.26000001</v>
      </c>
      <c r="I6" s="214">
        <v>156110</v>
      </c>
      <c r="J6" s="516"/>
      <c r="K6" s="516">
        <f>SUM(I6:I35)</f>
        <v>3434128</v>
      </c>
      <c r="L6" s="164">
        <v>3067045.3785228869</v>
      </c>
      <c r="M6" s="528"/>
      <c r="N6" s="528">
        <f>SUM(L6:L35)</f>
        <v>68216662.210846812</v>
      </c>
      <c r="O6" s="154">
        <f t="shared" si="2"/>
        <v>0.65839175257731974</v>
      </c>
      <c r="P6" s="526"/>
      <c r="Q6" s="513">
        <f>N6/H6</f>
        <v>0.6645032404600224</v>
      </c>
      <c r="R6" s="165">
        <v>766317.89199999999</v>
      </c>
      <c r="S6" s="527"/>
      <c r="T6" s="528">
        <f>SUM(R6:R35)</f>
        <v>16301214.217999997</v>
      </c>
      <c r="U6" s="154">
        <f t="shared" si="4"/>
        <v>0.16450274374102231</v>
      </c>
      <c r="V6" s="526"/>
      <c r="W6" s="513">
        <f>T6/H6</f>
        <v>0.15879125891286439</v>
      </c>
    </row>
    <row r="7" spans="2:23">
      <c r="B7" s="515"/>
      <c r="C7" s="529"/>
      <c r="D7" s="80">
        <f t="shared" si="5"/>
        <v>46114</v>
      </c>
      <c r="E7" s="80" t="s">
        <v>113</v>
      </c>
      <c r="F7" s="164">
        <v>3718970.84</v>
      </c>
      <c r="G7" s="528"/>
      <c r="H7" s="528"/>
      <c r="I7" s="214">
        <v>125387</v>
      </c>
      <c r="J7" s="516"/>
      <c r="K7" s="516"/>
      <c r="L7" s="164">
        <v>2504899.3903150517</v>
      </c>
      <c r="M7" s="528"/>
      <c r="N7" s="528"/>
      <c r="O7" s="154">
        <f t="shared" si="2"/>
        <v>0.67354639175257736</v>
      </c>
      <c r="P7" s="526"/>
      <c r="Q7" s="513"/>
      <c r="R7" s="165">
        <v>713559.71799999999</v>
      </c>
      <c r="S7" s="527"/>
      <c r="T7" s="528"/>
      <c r="U7" s="154">
        <f t="shared" si="4"/>
        <v>0.19187021052308117</v>
      </c>
      <c r="V7" s="526"/>
      <c r="W7" s="513"/>
    </row>
    <row r="8" spans="2:23">
      <c r="B8" s="515"/>
      <c r="C8" s="529"/>
      <c r="D8" s="80">
        <f t="shared" si="5"/>
        <v>46115</v>
      </c>
      <c r="E8" s="80" t="s">
        <v>114</v>
      </c>
      <c r="F8" s="164">
        <v>3549995.84</v>
      </c>
      <c r="G8" s="528"/>
      <c r="H8" s="528"/>
      <c r="I8" s="214">
        <v>119195</v>
      </c>
      <c r="J8" s="516"/>
      <c r="K8" s="516"/>
      <c r="L8" s="164">
        <v>2351927.1408428866</v>
      </c>
      <c r="M8" s="528"/>
      <c r="N8" s="528"/>
      <c r="O8" s="154">
        <f t="shared" si="2"/>
        <v>0.6625154639175258</v>
      </c>
      <c r="P8" s="526"/>
      <c r="Q8" s="513"/>
      <c r="R8" s="165">
        <v>705005.23800000001</v>
      </c>
      <c r="S8" s="527"/>
      <c r="T8" s="528"/>
      <c r="U8" s="154">
        <f t="shared" si="4"/>
        <v>0.19859325750646514</v>
      </c>
      <c r="V8" s="526"/>
      <c r="W8" s="513"/>
    </row>
    <row r="9" spans="2:23">
      <c r="B9" s="515"/>
      <c r="C9" s="529"/>
      <c r="D9" s="80">
        <f t="shared" si="5"/>
        <v>46116</v>
      </c>
      <c r="E9" s="80" t="s">
        <v>115</v>
      </c>
      <c r="F9" s="164">
        <v>3467991.8799999994</v>
      </c>
      <c r="G9" s="528"/>
      <c r="H9" s="528"/>
      <c r="I9" s="214">
        <v>114970</v>
      </c>
      <c r="J9" s="516"/>
      <c r="K9" s="516"/>
      <c r="L9" s="164">
        <v>2303676.1731538144</v>
      </c>
      <c r="M9" s="528"/>
      <c r="N9" s="528"/>
      <c r="O9" s="154">
        <f t="shared" si="2"/>
        <v>0.66426804123711347</v>
      </c>
      <c r="P9" s="526"/>
      <c r="Q9" s="513"/>
      <c r="R9" s="165">
        <v>709401.67599999998</v>
      </c>
      <c r="S9" s="527"/>
      <c r="T9" s="528"/>
      <c r="U9" s="154">
        <f t="shared" si="4"/>
        <v>0.20455690224972503</v>
      </c>
      <c r="V9" s="526"/>
      <c r="W9" s="513"/>
    </row>
    <row r="10" spans="2:23">
      <c r="B10" s="515"/>
      <c r="C10" s="529"/>
      <c r="D10" s="80">
        <f t="shared" si="5"/>
        <v>46117</v>
      </c>
      <c r="E10" s="80" t="s">
        <v>116</v>
      </c>
      <c r="F10" s="164">
        <v>3900098.7399999998</v>
      </c>
      <c r="G10" s="528"/>
      <c r="H10" s="528"/>
      <c r="I10" s="214">
        <v>129122</v>
      </c>
      <c r="J10" s="516"/>
      <c r="K10" s="516"/>
      <c r="L10" s="164">
        <v>2586288.1582655669</v>
      </c>
      <c r="M10" s="528"/>
      <c r="N10" s="528"/>
      <c r="O10" s="154">
        <f t="shared" si="2"/>
        <v>0.66313402061855675</v>
      </c>
      <c r="P10" s="526"/>
      <c r="Q10" s="513"/>
      <c r="R10" s="165">
        <v>736893.51199999999</v>
      </c>
      <c r="S10" s="527"/>
      <c r="T10" s="528"/>
      <c r="U10" s="154">
        <f t="shared" si="4"/>
        <v>0.18894227072825343</v>
      </c>
      <c r="V10" s="526"/>
      <c r="W10" s="513"/>
    </row>
    <row r="11" spans="2:23">
      <c r="B11" s="515"/>
      <c r="C11" s="529"/>
      <c r="D11" s="80">
        <f t="shared" si="5"/>
        <v>46118</v>
      </c>
      <c r="E11" s="80" t="s">
        <v>117</v>
      </c>
      <c r="F11" s="164">
        <v>5259985.6399999997</v>
      </c>
      <c r="G11" s="528"/>
      <c r="H11" s="528"/>
      <c r="I11" s="214">
        <v>172011</v>
      </c>
      <c r="J11" s="516"/>
      <c r="K11" s="516"/>
      <c r="L11" s="164">
        <v>3498378.4905047417</v>
      </c>
      <c r="M11" s="528"/>
      <c r="N11" s="528"/>
      <c r="O11" s="154">
        <f t="shared" si="2"/>
        <v>0.66509278350515455</v>
      </c>
      <c r="P11" s="526"/>
      <c r="Q11" s="513"/>
      <c r="R11" s="165">
        <v>802552.59600000002</v>
      </c>
      <c r="S11" s="527"/>
      <c r="T11" s="528"/>
      <c r="U11" s="154">
        <f t="shared" si="4"/>
        <v>0.15257695570438859</v>
      </c>
      <c r="V11" s="526"/>
      <c r="W11" s="513"/>
    </row>
    <row r="12" spans="2:23">
      <c r="B12" s="514">
        <f>B5+7</f>
        <v>46127</v>
      </c>
      <c r="C12" s="529"/>
      <c r="D12" s="80">
        <f t="shared" si="5"/>
        <v>46119</v>
      </c>
      <c r="E12" s="80" t="s">
        <v>118</v>
      </c>
      <c r="F12" s="164">
        <v>5422854.080000001</v>
      </c>
      <c r="G12" s="528">
        <f>SUM(F12:F18)</f>
        <v>35260129.75</v>
      </c>
      <c r="H12" s="528"/>
      <c r="I12" s="214">
        <v>179797</v>
      </c>
      <c r="J12" s="516">
        <f t="shared" ref="J12" si="6">SUM(I12:I18)</f>
        <v>1171613</v>
      </c>
      <c r="K12" s="516"/>
      <c r="L12" s="164">
        <v>3563094.6591208261</v>
      </c>
      <c r="M12" s="528">
        <f t="shared" ref="M12" si="7">SUM(L12:L18)</f>
        <v>23080516.55304949</v>
      </c>
      <c r="N12" s="528"/>
      <c r="O12" s="154">
        <f t="shared" ref="O12:O18" si="8">L12/F12</f>
        <v>0.65705154639175267</v>
      </c>
      <c r="P12" s="526">
        <f>M12/G12</f>
        <v>0.65457832165377927</v>
      </c>
      <c r="Q12" s="513"/>
      <c r="R12" s="165">
        <v>884506.99800000002</v>
      </c>
      <c r="S12" s="527">
        <f t="shared" ref="S12" si="9">SUM(R12:R18)</f>
        <v>5724562.6380000003</v>
      </c>
      <c r="T12" s="528"/>
      <c r="U12" s="154">
        <f t="shared" ref="U12:U18" si="10">R12/F12</f>
        <v>0.16310728353583134</v>
      </c>
      <c r="V12" s="526">
        <f>S12/G12</f>
        <v>0.16235228510467975</v>
      </c>
      <c r="W12" s="513"/>
    </row>
    <row r="13" spans="2:23">
      <c r="B13" s="515"/>
      <c r="C13" s="529"/>
      <c r="D13" s="80">
        <f t="shared" si="5"/>
        <v>46120</v>
      </c>
      <c r="E13" s="80" t="s">
        <v>112</v>
      </c>
      <c r="F13" s="164">
        <v>5000122.24</v>
      </c>
      <c r="G13" s="528"/>
      <c r="H13" s="528"/>
      <c r="I13" s="214">
        <v>166150</v>
      </c>
      <c r="J13" s="516"/>
      <c r="K13" s="516"/>
      <c r="L13" s="164">
        <v>3305441.6342037111</v>
      </c>
      <c r="M13" s="528"/>
      <c r="N13" s="528"/>
      <c r="O13" s="154">
        <f t="shared" si="8"/>
        <v>0.66107216494845356</v>
      </c>
      <c r="P13" s="526"/>
      <c r="Q13" s="513"/>
      <c r="R13" s="165">
        <v>818122.78599999996</v>
      </c>
      <c r="S13" s="527"/>
      <c r="T13" s="528"/>
      <c r="U13" s="154">
        <f t="shared" si="10"/>
        <v>0.16362055700462233</v>
      </c>
      <c r="V13" s="526"/>
      <c r="W13" s="513"/>
    </row>
    <row r="14" spans="2:23">
      <c r="B14" s="515"/>
      <c r="C14" s="529"/>
      <c r="D14" s="80">
        <f t="shared" si="5"/>
        <v>46121</v>
      </c>
      <c r="E14" s="80" t="s">
        <v>113</v>
      </c>
      <c r="F14" s="164">
        <v>4626484.24</v>
      </c>
      <c r="G14" s="528"/>
      <c r="H14" s="528"/>
      <c r="I14" s="214">
        <v>155377</v>
      </c>
      <c r="J14" s="516"/>
      <c r="K14" s="516"/>
      <c r="L14" s="164">
        <v>3006928.5817171144</v>
      </c>
      <c r="M14" s="528"/>
      <c r="N14" s="528"/>
      <c r="O14" s="154">
        <f t="shared" si="8"/>
        <v>0.64993814432989705</v>
      </c>
      <c r="P14" s="526"/>
      <c r="Q14" s="513"/>
      <c r="R14" s="165">
        <v>757121.41200000001</v>
      </c>
      <c r="S14" s="527"/>
      <c r="T14" s="528"/>
      <c r="U14" s="154">
        <f t="shared" si="10"/>
        <v>0.16364940908131137</v>
      </c>
      <c r="V14" s="526"/>
      <c r="W14" s="513"/>
    </row>
    <row r="15" spans="2:23">
      <c r="B15" s="515"/>
      <c r="C15" s="529"/>
      <c r="D15" s="80">
        <f t="shared" si="5"/>
        <v>46122</v>
      </c>
      <c r="E15" s="80" t="s">
        <v>114</v>
      </c>
      <c r="F15" s="164">
        <v>4119112.4899999998</v>
      </c>
      <c r="G15" s="528"/>
      <c r="H15" s="528"/>
      <c r="I15" s="214">
        <v>137940</v>
      </c>
      <c r="J15" s="516"/>
      <c r="K15" s="516"/>
      <c r="L15" s="164">
        <v>2680565.5342140202</v>
      </c>
      <c r="M15" s="528"/>
      <c r="N15" s="528"/>
      <c r="O15" s="154">
        <f t="shared" si="8"/>
        <v>0.65076288659793813</v>
      </c>
      <c r="P15" s="526"/>
      <c r="Q15" s="513"/>
      <c r="R15" s="165">
        <v>747813.04399999999</v>
      </c>
      <c r="S15" s="527"/>
      <c r="T15" s="528"/>
      <c r="U15" s="154">
        <f t="shared" si="10"/>
        <v>0.18154712837182072</v>
      </c>
      <c r="V15" s="526"/>
      <c r="W15" s="513"/>
    </row>
    <row r="16" spans="2:23">
      <c r="B16" s="515"/>
      <c r="C16" s="529"/>
      <c r="D16" s="80">
        <f t="shared" si="5"/>
        <v>46123</v>
      </c>
      <c r="E16" s="80" t="s">
        <v>115</v>
      </c>
      <c r="F16" s="164">
        <v>4445689.26</v>
      </c>
      <c r="G16" s="528"/>
      <c r="H16" s="528"/>
      <c r="I16" s="214">
        <v>148324</v>
      </c>
      <c r="J16" s="516"/>
      <c r="K16" s="516"/>
      <c r="L16" s="164">
        <v>3008585.8328189692</v>
      </c>
      <c r="M16" s="528"/>
      <c r="N16" s="528"/>
      <c r="O16" s="154">
        <f t="shared" si="8"/>
        <v>0.67674226804123716</v>
      </c>
      <c r="P16" s="526"/>
      <c r="Q16" s="513"/>
      <c r="R16" s="165">
        <v>783926.04200000002</v>
      </c>
      <c r="S16" s="527"/>
      <c r="T16" s="528"/>
      <c r="U16" s="154">
        <f t="shared" si="10"/>
        <v>0.17633397121417344</v>
      </c>
      <c r="V16" s="526"/>
      <c r="W16" s="513"/>
    </row>
    <row r="17" spans="2:23">
      <c r="B17" s="515"/>
      <c r="C17" s="529"/>
      <c r="D17" s="80">
        <f t="shared" si="5"/>
        <v>46124</v>
      </c>
      <c r="E17" s="80" t="s">
        <v>116</v>
      </c>
      <c r="F17" s="164">
        <v>5887717.3999999985</v>
      </c>
      <c r="G17" s="528"/>
      <c r="H17" s="528"/>
      <c r="I17" s="214">
        <v>191499</v>
      </c>
      <c r="J17" s="516"/>
      <c r="K17" s="516"/>
      <c r="L17" s="164">
        <v>3810263.6295628864</v>
      </c>
      <c r="M17" s="528"/>
      <c r="N17" s="528"/>
      <c r="O17" s="154">
        <f t="shared" si="8"/>
        <v>0.64715463917525784</v>
      </c>
      <c r="P17" s="526"/>
      <c r="Q17" s="513"/>
      <c r="R17" s="165">
        <v>882575.076</v>
      </c>
      <c r="S17" s="527"/>
      <c r="T17" s="528"/>
      <c r="U17" s="154">
        <f t="shared" si="10"/>
        <v>0.14990105944962648</v>
      </c>
      <c r="V17" s="526"/>
      <c r="W17" s="513"/>
    </row>
    <row r="18" spans="2:23">
      <c r="B18" s="515"/>
      <c r="C18" s="529"/>
      <c r="D18" s="80">
        <f t="shared" si="5"/>
        <v>46125</v>
      </c>
      <c r="E18" s="80" t="s">
        <v>117</v>
      </c>
      <c r="F18" s="164">
        <v>5758150.04</v>
      </c>
      <c r="G18" s="528"/>
      <c r="H18" s="528"/>
      <c r="I18" s="214">
        <v>192526</v>
      </c>
      <c r="J18" s="516"/>
      <c r="K18" s="516"/>
      <c r="L18" s="164">
        <v>3705636.6814119588</v>
      </c>
      <c r="M18" s="528"/>
      <c r="N18" s="528"/>
      <c r="O18" s="154">
        <f t="shared" si="8"/>
        <v>0.64354639175257733</v>
      </c>
      <c r="P18" s="526"/>
      <c r="Q18" s="513"/>
      <c r="R18" s="165">
        <v>850497.28</v>
      </c>
      <c r="S18" s="527"/>
      <c r="T18" s="528"/>
      <c r="U18" s="154">
        <f t="shared" si="10"/>
        <v>0.14770321615308238</v>
      </c>
      <c r="V18" s="526"/>
      <c r="W18" s="513"/>
    </row>
    <row r="19" spans="2:23">
      <c r="B19" s="514">
        <f>B12+7</f>
        <v>46134</v>
      </c>
      <c r="C19" s="529"/>
      <c r="D19" s="80">
        <f t="shared" si="5"/>
        <v>46126</v>
      </c>
      <c r="E19" s="80" t="s">
        <v>118</v>
      </c>
      <c r="F19" s="164">
        <v>6972503.2700000014</v>
      </c>
      <c r="G19" s="528">
        <f>SUM(F19:F25)</f>
        <v>42842570.840000004</v>
      </c>
      <c r="H19" s="528"/>
      <c r="I19" s="214">
        <v>236038</v>
      </c>
      <c r="J19" s="516">
        <f t="shared" ref="J19" si="11">SUM(I19:I25)</f>
        <v>1445720</v>
      </c>
      <c r="K19" s="516"/>
      <c r="L19" s="164">
        <v>4734401.6018070113</v>
      </c>
      <c r="M19" s="528">
        <f t="shared" ref="M19" si="12">SUM(L19:L25)</f>
        <v>28823930.926192373</v>
      </c>
      <c r="N19" s="528"/>
      <c r="O19" s="154">
        <f t="shared" ref="O19:O39" si="13">L19/F19</f>
        <v>0.67901030927835049</v>
      </c>
      <c r="P19" s="526">
        <f>M19/G19</f>
        <v>0.67278714514678206</v>
      </c>
      <c r="Q19" s="513"/>
      <c r="R19" s="165">
        <v>982263.52</v>
      </c>
      <c r="S19" s="527">
        <f t="shared" ref="S19" si="14">SUM(R19:R25)</f>
        <v>6142920.9479999999</v>
      </c>
      <c r="T19" s="528"/>
      <c r="U19" s="154">
        <f t="shared" ref="U19:U39" si="15">R19/F19</f>
        <v>0.14087673852033916</v>
      </c>
      <c r="V19" s="526">
        <f>S19/G19</f>
        <v>0.14338357450446593</v>
      </c>
      <c r="W19" s="513"/>
    </row>
    <row r="20" spans="2:23">
      <c r="B20" s="515"/>
      <c r="C20" s="529"/>
      <c r="D20" s="80">
        <f t="shared" si="5"/>
        <v>46127</v>
      </c>
      <c r="E20" s="80" t="s">
        <v>112</v>
      </c>
      <c r="F20" s="164">
        <v>6457162.1800000006</v>
      </c>
      <c r="G20" s="528"/>
      <c r="H20" s="528"/>
      <c r="I20" s="214">
        <v>218111</v>
      </c>
      <c r="J20" s="516"/>
      <c r="K20" s="516"/>
      <c r="L20" s="164">
        <v>4305928.6438259799</v>
      </c>
      <c r="M20" s="528"/>
      <c r="N20" s="528"/>
      <c r="O20" s="154">
        <f t="shared" si="13"/>
        <v>0.66684536082474233</v>
      </c>
      <c r="P20" s="526"/>
      <c r="Q20" s="513"/>
      <c r="R20" s="165">
        <v>906270.98199999996</v>
      </c>
      <c r="S20" s="527"/>
      <c r="T20" s="528"/>
      <c r="U20" s="154">
        <f t="shared" si="15"/>
        <v>0.14035128075410983</v>
      </c>
      <c r="V20" s="526"/>
      <c r="W20" s="513"/>
    </row>
    <row r="21" spans="2:23">
      <c r="B21" s="515"/>
      <c r="C21" s="529"/>
      <c r="D21" s="80">
        <f t="shared" si="5"/>
        <v>46128</v>
      </c>
      <c r="E21" s="80" t="s">
        <v>113</v>
      </c>
      <c r="F21" s="164">
        <v>5781414.5900000008</v>
      </c>
      <c r="G21" s="528"/>
      <c r="H21" s="528"/>
      <c r="I21" s="214">
        <v>197163</v>
      </c>
      <c r="J21" s="516"/>
      <c r="K21" s="516"/>
      <c r="L21" s="164">
        <v>3881534.471743919</v>
      </c>
      <c r="M21" s="528"/>
      <c r="N21" s="528"/>
      <c r="O21" s="154">
        <f t="shared" si="13"/>
        <v>0.6713814432989692</v>
      </c>
      <c r="P21" s="526"/>
      <c r="Q21" s="513"/>
      <c r="R21" s="165">
        <v>843663.47600000002</v>
      </c>
      <c r="S21" s="527"/>
      <c r="T21" s="528"/>
      <c r="U21" s="154">
        <f t="shared" si="15"/>
        <v>0.14592682515093591</v>
      </c>
      <c r="V21" s="526"/>
      <c r="W21" s="513"/>
    </row>
    <row r="22" spans="2:23">
      <c r="B22" s="515"/>
      <c r="C22" s="529"/>
      <c r="D22" s="80">
        <f t="shared" si="5"/>
        <v>46129</v>
      </c>
      <c r="E22" s="80" t="s">
        <v>114</v>
      </c>
      <c r="F22" s="164">
        <v>5012455.3299999991</v>
      </c>
      <c r="G22" s="528"/>
      <c r="H22" s="528"/>
      <c r="I22" s="214">
        <v>171515</v>
      </c>
      <c r="J22" s="516"/>
      <c r="K22" s="516"/>
      <c r="L22" s="164">
        <v>3414877.2992548454</v>
      </c>
      <c r="M22" s="528"/>
      <c r="N22" s="528"/>
      <c r="O22" s="154">
        <f t="shared" si="13"/>
        <v>0.68127835051546404</v>
      </c>
      <c r="P22" s="526"/>
      <c r="Q22" s="513"/>
      <c r="R22" s="165">
        <v>796938.66599999997</v>
      </c>
      <c r="S22" s="527"/>
      <c r="T22" s="528"/>
      <c r="U22" s="154">
        <f t="shared" si="15"/>
        <v>0.15899167444550574</v>
      </c>
      <c r="V22" s="526"/>
      <c r="W22" s="513"/>
    </row>
    <row r="23" spans="2:23">
      <c r="B23" s="515"/>
      <c r="C23" s="529"/>
      <c r="D23" s="80">
        <f t="shared" si="5"/>
        <v>46130</v>
      </c>
      <c r="E23" s="80" t="s">
        <v>115</v>
      </c>
      <c r="F23" s="164">
        <v>5245500.34</v>
      </c>
      <c r="G23" s="528"/>
      <c r="H23" s="528"/>
      <c r="I23" s="214">
        <v>179200</v>
      </c>
      <c r="J23" s="516"/>
      <c r="K23" s="516"/>
      <c r="L23" s="164">
        <v>3454675.708459381</v>
      </c>
      <c r="M23" s="528"/>
      <c r="N23" s="528"/>
      <c r="O23" s="154">
        <f t="shared" si="13"/>
        <v>0.65859793814432988</v>
      </c>
      <c r="P23" s="526"/>
      <c r="Q23" s="513"/>
      <c r="R23" s="165">
        <v>802448.93200000003</v>
      </c>
      <c r="S23" s="527"/>
      <c r="T23" s="528"/>
      <c r="U23" s="154">
        <f t="shared" si="15"/>
        <v>0.15297853016629487</v>
      </c>
      <c r="V23" s="526"/>
      <c r="W23" s="513"/>
    </row>
    <row r="24" spans="2:23">
      <c r="B24" s="515"/>
      <c r="C24" s="529"/>
      <c r="D24" s="80">
        <f t="shared" si="5"/>
        <v>46131</v>
      </c>
      <c r="E24" s="80" t="s">
        <v>116</v>
      </c>
      <c r="F24" s="164">
        <v>6890291.8599999994</v>
      </c>
      <c r="G24" s="528"/>
      <c r="H24" s="528"/>
      <c r="I24" s="214">
        <v>227448</v>
      </c>
      <c r="J24" s="516"/>
      <c r="K24" s="516"/>
      <c r="L24" s="164">
        <v>4653717.3290313408</v>
      </c>
      <c r="M24" s="528"/>
      <c r="N24" s="528"/>
      <c r="O24" s="154">
        <f t="shared" si="13"/>
        <v>0.6754020618556702</v>
      </c>
      <c r="P24" s="526"/>
      <c r="Q24" s="513"/>
      <c r="R24" s="165">
        <v>922125.71400000004</v>
      </c>
      <c r="S24" s="527"/>
      <c r="T24" s="528"/>
      <c r="U24" s="154">
        <f t="shared" si="15"/>
        <v>0.13382970311507242</v>
      </c>
      <c r="V24" s="526"/>
      <c r="W24" s="513"/>
    </row>
    <row r="25" spans="2:23">
      <c r="B25" s="515"/>
      <c r="C25" s="529"/>
      <c r="D25" s="80">
        <f t="shared" si="5"/>
        <v>46132</v>
      </c>
      <c r="E25" s="80" t="s">
        <v>117</v>
      </c>
      <c r="F25" s="164">
        <v>6483243.2699999996</v>
      </c>
      <c r="G25" s="528"/>
      <c r="H25" s="528"/>
      <c r="I25" s="214">
        <v>216245</v>
      </c>
      <c r="J25" s="516"/>
      <c r="K25" s="516"/>
      <c r="L25" s="164">
        <v>4378795.8720698962</v>
      </c>
      <c r="M25" s="528"/>
      <c r="N25" s="528"/>
      <c r="O25" s="154">
        <f t="shared" si="13"/>
        <v>0.67540206185567009</v>
      </c>
      <c r="P25" s="526"/>
      <c r="Q25" s="513"/>
      <c r="R25" s="165">
        <v>889209.65800000005</v>
      </c>
      <c r="S25" s="527"/>
      <c r="T25" s="528"/>
      <c r="U25" s="154">
        <f t="shared" si="15"/>
        <v>0.13715506590885645</v>
      </c>
      <c r="V25" s="526"/>
      <c r="W25" s="513"/>
    </row>
    <row r="26" spans="2:23">
      <c r="B26" s="514">
        <f>B19+7</f>
        <v>46141</v>
      </c>
      <c r="C26" s="529"/>
      <c r="D26" s="80">
        <f t="shared" si="5"/>
        <v>46133</v>
      </c>
      <c r="E26" s="80" t="s">
        <v>118</v>
      </c>
      <c r="F26" s="164"/>
      <c r="G26" s="528">
        <f>SUM(F26:F32)</f>
        <v>0</v>
      </c>
      <c r="H26" s="528"/>
      <c r="I26" s="214"/>
      <c r="J26" s="516">
        <f t="shared" ref="J26" si="16">SUM(I26:I32)</f>
        <v>0</v>
      </c>
      <c r="K26" s="516"/>
      <c r="L26" s="164"/>
      <c r="M26" s="528">
        <f t="shared" ref="M26" si="17">SUM(L26:L32)</f>
        <v>0</v>
      </c>
      <c r="N26" s="528"/>
      <c r="O26" s="154" t="e">
        <f t="shared" si="13"/>
        <v>#DIV/0!</v>
      </c>
      <c r="P26" s="526" t="e">
        <f>M26/G26</f>
        <v>#DIV/0!</v>
      </c>
      <c r="Q26" s="513"/>
      <c r="R26" s="165"/>
      <c r="S26" s="527">
        <f t="shared" ref="S26" si="18">SUM(R26:R32)</f>
        <v>0</v>
      </c>
      <c r="T26" s="528"/>
      <c r="U26" s="154" t="e">
        <f t="shared" si="15"/>
        <v>#DIV/0!</v>
      </c>
      <c r="V26" s="526" t="e">
        <f>S26/G26</f>
        <v>#DIV/0!</v>
      </c>
      <c r="W26" s="513"/>
    </row>
    <row r="27" spans="2:23">
      <c r="B27" s="515"/>
      <c r="C27" s="529"/>
      <c r="D27" s="80">
        <f t="shared" si="5"/>
        <v>46134</v>
      </c>
      <c r="E27" s="80" t="s">
        <v>112</v>
      </c>
      <c r="F27" s="164"/>
      <c r="G27" s="528"/>
      <c r="H27" s="528"/>
      <c r="I27" s="214"/>
      <c r="J27" s="516"/>
      <c r="K27" s="516"/>
      <c r="L27" s="164"/>
      <c r="M27" s="528"/>
      <c r="N27" s="528"/>
      <c r="O27" s="154" t="e">
        <f t="shared" si="13"/>
        <v>#DIV/0!</v>
      </c>
      <c r="P27" s="526"/>
      <c r="Q27" s="513"/>
      <c r="R27" s="165"/>
      <c r="S27" s="527"/>
      <c r="T27" s="528"/>
      <c r="U27" s="154" t="e">
        <f t="shared" si="15"/>
        <v>#DIV/0!</v>
      </c>
      <c r="V27" s="526"/>
      <c r="W27" s="513"/>
    </row>
    <row r="28" spans="2:23">
      <c r="B28" s="515"/>
      <c r="C28" s="529"/>
      <c r="D28" s="80">
        <f t="shared" si="5"/>
        <v>46135</v>
      </c>
      <c r="E28" s="80" t="s">
        <v>113</v>
      </c>
      <c r="F28" s="164"/>
      <c r="G28" s="528"/>
      <c r="H28" s="528"/>
      <c r="I28" s="214"/>
      <c r="J28" s="516"/>
      <c r="K28" s="516"/>
      <c r="L28" s="164"/>
      <c r="M28" s="528"/>
      <c r="N28" s="528"/>
      <c r="O28" s="154" t="e">
        <f t="shared" si="13"/>
        <v>#DIV/0!</v>
      </c>
      <c r="P28" s="526"/>
      <c r="Q28" s="513"/>
      <c r="R28" s="165"/>
      <c r="S28" s="527"/>
      <c r="T28" s="528"/>
      <c r="U28" s="154" t="e">
        <f t="shared" si="15"/>
        <v>#DIV/0!</v>
      </c>
      <c r="V28" s="526"/>
      <c r="W28" s="513"/>
    </row>
    <row r="29" spans="2:23">
      <c r="B29" s="515"/>
      <c r="C29" s="529"/>
      <c r="D29" s="80">
        <f t="shared" si="5"/>
        <v>46136</v>
      </c>
      <c r="E29" s="80" t="s">
        <v>114</v>
      </c>
      <c r="F29" s="164"/>
      <c r="G29" s="528"/>
      <c r="H29" s="528"/>
      <c r="I29" s="214"/>
      <c r="J29" s="516"/>
      <c r="K29" s="516"/>
      <c r="L29" s="164"/>
      <c r="M29" s="528"/>
      <c r="N29" s="528"/>
      <c r="O29" s="154" t="e">
        <f t="shared" si="13"/>
        <v>#DIV/0!</v>
      </c>
      <c r="P29" s="526"/>
      <c r="Q29" s="513"/>
      <c r="R29" s="165"/>
      <c r="S29" s="527"/>
      <c r="T29" s="528"/>
      <c r="U29" s="154" t="e">
        <f t="shared" si="15"/>
        <v>#DIV/0!</v>
      </c>
      <c r="V29" s="526"/>
      <c r="W29" s="513"/>
    </row>
    <row r="30" spans="2:23">
      <c r="B30" s="515"/>
      <c r="C30" s="529"/>
      <c r="D30" s="80">
        <f t="shared" si="5"/>
        <v>46137</v>
      </c>
      <c r="E30" s="80" t="s">
        <v>115</v>
      </c>
      <c r="F30" s="164"/>
      <c r="G30" s="528"/>
      <c r="H30" s="528"/>
      <c r="I30" s="214"/>
      <c r="J30" s="516"/>
      <c r="K30" s="516"/>
      <c r="L30" s="164"/>
      <c r="M30" s="528"/>
      <c r="N30" s="528"/>
      <c r="O30" s="154" t="e">
        <f t="shared" si="13"/>
        <v>#DIV/0!</v>
      </c>
      <c r="P30" s="526"/>
      <c r="Q30" s="513"/>
      <c r="R30" s="165"/>
      <c r="S30" s="527"/>
      <c r="T30" s="528"/>
      <c r="U30" s="154" t="e">
        <f t="shared" si="15"/>
        <v>#DIV/0!</v>
      </c>
      <c r="V30" s="526"/>
      <c r="W30" s="513"/>
    </row>
    <row r="31" spans="2:23">
      <c r="B31" s="515"/>
      <c r="C31" s="529"/>
      <c r="D31" s="80">
        <f t="shared" si="5"/>
        <v>46138</v>
      </c>
      <c r="E31" s="80" t="s">
        <v>116</v>
      </c>
      <c r="F31" s="164"/>
      <c r="G31" s="528"/>
      <c r="H31" s="528"/>
      <c r="I31" s="214"/>
      <c r="J31" s="516"/>
      <c r="K31" s="516"/>
      <c r="L31" s="164"/>
      <c r="M31" s="528"/>
      <c r="N31" s="528"/>
      <c r="O31" s="154" t="e">
        <f t="shared" si="13"/>
        <v>#DIV/0!</v>
      </c>
      <c r="P31" s="526"/>
      <c r="Q31" s="513"/>
      <c r="R31" s="165"/>
      <c r="S31" s="527"/>
      <c r="T31" s="528"/>
      <c r="U31" s="154" t="e">
        <f t="shared" si="15"/>
        <v>#DIV/0!</v>
      </c>
      <c r="V31" s="526"/>
      <c r="W31" s="513"/>
    </row>
    <row r="32" spans="2:23">
      <c r="B32" s="515"/>
      <c r="C32" s="529"/>
      <c r="D32" s="80">
        <f t="shared" si="5"/>
        <v>46139</v>
      </c>
      <c r="E32" s="80" t="s">
        <v>117</v>
      </c>
      <c r="F32" s="164"/>
      <c r="G32" s="528"/>
      <c r="H32" s="528"/>
      <c r="I32" s="214"/>
      <c r="J32" s="516"/>
      <c r="K32" s="516"/>
      <c r="L32" s="164"/>
      <c r="M32" s="528"/>
      <c r="N32" s="528"/>
      <c r="O32" s="154" t="e">
        <f t="shared" si="13"/>
        <v>#DIV/0!</v>
      </c>
      <c r="P32" s="526"/>
      <c r="Q32" s="513"/>
      <c r="R32" s="165"/>
      <c r="S32" s="527"/>
      <c r="T32" s="528"/>
      <c r="U32" s="154" t="e">
        <f t="shared" si="15"/>
        <v>#DIV/0!</v>
      </c>
      <c r="V32" s="526"/>
      <c r="W32" s="513"/>
    </row>
    <row r="33" spans="2:23">
      <c r="B33" s="514">
        <f>B26+7</f>
        <v>46148</v>
      </c>
      <c r="C33" s="529"/>
      <c r="D33" s="80">
        <f t="shared" si="5"/>
        <v>46140</v>
      </c>
      <c r="E33" s="80" t="s">
        <v>118</v>
      </c>
      <c r="F33" s="164"/>
      <c r="G33" s="528">
        <f>SUM(F33:F39)</f>
        <v>0</v>
      </c>
      <c r="H33" s="528"/>
      <c r="I33" s="214"/>
      <c r="J33" s="516">
        <f t="shared" ref="J33" si="19">SUM(I33:I39)</f>
        <v>0</v>
      </c>
      <c r="K33" s="516"/>
      <c r="L33" s="164"/>
      <c r="M33" s="528">
        <f t="shared" ref="M33" si="20">SUM(L33:L39)</f>
        <v>0</v>
      </c>
      <c r="N33" s="528"/>
      <c r="O33" s="154" t="e">
        <f t="shared" si="13"/>
        <v>#DIV/0!</v>
      </c>
      <c r="P33" s="526" t="e">
        <f>M33/G33</f>
        <v>#DIV/0!</v>
      </c>
      <c r="Q33" s="513"/>
      <c r="R33" s="165"/>
      <c r="S33" s="527">
        <f t="shared" ref="S33" si="21">SUM(R33:R39)</f>
        <v>0</v>
      </c>
      <c r="T33" s="528"/>
      <c r="U33" s="154" t="e">
        <f t="shared" si="15"/>
        <v>#DIV/0!</v>
      </c>
      <c r="V33" s="526" t="e">
        <f>S33/G33</f>
        <v>#DIV/0!</v>
      </c>
      <c r="W33" s="513"/>
    </row>
    <row r="34" spans="2:23">
      <c r="B34" s="515"/>
      <c r="C34" s="529"/>
      <c r="D34" s="80">
        <f t="shared" si="5"/>
        <v>46141</v>
      </c>
      <c r="E34" s="80" t="s">
        <v>112</v>
      </c>
      <c r="F34" s="164"/>
      <c r="G34" s="528"/>
      <c r="H34" s="528"/>
      <c r="I34" s="214"/>
      <c r="J34" s="516"/>
      <c r="K34" s="516"/>
      <c r="L34" s="164"/>
      <c r="M34" s="528"/>
      <c r="N34" s="528"/>
      <c r="O34" s="154" t="e">
        <f t="shared" si="13"/>
        <v>#DIV/0!</v>
      </c>
      <c r="P34" s="526"/>
      <c r="Q34" s="513"/>
      <c r="R34" s="165"/>
      <c r="S34" s="527"/>
      <c r="T34" s="528"/>
      <c r="U34" s="154" t="e">
        <f t="shared" si="15"/>
        <v>#DIV/0!</v>
      </c>
      <c r="V34" s="526"/>
      <c r="W34" s="513"/>
    </row>
    <row r="35" spans="2:23">
      <c r="B35" s="515"/>
      <c r="C35" s="529"/>
      <c r="D35" s="80">
        <f t="shared" ref="D35:D39" si="22">D34+1</f>
        <v>46142</v>
      </c>
      <c r="E35" s="80" t="s">
        <v>113</v>
      </c>
      <c r="F35" s="164"/>
      <c r="G35" s="528"/>
      <c r="H35" s="528"/>
      <c r="I35" s="214"/>
      <c r="J35" s="516"/>
      <c r="K35" s="516"/>
      <c r="L35" s="164"/>
      <c r="M35" s="528"/>
      <c r="N35" s="528"/>
      <c r="O35" s="154" t="e">
        <f t="shared" si="13"/>
        <v>#DIV/0!</v>
      </c>
      <c r="P35" s="526"/>
      <c r="Q35" s="513"/>
      <c r="R35" s="165"/>
      <c r="S35" s="527"/>
      <c r="T35" s="528"/>
      <c r="U35" s="154" t="e">
        <f t="shared" si="15"/>
        <v>#DIV/0!</v>
      </c>
      <c r="V35" s="526"/>
      <c r="W35" s="513"/>
    </row>
    <row r="36" spans="2:23">
      <c r="B36" s="515"/>
      <c r="D36" s="80">
        <f t="shared" si="22"/>
        <v>46143</v>
      </c>
      <c r="E36" s="80" t="s">
        <v>114</v>
      </c>
      <c r="F36" s="164"/>
      <c r="G36" s="528"/>
      <c r="H36" s="164"/>
      <c r="I36" s="214"/>
      <c r="J36" s="516"/>
      <c r="K36" s="214"/>
      <c r="L36" s="164"/>
      <c r="M36" s="528"/>
      <c r="N36" s="164"/>
      <c r="O36" s="154" t="e">
        <f t="shared" si="13"/>
        <v>#DIV/0!</v>
      </c>
      <c r="P36" s="526"/>
      <c r="Q36" s="495"/>
      <c r="R36" s="165"/>
      <c r="S36" s="527"/>
      <c r="T36" s="164"/>
      <c r="U36" s="154" t="e">
        <f t="shared" si="15"/>
        <v>#DIV/0!</v>
      </c>
      <c r="V36" s="526"/>
      <c r="W36" s="495"/>
    </row>
    <row r="37" spans="2:23">
      <c r="B37" s="515"/>
      <c r="D37" s="80">
        <f t="shared" si="22"/>
        <v>46144</v>
      </c>
      <c r="E37" s="80" t="s">
        <v>115</v>
      </c>
      <c r="F37" s="164"/>
      <c r="G37" s="528"/>
      <c r="I37" s="214"/>
      <c r="J37" s="516"/>
      <c r="L37" s="164"/>
      <c r="M37" s="528"/>
      <c r="O37" s="154" t="e">
        <f t="shared" si="13"/>
        <v>#DIV/0!</v>
      </c>
      <c r="P37" s="526"/>
      <c r="R37" s="165"/>
      <c r="S37" s="527"/>
      <c r="U37" s="154" t="e">
        <f t="shared" si="15"/>
        <v>#DIV/0!</v>
      </c>
      <c r="V37" s="526"/>
    </row>
    <row r="38" spans="2:23">
      <c r="B38" s="515"/>
      <c r="D38" s="80">
        <f t="shared" si="22"/>
        <v>46145</v>
      </c>
      <c r="E38" s="80" t="s">
        <v>116</v>
      </c>
      <c r="F38" s="164"/>
      <c r="G38" s="528"/>
      <c r="I38" s="214"/>
      <c r="J38" s="516"/>
      <c r="L38" s="164"/>
      <c r="M38" s="528"/>
      <c r="O38" s="154" t="e">
        <f t="shared" si="13"/>
        <v>#DIV/0!</v>
      </c>
      <c r="P38" s="526"/>
      <c r="R38" s="165"/>
      <c r="S38" s="527"/>
      <c r="U38" s="154" t="e">
        <f t="shared" si="15"/>
        <v>#DIV/0!</v>
      </c>
      <c r="V38" s="526"/>
    </row>
    <row r="39" spans="2:23">
      <c r="B39" s="515"/>
      <c r="D39" s="80">
        <f t="shared" si="22"/>
        <v>46146</v>
      </c>
      <c r="E39" s="80" t="s">
        <v>117</v>
      </c>
      <c r="F39" s="164"/>
      <c r="G39" s="528"/>
      <c r="I39" s="214"/>
      <c r="J39" s="516"/>
      <c r="L39" s="164"/>
      <c r="M39" s="528"/>
      <c r="O39" s="154" t="e">
        <f t="shared" si="13"/>
        <v>#DIV/0!</v>
      </c>
      <c r="P39" s="526"/>
      <c r="R39" s="165"/>
      <c r="S39" s="527"/>
      <c r="U39" s="154" t="e">
        <f t="shared" si="15"/>
        <v>#DIV/0!</v>
      </c>
      <c r="V39" s="526"/>
    </row>
  </sheetData>
  <mergeCells count="52">
    <mergeCell ref="P33:P39"/>
    <mergeCell ref="C6:C35"/>
    <mergeCell ref="J5:J11"/>
    <mergeCell ref="P5:P11"/>
    <mergeCell ref="S5:S11"/>
    <mergeCell ref="S33:S39"/>
    <mergeCell ref="P12:P18"/>
    <mergeCell ref="G33:G39"/>
    <mergeCell ref="M19:M25"/>
    <mergeCell ref="M33:M39"/>
    <mergeCell ref="B26:B32"/>
    <mergeCell ref="G26:G32"/>
    <mergeCell ref="J26:J32"/>
    <mergeCell ref="B5:B11"/>
    <mergeCell ref="G5:G11"/>
    <mergeCell ref="B12:B18"/>
    <mergeCell ref="G12:G18"/>
    <mergeCell ref="B19:B25"/>
    <mergeCell ref="G19:G25"/>
    <mergeCell ref="J19:J25"/>
    <mergeCell ref="V33:V39"/>
    <mergeCell ref="H6:H35"/>
    <mergeCell ref="K6:K35"/>
    <mergeCell ref="N6:N35"/>
    <mergeCell ref="M26:M32"/>
    <mergeCell ref="P26:P32"/>
    <mergeCell ref="S12:S18"/>
    <mergeCell ref="V12:V18"/>
    <mergeCell ref="S19:S25"/>
    <mergeCell ref="V19:V25"/>
    <mergeCell ref="Q6:Q35"/>
    <mergeCell ref="T6:T35"/>
    <mergeCell ref="M5:M11"/>
    <mergeCell ref="P19:P25"/>
    <mergeCell ref="J12:J18"/>
    <mergeCell ref="M12:M18"/>
    <mergeCell ref="W6:W35"/>
    <mergeCell ref="B33:B39"/>
    <mergeCell ref="J33:J3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S26:S32"/>
    <mergeCell ref="V26:V32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39"/>
  <sheetViews>
    <sheetView zoomScale="85" zoomScaleNormal="85" workbookViewId="0">
      <selection activeCell="C1" sqref="C1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364</v>
      </c>
      <c r="C1" s="166">
        <v>442.4</v>
      </c>
    </row>
    <row r="2" spans="2:23" ht="38.1" customHeight="1">
      <c r="B2" s="518" t="s">
        <v>130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</row>
    <row r="3" spans="2:23" s="71" customFormat="1" ht="23.45" customHeight="1">
      <c r="B3" s="522" t="s">
        <v>122</v>
      </c>
      <c r="C3" s="523" t="s">
        <v>119</v>
      </c>
      <c r="D3" s="524" t="s">
        <v>105</v>
      </c>
      <c r="E3" s="524"/>
      <c r="F3" s="531" t="s">
        <v>107</v>
      </c>
      <c r="G3" s="531"/>
      <c r="H3" s="531"/>
      <c r="I3" s="533" t="s">
        <v>108</v>
      </c>
      <c r="J3" s="533"/>
      <c r="K3" s="533"/>
      <c r="L3" s="532" t="s">
        <v>324</v>
      </c>
      <c r="M3" s="532"/>
      <c r="N3" s="532"/>
      <c r="O3" s="532" t="s">
        <v>106</v>
      </c>
      <c r="P3" s="532"/>
      <c r="Q3" s="532"/>
      <c r="R3" s="532" t="s">
        <v>363</v>
      </c>
      <c r="S3" s="532"/>
      <c r="T3" s="532"/>
      <c r="U3" s="532" t="s">
        <v>452</v>
      </c>
      <c r="V3" s="532"/>
      <c r="W3" s="532"/>
    </row>
    <row r="4" spans="2:23" ht="15.75">
      <c r="B4" s="522"/>
      <c r="C4" s="523"/>
      <c r="D4" s="524"/>
      <c r="E4" s="524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14">
        <v>46120</v>
      </c>
      <c r="C5" s="463"/>
      <c r="D5" s="80">
        <v>46112</v>
      </c>
      <c r="E5" s="80" t="s">
        <v>118</v>
      </c>
      <c r="F5" s="87">
        <v>410.20374988511981</v>
      </c>
      <c r="G5" s="537">
        <f>AVERAGE(F5:F11)</f>
        <v>410.90558034951437</v>
      </c>
      <c r="H5" s="465"/>
      <c r="I5" s="154">
        <f>F5/$C$1</f>
        <v>0.92722366610560536</v>
      </c>
      <c r="J5" s="526">
        <f t="shared" ref="J5" si="0">AVERAGE(I5:I11)</f>
        <v>0.92881008216436367</v>
      </c>
      <c r="K5" s="464"/>
      <c r="L5" s="162">
        <v>2.0115286611573271E-3</v>
      </c>
      <c r="M5" s="536">
        <f t="shared" ref="M5" si="1">AVERAGE(L5:L11)</f>
        <v>2.0108330140377051E-3</v>
      </c>
      <c r="N5" s="466"/>
      <c r="O5" s="84">
        <v>4.4775692260619086E-3</v>
      </c>
      <c r="P5" s="538">
        <f t="shared" ref="P5" si="2">AVERAGE(O5:O11)</f>
        <v>4.4376523250051862E-3</v>
      </c>
      <c r="Q5" s="464"/>
      <c r="R5" s="154">
        <v>0.9</v>
      </c>
      <c r="S5" s="526">
        <f t="shared" ref="S5" si="3">AVERAGE(R5:R11)</f>
        <v>0.90000000000000013</v>
      </c>
      <c r="T5" s="464"/>
      <c r="U5" s="154">
        <f>14/52*100%</f>
        <v>0.26923076923076922</v>
      </c>
      <c r="V5" s="526">
        <f t="shared" ref="V5" si="4">AVERAGE(U5:U11)</f>
        <v>0.26923076923076922</v>
      </c>
      <c r="W5" s="464"/>
    </row>
    <row r="6" spans="2:23">
      <c r="B6" s="514"/>
      <c r="C6" s="529" t="s">
        <v>113</v>
      </c>
      <c r="D6" s="80">
        <f t="shared" ref="D6:D34" si="5">D5+1</f>
        <v>46113</v>
      </c>
      <c r="E6" s="80" t="s">
        <v>112</v>
      </c>
      <c r="F6" s="87">
        <v>412.35390058150983</v>
      </c>
      <c r="G6" s="537"/>
      <c r="H6" s="537">
        <f>AVERAGEIF(F6:F35,"&lt;&gt;0")</f>
        <v>403.78078283292325</v>
      </c>
      <c r="I6" s="154">
        <f t="shared" ref="I6:I25" si="6">F6/$C$1</f>
        <v>0.93208386207393723</v>
      </c>
      <c r="J6" s="526"/>
      <c r="K6" s="538">
        <f>AVERAGEIF(I6:I35,"&lt;&gt;0")</f>
        <v>0.91270520531854271</v>
      </c>
      <c r="L6" s="162">
        <v>2.0102006149665804E-3</v>
      </c>
      <c r="M6" s="536"/>
      <c r="N6" s="536">
        <f>AVERAGEIF(L6:L35,"&lt;&gt;0")</f>
        <v>2.0138207047059337E-3</v>
      </c>
      <c r="O6" s="84">
        <v>4.4516756007874792E-3</v>
      </c>
      <c r="P6" s="538"/>
      <c r="Q6" s="536">
        <f>AVERAGEIF(O6:O35,"&lt;&gt;0")</f>
        <v>4.3557808432686928E-3</v>
      </c>
      <c r="R6" s="154">
        <v>0.9</v>
      </c>
      <c r="S6" s="526"/>
      <c r="T6" s="538">
        <f>AVERAGEIF(R6:R35,"&lt;&gt;0")</f>
        <v>0.9</v>
      </c>
      <c r="U6" s="154">
        <f t="shared" ref="U6:U11" si="7">14/52*100%</f>
        <v>0.26923076923076922</v>
      </c>
      <c r="V6" s="526"/>
      <c r="W6" s="538">
        <f>AVERAGEIF(U6:U35,"&lt;&gt;0")</f>
        <v>0.28942307692307684</v>
      </c>
    </row>
    <row r="7" spans="2:23">
      <c r="B7" s="514"/>
      <c r="C7" s="529"/>
      <c r="D7" s="80">
        <f t="shared" si="5"/>
        <v>46114</v>
      </c>
      <c r="E7" s="80" t="s">
        <v>113</v>
      </c>
      <c r="F7" s="87">
        <v>413.1263650492188</v>
      </c>
      <c r="G7" s="537"/>
      <c r="H7" s="537"/>
      <c r="I7" s="154">
        <f t="shared" si="6"/>
        <v>0.93382993908051271</v>
      </c>
      <c r="J7" s="526"/>
      <c r="K7" s="538"/>
      <c r="L7" s="162">
        <v>2.0157613013174359E-3</v>
      </c>
      <c r="M7" s="536"/>
      <c r="N7" s="536"/>
      <c r="O7" s="84">
        <v>4.4335571880956166E-3</v>
      </c>
      <c r="P7" s="538"/>
      <c r="Q7" s="536"/>
      <c r="R7" s="154">
        <v>0.9</v>
      </c>
      <c r="S7" s="526"/>
      <c r="T7" s="538"/>
      <c r="U7" s="154">
        <f t="shared" si="7"/>
        <v>0.26923076923076922</v>
      </c>
      <c r="V7" s="526"/>
      <c r="W7" s="538"/>
    </row>
    <row r="8" spans="2:23">
      <c r="B8" s="514"/>
      <c r="C8" s="529"/>
      <c r="D8" s="80">
        <f t="shared" si="5"/>
        <v>46115</v>
      </c>
      <c r="E8" s="80" t="s">
        <v>114</v>
      </c>
      <c r="F8" s="87">
        <v>413.20841431372912</v>
      </c>
      <c r="G8" s="537"/>
      <c r="H8" s="537"/>
      <c r="I8" s="154">
        <f t="shared" si="6"/>
        <v>0.93401540305996644</v>
      </c>
      <c r="J8" s="526"/>
      <c r="K8" s="538"/>
      <c r="L8" s="162">
        <v>2.0102222147956096E-3</v>
      </c>
      <c r="M8" s="536"/>
      <c r="N8" s="536"/>
      <c r="O8" s="84">
        <v>4.4111784085921609E-3</v>
      </c>
      <c r="P8" s="538"/>
      <c r="Q8" s="536"/>
      <c r="R8" s="154">
        <v>0.9</v>
      </c>
      <c r="S8" s="526"/>
      <c r="T8" s="538"/>
      <c r="U8" s="154">
        <f t="shared" si="7"/>
        <v>0.26923076923076922</v>
      </c>
      <c r="V8" s="526"/>
      <c r="W8" s="538"/>
    </row>
    <row r="9" spans="2:23">
      <c r="B9" s="514"/>
      <c r="C9" s="529"/>
      <c r="D9" s="80">
        <f t="shared" si="5"/>
        <v>46116</v>
      </c>
      <c r="E9" s="80" t="s">
        <v>115</v>
      </c>
      <c r="F9" s="87">
        <v>410.99928332311958</v>
      </c>
      <c r="G9" s="537"/>
      <c r="H9" s="537"/>
      <c r="I9" s="154">
        <f t="shared" si="6"/>
        <v>0.92902188816256692</v>
      </c>
      <c r="J9" s="526"/>
      <c r="K9" s="538"/>
      <c r="L9" s="162">
        <v>2.0057929605071627E-3</v>
      </c>
      <c r="M9" s="536"/>
      <c r="N9" s="536"/>
      <c r="O9" s="84">
        <v>4.4036966718618772E-3</v>
      </c>
      <c r="P9" s="538"/>
      <c r="Q9" s="536"/>
      <c r="R9" s="154">
        <v>0.9</v>
      </c>
      <c r="S9" s="526"/>
      <c r="T9" s="538"/>
      <c r="U9" s="154">
        <f t="shared" si="7"/>
        <v>0.26923076923076922</v>
      </c>
      <c r="V9" s="526"/>
      <c r="W9" s="538"/>
    </row>
    <row r="10" spans="2:23">
      <c r="B10" s="514"/>
      <c r="C10" s="529"/>
      <c r="D10" s="80">
        <f t="shared" si="5"/>
        <v>46117</v>
      </c>
      <c r="E10" s="80" t="s">
        <v>116</v>
      </c>
      <c r="F10" s="87">
        <v>410.97079120142928</v>
      </c>
      <c r="G10" s="537"/>
      <c r="H10" s="537"/>
      <c r="I10" s="154">
        <f t="shared" si="6"/>
        <v>0.92895748463252559</v>
      </c>
      <c r="J10" s="526"/>
      <c r="K10" s="538"/>
      <c r="L10" s="162">
        <v>2.0082163868497338E-3</v>
      </c>
      <c r="M10" s="536"/>
      <c r="N10" s="536"/>
      <c r="O10" s="84">
        <v>4.411943657611093E-3</v>
      </c>
      <c r="P10" s="538"/>
      <c r="Q10" s="536"/>
      <c r="R10" s="154">
        <v>0.9</v>
      </c>
      <c r="S10" s="526"/>
      <c r="T10" s="538"/>
      <c r="U10" s="154">
        <f t="shared" si="7"/>
        <v>0.26923076923076922</v>
      </c>
      <c r="V10" s="526"/>
      <c r="W10" s="538"/>
    </row>
    <row r="11" spans="2:23">
      <c r="B11" s="514"/>
      <c r="C11" s="529"/>
      <c r="D11" s="80">
        <f t="shared" si="5"/>
        <v>46118</v>
      </c>
      <c r="E11" s="80" t="s">
        <v>117</v>
      </c>
      <c r="F11" s="87">
        <v>405.47655809247465</v>
      </c>
      <c r="G11" s="537"/>
      <c r="H11" s="537"/>
      <c r="I11" s="154">
        <f t="shared" si="6"/>
        <v>0.916538332035431</v>
      </c>
      <c r="J11" s="526"/>
      <c r="K11" s="538"/>
      <c r="L11" s="162">
        <v>2.0141089586700849E-3</v>
      </c>
      <c r="M11" s="536"/>
      <c r="N11" s="536"/>
      <c r="O11" s="84">
        <v>4.4739455220261697E-3</v>
      </c>
      <c r="P11" s="538"/>
      <c r="Q11" s="536"/>
      <c r="R11" s="154">
        <v>0.9</v>
      </c>
      <c r="S11" s="526"/>
      <c r="T11" s="538"/>
      <c r="U11" s="154">
        <f t="shared" si="7"/>
        <v>0.26923076923076922</v>
      </c>
      <c r="V11" s="526"/>
      <c r="W11" s="538"/>
    </row>
    <row r="12" spans="2:23">
      <c r="B12" s="514">
        <f t="shared" ref="B12" si="8">B5+7</f>
        <v>46127</v>
      </c>
      <c r="C12" s="529"/>
      <c r="D12" s="80">
        <f t="shared" si="5"/>
        <v>46119</v>
      </c>
      <c r="E12" s="494" t="s">
        <v>118</v>
      </c>
      <c r="F12" s="88">
        <v>404.90475454154506</v>
      </c>
      <c r="G12" s="534">
        <f t="shared" ref="G12" si="9">AVERAGE(F12:F18)</f>
        <v>407.83400132115185</v>
      </c>
      <c r="H12" s="537"/>
      <c r="I12" s="154">
        <f t="shared" si="6"/>
        <v>0.91524582852971315</v>
      </c>
      <c r="J12" s="535">
        <f>AVERAGE(I12:I18)</f>
        <v>0.92186709159392355</v>
      </c>
      <c r="K12" s="538"/>
      <c r="L12" s="162">
        <v>2.0201584882033191E-3</v>
      </c>
      <c r="M12" s="536">
        <f>AVERAGE(L12:L18)</f>
        <v>2.0153950640746749E-3</v>
      </c>
      <c r="N12" s="536"/>
      <c r="O12" s="84">
        <v>4.327638334682987E-3</v>
      </c>
      <c r="P12" s="538">
        <f t="shared" ref="P12" si="10">AVERAGE(O12:O18)</f>
        <v>4.3307228070989289E-3</v>
      </c>
      <c r="Q12" s="536"/>
      <c r="R12" s="154">
        <v>0.9</v>
      </c>
      <c r="S12" s="535">
        <f t="shared" ref="S12" si="11">AVERAGE(R12:R18)</f>
        <v>0.90000000000000013</v>
      </c>
      <c r="T12" s="538"/>
      <c r="U12" s="154">
        <f t="shared" ref="U12:U18" si="12">15/52*100%</f>
        <v>0.28846153846153844</v>
      </c>
      <c r="V12" s="526">
        <f t="shared" ref="V12" si="13">AVERAGE(U12:U18)</f>
        <v>0.28846153846153838</v>
      </c>
      <c r="W12" s="538"/>
    </row>
    <row r="13" spans="2:23">
      <c r="B13" s="514"/>
      <c r="C13" s="529"/>
      <c r="D13" s="80">
        <f t="shared" si="5"/>
        <v>46120</v>
      </c>
      <c r="E13" s="494" t="s">
        <v>112</v>
      </c>
      <c r="F13" s="88">
        <v>405.31668460703202</v>
      </c>
      <c r="G13" s="534"/>
      <c r="H13" s="537"/>
      <c r="I13" s="154">
        <f t="shared" si="6"/>
        <v>0.916176954355859</v>
      </c>
      <c r="J13" s="535"/>
      <c r="K13" s="538"/>
      <c r="L13" s="162">
        <v>2.0155733032638816E-3</v>
      </c>
      <c r="M13" s="536"/>
      <c r="N13" s="536"/>
      <c r="O13" s="84">
        <v>4.3342108972119842E-3</v>
      </c>
      <c r="P13" s="538"/>
      <c r="Q13" s="536"/>
      <c r="R13" s="154">
        <v>0.9</v>
      </c>
      <c r="S13" s="535"/>
      <c r="T13" s="538"/>
      <c r="U13" s="154">
        <f t="shared" si="12"/>
        <v>0.28846153846153844</v>
      </c>
      <c r="V13" s="526"/>
      <c r="W13" s="538"/>
    </row>
    <row r="14" spans="2:23">
      <c r="B14" s="514"/>
      <c r="C14" s="529"/>
      <c r="D14" s="80">
        <f t="shared" si="5"/>
        <v>46121</v>
      </c>
      <c r="E14" s="494" t="s">
        <v>113</v>
      </c>
      <c r="F14" s="88">
        <v>407.25961584627078</v>
      </c>
      <c r="G14" s="534"/>
      <c r="H14" s="537"/>
      <c r="I14" s="154">
        <f t="shared" si="6"/>
        <v>0.92056875191290866</v>
      </c>
      <c r="J14" s="535"/>
      <c r="K14" s="538"/>
      <c r="L14" s="162">
        <v>2.0138790097769788E-3</v>
      </c>
      <c r="M14" s="536"/>
      <c r="N14" s="536"/>
      <c r="O14" s="84">
        <v>4.1880140501678303E-3</v>
      </c>
      <c r="P14" s="538"/>
      <c r="Q14" s="536"/>
      <c r="R14" s="154">
        <v>0.9</v>
      </c>
      <c r="S14" s="535"/>
      <c r="T14" s="538"/>
      <c r="U14" s="154">
        <f t="shared" si="12"/>
        <v>0.28846153846153844</v>
      </c>
      <c r="V14" s="526"/>
      <c r="W14" s="538"/>
    </row>
    <row r="15" spans="2:23">
      <c r="B15" s="514"/>
      <c r="C15" s="529"/>
      <c r="D15" s="80">
        <f t="shared" si="5"/>
        <v>46122</v>
      </c>
      <c r="E15" s="494" t="s">
        <v>114</v>
      </c>
      <c r="F15" s="88">
        <v>407.72238099422958</v>
      </c>
      <c r="G15" s="534"/>
      <c r="H15" s="537"/>
      <c r="I15" s="154">
        <f t="shared" si="6"/>
        <v>0.92161478524916274</v>
      </c>
      <c r="J15" s="535"/>
      <c r="K15" s="538"/>
      <c r="L15" s="162">
        <v>2.0055706466030501E-3</v>
      </c>
      <c r="M15" s="536"/>
      <c r="N15" s="536"/>
      <c r="O15" s="84">
        <v>4.1643234171543581E-3</v>
      </c>
      <c r="P15" s="538"/>
      <c r="Q15" s="536"/>
      <c r="R15" s="154">
        <v>0.9</v>
      </c>
      <c r="S15" s="535"/>
      <c r="T15" s="538"/>
      <c r="U15" s="154">
        <f t="shared" si="12"/>
        <v>0.28846153846153844</v>
      </c>
      <c r="V15" s="526"/>
      <c r="W15" s="538"/>
    </row>
    <row r="16" spans="2:23">
      <c r="B16" s="514"/>
      <c r="C16" s="529"/>
      <c r="D16" s="80">
        <f t="shared" si="5"/>
        <v>46123</v>
      </c>
      <c r="E16" s="494" t="s">
        <v>115</v>
      </c>
      <c r="F16" s="88">
        <v>407.72238099422958</v>
      </c>
      <c r="G16" s="534"/>
      <c r="H16" s="537"/>
      <c r="I16" s="154">
        <f t="shared" si="6"/>
        <v>0.92161478524916274</v>
      </c>
      <c r="J16" s="535"/>
      <c r="K16" s="538"/>
      <c r="L16" s="162">
        <v>2.0123063212024853E-3</v>
      </c>
      <c r="M16" s="536"/>
      <c r="N16" s="536"/>
      <c r="O16" s="84">
        <v>4.5432982421267989E-3</v>
      </c>
      <c r="P16" s="538"/>
      <c r="Q16" s="536"/>
      <c r="R16" s="154">
        <v>0.9</v>
      </c>
      <c r="S16" s="535"/>
      <c r="T16" s="538"/>
      <c r="U16" s="154">
        <f t="shared" si="12"/>
        <v>0.28846153846153844</v>
      </c>
      <c r="V16" s="526"/>
      <c r="W16" s="538"/>
    </row>
    <row r="17" spans="2:23">
      <c r="B17" s="514"/>
      <c r="C17" s="529"/>
      <c r="D17" s="80">
        <f t="shared" si="5"/>
        <v>46124</v>
      </c>
      <c r="E17" s="494" t="s">
        <v>116</v>
      </c>
      <c r="F17" s="88">
        <v>407.43386800536638</v>
      </c>
      <c r="G17" s="534"/>
      <c r="H17" s="537"/>
      <c r="I17" s="154">
        <f t="shared" si="6"/>
        <v>0.92096263111520438</v>
      </c>
      <c r="J17" s="535"/>
      <c r="K17" s="538"/>
      <c r="L17" s="162">
        <v>2.0202072368486982E-3</v>
      </c>
      <c r="M17" s="536"/>
      <c r="N17" s="536"/>
      <c r="O17" s="84">
        <v>4.3819395781461937E-3</v>
      </c>
      <c r="P17" s="538"/>
      <c r="Q17" s="536"/>
      <c r="R17" s="154">
        <v>0.9</v>
      </c>
      <c r="S17" s="535"/>
      <c r="T17" s="538"/>
      <c r="U17" s="154">
        <f t="shared" si="12"/>
        <v>0.28846153846153844</v>
      </c>
      <c r="V17" s="526"/>
      <c r="W17" s="538"/>
    </row>
    <row r="18" spans="2:23">
      <c r="B18" s="514"/>
      <c r="C18" s="529"/>
      <c r="D18" s="80">
        <f t="shared" si="5"/>
        <v>46125</v>
      </c>
      <c r="E18" s="494" t="s">
        <v>117</v>
      </c>
      <c r="F18" s="88">
        <v>414.4783242593893</v>
      </c>
      <c r="G18" s="534"/>
      <c r="H18" s="537"/>
      <c r="I18" s="154">
        <f t="shared" si="6"/>
        <v>0.93688590474545508</v>
      </c>
      <c r="J18" s="535"/>
      <c r="K18" s="538"/>
      <c r="L18" s="162">
        <v>2.0200704426243119E-3</v>
      </c>
      <c r="M18" s="536"/>
      <c r="N18" s="536"/>
      <c r="O18" s="84">
        <v>4.3756351302023447E-3</v>
      </c>
      <c r="P18" s="538"/>
      <c r="Q18" s="536"/>
      <c r="R18" s="154">
        <v>0.9</v>
      </c>
      <c r="S18" s="535"/>
      <c r="T18" s="538"/>
      <c r="U18" s="154">
        <f t="shared" si="12"/>
        <v>0.28846153846153844</v>
      </c>
      <c r="V18" s="526"/>
      <c r="W18" s="538"/>
    </row>
    <row r="19" spans="2:23">
      <c r="B19" s="514">
        <f t="shared" ref="B19" si="14">B12+7</f>
        <v>46134</v>
      </c>
      <c r="C19" s="529"/>
      <c r="D19" s="80">
        <f t="shared" si="5"/>
        <v>46126</v>
      </c>
      <c r="E19" s="494" t="s">
        <v>118</v>
      </c>
      <c r="F19" s="88">
        <v>390.84594575421073</v>
      </c>
      <c r="G19" s="534">
        <f t="shared" ref="G19" si="15">AVERAGE(F19:F25)</f>
        <v>393.52033354984593</v>
      </c>
      <c r="H19" s="537"/>
      <c r="I19" s="154">
        <f t="shared" si="6"/>
        <v>0.88346732765418345</v>
      </c>
      <c r="J19" s="535">
        <f>AVERAGE(I19:I25)</f>
        <v>0.88951250802406412</v>
      </c>
      <c r="K19" s="538"/>
      <c r="L19" s="162">
        <v>2.0252907963139617E-3</v>
      </c>
      <c r="M19" s="536">
        <f>AVERAGE(L19:L25)</f>
        <v>2.0149066012127631E-3</v>
      </c>
      <c r="N19" s="536"/>
      <c r="O19" s="84">
        <v>4.3072153912378161E-3</v>
      </c>
      <c r="P19" s="538">
        <f t="shared" ref="P19" si="16">AVERAGE(O19:O25)</f>
        <v>4.3163657381009961E-3</v>
      </c>
      <c r="Q19" s="536"/>
      <c r="R19" s="154">
        <v>0.9</v>
      </c>
      <c r="S19" s="535">
        <f t="shared" ref="S19" si="17">AVERAGE(R19:R25)</f>
        <v>0.90000000000000013</v>
      </c>
      <c r="T19" s="538"/>
      <c r="U19" s="154">
        <f>16/52*100%</f>
        <v>0.30769230769230771</v>
      </c>
      <c r="V19" s="526">
        <f t="shared" ref="V19" si="18">AVERAGE(U19:U25)</f>
        <v>0.30769230769230776</v>
      </c>
      <c r="W19" s="538"/>
    </row>
    <row r="20" spans="2:23">
      <c r="B20" s="514"/>
      <c r="C20" s="529"/>
      <c r="D20" s="80">
        <f t="shared" si="5"/>
        <v>46127</v>
      </c>
      <c r="E20" s="494" t="s">
        <v>112</v>
      </c>
      <c r="F20" s="88">
        <v>391.69320473120655</v>
      </c>
      <c r="G20" s="534"/>
      <c r="H20" s="537"/>
      <c r="I20" s="154">
        <f t="shared" si="6"/>
        <v>0.88538247000724812</v>
      </c>
      <c r="J20" s="535"/>
      <c r="K20" s="538"/>
      <c r="L20" s="162">
        <v>2.018078427759112E-3</v>
      </c>
      <c r="M20" s="536"/>
      <c r="N20" s="536"/>
      <c r="O20" s="84">
        <v>4.2965398617260666E-3</v>
      </c>
      <c r="P20" s="538"/>
      <c r="Q20" s="536"/>
      <c r="R20" s="154">
        <v>0.9</v>
      </c>
      <c r="S20" s="535"/>
      <c r="T20" s="538"/>
      <c r="U20" s="154">
        <f t="shared" ref="U20:U25" si="19">16/52*100%</f>
        <v>0.30769230769230771</v>
      </c>
      <c r="V20" s="526"/>
      <c r="W20" s="538"/>
    </row>
    <row r="21" spans="2:23">
      <c r="B21" s="514"/>
      <c r="C21" s="529"/>
      <c r="D21" s="80">
        <f t="shared" si="5"/>
        <v>46128</v>
      </c>
      <c r="E21" s="494" t="s">
        <v>113</v>
      </c>
      <c r="F21" s="88">
        <v>395.47061973566144</v>
      </c>
      <c r="G21" s="534"/>
      <c r="H21" s="537"/>
      <c r="I21" s="154">
        <f>F21/$C$1</f>
        <v>0.89392093068639566</v>
      </c>
      <c r="J21" s="535"/>
      <c r="K21" s="538"/>
      <c r="L21" s="162">
        <v>2.0143240756584457E-3</v>
      </c>
      <c r="M21" s="536"/>
      <c r="N21" s="536"/>
      <c r="O21" s="84">
        <v>4.2908731096553297E-3</v>
      </c>
      <c r="P21" s="538"/>
      <c r="Q21" s="536"/>
      <c r="R21" s="154">
        <v>0.9</v>
      </c>
      <c r="S21" s="535"/>
      <c r="T21" s="538"/>
      <c r="U21" s="154">
        <f t="shared" si="19"/>
        <v>0.30769230769230771</v>
      </c>
      <c r="V21" s="526"/>
      <c r="W21" s="538"/>
    </row>
    <row r="22" spans="2:23">
      <c r="B22" s="514"/>
      <c r="C22" s="529"/>
      <c r="D22" s="80">
        <f t="shared" si="5"/>
        <v>46129</v>
      </c>
      <c r="E22" s="494" t="s">
        <v>114</v>
      </c>
      <c r="F22" s="88">
        <v>393.86102377423839</v>
      </c>
      <c r="G22" s="534"/>
      <c r="H22" s="537"/>
      <c r="I22" s="154">
        <f t="shared" si="6"/>
        <v>0.89028260346798915</v>
      </c>
      <c r="J22" s="535"/>
      <c r="K22" s="538"/>
      <c r="L22" s="162">
        <v>2.0086653021604084E-3</v>
      </c>
      <c r="M22" s="536"/>
      <c r="N22" s="536"/>
      <c r="O22" s="84">
        <v>4.2765284653419533E-3</v>
      </c>
      <c r="P22" s="538"/>
      <c r="Q22" s="536"/>
      <c r="R22" s="154">
        <v>0.9</v>
      </c>
      <c r="S22" s="535"/>
      <c r="T22" s="538"/>
      <c r="U22" s="154">
        <f t="shared" si="19"/>
        <v>0.30769230769230771</v>
      </c>
      <c r="V22" s="526"/>
      <c r="W22" s="538"/>
    </row>
    <row r="23" spans="2:23">
      <c r="B23" s="514"/>
      <c r="C23" s="529"/>
      <c r="D23" s="80">
        <f t="shared" si="5"/>
        <v>46130</v>
      </c>
      <c r="E23" s="494" t="s">
        <v>115</v>
      </c>
      <c r="F23" s="88">
        <v>394.15728626579391</v>
      </c>
      <c r="G23" s="534"/>
      <c r="H23" s="537"/>
      <c r="I23" s="154">
        <f t="shared" si="6"/>
        <v>0.890952274561017</v>
      </c>
      <c r="J23" s="535"/>
      <c r="K23" s="538"/>
      <c r="L23" s="162">
        <v>2.0099673084760499E-3</v>
      </c>
      <c r="M23" s="536"/>
      <c r="N23" s="536"/>
      <c r="O23" s="84">
        <v>4.4085362503284136E-3</v>
      </c>
      <c r="P23" s="538"/>
      <c r="Q23" s="536"/>
      <c r="R23" s="154">
        <v>0.9</v>
      </c>
      <c r="S23" s="535"/>
      <c r="T23" s="538"/>
      <c r="U23" s="154">
        <f t="shared" si="19"/>
        <v>0.30769230769230771</v>
      </c>
      <c r="V23" s="526"/>
      <c r="W23" s="538"/>
    </row>
    <row r="24" spans="2:23">
      <c r="B24" s="514"/>
      <c r="C24" s="529"/>
      <c r="D24" s="80">
        <f t="shared" si="5"/>
        <v>46131</v>
      </c>
      <c r="E24" s="494" t="s">
        <v>116</v>
      </c>
      <c r="F24" s="88">
        <v>394.19776913007843</v>
      </c>
      <c r="G24" s="534"/>
      <c r="H24" s="537"/>
      <c r="I24" s="154">
        <f t="shared" si="6"/>
        <v>0.89104378193959866</v>
      </c>
      <c r="J24" s="535"/>
      <c r="K24" s="538"/>
      <c r="L24" s="162">
        <v>2.0159220076927187E-3</v>
      </c>
      <c r="M24" s="536"/>
      <c r="N24" s="536"/>
      <c r="O24" s="84">
        <v>4.3119630058747593E-3</v>
      </c>
      <c r="P24" s="538"/>
      <c r="Q24" s="536"/>
      <c r="R24" s="154">
        <v>0.9</v>
      </c>
      <c r="S24" s="535"/>
      <c r="T24" s="538"/>
      <c r="U24" s="154">
        <f t="shared" si="19"/>
        <v>0.30769230769230771</v>
      </c>
      <c r="V24" s="526"/>
      <c r="W24" s="538"/>
    </row>
    <row r="25" spans="2:23">
      <c r="B25" s="514"/>
      <c r="C25" s="529"/>
      <c r="D25" s="80">
        <f t="shared" si="5"/>
        <v>46132</v>
      </c>
      <c r="E25" s="494" t="s">
        <v>117</v>
      </c>
      <c r="F25" s="88">
        <v>394.41648545773228</v>
      </c>
      <c r="G25" s="534"/>
      <c r="H25" s="537"/>
      <c r="I25" s="154">
        <f>F25/$C$1</f>
        <v>0.89153816785201701</v>
      </c>
      <c r="J25" s="535"/>
      <c r="K25" s="538"/>
      <c r="L25" s="162">
        <v>2.0120982904286424E-3</v>
      </c>
      <c r="M25" s="536"/>
      <c r="N25" s="536"/>
      <c r="O25" s="84">
        <v>4.3229040825426314E-3</v>
      </c>
      <c r="P25" s="538"/>
      <c r="Q25" s="536"/>
      <c r="R25" s="154">
        <v>0.9</v>
      </c>
      <c r="S25" s="535"/>
      <c r="T25" s="538"/>
      <c r="U25" s="154">
        <f t="shared" si="19"/>
        <v>0.30769230769230771</v>
      </c>
      <c r="V25" s="526"/>
      <c r="W25" s="538"/>
    </row>
    <row r="26" spans="2:23">
      <c r="B26" s="514">
        <f t="shared" ref="B26" si="20">B19+7</f>
        <v>46141</v>
      </c>
      <c r="C26" s="529"/>
      <c r="D26" s="80">
        <f t="shared" si="5"/>
        <v>46133</v>
      </c>
      <c r="E26" s="494" t="s">
        <v>118</v>
      </c>
      <c r="G26" s="534" t="e">
        <f t="shared" ref="G26" si="21">AVERAGE(F26:F32)</f>
        <v>#DIV/0!</v>
      </c>
      <c r="H26" s="537"/>
      <c r="J26" s="535" t="e">
        <f t="shared" ref="J26" si="22">AVERAGE(I26:I32)</f>
        <v>#DIV/0!</v>
      </c>
      <c r="K26" s="538"/>
      <c r="L26" s="162"/>
      <c r="M26" s="536" t="e">
        <f>AVERAGE(L26:L32)</f>
        <v>#DIV/0!</v>
      </c>
      <c r="N26" s="536"/>
      <c r="O26" s="84"/>
      <c r="P26" s="538" t="e">
        <f t="shared" ref="P26" si="23">AVERAGE(O26:O32)</f>
        <v>#DIV/0!</v>
      </c>
      <c r="Q26" s="536"/>
      <c r="S26" s="535" t="e">
        <f t="shared" ref="S26" si="24">AVERAGE(R26:R32)</f>
        <v>#DIV/0!</v>
      </c>
      <c r="T26" s="538"/>
      <c r="V26" s="526" t="e">
        <f t="shared" ref="V26" si="25">AVERAGE(U26:U32)</f>
        <v>#DIV/0!</v>
      </c>
      <c r="W26" s="538"/>
    </row>
    <row r="27" spans="2:23">
      <c r="B27" s="514"/>
      <c r="C27" s="529"/>
      <c r="D27" s="80">
        <f t="shared" si="5"/>
        <v>46134</v>
      </c>
      <c r="E27" s="494" t="s">
        <v>112</v>
      </c>
      <c r="G27" s="534"/>
      <c r="H27" s="537"/>
      <c r="J27" s="535"/>
      <c r="K27" s="538"/>
      <c r="L27" s="162"/>
      <c r="M27" s="536"/>
      <c r="N27" s="536"/>
      <c r="O27" s="84"/>
      <c r="P27" s="538"/>
      <c r="Q27" s="536"/>
      <c r="S27" s="535"/>
      <c r="T27" s="538"/>
      <c r="V27" s="526"/>
      <c r="W27" s="538"/>
    </row>
    <row r="28" spans="2:23">
      <c r="B28" s="514"/>
      <c r="C28" s="529"/>
      <c r="D28" s="80">
        <f t="shared" si="5"/>
        <v>46135</v>
      </c>
      <c r="E28" s="494" t="s">
        <v>113</v>
      </c>
      <c r="G28" s="534"/>
      <c r="H28" s="537"/>
      <c r="J28" s="535"/>
      <c r="K28" s="538"/>
      <c r="L28" s="162"/>
      <c r="M28" s="536"/>
      <c r="N28" s="536"/>
      <c r="O28" s="84"/>
      <c r="P28" s="538"/>
      <c r="Q28" s="536"/>
      <c r="S28" s="535"/>
      <c r="T28" s="538"/>
      <c r="V28" s="526"/>
      <c r="W28" s="538"/>
    </row>
    <row r="29" spans="2:23">
      <c r="B29" s="514"/>
      <c r="C29" s="529"/>
      <c r="D29" s="80">
        <f t="shared" si="5"/>
        <v>46136</v>
      </c>
      <c r="E29" s="494" t="s">
        <v>114</v>
      </c>
      <c r="G29" s="534"/>
      <c r="H29" s="537"/>
      <c r="J29" s="535"/>
      <c r="K29" s="538"/>
      <c r="L29" s="162"/>
      <c r="M29" s="536"/>
      <c r="N29" s="536"/>
      <c r="O29" s="84"/>
      <c r="P29" s="538"/>
      <c r="Q29" s="536"/>
      <c r="S29" s="535"/>
      <c r="T29" s="538"/>
      <c r="V29" s="526"/>
      <c r="W29" s="538"/>
    </row>
    <row r="30" spans="2:23">
      <c r="B30" s="514"/>
      <c r="C30" s="529"/>
      <c r="D30" s="80">
        <f t="shared" si="5"/>
        <v>46137</v>
      </c>
      <c r="E30" s="494" t="s">
        <v>115</v>
      </c>
      <c r="G30" s="534"/>
      <c r="H30" s="537"/>
      <c r="J30" s="535"/>
      <c r="K30" s="538"/>
      <c r="L30" s="162"/>
      <c r="M30" s="536"/>
      <c r="N30" s="536"/>
      <c r="O30" s="84"/>
      <c r="P30" s="538"/>
      <c r="Q30" s="536"/>
      <c r="S30" s="535"/>
      <c r="T30" s="538"/>
      <c r="V30" s="526"/>
      <c r="W30" s="538"/>
    </row>
    <row r="31" spans="2:23">
      <c r="B31" s="514"/>
      <c r="C31" s="529"/>
      <c r="D31" s="80">
        <f t="shared" si="5"/>
        <v>46138</v>
      </c>
      <c r="E31" s="494" t="s">
        <v>116</v>
      </c>
      <c r="G31" s="534"/>
      <c r="H31" s="537"/>
      <c r="J31" s="535"/>
      <c r="K31" s="538"/>
      <c r="L31" s="162"/>
      <c r="M31" s="536"/>
      <c r="N31" s="536"/>
      <c r="O31" s="84"/>
      <c r="P31" s="538"/>
      <c r="Q31" s="536"/>
      <c r="S31" s="535"/>
      <c r="T31" s="538"/>
      <c r="V31" s="526"/>
      <c r="W31" s="538"/>
    </row>
    <row r="32" spans="2:23">
      <c r="B32" s="514"/>
      <c r="C32" s="529"/>
      <c r="D32" s="80">
        <f t="shared" si="5"/>
        <v>46139</v>
      </c>
      <c r="E32" s="494" t="s">
        <v>117</v>
      </c>
      <c r="G32" s="534"/>
      <c r="H32" s="537"/>
      <c r="J32" s="535"/>
      <c r="K32" s="538"/>
      <c r="L32" s="162"/>
      <c r="M32" s="536"/>
      <c r="N32" s="536"/>
      <c r="O32" s="84"/>
      <c r="P32" s="538"/>
      <c r="Q32" s="536"/>
      <c r="S32" s="535"/>
      <c r="T32" s="538"/>
      <c r="V32" s="526"/>
      <c r="W32" s="538"/>
    </row>
    <row r="33" spans="2:23">
      <c r="B33" s="514">
        <f t="shared" ref="B33" si="26">B26+7</f>
        <v>46148</v>
      </c>
      <c r="C33" s="529"/>
      <c r="D33" s="80">
        <f t="shared" si="5"/>
        <v>46140</v>
      </c>
      <c r="E33" s="494" t="s">
        <v>118</v>
      </c>
      <c r="G33" s="534" t="e">
        <f t="shared" ref="G33" si="27">AVERAGE(F33:F39)</f>
        <v>#DIV/0!</v>
      </c>
      <c r="H33" s="537"/>
      <c r="J33" s="535" t="e">
        <f t="shared" ref="J33" si="28">AVERAGE(I33:I39)</f>
        <v>#DIV/0!</v>
      </c>
      <c r="K33" s="538"/>
      <c r="L33" s="162"/>
      <c r="M33" s="536" t="e">
        <f>AVERAGE(L33:L39)</f>
        <v>#DIV/0!</v>
      </c>
      <c r="N33" s="536"/>
      <c r="O33" s="84"/>
      <c r="P33" s="538" t="e">
        <f t="shared" ref="P33" si="29">AVERAGE(O33:O39)</f>
        <v>#DIV/0!</v>
      </c>
      <c r="Q33" s="536"/>
      <c r="S33" s="535" t="e">
        <f t="shared" ref="S33" si="30">AVERAGE(R33:R39)</f>
        <v>#DIV/0!</v>
      </c>
      <c r="T33" s="538"/>
      <c r="V33" s="526" t="e">
        <f t="shared" ref="V33" si="31">AVERAGE(U33:U39)</f>
        <v>#DIV/0!</v>
      </c>
      <c r="W33" s="538"/>
    </row>
    <row r="34" spans="2:23">
      <c r="B34" s="514"/>
      <c r="C34" s="529"/>
      <c r="D34" s="80">
        <f t="shared" si="5"/>
        <v>46141</v>
      </c>
      <c r="E34" s="494" t="s">
        <v>112</v>
      </c>
      <c r="G34" s="534"/>
      <c r="H34" s="537"/>
      <c r="J34" s="535"/>
      <c r="K34" s="538"/>
      <c r="L34" s="162"/>
      <c r="M34" s="536"/>
      <c r="N34" s="536"/>
      <c r="O34" s="84"/>
      <c r="P34" s="538"/>
      <c r="Q34" s="536"/>
      <c r="S34" s="535"/>
      <c r="T34" s="538"/>
      <c r="V34" s="526"/>
      <c r="W34" s="538"/>
    </row>
    <row r="35" spans="2:23">
      <c r="B35" s="514"/>
      <c r="C35" s="529"/>
      <c r="D35" s="80">
        <f t="shared" ref="D35:D39" si="32">D34+1</f>
        <v>46142</v>
      </c>
      <c r="E35" s="494" t="s">
        <v>113</v>
      </c>
      <c r="G35" s="534"/>
      <c r="H35" s="537"/>
      <c r="J35" s="535"/>
      <c r="K35" s="538"/>
      <c r="L35" s="162"/>
      <c r="M35" s="536"/>
      <c r="N35" s="536"/>
      <c r="O35" s="84"/>
      <c r="P35" s="538"/>
      <c r="Q35" s="536"/>
      <c r="S35" s="535"/>
      <c r="T35" s="538"/>
      <c r="V35" s="526"/>
      <c r="W35" s="538"/>
    </row>
    <row r="36" spans="2:23">
      <c r="B36" s="514"/>
      <c r="C36" s="73"/>
      <c r="D36" s="80">
        <f t="shared" si="32"/>
        <v>46143</v>
      </c>
      <c r="E36" s="494" t="s">
        <v>114</v>
      </c>
      <c r="G36" s="534"/>
      <c r="H36" s="87"/>
      <c r="J36" s="535"/>
      <c r="K36" s="84"/>
      <c r="L36" s="162"/>
      <c r="M36" s="536"/>
      <c r="N36" s="162"/>
      <c r="O36" s="84"/>
      <c r="P36" s="538"/>
      <c r="Q36" s="162"/>
      <c r="S36" s="535"/>
      <c r="T36" s="84"/>
      <c r="V36" s="526"/>
      <c r="W36" s="84"/>
    </row>
    <row r="37" spans="2:23">
      <c r="B37" s="514"/>
      <c r="C37" s="73"/>
      <c r="D37" s="80">
        <f t="shared" si="32"/>
        <v>46144</v>
      </c>
      <c r="E37" s="494" t="s">
        <v>115</v>
      </c>
      <c r="G37" s="534"/>
      <c r="J37" s="535"/>
      <c r="L37" s="162"/>
      <c r="M37" s="536"/>
      <c r="O37" s="84"/>
      <c r="P37" s="538"/>
      <c r="S37" s="535"/>
      <c r="V37" s="526"/>
    </row>
    <row r="38" spans="2:23">
      <c r="B38" s="514"/>
      <c r="C38" s="73"/>
      <c r="D38" s="80">
        <f t="shared" si="32"/>
        <v>46145</v>
      </c>
      <c r="E38" s="494" t="s">
        <v>116</v>
      </c>
      <c r="G38" s="534"/>
      <c r="J38" s="535"/>
      <c r="L38" s="162"/>
      <c r="M38" s="536"/>
      <c r="O38" s="84"/>
      <c r="P38" s="538"/>
      <c r="S38" s="535"/>
      <c r="V38" s="526"/>
    </row>
    <row r="39" spans="2:23">
      <c r="B39" s="514"/>
      <c r="C39" s="73"/>
      <c r="D39" s="80">
        <f t="shared" si="32"/>
        <v>46146</v>
      </c>
      <c r="E39" s="494" t="s">
        <v>117</v>
      </c>
      <c r="G39" s="534"/>
      <c r="J39" s="535"/>
      <c r="L39" s="162"/>
      <c r="M39" s="536"/>
      <c r="O39" s="84"/>
      <c r="P39" s="538"/>
      <c r="S39" s="535"/>
      <c r="V39" s="526"/>
    </row>
  </sheetData>
  <mergeCells count="52">
    <mergeCell ref="H6:H35"/>
    <mergeCell ref="K6:K35"/>
    <mergeCell ref="P26:P32"/>
    <mergeCell ref="S26:S32"/>
    <mergeCell ref="V26:V32"/>
    <mergeCell ref="S33:S39"/>
    <mergeCell ref="V33:V39"/>
    <mergeCell ref="S12:S18"/>
    <mergeCell ref="V12:V18"/>
    <mergeCell ref="S19:S25"/>
    <mergeCell ref="V19:V25"/>
    <mergeCell ref="B33:B39"/>
    <mergeCell ref="G33:G39"/>
    <mergeCell ref="J33:J39"/>
    <mergeCell ref="M33:M39"/>
    <mergeCell ref="P33:P39"/>
    <mergeCell ref="C6:C35"/>
    <mergeCell ref="B26:B32"/>
    <mergeCell ref="G26:G32"/>
    <mergeCell ref="J26:J32"/>
    <mergeCell ref="M26:M32"/>
    <mergeCell ref="P12:P18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U3:W3"/>
    <mergeCell ref="B5:B11"/>
    <mergeCell ref="G5:G11"/>
    <mergeCell ref="J5:J11"/>
    <mergeCell ref="M5:M11"/>
    <mergeCell ref="P5:P11"/>
    <mergeCell ref="S5:S11"/>
    <mergeCell ref="V5:V11"/>
    <mergeCell ref="N6:N35"/>
    <mergeCell ref="Q6:Q35"/>
    <mergeCell ref="T6:T35"/>
    <mergeCell ref="W6:W35"/>
    <mergeCell ref="B2:U2"/>
    <mergeCell ref="F3:H3"/>
    <mergeCell ref="L3:N3"/>
    <mergeCell ref="R3:T3"/>
    <mergeCell ref="B3:B4"/>
    <mergeCell ref="C3:C4"/>
    <mergeCell ref="D3:E4"/>
    <mergeCell ref="I3:K3"/>
    <mergeCell ref="O3:Q3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topLeftCell="A3" zoomScale="85" zoomScaleNormal="85" workbookViewId="0">
      <selection activeCell="G21" sqref="G21:G2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0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18" t="s">
        <v>322</v>
      </c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</row>
    <row r="3" spans="1:40" ht="25.35" customHeight="1">
      <c r="B3" s="541" t="s">
        <v>151</v>
      </c>
      <c r="C3" s="542" t="s">
        <v>144</v>
      </c>
      <c r="D3" s="543" t="s">
        <v>105</v>
      </c>
      <c r="E3" s="543"/>
      <c r="F3" s="545" t="s">
        <v>135</v>
      </c>
      <c r="G3" s="545"/>
      <c r="H3" s="545"/>
      <c r="I3" s="546" t="s">
        <v>109</v>
      </c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</row>
    <row r="4" spans="1:40" ht="25.35" customHeight="1">
      <c r="B4" s="541"/>
      <c r="C4" s="542"/>
      <c r="D4" s="543"/>
      <c r="E4" s="543"/>
      <c r="F4" s="545"/>
      <c r="G4" s="545"/>
      <c r="H4" s="545"/>
      <c r="I4" s="539" t="s">
        <v>145</v>
      </c>
      <c r="J4" s="539"/>
      <c r="K4" s="539"/>
      <c r="L4" s="539"/>
      <c r="M4" s="539"/>
      <c r="N4" s="539"/>
      <c r="O4" s="539" t="s">
        <v>146</v>
      </c>
      <c r="P4" s="539"/>
      <c r="Q4" s="539"/>
      <c r="R4" s="539"/>
      <c r="S4" s="539"/>
      <c r="T4" s="539"/>
      <c r="U4" s="539" t="s">
        <v>147</v>
      </c>
      <c r="V4" s="539"/>
      <c r="W4" s="539" t="s">
        <v>148</v>
      </c>
      <c r="X4" s="539"/>
      <c r="Y4" s="539" t="s">
        <v>139</v>
      </c>
      <c r="Z4" s="539"/>
      <c r="AA4" s="539"/>
      <c r="AB4" s="539"/>
      <c r="AC4" s="539"/>
      <c r="AD4" s="539"/>
      <c r="AE4" s="539" t="s">
        <v>137</v>
      </c>
      <c r="AF4" s="539"/>
      <c r="AG4" s="539" t="s">
        <v>149</v>
      </c>
      <c r="AH4" s="539"/>
      <c r="AI4" s="539" t="s">
        <v>150</v>
      </c>
      <c r="AJ4" s="539"/>
      <c r="AK4" s="539" t="s">
        <v>143</v>
      </c>
      <c r="AL4" s="539"/>
    </row>
    <row r="5" spans="1:40" ht="25.35" customHeight="1">
      <c r="B5" s="541"/>
      <c r="C5" s="542"/>
      <c r="D5" s="543"/>
      <c r="E5" s="543"/>
      <c r="F5" s="548" t="s">
        <v>116</v>
      </c>
      <c r="G5" s="540" t="s">
        <v>120</v>
      </c>
      <c r="H5" s="540" t="s">
        <v>121</v>
      </c>
      <c r="I5" s="539" t="s">
        <v>133</v>
      </c>
      <c r="J5" s="539"/>
      <c r="K5" s="539" t="s">
        <v>134</v>
      </c>
      <c r="L5" s="539"/>
      <c r="M5" s="547" t="s">
        <v>152</v>
      </c>
      <c r="N5" s="539"/>
      <c r="O5" s="539" t="s">
        <v>133</v>
      </c>
      <c r="P5" s="539"/>
      <c r="Q5" s="539" t="s">
        <v>134</v>
      </c>
      <c r="R5" s="539"/>
      <c r="S5" s="547" t="s">
        <v>152</v>
      </c>
      <c r="T5" s="539"/>
      <c r="U5" s="539" t="s">
        <v>133</v>
      </c>
      <c r="V5" s="539"/>
      <c r="W5" s="539" t="s">
        <v>133</v>
      </c>
      <c r="X5" s="539"/>
      <c r="Y5" s="539" t="s">
        <v>133</v>
      </c>
      <c r="Z5" s="539"/>
      <c r="AA5" s="539" t="s">
        <v>134</v>
      </c>
      <c r="AB5" s="539"/>
      <c r="AC5" s="547" t="s">
        <v>152</v>
      </c>
      <c r="AD5" s="539"/>
      <c r="AE5" s="539" t="s">
        <v>133</v>
      </c>
      <c r="AF5" s="539"/>
      <c r="AG5" s="539" t="s">
        <v>133</v>
      </c>
      <c r="AH5" s="539"/>
      <c r="AI5" s="539" t="s">
        <v>133</v>
      </c>
      <c r="AJ5" s="539"/>
      <c r="AK5" s="539" t="s">
        <v>133</v>
      </c>
      <c r="AL5" s="539"/>
    </row>
    <row r="6" spans="1:40" s="77" customFormat="1" ht="23.45" customHeight="1">
      <c r="B6" s="541"/>
      <c r="C6" s="542"/>
      <c r="D6" s="544"/>
      <c r="E6" s="544"/>
      <c r="F6" s="549"/>
      <c r="G6" s="540"/>
      <c r="H6" s="540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50">
        <v>46120</v>
      </c>
      <c r="D7" s="171">
        <v>46112</v>
      </c>
      <c r="E7" s="171" t="s">
        <v>118</v>
      </c>
      <c r="F7" s="331">
        <f t="shared" ref="F7:F27" si="0">SUM(M7,S7,U7,W7,AC7,AE7,AG7,AI7,AK7)</f>
        <v>5566321.9800000004</v>
      </c>
      <c r="G7" s="553">
        <f t="shared" ref="G7" si="1">SUM(F7:F13)</f>
        <v>30121754.649999999</v>
      </c>
      <c r="H7" s="467"/>
      <c r="I7" s="172">
        <v>752249.45</v>
      </c>
      <c r="J7" s="173">
        <f t="shared" ref="J7:J27" si="2">I7/$F7</f>
        <v>0.13514299975870239</v>
      </c>
      <c r="K7" s="172">
        <v>1129332.2199999997</v>
      </c>
      <c r="L7" s="173">
        <f t="shared" ref="L7:L27" si="3">K7/$F7</f>
        <v>0.20288661418756082</v>
      </c>
      <c r="M7" s="172">
        <f t="shared" ref="M7:M27" si="4">I7+K7</f>
        <v>1881581.6699999997</v>
      </c>
      <c r="N7" s="173">
        <f t="shared" ref="N7" si="5">M7/$F7</f>
        <v>0.33802961394626324</v>
      </c>
      <c r="O7" s="172">
        <v>273203.44</v>
      </c>
      <c r="P7" s="173">
        <f t="shared" ref="P7:P27" si="6">O7/$F7</f>
        <v>4.9081501390259137E-2</v>
      </c>
      <c r="Q7" s="172">
        <v>158294.29</v>
      </c>
      <c r="R7" s="173">
        <f t="shared" ref="R7:R27" si="7">Q7/$F7</f>
        <v>2.8437860865533328E-2</v>
      </c>
      <c r="S7" s="172">
        <f t="shared" ref="S7:S27" si="8">O7+Q7</f>
        <v>431497.73</v>
      </c>
      <c r="T7" s="173">
        <f t="shared" ref="T7" si="9">S7/$F7</f>
        <v>7.7519362255792465E-2</v>
      </c>
      <c r="U7" s="172">
        <v>121140.07</v>
      </c>
      <c r="V7" s="173">
        <f t="shared" ref="V7" si="10">U7/$F7</f>
        <v>2.176303678358182E-2</v>
      </c>
      <c r="W7" s="172">
        <v>55570.200000000004</v>
      </c>
      <c r="X7" s="173">
        <f t="shared" ref="X7:X27" si="11">W7/$F7</f>
        <v>9.9832888215352581E-3</v>
      </c>
      <c r="Y7" s="172">
        <v>210219.31</v>
      </c>
      <c r="Z7" s="173">
        <f t="shared" ref="Z7:Z27" si="12">Y7/$F7</f>
        <v>3.776628638359867E-2</v>
      </c>
      <c r="AA7" s="172">
        <v>691696.28</v>
      </c>
      <c r="AB7" s="173">
        <f t="shared" ref="AB7:AB27" si="13">AA7/$F7</f>
        <v>0.12426451119523632</v>
      </c>
      <c r="AC7" s="172">
        <f t="shared" ref="AC7:AC27" si="14">Y7+AA7</f>
        <v>901915.59000000008</v>
      </c>
      <c r="AD7" s="173">
        <f t="shared" ref="AD7:AD27" si="15">AC7/$F7</f>
        <v>0.16203079757883498</v>
      </c>
      <c r="AE7" s="172">
        <v>2104169.5200000005</v>
      </c>
      <c r="AF7" s="173">
        <f t="shared" ref="AF7:AF27" si="16">AE7/F7</f>
        <v>0.37801793133066303</v>
      </c>
      <c r="AG7" s="172">
        <v>0</v>
      </c>
      <c r="AH7" s="173">
        <f t="shared" ref="AH7:AH27" si="17">AG7/$F7</f>
        <v>0</v>
      </c>
      <c r="AI7" s="172">
        <v>0</v>
      </c>
      <c r="AJ7" s="173">
        <f t="shared" ref="AJ7:AJ27" si="18">AI7/$F7</f>
        <v>0</v>
      </c>
      <c r="AK7" s="172">
        <v>70447.199999999997</v>
      </c>
      <c r="AL7" s="173">
        <f t="shared" ref="AL7:AL27" si="19">AK7/$F7</f>
        <v>1.2655969283329167E-2</v>
      </c>
      <c r="AN7" s="72"/>
    </row>
    <row r="8" spans="1:40" s="73" customFormat="1" ht="14.25" customHeight="1">
      <c r="B8" s="551"/>
      <c r="C8" s="554" t="s">
        <v>113</v>
      </c>
      <c r="D8" s="171">
        <v>46113</v>
      </c>
      <c r="E8" s="171" t="s">
        <v>112</v>
      </c>
      <c r="F8" s="331">
        <f t="shared" si="0"/>
        <v>4658389.7299999995</v>
      </c>
      <c r="G8" s="553"/>
      <c r="H8" s="556">
        <f>SUM(F8:F37)</f>
        <v>102658133.26000001</v>
      </c>
      <c r="I8" s="172">
        <v>719533.40999999992</v>
      </c>
      <c r="J8" s="173">
        <f t="shared" si="2"/>
        <v>0.15445968493494855</v>
      </c>
      <c r="K8" s="172">
        <v>970987.48000000021</v>
      </c>
      <c r="L8" s="173">
        <f t="shared" si="3"/>
        <v>0.20843843823260366</v>
      </c>
      <c r="M8" s="172">
        <f t="shared" si="4"/>
        <v>1690520.8900000001</v>
      </c>
      <c r="N8" s="173">
        <f t="shared" ref="N8" si="20">M8/F8</f>
        <v>0.36289812316755221</v>
      </c>
      <c r="O8" s="172">
        <v>261602.18</v>
      </c>
      <c r="P8" s="173">
        <f t="shared" si="6"/>
        <v>5.6157212075941966E-2</v>
      </c>
      <c r="Q8" s="172">
        <v>149817.69</v>
      </c>
      <c r="R8" s="173">
        <f t="shared" si="7"/>
        <v>3.2160832107965345E-2</v>
      </c>
      <c r="S8" s="172">
        <f t="shared" si="8"/>
        <v>411419.87</v>
      </c>
      <c r="T8" s="173">
        <f t="shared" ref="T8" si="21">S8/F8</f>
        <v>8.8318044183907304E-2</v>
      </c>
      <c r="U8" s="172">
        <v>107039.31999999999</v>
      </c>
      <c r="V8" s="173">
        <f t="shared" ref="V8" si="22">U8/F8</f>
        <v>2.2977751155225906E-2</v>
      </c>
      <c r="W8" s="172">
        <v>53783.390000000007</v>
      </c>
      <c r="X8" s="173">
        <f t="shared" si="11"/>
        <v>1.1545489561260907E-2</v>
      </c>
      <c r="Y8" s="172">
        <v>181153.07</v>
      </c>
      <c r="Z8" s="173">
        <f t="shared" si="12"/>
        <v>3.8887486985765794E-2</v>
      </c>
      <c r="AA8" s="172">
        <v>510626.15999999992</v>
      </c>
      <c r="AB8" s="173">
        <f t="shared" si="13"/>
        <v>0.10961430657284228</v>
      </c>
      <c r="AC8" s="172">
        <f t="shared" si="14"/>
        <v>691779.23</v>
      </c>
      <c r="AD8" s="173">
        <f t="shared" si="15"/>
        <v>0.1485017935586081</v>
      </c>
      <c r="AE8" s="172">
        <v>1631567.73</v>
      </c>
      <c r="AF8" s="173">
        <f t="shared" si="16"/>
        <v>0.35024285741759958</v>
      </c>
      <c r="AG8" s="172">
        <v>0</v>
      </c>
      <c r="AH8" s="173">
        <f t="shared" si="17"/>
        <v>0</v>
      </c>
      <c r="AI8" s="172">
        <v>0</v>
      </c>
      <c r="AJ8" s="173">
        <f t="shared" si="18"/>
        <v>0</v>
      </c>
      <c r="AK8" s="172">
        <v>72279.3</v>
      </c>
      <c r="AL8" s="173">
        <f t="shared" si="19"/>
        <v>1.5515940955846134E-2</v>
      </c>
      <c r="AN8" s="72"/>
    </row>
    <row r="9" spans="1:40" s="73" customFormat="1" ht="14.25" customHeight="1">
      <c r="B9" s="551"/>
      <c r="C9" s="555"/>
      <c r="D9" s="171">
        <v>46114</v>
      </c>
      <c r="E9" s="171" t="s">
        <v>113</v>
      </c>
      <c r="F9" s="331">
        <f t="shared" si="0"/>
        <v>3718970.84</v>
      </c>
      <c r="G9" s="553"/>
      <c r="H9" s="557"/>
      <c r="I9" s="172">
        <v>518858.25</v>
      </c>
      <c r="J9" s="173">
        <f t="shared" si="2"/>
        <v>0.13951662229220382</v>
      </c>
      <c r="K9" s="172">
        <v>839779.05999999994</v>
      </c>
      <c r="L9" s="173">
        <f t="shared" si="3"/>
        <v>0.22580953068188078</v>
      </c>
      <c r="M9" s="172">
        <f t="shared" si="4"/>
        <v>1358637.31</v>
      </c>
      <c r="N9" s="173">
        <f t="shared" ref="N9" si="23">M9/$F9</f>
        <v>0.36532615297408466</v>
      </c>
      <c r="O9" s="172">
        <v>182456.07</v>
      </c>
      <c r="P9" s="173">
        <f t="shared" si="6"/>
        <v>4.9060903634296854E-2</v>
      </c>
      <c r="Q9" s="172">
        <v>128612.81</v>
      </c>
      <c r="R9" s="173">
        <f t="shared" si="7"/>
        <v>3.4582903586305079E-2</v>
      </c>
      <c r="S9" s="172">
        <f t="shared" si="8"/>
        <v>311068.88</v>
      </c>
      <c r="T9" s="173">
        <f t="shared" ref="T9" si="24">S9/$F9</f>
        <v>8.3643807220601926E-2</v>
      </c>
      <c r="U9" s="172">
        <v>100483.61</v>
      </c>
      <c r="V9" s="173">
        <f t="shared" ref="V9" si="25">U9/$F9</f>
        <v>2.7019198139235749E-2</v>
      </c>
      <c r="W9" s="172">
        <v>56261.58</v>
      </c>
      <c r="X9" s="173">
        <f t="shared" si="11"/>
        <v>1.5128265969409969E-2</v>
      </c>
      <c r="Y9" s="172">
        <v>162305.43000000002</v>
      </c>
      <c r="Z9" s="173">
        <f t="shared" si="12"/>
        <v>4.3642565909443924E-2</v>
      </c>
      <c r="AA9" s="172">
        <v>451157.26</v>
      </c>
      <c r="AB9" s="173">
        <f t="shared" si="13"/>
        <v>0.12131239512488354</v>
      </c>
      <c r="AC9" s="172">
        <f t="shared" si="14"/>
        <v>613462.69000000006</v>
      </c>
      <c r="AD9" s="173">
        <f t="shared" si="15"/>
        <v>0.16495496103432747</v>
      </c>
      <c r="AE9" s="172">
        <v>1213869.47</v>
      </c>
      <c r="AF9" s="173">
        <f t="shared" si="16"/>
        <v>0.3263992976078296</v>
      </c>
      <c r="AG9" s="172">
        <v>0</v>
      </c>
      <c r="AH9" s="173">
        <f t="shared" si="17"/>
        <v>0</v>
      </c>
      <c r="AI9" s="172">
        <v>0</v>
      </c>
      <c r="AJ9" s="173">
        <f t="shared" si="18"/>
        <v>0</v>
      </c>
      <c r="AK9" s="172">
        <v>65187.299999999996</v>
      </c>
      <c r="AL9" s="173">
        <f t="shared" si="19"/>
        <v>1.7528317054510703E-2</v>
      </c>
      <c r="AN9" s="72"/>
    </row>
    <row r="10" spans="1:40" s="73" customFormat="1" ht="14.25" customHeight="1">
      <c r="B10" s="551"/>
      <c r="C10" s="555"/>
      <c r="D10" s="171">
        <v>46115</v>
      </c>
      <c r="E10" s="171" t="s">
        <v>114</v>
      </c>
      <c r="F10" s="331">
        <f t="shared" si="0"/>
        <v>3549995.84</v>
      </c>
      <c r="G10" s="553"/>
      <c r="H10" s="557"/>
      <c r="I10" s="172">
        <v>491564.32</v>
      </c>
      <c r="J10" s="173">
        <f t="shared" si="2"/>
        <v>0.13846898479745826</v>
      </c>
      <c r="K10" s="172">
        <v>782541.5900000002</v>
      </c>
      <c r="L10" s="173">
        <f t="shared" si="3"/>
        <v>0.22043450901621345</v>
      </c>
      <c r="M10" s="172">
        <f t="shared" si="4"/>
        <v>1274105.9100000001</v>
      </c>
      <c r="N10" s="173">
        <f t="shared" ref="N10" si="26">M10/F10</f>
        <v>0.3589034938136717</v>
      </c>
      <c r="O10" s="172">
        <v>173037.11000000004</v>
      </c>
      <c r="P10" s="173">
        <f t="shared" si="6"/>
        <v>4.8742905005770387E-2</v>
      </c>
      <c r="Q10" s="172">
        <v>126119.12000000001</v>
      </c>
      <c r="R10" s="173">
        <f t="shared" si="7"/>
        <v>3.5526554307173504E-2</v>
      </c>
      <c r="S10" s="172">
        <f t="shared" si="8"/>
        <v>299156.23000000004</v>
      </c>
      <c r="T10" s="173">
        <f t="shared" ref="T10" si="27">S10/F10</f>
        <v>8.4269459312943884E-2</v>
      </c>
      <c r="U10" s="172">
        <v>90274.5</v>
      </c>
      <c r="V10" s="173">
        <f t="shared" ref="V10" si="28">U10/F10</f>
        <v>2.5429466418755015E-2</v>
      </c>
      <c r="W10" s="172">
        <v>51525.3</v>
      </c>
      <c r="X10" s="173">
        <f t="shared" si="11"/>
        <v>1.4514186022257425E-2</v>
      </c>
      <c r="Y10" s="172">
        <v>165257.47</v>
      </c>
      <c r="Z10" s="173">
        <f t="shared" si="12"/>
        <v>4.6551454550436883E-2</v>
      </c>
      <c r="AA10" s="172">
        <v>533278.96</v>
      </c>
      <c r="AB10" s="173">
        <f t="shared" si="13"/>
        <v>0.15021960138409626</v>
      </c>
      <c r="AC10" s="172">
        <f t="shared" si="14"/>
        <v>698536.42999999993</v>
      </c>
      <c r="AD10" s="173">
        <f t="shared" si="15"/>
        <v>0.19677105593453315</v>
      </c>
      <c r="AE10" s="172">
        <v>1069673.5699999998</v>
      </c>
      <c r="AF10" s="173">
        <f t="shared" si="16"/>
        <v>0.30131685168397265</v>
      </c>
      <c r="AG10" s="172">
        <v>0</v>
      </c>
      <c r="AH10" s="173">
        <f t="shared" si="17"/>
        <v>0</v>
      </c>
      <c r="AI10" s="172">
        <v>0</v>
      </c>
      <c r="AJ10" s="173">
        <f t="shared" si="18"/>
        <v>0</v>
      </c>
      <c r="AK10" s="172">
        <v>66723.899999999994</v>
      </c>
      <c r="AL10" s="173">
        <f t="shared" si="19"/>
        <v>1.8795486813866238E-2</v>
      </c>
      <c r="AN10" s="72"/>
    </row>
    <row r="11" spans="1:40" s="73" customFormat="1" ht="14.25" customHeight="1">
      <c r="B11" s="551"/>
      <c r="C11" s="555"/>
      <c r="D11" s="171">
        <v>46116</v>
      </c>
      <c r="E11" s="171" t="s">
        <v>115</v>
      </c>
      <c r="F11" s="331">
        <f t="shared" si="0"/>
        <v>3467991.8799999994</v>
      </c>
      <c r="G11" s="553"/>
      <c r="H11" s="557"/>
      <c r="I11" s="172">
        <v>462930.57</v>
      </c>
      <c r="J11" s="173">
        <f t="shared" si="2"/>
        <v>0.13348663607597608</v>
      </c>
      <c r="K11" s="172">
        <v>745948.21000000008</v>
      </c>
      <c r="L11" s="173">
        <f t="shared" si="3"/>
        <v>0.21509514318701353</v>
      </c>
      <c r="M11" s="172">
        <f t="shared" si="4"/>
        <v>1208878.78</v>
      </c>
      <c r="N11" s="173">
        <f t="shared" ref="N11" si="29">M11/$F11</f>
        <v>0.34858177926298956</v>
      </c>
      <c r="O11" s="172">
        <v>165347.72999999998</v>
      </c>
      <c r="P11" s="173">
        <f t="shared" si="6"/>
        <v>4.7678234471529385E-2</v>
      </c>
      <c r="Q11" s="172">
        <v>120162.98000000001</v>
      </c>
      <c r="R11" s="173">
        <f t="shared" si="7"/>
        <v>3.4649152638731098E-2</v>
      </c>
      <c r="S11" s="172">
        <f t="shared" si="8"/>
        <v>285510.70999999996</v>
      </c>
      <c r="T11" s="173">
        <f t="shared" ref="T11" si="30">S11/$F11</f>
        <v>8.2327387110260483E-2</v>
      </c>
      <c r="U11" s="172">
        <v>88877.66</v>
      </c>
      <c r="V11" s="173">
        <f t="shared" ref="V11" si="31">U11/$F11</f>
        <v>2.562798964800345E-2</v>
      </c>
      <c r="W11" s="172">
        <v>54072.54</v>
      </c>
      <c r="X11" s="173">
        <f t="shared" si="11"/>
        <v>1.559188771803007E-2</v>
      </c>
      <c r="Y11" s="172">
        <v>179279.66</v>
      </c>
      <c r="Z11" s="173">
        <f t="shared" si="12"/>
        <v>5.1695524731159417E-2</v>
      </c>
      <c r="AA11" s="172">
        <v>516766.38999999996</v>
      </c>
      <c r="AB11" s="173">
        <f t="shared" si="13"/>
        <v>0.14901026527201675</v>
      </c>
      <c r="AC11" s="172">
        <f t="shared" si="14"/>
        <v>696046.04999999993</v>
      </c>
      <c r="AD11" s="173">
        <f t="shared" si="15"/>
        <v>0.20070579000317615</v>
      </c>
      <c r="AE11" s="172">
        <v>1077988.3399999999</v>
      </c>
      <c r="AF11" s="173">
        <f t="shared" si="16"/>
        <v>0.31083934948544345</v>
      </c>
      <c r="AG11" s="172">
        <v>0</v>
      </c>
      <c r="AH11" s="173">
        <f t="shared" si="17"/>
        <v>0</v>
      </c>
      <c r="AI11" s="172">
        <v>0</v>
      </c>
      <c r="AJ11" s="173">
        <f t="shared" si="18"/>
        <v>0</v>
      </c>
      <c r="AK11" s="172">
        <v>56617.799999999996</v>
      </c>
      <c r="AL11" s="173">
        <f t="shared" si="19"/>
        <v>1.6325816772096942E-2</v>
      </c>
      <c r="AN11" s="72"/>
    </row>
    <row r="12" spans="1:40" s="73" customFormat="1" ht="14.25" customHeight="1">
      <c r="B12" s="551"/>
      <c r="C12" s="555"/>
      <c r="D12" s="171">
        <v>46117</v>
      </c>
      <c r="E12" s="171" t="s">
        <v>116</v>
      </c>
      <c r="F12" s="331">
        <f t="shared" si="0"/>
        <v>3900098.7399999998</v>
      </c>
      <c r="G12" s="553"/>
      <c r="H12" s="557"/>
      <c r="I12" s="172">
        <v>479277.5</v>
      </c>
      <c r="J12" s="173">
        <f t="shared" si="2"/>
        <v>0.12288855538052353</v>
      </c>
      <c r="K12" s="172">
        <v>911676.7300000001</v>
      </c>
      <c r="L12" s="173">
        <f t="shared" si="3"/>
        <v>0.23375734584606958</v>
      </c>
      <c r="M12" s="172">
        <f t="shared" si="4"/>
        <v>1390954.23</v>
      </c>
      <c r="N12" s="173">
        <f t="shared" ref="N12" si="32">M12/F12</f>
        <v>0.35664590122659307</v>
      </c>
      <c r="O12" s="172">
        <v>173959.83</v>
      </c>
      <c r="P12" s="173">
        <f t="shared" si="6"/>
        <v>4.4603955334730834E-2</v>
      </c>
      <c r="Q12" s="172">
        <v>131401.9</v>
      </c>
      <c r="R12" s="173">
        <f t="shared" si="7"/>
        <v>3.3691941860938629E-2</v>
      </c>
      <c r="S12" s="172">
        <f t="shared" si="8"/>
        <v>305361.73</v>
      </c>
      <c r="T12" s="173">
        <f t="shared" ref="T12" si="33">S12/F12</f>
        <v>7.8295897195669456E-2</v>
      </c>
      <c r="U12" s="172">
        <v>89975.67</v>
      </c>
      <c r="V12" s="173">
        <f t="shared" ref="V12" si="34">U12/F12</f>
        <v>2.3070100527762538E-2</v>
      </c>
      <c r="W12" s="172">
        <v>44345.78</v>
      </c>
      <c r="X12" s="173">
        <f t="shared" si="11"/>
        <v>1.137042494467717E-2</v>
      </c>
      <c r="Y12" s="172">
        <v>184161.88</v>
      </c>
      <c r="Z12" s="173">
        <f t="shared" si="12"/>
        <v>4.7219799363336125E-2</v>
      </c>
      <c r="AA12" s="172">
        <v>669396.05999999994</v>
      </c>
      <c r="AB12" s="173">
        <f t="shared" si="13"/>
        <v>0.17163566992152612</v>
      </c>
      <c r="AC12" s="172">
        <f t="shared" si="14"/>
        <v>853557.94</v>
      </c>
      <c r="AD12" s="173">
        <f t="shared" si="15"/>
        <v>0.21885546928486227</v>
      </c>
      <c r="AE12" s="172">
        <v>1167677.79</v>
      </c>
      <c r="AF12" s="173">
        <f t="shared" si="16"/>
        <v>0.29939698142103965</v>
      </c>
      <c r="AG12" s="172">
        <v>0</v>
      </c>
      <c r="AH12" s="173">
        <f t="shared" si="17"/>
        <v>0</v>
      </c>
      <c r="AI12" s="172">
        <v>0</v>
      </c>
      <c r="AJ12" s="173">
        <f t="shared" si="18"/>
        <v>0</v>
      </c>
      <c r="AK12" s="172">
        <v>48225.599999999999</v>
      </c>
      <c r="AL12" s="173">
        <f t="shared" si="19"/>
        <v>1.2365225399395914E-2</v>
      </c>
      <c r="AN12" s="72"/>
    </row>
    <row r="13" spans="1:40" s="73" customFormat="1" ht="14.25" customHeight="1">
      <c r="B13" s="552"/>
      <c r="C13" s="555"/>
      <c r="D13" s="171">
        <v>46118</v>
      </c>
      <c r="E13" s="171" t="s">
        <v>117</v>
      </c>
      <c r="F13" s="331">
        <f t="shared" si="0"/>
        <v>5259985.6399999997</v>
      </c>
      <c r="G13" s="553"/>
      <c r="H13" s="557"/>
      <c r="I13" s="172">
        <v>734783.02</v>
      </c>
      <c r="J13" s="173">
        <f t="shared" si="2"/>
        <v>0.13969297072073378</v>
      </c>
      <c r="K13" s="172">
        <v>1178346.53</v>
      </c>
      <c r="L13" s="173">
        <f t="shared" si="3"/>
        <v>0.22402086443718885</v>
      </c>
      <c r="M13" s="172">
        <f t="shared" si="4"/>
        <v>1913129.55</v>
      </c>
      <c r="N13" s="173">
        <f t="shared" ref="N13:N14" si="35">M13/$F13</f>
        <v>0.3637138351579226</v>
      </c>
      <c r="O13" s="172">
        <v>244577.84999999998</v>
      </c>
      <c r="P13" s="173">
        <f t="shared" si="6"/>
        <v>4.6497817054876975E-2</v>
      </c>
      <c r="Q13" s="172">
        <v>36895.96</v>
      </c>
      <c r="R13" s="173">
        <f t="shared" si="7"/>
        <v>7.0144602143818787E-3</v>
      </c>
      <c r="S13" s="172">
        <f t="shared" si="8"/>
        <v>281473.81</v>
      </c>
      <c r="T13" s="173">
        <f t="shared" ref="T13:T14" si="36">S13/$F13</f>
        <v>5.3512277269258862E-2</v>
      </c>
      <c r="U13" s="172">
        <v>114560.81</v>
      </c>
      <c r="V13" s="173">
        <f t="shared" ref="V13:V14" si="37">U13/$F13</f>
        <v>2.1779681132361419E-2</v>
      </c>
      <c r="W13" s="172">
        <v>54753.820000000007</v>
      </c>
      <c r="X13" s="173">
        <f t="shared" si="11"/>
        <v>1.0409499901220264E-2</v>
      </c>
      <c r="Y13" s="172">
        <v>233835.63</v>
      </c>
      <c r="Z13" s="173">
        <f t="shared" si="12"/>
        <v>4.4455564331160421E-2</v>
      </c>
      <c r="AA13" s="172">
        <v>739447.82000000007</v>
      </c>
      <c r="AB13" s="173">
        <f t="shared" si="13"/>
        <v>0.14057981724832239</v>
      </c>
      <c r="AC13" s="172">
        <f t="shared" si="14"/>
        <v>973283.45000000007</v>
      </c>
      <c r="AD13" s="173">
        <f t="shared" si="15"/>
        <v>0.18503538157948282</v>
      </c>
      <c r="AE13" s="172">
        <v>1855823.8999999997</v>
      </c>
      <c r="AF13" s="173">
        <f t="shared" si="16"/>
        <v>0.35281919514898141</v>
      </c>
      <c r="AG13" s="172">
        <v>0</v>
      </c>
      <c r="AH13" s="173">
        <f t="shared" si="17"/>
        <v>0</v>
      </c>
      <c r="AI13" s="172">
        <v>0</v>
      </c>
      <c r="AJ13" s="173">
        <f t="shared" si="18"/>
        <v>0</v>
      </c>
      <c r="AK13" s="172">
        <v>66960.3</v>
      </c>
      <c r="AL13" s="173">
        <f t="shared" si="19"/>
        <v>1.2730129810772641E-2</v>
      </c>
      <c r="AN13" s="72"/>
    </row>
    <row r="14" spans="1:40" s="73" customFormat="1" ht="14.25" customHeight="1">
      <c r="B14" s="550">
        <f>D15+7</f>
        <v>46127</v>
      </c>
      <c r="C14" s="555"/>
      <c r="D14" s="171">
        <v>46119</v>
      </c>
      <c r="E14" s="171" t="s">
        <v>118</v>
      </c>
      <c r="F14" s="331">
        <f t="shared" si="0"/>
        <v>5422854.080000001</v>
      </c>
      <c r="G14" s="553">
        <f>SUM(F14:F20)</f>
        <v>35260129.75</v>
      </c>
      <c r="H14" s="557"/>
      <c r="I14" s="172">
        <v>726498.72000000009</v>
      </c>
      <c r="J14" s="173">
        <f t="shared" si="2"/>
        <v>0.13396980801666711</v>
      </c>
      <c r="K14" s="172">
        <v>1140764.9500000002</v>
      </c>
      <c r="L14" s="173">
        <f t="shared" si="3"/>
        <v>0.21036246470419503</v>
      </c>
      <c r="M14" s="172">
        <f t="shared" si="4"/>
        <v>1867263.6700000004</v>
      </c>
      <c r="N14" s="173">
        <f t="shared" si="35"/>
        <v>0.34433227272086214</v>
      </c>
      <c r="O14" s="172">
        <v>412715.15</v>
      </c>
      <c r="P14" s="173">
        <f t="shared" si="6"/>
        <v>7.6106630182459181E-2</v>
      </c>
      <c r="Q14" s="172">
        <v>36588.28</v>
      </c>
      <c r="R14" s="173">
        <f t="shared" si="7"/>
        <v>6.7470522828451231E-3</v>
      </c>
      <c r="S14" s="172">
        <f t="shared" si="8"/>
        <v>449303.43000000005</v>
      </c>
      <c r="T14" s="173">
        <f t="shared" si="36"/>
        <v>8.2853682465304321E-2</v>
      </c>
      <c r="U14" s="172">
        <v>107099.04</v>
      </c>
      <c r="V14" s="173">
        <f t="shared" si="37"/>
        <v>1.9749570691011471E-2</v>
      </c>
      <c r="W14" s="172">
        <v>299758.41000000003</v>
      </c>
      <c r="X14" s="173">
        <f t="shared" si="11"/>
        <v>5.5276871842363857E-2</v>
      </c>
      <c r="Y14" s="172">
        <v>221005.61000000002</v>
      </c>
      <c r="Z14" s="173">
        <f t="shared" si="12"/>
        <v>4.075448218588245E-2</v>
      </c>
      <c r="AA14" s="172">
        <v>703046</v>
      </c>
      <c r="AB14" s="173">
        <f t="shared" si="13"/>
        <v>0.12964501526841746</v>
      </c>
      <c r="AC14" s="172">
        <f t="shared" si="14"/>
        <v>924051.61</v>
      </c>
      <c r="AD14" s="173">
        <f t="shared" si="15"/>
        <v>0.17039949745429989</v>
      </c>
      <c r="AE14" s="172">
        <v>1709067.7200000002</v>
      </c>
      <c r="AF14" s="173">
        <f t="shared" si="16"/>
        <v>0.31516018959521769</v>
      </c>
      <c r="AG14" s="172">
        <v>0</v>
      </c>
      <c r="AH14" s="173">
        <f t="shared" si="17"/>
        <v>0</v>
      </c>
      <c r="AI14" s="172">
        <v>0</v>
      </c>
      <c r="AJ14" s="173">
        <f t="shared" si="18"/>
        <v>0</v>
      </c>
      <c r="AK14" s="172">
        <v>66310.2</v>
      </c>
      <c r="AL14" s="173">
        <f t="shared" si="19"/>
        <v>1.2227915230940528E-2</v>
      </c>
      <c r="AN14" s="72"/>
    </row>
    <row r="15" spans="1:40" s="73" customFormat="1" ht="14.25" customHeight="1">
      <c r="B15" s="551"/>
      <c r="C15" s="555"/>
      <c r="D15" s="171">
        <v>46120</v>
      </c>
      <c r="E15" s="171" t="s">
        <v>112</v>
      </c>
      <c r="F15" s="331">
        <f t="shared" si="0"/>
        <v>5000122.24</v>
      </c>
      <c r="G15" s="553"/>
      <c r="H15" s="557"/>
      <c r="I15" s="172">
        <v>715108.15000000014</v>
      </c>
      <c r="J15" s="173">
        <f t="shared" si="2"/>
        <v>0.14301813349267239</v>
      </c>
      <c r="K15" s="172">
        <v>1092771.78</v>
      </c>
      <c r="L15" s="173">
        <f t="shared" si="3"/>
        <v>0.21854901291373227</v>
      </c>
      <c r="M15" s="172">
        <f t="shared" si="4"/>
        <v>1807879.9300000002</v>
      </c>
      <c r="N15" s="173">
        <f t="shared" ref="N15" si="38">M15/F15</f>
        <v>0.36156714640640469</v>
      </c>
      <c r="O15" s="172">
        <v>284132.89</v>
      </c>
      <c r="P15" s="173">
        <f t="shared" si="6"/>
        <v>5.6825188737785741E-2</v>
      </c>
      <c r="Q15" s="172">
        <v>38434.36</v>
      </c>
      <c r="R15" s="173">
        <f t="shared" si="7"/>
        <v>7.6866840759477108E-3</v>
      </c>
      <c r="S15" s="172">
        <f t="shared" si="8"/>
        <v>322567.25</v>
      </c>
      <c r="T15" s="173">
        <f t="shared" ref="T15" si="39">S15/F15</f>
        <v>6.4511872813733454E-2</v>
      </c>
      <c r="U15" s="172">
        <v>102456.79</v>
      </c>
      <c r="V15" s="173">
        <f t="shared" ref="V15" si="40">U15/F15</f>
        <v>2.0490857039527095E-2</v>
      </c>
      <c r="W15" s="172">
        <v>189354.66999999998</v>
      </c>
      <c r="X15" s="173">
        <f t="shared" si="11"/>
        <v>3.7870008154040645E-2</v>
      </c>
      <c r="Y15" s="172">
        <v>245587.02000000002</v>
      </c>
      <c r="Z15" s="173">
        <f t="shared" si="12"/>
        <v>4.9116203207063995E-2</v>
      </c>
      <c r="AA15" s="172">
        <v>667171.61</v>
      </c>
      <c r="AB15" s="173">
        <f t="shared" si="13"/>
        <v>0.1334310598774481</v>
      </c>
      <c r="AC15" s="172">
        <f t="shared" si="14"/>
        <v>912758.63</v>
      </c>
      <c r="AD15" s="173">
        <f t="shared" si="15"/>
        <v>0.18254726308451211</v>
      </c>
      <c r="AE15" s="172">
        <v>1593830.37</v>
      </c>
      <c r="AF15" s="173">
        <f t="shared" si="16"/>
        <v>0.31875828099754616</v>
      </c>
      <c r="AG15" s="172">
        <v>0</v>
      </c>
      <c r="AH15" s="173">
        <f t="shared" si="17"/>
        <v>0</v>
      </c>
      <c r="AI15" s="172">
        <v>0</v>
      </c>
      <c r="AJ15" s="173">
        <f t="shared" si="18"/>
        <v>0</v>
      </c>
      <c r="AK15" s="172">
        <v>71274.599999999991</v>
      </c>
      <c r="AL15" s="173">
        <f t="shared" si="19"/>
        <v>1.4254571504235862E-2</v>
      </c>
      <c r="AN15" s="72"/>
    </row>
    <row r="16" spans="1:40" s="73" customFormat="1" ht="14.25" customHeight="1">
      <c r="B16" s="551"/>
      <c r="C16" s="555"/>
      <c r="D16" s="171">
        <v>46121</v>
      </c>
      <c r="E16" s="171" t="s">
        <v>113</v>
      </c>
      <c r="F16" s="331">
        <f t="shared" si="0"/>
        <v>4626484.24</v>
      </c>
      <c r="G16" s="553"/>
      <c r="H16" s="557"/>
      <c r="I16" s="172">
        <v>707984.22</v>
      </c>
      <c r="J16" s="173">
        <f t="shared" si="2"/>
        <v>0.1530285597600998</v>
      </c>
      <c r="K16" s="172">
        <v>986475.33000000007</v>
      </c>
      <c r="L16" s="173">
        <f t="shared" si="3"/>
        <v>0.21322353623752968</v>
      </c>
      <c r="M16" s="172">
        <f t="shared" si="4"/>
        <v>1694459.55</v>
      </c>
      <c r="N16" s="173">
        <f t="shared" ref="N16" si="41">M16/$F16</f>
        <v>0.36625209599762948</v>
      </c>
      <c r="O16" s="172">
        <v>284757.63</v>
      </c>
      <c r="P16" s="173">
        <f t="shared" si="6"/>
        <v>6.1549465042595709E-2</v>
      </c>
      <c r="Q16" s="172">
        <v>39126.639999999999</v>
      </c>
      <c r="R16" s="173">
        <f t="shared" si="7"/>
        <v>8.4571000289411988E-3</v>
      </c>
      <c r="S16" s="172">
        <f t="shared" si="8"/>
        <v>323884.27</v>
      </c>
      <c r="T16" s="173">
        <f t="shared" ref="T16" si="42">S16/$F16</f>
        <v>7.0006565071536908E-2</v>
      </c>
      <c r="U16" s="172">
        <v>100285.57</v>
      </c>
      <c r="V16" s="173">
        <f t="shared" ref="V16" si="43">U16/$F16</f>
        <v>2.167641016323877E-2</v>
      </c>
      <c r="W16" s="172">
        <v>179198.41999999998</v>
      </c>
      <c r="X16" s="173">
        <f t="shared" si="11"/>
        <v>3.873317419968126E-2</v>
      </c>
      <c r="Y16" s="172">
        <v>208629.75</v>
      </c>
      <c r="Z16" s="173">
        <f t="shared" si="12"/>
        <v>4.5094663501977043E-2</v>
      </c>
      <c r="AA16" s="172">
        <v>570556.21000000008</v>
      </c>
      <c r="AB16" s="173">
        <f t="shared" si="13"/>
        <v>0.12332392814981254</v>
      </c>
      <c r="AC16" s="172">
        <f t="shared" si="14"/>
        <v>779185.96000000008</v>
      </c>
      <c r="AD16" s="173">
        <f t="shared" si="15"/>
        <v>0.16841859165178957</v>
      </c>
      <c r="AE16" s="172">
        <v>1477841.2700000003</v>
      </c>
      <c r="AF16" s="173">
        <f t="shared" si="16"/>
        <v>0.319430736891476</v>
      </c>
      <c r="AG16" s="172">
        <v>0</v>
      </c>
      <c r="AH16" s="173">
        <f t="shared" si="17"/>
        <v>0</v>
      </c>
      <c r="AI16" s="172">
        <v>0</v>
      </c>
      <c r="AJ16" s="173">
        <f t="shared" si="18"/>
        <v>0</v>
      </c>
      <c r="AK16" s="172">
        <v>71629.2</v>
      </c>
      <c r="AL16" s="173">
        <f t="shared" si="19"/>
        <v>1.5482426024648038E-2</v>
      </c>
      <c r="AN16" s="72"/>
    </row>
    <row r="17" spans="1:40" s="73" customFormat="1" ht="14.25" customHeight="1">
      <c r="B17" s="551"/>
      <c r="C17" s="555"/>
      <c r="D17" s="171">
        <v>46122</v>
      </c>
      <c r="E17" s="171" t="s">
        <v>114</v>
      </c>
      <c r="F17" s="331">
        <f t="shared" si="0"/>
        <v>4119112.4899999998</v>
      </c>
      <c r="G17" s="553"/>
      <c r="H17" s="557"/>
      <c r="I17" s="172">
        <v>546375</v>
      </c>
      <c r="J17" s="173">
        <f t="shared" si="2"/>
        <v>0.13264386474669937</v>
      </c>
      <c r="K17" s="172">
        <v>932111.57</v>
      </c>
      <c r="L17" s="173">
        <f t="shared" si="3"/>
        <v>0.22628941847616305</v>
      </c>
      <c r="M17" s="172">
        <f t="shared" si="4"/>
        <v>1478486.5699999998</v>
      </c>
      <c r="N17" s="173">
        <f t="shared" ref="N17" si="44">M17/F17</f>
        <v>0.35893328322286239</v>
      </c>
      <c r="O17" s="172">
        <v>345940.9</v>
      </c>
      <c r="P17" s="173">
        <f t="shared" si="6"/>
        <v>8.3984329352462056E-2</v>
      </c>
      <c r="Q17" s="172">
        <v>30947.48</v>
      </c>
      <c r="R17" s="173">
        <f t="shared" si="7"/>
        <v>7.5131427158475102E-3</v>
      </c>
      <c r="S17" s="172">
        <f t="shared" si="8"/>
        <v>376888.38</v>
      </c>
      <c r="T17" s="173">
        <f t="shared" ref="T17" si="45">S17/F17</f>
        <v>9.1497472068309563E-2</v>
      </c>
      <c r="U17" s="172">
        <v>86602.33</v>
      </c>
      <c r="V17" s="173">
        <f t="shared" ref="V17" si="46">U17/F17</f>
        <v>2.1024512005983115E-2</v>
      </c>
      <c r="W17" s="172">
        <v>98150.12</v>
      </c>
      <c r="X17" s="173">
        <f t="shared" si="11"/>
        <v>2.3827977565138068E-2</v>
      </c>
      <c r="Y17" s="172">
        <v>186205.6</v>
      </c>
      <c r="Z17" s="173">
        <f t="shared" si="12"/>
        <v>4.5205271876418221E-2</v>
      </c>
      <c r="AA17" s="172">
        <v>584960.54</v>
      </c>
      <c r="AB17" s="173">
        <f t="shared" si="13"/>
        <v>0.14201130496438569</v>
      </c>
      <c r="AC17" s="172">
        <f t="shared" si="14"/>
        <v>771166.14</v>
      </c>
      <c r="AD17" s="173">
        <f t="shared" si="15"/>
        <v>0.18721657684080389</v>
      </c>
      <c r="AE17" s="172">
        <v>1238494.6499999999</v>
      </c>
      <c r="AF17" s="173">
        <f t="shared" si="16"/>
        <v>0.30067026647286343</v>
      </c>
      <c r="AG17" s="172">
        <v>0</v>
      </c>
      <c r="AH17" s="173">
        <f t="shared" si="17"/>
        <v>0</v>
      </c>
      <c r="AI17" s="172">
        <v>0</v>
      </c>
      <c r="AJ17" s="173">
        <f t="shared" si="18"/>
        <v>0</v>
      </c>
      <c r="AK17" s="172">
        <v>69324.3</v>
      </c>
      <c r="AL17" s="173">
        <f t="shared" si="19"/>
        <v>1.6829911824039555E-2</v>
      </c>
      <c r="AN17" s="72"/>
    </row>
    <row r="18" spans="1:40" s="73" customFormat="1" ht="14.25" customHeight="1">
      <c r="B18" s="551"/>
      <c r="C18" s="555"/>
      <c r="D18" s="171">
        <v>46123</v>
      </c>
      <c r="E18" s="171" t="s">
        <v>115</v>
      </c>
      <c r="F18" s="331">
        <f t="shared" si="0"/>
        <v>4445689.26</v>
      </c>
      <c r="G18" s="553"/>
      <c r="H18" s="557"/>
      <c r="I18" s="172">
        <v>527618.04</v>
      </c>
      <c r="J18" s="173">
        <f t="shared" si="2"/>
        <v>0.11868081846098259</v>
      </c>
      <c r="K18" s="172">
        <v>1046469.2400000001</v>
      </c>
      <c r="L18" s="173">
        <f t="shared" si="3"/>
        <v>0.23538965024289624</v>
      </c>
      <c r="M18" s="172">
        <f t="shared" si="4"/>
        <v>1574087.2800000003</v>
      </c>
      <c r="N18" s="173">
        <f t="shared" ref="N18" si="47">M18/$F18</f>
        <v>0.35407046870387887</v>
      </c>
      <c r="O18" s="172">
        <v>321897.40999999997</v>
      </c>
      <c r="P18" s="173">
        <f t="shared" si="6"/>
        <v>7.2406637345589012E-2</v>
      </c>
      <c r="Q18" s="172">
        <v>31178.240000000002</v>
      </c>
      <c r="R18" s="173">
        <f t="shared" si="7"/>
        <v>7.0131397352769555E-3</v>
      </c>
      <c r="S18" s="172">
        <f t="shared" si="8"/>
        <v>353075.64999999997</v>
      </c>
      <c r="T18" s="173">
        <f t="shared" ref="T18" si="48">S18/$F18</f>
        <v>7.9419777080865964E-2</v>
      </c>
      <c r="U18" s="172">
        <v>96924.85</v>
      </c>
      <c r="V18" s="173">
        <f t="shared" ref="V18" si="49">U18/$F18</f>
        <v>2.1801984873769609E-2</v>
      </c>
      <c r="W18" s="172">
        <v>161005.28</v>
      </c>
      <c r="X18" s="173">
        <f t="shared" si="11"/>
        <v>3.6216044483504906E-2</v>
      </c>
      <c r="Y18" s="172">
        <v>201817.35</v>
      </c>
      <c r="Z18" s="173">
        <f t="shared" si="12"/>
        <v>4.5396189026490799E-2</v>
      </c>
      <c r="AA18" s="172">
        <v>653197.6</v>
      </c>
      <c r="AB18" s="173">
        <f t="shared" si="13"/>
        <v>0.14692830780530081</v>
      </c>
      <c r="AC18" s="172">
        <f t="shared" si="14"/>
        <v>855014.95</v>
      </c>
      <c r="AD18" s="173">
        <f t="shared" si="15"/>
        <v>0.19232449683179162</v>
      </c>
      <c r="AE18" s="172">
        <v>1338680.05</v>
      </c>
      <c r="AF18" s="173">
        <f t="shared" si="16"/>
        <v>0.30111867287818495</v>
      </c>
      <c r="AG18" s="172">
        <v>0</v>
      </c>
      <c r="AH18" s="173">
        <f t="shared" si="17"/>
        <v>0</v>
      </c>
      <c r="AI18" s="172">
        <v>0</v>
      </c>
      <c r="AJ18" s="173">
        <f t="shared" si="18"/>
        <v>0</v>
      </c>
      <c r="AK18" s="172">
        <v>66901.2</v>
      </c>
      <c r="AL18" s="173">
        <f t="shared" si="19"/>
        <v>1.5048555148004204E-2</v>
      </c>
      <c r="AN18" s="72"/>
    </row>
    <row r="19" spans="1:40" s="73" customFormat="1" ht="14.25" customHeight="1">
      <c r="B19" s="551"/>
      <c r="C19" s="555"/>
      <c r="D19" s="171">
        <v>46124</v>
      </c>
      <c r="E19" s="171" t="s">
        <v>116</v>
      </c>
      <c r="F19" s="331">
        <f t="shared" si="0"/>
        <v>5887717.3999999985</v>
      </c>
      <c r="G19" s="553"/>
      <c r="H19" s="557"/>
      <c r="I19" s="172">
        <v>784944.8</v>
      </c>
      <c r="J19" s="173">
        <f t="shared" si="2"/>
        <v>0.13331903463980799</v>
      </c>
      <c r="K19" s="172">
        <v>1182563.4099999999</v>
      </c>
      <c r="L19" s="173">
        <f t="shared" si="3"/>
        <v>0.20085261055498355</v>
      </c>
      <c r="M19" s="172">
        <f t="shared" si="4"/>
        <v>1967508.21</v>
      </c>
      <c r="N19" s="173">
        <f t="shared" ref="N19" si="50">M19/F19</f>
        <v>0.33417164519479153</v>
      </c>
      <c r="O19" s="172">
        <v>468701.41</v>
      </c>
      <c r="P19" s="173">
        <f t="shared" si="6"/>
        <v>7.9606641786169982E-2</v>
      </c>
      <c r="Q19" s="172">
        <v>39331.760000000002</v>
      </c>
      <c r="R19" s="173">
        <f t="shared" si="7"/>
        <v>6.6803070405519142E-3</v>
      </c>
      <c r="S19" s="172">
        <f t="shared" si="8"/>
        <v>508033.17</v>
      </c>
      <c r="T19" s="173">
        <f t="shared" ref="T19" si="51">S19/F19</f>
        <v>8.6286948826721901E-2</v>
      </c>
      <c r="U19" s="172">
        <v>121800.06</v>
      </c>
      <c r="V19" s="173">
        <f t="shared" ref="V19" si="52">U19/F19</f>
        <v>2.0687144393173495E-2</v>
      </c>
      <c r="W19" s="172">
        <v>201043.55</v>
      </c>
      <c r="X19" s="173">
        <f t="shared" si="11"/>
        <v>3.4146263541792961E-2</v>
      </c>
      <c r="Y19" s="172">
        <v>278343.31</v>
      </c>
      <c r="Z19" s="173">
        <f t="shared" si="12"/>
        <v>4.7275249657872519E-2</v>
      </c>
      <c r="AA19" s="172">
        <v>752453.89</v>
      </c>
      <c r="AB19" s="173">
        <f t="shared" si="13"/>
        <v>0.12780061250901753</v>
      </c>
      <c r="AC19" s="172">
        <f t="shared" si="14"/>
        <v>1030797.2</v>
      </c>
      <c r="AD19" s="173">
        <f t="shared" si="15"/>
        <v>0.17507586216689006</v>
      </c>
      <c r="AE19" s="172">
        <v>1988442.6099999999</v>
      </c>
      <c r="AF19" s="173">
        <f t="shared" si="16"/>
        <v>0.33772725063196823</v>
      </c>
      <c r="AG19" s="172">
        <v>0</v>
      </c>
      <c r="AH19" s="173">
        <f t="shared" si="17"/>
        <v>0</v>
      </c>
      <c r="AI19" s="172">
        <v>0</v>
      </c>
      <c r="AJ19" s="173">
        <f t="shared" si="18"/>
        <v>0</v>
      </c>
      <c r="AK19" s="172">
        <v>70092.599999999991</v>
      </c>
      <c r="AL19" s="173">
        <f t="shared" si="19"/>
        <v>1.190488524466205E-2</v>
      </c>
      <c r="AN19" s="72"/>
    </row>
    <row r="20" spans="1:40" s="73" customFormat="1" ht="14.25" customHeight="1">
      <c r="B20" s="552"/>
      <c r="C20" s="555"/>
      <c r="D20" s="171">
        <v>46125</v>
      </c>
      <c r="E20" s="171" t="s">
        <v>117</v>
      </c>
      <c r="F20" s="331">
        <f t="shared" si="0"/>
        <v>5758150.04</v>
      </c>
      <c r="G20" s="553"/>
      <c r="H20" s="557"/>
      <c r="I20" s="172">
        <v>786274.22</v>
      </c>
      <c r="J20" s="173">
        <f t="shared" si="2"/>
        <v>0.13654979716367377</v>
      </c>
      <c r="K20" s="172">
        <v>1455401.41</v>
      </c>
      <c r="L20" s="173">
        <f t="shared" si="3"/>
        <v>0.2527550341498222</v>
      </c>
      <c r="M20" s="172">
        <f t="shared" si="4"/>
        <v>2241675.63</v>
      </c>
      <c r="N20" s="173">
        <f t="shared" ref="N20:N21" si="53">M20/$F20</f>
        <v>0.38930483131349591</v>
      </c>
      <c r="O20" s="172">
        <v>348349.76</v>
      </c>
      <c r="P20" s="173">
        <f t="shared" si="6"/>
        <v>6.0496818870666318E-2</v>
      </c>
      <c r="Q20" s="172">
        <v>0</v>
      </c>
      <c r="R20" s="173">
        <f t="shared" si="7"/>
        <v>0</v>
      </c>
      <c r="S20" s="172">
        <f t="shared" si="8"/>
        <v>348349.76</v>
      </c>
      <c r="T20" s="173">
        <f t="shared" ref="T20:T21" si="54">S20/$F20</f>
        <v>6.0496818870666318E-2</v>
      </c>
      <c r="U20" s="172">
        <v>114683.79000000001</v>
      </c>
      <c r="V20" s="173">
        <f t="shared" ref="V20:V21" si="55">U20/$F20</f>
        <v>1.9916776951508546E-2</v>
      </c>
      <c r="W20" s="172">
        <v>175473.28</v>
      </c>
      <c r="X20" s="173">
        <f t="shared" si="11"/>
        <v>3.0473898523144423E-2</v>
      </c>
      <c r="Y20" s="172">
        <v>253478.05000000002</v>
      </c>
      <c r="Z20" s="173">
        <f t="shared" si="12"/>
        <v>4.4020744204157629E-2</v>
      </c>
      <c r="AA20" s="172">
        <v>728125.52999999991</v>
      </c>
      <c r="AB20" s="173">
        <f t="shared" si="13"/>
        <v>0.12645129511074704</v>
      </c>
      <c r="AC20" s="172">
        <f t="shared" si="14"/>
        <v>981603.58</v>
      </c>
      <c r="AD20" s="173">
        <f t="shared" si="15"/>
        <v>0.17047203931490468</v>
      </c>
      <c r="AE20" s="172">
        <v>1823552.8</v>
      </c>
      <c r="AF20" s="173">
        <f t="shared" si="16"/>
        <v>0.31669074048650531</v>
      </c>
      <c r="AG20" s="172">
        <v>0</v>
      </c>
      <c r="AH20" s="173">
        <f t="shared" si="17"/>
        <v>0</v>
      </c>
      <c r="AI20" s="172">
        <v>0</v>
      </c>
      <c r="AJ20" s="173">
        <f t="shared" si="18"/>
        <v>0</v>
      </c>
      <c r="AK20" s="172">
        <v>72811.199999999997</v>
      </c>
      <c r="AL20" s="173">
        <f t="shared" si="19"/>
        <v>1.2644894539774791E-2</v>
      </c>
      <c r="AN20" s="72"/>
    </row>
    <row r="21" spans="1:40" s="73" customFormat="1" ht="14.25" customHeight="1">
      <c r="B21" s="550">
        <f>D22+7</f>
        <v>46134</v>
      </c>
      <c r="C21" s="555"/>
      <c r="D21" s="171">
        <v>46126</v>
      </c>
      <c r="E21" s="171" t="s">
        <v>118</v>
      </c>
      <c r="F21" s="331">
        <f t="shared" si="0"/>
        <v>6972503.2700000014</v>
      </c>
      <c r="G21" s="553">
        <f t="shared" ref="G21" si="56">SUM(F21:F27)</f>
        <v>42842570.840000004</v>
      </c>
      <c r="H21" s="557"/>
      <c r="I21" s="172">
        <v>1258157.1500000001</v>
      </c>
      <c r="J21" s="173">
        <f t="shared" si="2"/>
        <v>0.18044554463149071</v>
      </c>
      <c r="K21" s="172">
        <v>1524527.74</v>
      </c>
      <c r="L21" s="173">
        <f t="shared" si="3"/>
        <v>0.21864855145489229</v>
      </c>
      <c r="M21" s="172">
        <f t="shared" si="4"/>
        <v>2782684.89</v>
      </c>
      <c r="N21" s="173">
        <f t="shared" si="53"/>
        <v>0.39909409608638297</v>
      </c>
      <c r="O21" s="172">
        <v>393165.25</v>
      </c>
      <c r="P21" s="173">
        <f t="shared" si="6"/>
        <v>5.6387962081228239E-2</v>
      </c>
      <c r="Q21" s="172">
        <v>0</v>
      </c>
      <c r="R21" s="173">
        <f t="shared" si="7"/>
        <v>0</v>
      </c>
      <c r="S21" s="172">
        <f t="shared" si="8"/>
        <v>393165.25</v>
      </c>
      <c r="T21" s="173">
        <f t="shared" si="54"/>
        <v>5.6387962081228239E-2</v>
      </c>
      <c r="U21" s="172">
        <v>116867.41</v>
      </c>
      <c r="V21" s="173">
        <f t="shared" si="55"/>
        <v>1.6761183964278011E-2</v>
      </c>
      <c r="W21" s="172">
        <v>225134.61000000002</v>
      </c>
      <c r="X21" s="173">
        <f t="shared" si="11"/>
        <v>3.22889213933635E-2</v>
      </c>
      <c r="Y21" s="172">
        <v>271871.53000000003</v>
      </c>
      <c r="Z21" s="173">
        <f t="shared" si="12"/>
        <v>3.8991954463436194E-2</v>
      </c>
      <c r="AA21" s="172">
        <v>708520.84000000008</v>
      </c>
      <c r="AB21" s="173">
        <f t="shared" si="13"/>
        <v>0.10161642276289674</v>
      </c>
      <c r="AC21" s="172">
        <f t="shared" si="14"/>
        <v>980392.37000000011</v>
      </c>
      <c r="AD21" s="173">
        <f t="shared" si="15"/>
        <v>0.14060837722633293</v>
      </c>
      <c r="AE21" s="172">
        <v>1697613.3599999999</v>
      </c>
      <c r="AF21" s="173">
        <f t="shared" si="16"/>
        <v>0.24347257997055044</v>
      </c>
      <c r="AG21" s="172">
        <v>0</v>
      </c>
      <c r="AH21" s="173">
        <f t="shared" si="17"/>
        <v>0</v>
      </c>
      <c r="AI21" s="172">
        <v>700169.98</v>
      </c>
      <c r="AJ21" s="173">
        <f t="shared" si="18"/>
        <v>0.10041873813276818</v>
      </c>
      <c r="AK21" s="172">
        <v>76475.399999999994</v>
      </c>
      <c r="AL21" s="173">
        <f t="shared" si="19"/>
        <v>1.0968141145095509E-2</v>
      </c>
      <c r="AN21" s="72"/>
    </row>
    <row r="22" spans="1:40" s="73" customFormat="1" ht="14.25" customHeight="1">
      <c r="B22" s="551"/>
      <c r="C22" s="555"/>
      <c r="D22" s="171">
        <v>46127</v>
      </c>
      <c r="E22" s="171" t="s">
        <v>112</v>
      </c>
      <c r="F22" s="331">
        <f t="shared" si="0"/>
        <v>6457162.1800000006</v>
      </c>
      <c r="G22" s="553"/>
      <c r="H22" s="557"/>
      <c r="I22" s="172">
        <v>1139592.08</v>
      </c>
      <c r="J22" s="173">
        <f t="shared" si="2"/>
        <v>0.1764849709876731</v>
      </c>
      <c r="K22" s="172">
        <v>1416940.8299999998</v>
      </c>
      <c r="L22" s="173">
        <f t="shared" si="3"/>
        <v>0.21943708249867741</v>
      </c>
      <c r="M22" s="172">
        <f t="shared" si="4"/>
        <v>2556532.91</v>
      </c>
      <c r="N22" s="173">
        <f t="shared" ref="N22" si="57">M22/F22</f>
        <v>0.39592205348635057</v>
      </c>
      <c r="O22" s="172">
        <v>371236.06999999995</v>
      </c>
      <c r="P22" s="173">
        <f t="shared" si="6"/>
        <v>5.7492139681707653E-2</v>
      </c>
      <c r="Q22" s="172">
        <v>0</v>
      </c>
      <c r="R22" s="173">
        <f t="shared" si="7"/>
        <v>0</v>
      </c>
      <c r="S22" s="172">
        <f t="shared" si="8"/>
        <v>371236.06999999995</v>
      </c>
      <c r="T22" s="173">
        <f t="shared" ref="T22" si="58">S22/F22</f>
        <v>5.7492139681707653E-2</v>
      </c>
      <c r="U22" s="172">
        <v>106528.63</v>
      </c>
      <c r="V22" s="173">
        <f t="shared" ref="V22" si="59">U22/F22</f>
        <v>1.649774731227209E-2</v>
      </c>
      <c r="W22" s="172">
        <v>220203.09</v>
      </c>
      <c r="X22" s="173">
        <f t="shared" si="11"/>
        <v>3.4102146401408795E-2</v>
      </c>
      <c r="Y22" s="172">
        <v>225603.98</v>
      </c>
      <c r="Z22" s="173">
        <f t="shared" si="12"/>
        <v>3.4938564916144013E-2</v>
      </c>
      <c r="AA22" s="172">
        <v>629756.89999999991</v>
      </c>
      <c r="AB22" s="173">
        <f t="shared" si="13"/>
        <v>9.7528431599653562E-2</v>
      </c>
      <c r="AC22" s="172">
        <f t="shared" si="14"/>
        <v>855360.87999999989</v>
      </c>
      <c r="AD22" s="173">
        <f t="shared" si="15"/>
        <v>0.13246699651579757</v>
      </c>
      <c r="AE22" s="172">
        <v>1629884</v>
      </c>
      <c r="AF22" s="173">
        <f t="shared" si="16"/>
        <v>0.25241490837078523</v>
      </c>
      <c r="AG22" s="172">
        <v>0</v>
      </c>
      <c r="AH22" s="173">
        <f t="shared" si="17"/>
        <v>0</v>
      </c>
      <c r="AI22" s="172">
        <v>644487.19999999995</v>
      </c>
      <c r="AJ22" s="173">
        <f t="shared" si="18"/>
        <v>9.9809665923552796E-2</v>
      </c>
      <c r="AK22" s="172">
        <v>72929.399999999994</v>
      </c>
      <c r="AL22" s="173">
        <f t="shared" si="19"/>
        <v>1.1294342308125207E-2</v>
      </c>
      <c r="AN22" s="72"/>
    </row>
    <row r="23" spans="1:40" s="73" customFormat="1" ht="14.25" customHeight="1">
      <c r="B23" s="551"/>
      <c r="C23" s="555"/>
      <c r="D23" s="171">
        <v>46128</v>
      </c>
      <c r="E23" s="171" t="s">
        <v>113</v>
      </c>
      <c r="F23" s="331">
        <f t="shared" si="0"/>
        <v>5781414.5900000008</v>
      </c>
      <c r="G23" s="553"/>
      <c r="H23" s="557"/>
      <c r="I23" s="172">
        <v>1038888.5099999999</v>
      </c>
      <c r="J23" s="173">
        <f t="shared" si="2"/>
        <v>0.17969451832721786</v>
      </c>
      <c r="K23" s="172">
        <v>1249824.06</v>
      </c>
      <c r="L23" s="173">
        <f t="shared" si="3"/>
        <v>0.21617962879911712</v>
      </c>
      <c r="M23" s="172">
        <f t="shared" si="4"/>
        <v>2288712.5699999998</v>
      </c>
      <c r="N23" s="173">
        <f t="shared" ref="N23" si="60">M23/$F23</f>
        <v>0.39587414712633495</v>
      </c>
      <c r="O23" s="172">
        <v>372327.19999999995</v>
      </c>
      <c r="P23" s="173">
        <f t="shared" si="6"/>
        <v>6.4400709238878487E-2</v>
      </c>
      <c r="Q23" s="172">
        <v>0</v>
      </c>
      <c r="R23" s="173">
        <f t="shared" si="7"/>
        <v>0</v>
      </c>
      <c r="S23" s="172">
        <f t="shared" si="8"/>
        <v>372327.19999999995</v>
      </c>
      <c r="T23" s="173">
        <f t="shared" ref="T23" si="61">S23/$F23</f>
        <v>6.4400709238878487E-2</v>
      </c>
      <c r="U23" s="172">
        <v>104326.45999999999</v>
      </c>
      <c r="V23" s="173">
        <f t="shared" ref="V23" si="62">U23/$F23</f>
        <v>1.8045144207518248E-2</v>
      </c>
      <c r="W23" s="172">
        <v>221197.83</v>
      </c>
      <c r="X23" s="173">
        <f t="shared" si="11"/>
        <v>3.8260157018076772E-2</v>
      </c>
      <c r="Y23" s="172">
        <v>164178.84</v>
      </c>
      <c r="Z23" s="173">
        <f t="shared" si="12"/>
        <v>2.839769358246283E-2</v>
      </c>
      <c r="AA23" s="172">
        <v>517650.11</v>
      </c>
      <c r="AB23" s="173">
        <f t="shared" si="13"/>
        <v>8.953692940398518E-2</v>
      </c>
      <c r="AC23" s="172">
        <f t="shared" si="14"/>
        <v>681828.95</v>
      </c>
      <c r="AD23" s="173">
        <f t="shared" si="15"/>
        <v>0.11793462298644801</v>
      </c>
      <c r="AE23" s="172">
        <v>1462841.98</v>
      </c>
      <c r="AF23" s="173">
        <f t="shared" si="16"/>
        <v>0.25302492274645882</v>
      </c>
      <c r="AG23" s="172">
        <v>0</v>
      </c>
      <c r="AH23" s="173">
        <f t="shared" si="17"/>
        <v>0</v>
      </c>
      <c r="AI23" s="172">
        <v>580323.39999999991</v>
      </c>
      <c r="AJ23" s="173">
        <f t="shared" si="18"/>
        <v>0.10037740607701338</v>
      </c>
      <c r="AK23" s="172">
        <v>69856.2</v>
      </c>
      <c r="AL23" s="173">
        <f t="shared" si="19"/>
        <v>1.2082890599271135E-2</v>
      </c>
      <c r="AN23" s="72"/>
    </row>
    <row r="24" spans="1:40" s="73" customFormat="1" ht="14.25" customHeight="1">
      <c r="B24" s="551"/>
      <c r="C24" s="555"/>
      <c r="D24" s="171">
        <v>46129</v>
      </c>
      <c r="E24" s="171" t="s">
        <v>114</v>
      </c>
      <c r="F24" s="331">
        <f t="shared" si="0"/>
        <v>5012455.3299999991</v>
      </c>
      <c r="G24" s="553"/>
      <c r="H24" s="557"/>
      <c r="I24" s="172">
        <v>921116.98</v>
      </c>
      <c r="J24" s="173">
        <f t="shared" si="2"/>
        <v>0.18376562370282512</v>
      </c>
      <c r="K24" s="172">
        <v>1146055.96</v>
      </c>
      <c r="L24" s="173">
        <f t="shared" si="3"/>
        <v>0.22864163060780837</v>
      </c>
      <c r="M24" s="172">
        <f t="shared" si="4"/>
        <v>2067172.94</v>
      </c>
      <c r="N24" s="173">
        <f t="shared" ref="N24" si="63">M24/F24</f>
        <v>0.41240725431063346</v>
      </c>
      <c r="O24" s="172">
        <v>271252.90000000002</v>
      </c>
      <c r="P24" s="173">
        <f t="shared" si="6"/>
        <v>5.4115774035237152E-2</v>
      </c>
      <c r="Q24" s="172">
        <v>0</v>
      </c>
      <c r="R24" s="173">
        <f t="shared" si="7"/>
        <v>0</v>
      </c>
      <c r="S24" s="172">
        <f t="shared" si="8"/>
        <v>271252.90000000002</v>
      </c>
      <c r="T24" s="173">
        <f t="shared" ref="T24" si="64">S24/F24</f>
        <v>5.4115774035237152E-2</v>
      </c>
      <c r="U24" s="172">
        <v>88997.86</v>
      </c>
      <c r="V24" s="173">
        <f t="shared" ref="V24" si="65">U24/F24</f>
        <v>1.775534227055147E-2</v>
      </c>
      <c r="W24" s="172">
        <v>143139.74</v>
      </c>
      <c r="X24" s="173">
        <f t="shared" si="11"/>
        <v>2.8556811098803352E-2</v>
      </c>
      <c r="Y24" s="172">
        <v>181266.61000000002</v>
      </c>
      <c r="Z24" s="173">
        <f t="shared" si="12"/>
        <v>3.6163236989884565E-2</v>
      </c>
      <c r="AA24" s="172">
        <v>547464.20000000007</v>
      </c>
      <c r="AB24" s="173">
        <f t="shared" si="13"/>
        <v>0.10922076386863286</v>
      </c>
      <c r="AC24" s="172">
        <f t="shared" si="14"/>
        <v>728730.81</v>
      </c>
      <c r="AD24" s="173">
        <f t="shared" si="15"/>
        <v>0.14538400085851741</v>
      </c>
      <c r="AE24" s="172">
        <v>1185234.54</v>
      </c>
      <c r="AF24" s="173">
        <f t="shared" si="16"/>
        <v>0.23645787582509992</v>
      </c>
      <c r="AG24" s="172">
        <v>0</v>
      </c>
      <c r="AH24" s="173">
        <f t="shared" si="17"/>
        <v>0</v>
      </c>
      <c r="AI24" s="172">
        <v>463330.23999999993</v>
      </c>
      <c r="AJ24" s="173">
        <f t="shared" si="18"/>
        <v>9.2435784360396483E-2</v>
      </c>
      <c r="AK24" s="172">
        <v>64596.299999999996</v>
      </c>
      <c r="AL24" s="173">
        <f t="shared" si="19"/>
        <v>1.2887157240760888E-2</v>
      </c>
      <c r="AN24" s="72"/>
    </row>
    <row r="25" spans="1:40" s="73" customFormat="1" ht="14.25" customHeight="1">
      <c r="B25" s="551"/>
      <c r="C25" s="555"/>
      <c r="D25" s="171">
        <v>46130</v>
      </c>
      <c r="E25" s="171" t="s">
        <v>115</v>
      </c>
      <c r="F25" s="331">
        <f t="shared" si="0"/>
        <v>5245500.34</v>
      </c>
      <c r="G25" s="553"/>
      <c r="H25" s="557"/>
      <c r="I25" s="172">
        <v>888743.04</v>
      </c>
      <c r="J25" s="173">
        <f t="shared" si="2"/>
        <v>0.16942960297282147</v>
      </c>
      <c r="K25" s="172">
        <v>1270153.71</v>
      </c>
      <c r="L25" s="173">
        <f t="shared" si="3"/>
        <v>0.24214157423922691</v>
      </c>
      <c r="M25" s="172">
        <f t="shared" si="4"/>
        <v>2158896.75</v>
      </c>
      <c r="N25" s="173">
        <f t="shared" ref="N25" si="66">M25/$F25</f>
        <v>0.41157117721204839</v>
      </c>
      <c r="O25" s="172">
        <v>260175.2</v>
      </c>
      <c r="P25" s="173">
        <f t="shared" si="6"/>
        <v>4.9599691761720487E-2</v>
      </c>
      <c r="Q25" s="172">
        <v>0</v>
      </c>
      <c r="R25" s="173">
        <f t="shared" si="7"/>
        <v>0</v>
      </c>
      <c r="S25" s="172">
        <f t="shared" si="8"/>
        <v>260175.2</v>
      </c>
      <c r="T25" s="173">
        <f t="shared" ref="T25" si="67">S25/$F25</f>
        <v>4.9599691761720487E-2</v>
      </c>
      <c r="U25" s="172">
        <v>94890.53</v>
      </c>
      <c r="V25" s="173">
        <f t="shared" ref="V25" si="68">U25/$F25</f>
        <v>1.8089891116087508E-2</v>
      </c>
      <c r="W25" s="172">
        <v>148344.82</v>
      </c>
      <c r="X25" s="173">
        <f t="shared" si="11"/>
        <v>2.8280394697295933E-2</v>
      </c>
      <c r="Y25" s="172">
        <v>209424.53</v>
      </c>
      <c r="Z25" s="173">
        <f t="shared" si="12"/>
        <v>3.992460517121995E-2</v>
      </c>
      <c r="AA25" s="172">
        <v>568078.98</v>
      </c>
      <c r="AB25" s="173">
        <f t="shared" si="13"/>
        <v>0.10829834013508043</v>
      </c>
      <c r="AC25" s="172">
        <f t="shared" si="14"/>
        <v>777503.51</v>
      </c>
      <c r="AD25" s="173">
        <f t="shared" si="15"/>
        <v>0.14822294530630037</v>
      </c>
      <c r="AE25" s="172">
        <v>1279111.69</v>
      </c>
      <c r="AF25" s="173">
        <f t="shared" si="16"/>
        <v>0.24384931981531432</v>
      </c>
      <c r="AG25" s="172">
        <v>0</v>
      </c>
      <c r="AH25" s="173">
        <f t="shared" si="17"/>
        <v>0</v>
      </c>
      <c r="AI25" s="172">
        <v>465527.53999999992</v>
      </c>
      <c r="AJ25" s="173">
        <f t="shared" si="18"/>
        <v>8.8747976327459344E-2</v>
      </c>
      <c r="AK25" s="172">
        <v>61050.299999999996</v>
      </c>
      <c r="AL25" s="173">
        <f t="shared" si="19"/>
        <v>1.1638603763773656E-2</v>
      </c>
      <c r="AN25" s="72"/>
    </row>
    <row r="26" spans="1:40" s="73" customFormat="1" ht="14.25" customHeight="1">
      <c r="B26" s="551"/>
      <c r="C26" s="555"/>
      <c r="D26" s="171">
        <v>46131</v>
      </c>
      <c r="E26" s="171" t="s">
        <v>116</v>
      </c>
      <c r="F26" s="331">
        <f t="shared" si="0"/>
        <v>6890291.8599999994</v>
      </c>
      <c r="G26" s="553"/>
      <c r="H26" s="557"/>
      <c r="I26" s="172">
        <v>1212193.77</v>
      </c>
      <c r="J26" s="173">
        <f t="shared" si="2"/>
        <v>0.17592778283269994</v>
      </c>
      <c r="K26" s="172">
        <v>1407729.02</v>
      </c>
      <c r="L26" s="173">
        <f t="shared" si="3"/>
        <v>0.20430615256985649</v>
      </c>
      <c r="M26" s="172">
        <f t="shared" si="4"/>
        <v>2619922.79</v>
      </c>
      <c r="N26" s="173">
        <f t="shared" ref="N26" si="69">M26/F26</f>
        <v>0.3802339354025564</v>
      </c>
      <c r="O26" s="172">
        <v>348770.65</v>
      </c>
      <c r="P26" s="173">
        <f t="shared" si="6"/>
        <v>5.0617688929072452E-2</v>
      </c>
      <c r="Q26" s="172">
        <v>0</v>
      </c>
      <c r="R26" s="173">
        <f t="shared" si="7"/>
        <v>0</v>
      </c>
      <c r="S26" s="172">
        <f t="shared" si="8"/>
        <v>348770.65</v>
      </c>
      <c r="T26" s="173">
        <f t="shared" ref="T26" si="70">S26/F26</f>
        <v>5.0617688929072452E-2</v>
      </c>
      <c r="U26" s="172">
        <v>114802.47</v>
      </c>
      <c r="V26" s="173">
        <f t="shared" ref="V26" si="71">U26/F26</f>
        <v>1.6661481448479603E-2</v>
      </c>
      <c r="W26" s="172">
        <v>178802.81</v>
      </c>
      <c r="X26" s="173">
        <f t="shared" si="11"/>
        <v>2.5949961719038128E-2</v>
      </c>
      <c r="Y26" s="172">
        <v>241726.66</v>
      </c>
      <c r="Z26" s="173">
        <f t="shared" si="12"/>
        <v>3.5082209130107886E-2</v>
      </c>
      <c r="AA26" s="172">
        <v>669644.15999999992</v>
      </c>
      <c r="AB26" s="173">
        <f t="shared" si="13"/>
        <v>9.7186617578199366E-2</v>
      </c>
      <c r="AC26" s="172">
        <f t="shared" si="14"/>
        <v>911370.82</v>
      </c>
      <c r="AD26" s="173">
        <f t="shared" si="15"/>
        <v>0.13226882670830725</v>
      </c>
      <c r="AE26" s="172">
        <v>1978242.78</v>
      </c>
      <c r="AF26" s="173">
        <f t="shared" si="16"/>
        <v>0.28710580338174529</v>
      </c>
      <c r="AG26" s="172">
        <v>0</v>
      </c>
      <c r="AH26" s="173">
        <f t="shared" si="17"/>
        <v>0</v>
      </c>
      <c r="AI26" s="172">
        <v>669468.93999999994</v>
      </c>
      <c r="AJ26" s="173">
        <f t="shared" si="18"/>
        <v>9.7161187595905404E-2</v>
      </c>
      <c r="AK26" s="172">
        <v>68910.599999999991</v>
      </c>
      <c r="AL26" s="173">
        <f t="shared" si="19"/>
        <v>1.0001114814895518E-2</v>
      </c>
      <c r="AN26" s="72"/>
    </row>
    <row r="27" spans="1:40" s="73" customFormat="1" ht="14.25" customHeight="1">
      <c r="B27" s="552"/>
      <c r="C27" s="555"/>
      <c r="D27" s="171">
        <v>46132</v>
      </c>
      <c r="E27" s="171" t="s">
        <v>117</v>
      </c>
      <c r="F27" s="331">
        <f t="shared" si="0"/>
        <v>6483243.2699999996</v>
      </c>
      <c r="G27" s="553"/>
      <c r="H27" s="557"/>
      <c r="I27" s="172">
        <v>1132051.5999999999</v>
      </c>
      <c r="J27" s="173">
        <f t="shared" si="2"/>
        <v>0.17461192690984739</v>
      </c>
      <c r="K27" s="172">
        <v>1366929.5499999998</v>
      </c>
      <c r="L27" s="173">
        <f t="shared" si="3"/>
        <v>0.21084039161775892</v>
      </c>
      <c r="M27" s="172">
        <f t="shared" si="4"/>
        <v>2498981.1499999994</v>
      </c>
      <c r="N27" s="173">
        <f t="shared" ref="N27" si="72">M27/$F27</f>
        <v>0.38545231852760625</v>
      </c>
      <c r="O27" s="172">
        <v>329958.05</v>
      </c>
      <c r="P27" s="173">
        <f t="shared" si="6"/>
        <v>5.0893979488139743E-2</v>
      </c>
      <c r="Q27" s="172">
        <v>0</v>
      </c>
      <c r="R27" s="173">
        <f t="shared" si="7"/>
        <v>0</v>
      </c>
      <c r="S27" s="172">
        <f t="shared" si="8"/>
        <v>329958.05</v>
      </c>
      <c r="T27" s="173">
        <f t="shared" ref="T27" si="73">S27/$F27</f>
        <v>5.0893979488139743E-2</v>
      </c>
      <c r="U27" s="172">
        <v>110429.19</v>
      </c>
      <c r="V27" s="173">
        <f t="shared" ref="V27" si="74">U27/$F27</f>
        <v>1.7033016563020319E-2</v>
      </c>
      <c r="W27" s="172">
        <v>134382.16</v>
      </c>
      <c r="X27" s="173">
        <f t="shared" si="11"/>
        <v>2.0727613387859192E-2</v>
      </c>
      <c r="Y27" s="172">
        <v>242351.13</v>
      </c>
      <c r="Z27" s="173">
        <f t="shared" si="12"/>
        <v>3.7381156298952209E-2</v>
      </c>
      <c r="AA27" s="172">
        <v>842782.64000000013</v>
      </c>
      <c r="AB27" s="173">
        <f t="shared" si="13"/>
        <v>0.12999398679050342</v>
      </c>
      <c r="AC27" s="172">
        <f t="shared" si="14"/>
        <v>1085133.77</v>
      </c>
      <c r="AD27" s="173">
        <f t="shared" si="15"/>
        <v>0.16737514308945561</v>
      </c>
      <c r="AE27" s="172">
        <v>1735202.83</v>
      </c>
      <c r="AF27" s="173">
        <f t="shared" si="16"/>
        <v>0.26764425731629227</v>
      </c>
      <c r="AG27" s="172">
        <v>0</v>
      </c>
      <c r="AH27" s="173">
        <f t="shared" si="17"/>
        <v>0</v>
      </c>
      <c r="AI27" s="172">
        <v>520895.62</v>
      </c>
      <c r="AJ27" s="173">
        <f t="shared" si="18"/>
        <v>8.0344913542014909E-2</v>
      </c>
      <c r="AK27" s="172">
        <v>68260.5</v>
      </c>
      <c r="AL27" s="173">
        <f t="shared" si="19"/>
        <v>1.052875808561168E-2</v>
      </c>
      <c r="AN27" s="72"/>
    </row>
    <row r="28" spans="1:40" ht="15.75" customHeight="1">
      <c r="A28" s="73"/>
      <c r="B28" s="550">
        <f>D29+7</f>
        <v>46141</v>
      </c>
      <c r="C28" s="555"/>
      <c r="D28" s="171">
        <v>46133</v>
      </c>
      <c r="E28" s="171" t="s">
        <v>118</v>
      </c>
      <c r="F28" s="331">
        <f t="shared" ref="F28:F34" si="75">SUM(M28,S28,U28,W28,AC28,AE28,AG28,AI28,AK28)</f>
        <v>0</v>
      </c>
      <c r="G28" s="553">
        <f>SUM(F28:F34)</f>
        <v>0</v>
      </c>
      <c r="H28" s="557"/>
      <c r="I28" s="172"/>
      <c r="J28" s="173"/>
      <c r="K28" s="172"/>
      <c r="L28" s="173"/>
      <c r="M28" s="172"/>
      <c r="N28" s="173"/>
      <c r="O28" s="172"/>
      <c r="P28" s="173"/>
      <c r="Q28" s="172"/>
      <c r="R28" s="173"/>
      <c r="S28" s="172"/>
      <c r="T28" s="173"/>
      <c r="U28" s="172"/>
      <c r="V28" s="173"/>
      <c r="W28" s="172"/>
      <c r="X28" s="173"/>
      <c r="Y28" s="172"/>
      <c r="Z28" s="173"/>
      <c r="AA28" s="172"/>
      <c r="AB28" s="173"/>
      <c r="AC28" s="172"/>
      <c r="AD28" s="173"/>
      <c r="AE28" s="172"/>
      <c r="AF28" s="173"/>
      <c r="AG28" s="172"/>
      <c r="AH28" s="173"/>
      <c r="AI28" s="172"/>
      <c r="AJ28" s="173"/>
      <c r="AK28" s="172"/>
      <c r="AL28" s="173"/>
    </row>
    <row r="29" spans="1:40" ht="15.75" customHeight="1">
      <c r="A29" s="73"/>
      <c r="B29" s="551"/>
      <c r="C29" s="555"/>
      <c r="D29" s="171">
        <v>46134</v>
      </c>
      <c r="E29" s="171" t="s">
        <v>112</v>
      </c>
      <c r="F29" s="331">
        <f t="shared" si="75"/>
        <v>0</v>
      </c>
      <c r="G29" s="553"/>
      <c r="H29" s="557"/>
      <c r="I29" s="172"/>
      <c r="J29" s="173"/>
      <c r="K29" s="172"/>
      <c r="L29" s="173"/>
      <c r="M29" s="172"/>
      <c r="N29" s="173"/>
      <c r="O29" s="172"/>
      <c r="P29" s="173"/>
      <c r="Q29" s="172"/>
      <c r="R29" s="173"/>
      <c r="S29" s="172"/>
      <c r="T29" s="173"/>
      <c r="U29" s="172"/>
      <c r="V29" s="173"/>
      <c r="W29" s="172"/>
      <c r="X29" s="173"/>
      <c r="Y29" s="172"/>
      <c r="Z29" s="173"/>
      <c r="AA29" s="172"/>
      <c r="AB29" s="173"/>
      <c r="AC29" s="172"/>
      <c r="AD29" s="173"/>
      <c r="AE29" s="172"/>
      <c r="AF29" s="173"/>
      <c r="AG29" s="172"/>
      <c r="AH29" s="173"/>
      <c r="AI29" s="172"/>
      <c r="AJ29" s="173"/>
      <c r="AK29" s="172"/>
      <c r="AL29" s="173"/>
    </row>
    <row r="30" spans="1:40" ht="15.75" customHeight="1">
      <c r="A30" s="73"/>
      <c r="B30" s="551"/>
      <c r="C30" s="555"/>
      <c r="D30" s="171">
        <v>46135</v>
      </c>
      <c r="E30" s="171" t="s">
        <v>113</v>
      </c>
      <c r="F30" s="331">
        <f t="shared" si="75"/>
        <v>0</v>
      </c>
      <c r="G30" s="553"/>
      <c r="H30" s="557"/>
      <c r="I30" s="172"/>
      <c r="J30" s="173"/>
      <c r="K30" s="172"/>
      <c r="L30" s="173"/>
      <c r="M30" s="172"/>
      <c r="N30" s="173"/>
      <c r="O30" s="172"/>
      <c r="P30" s="173"/>
      <c r="Q30" s="172"/>
      <c r="R30" s="173"/>
      <c r="S30" s="172"/>
      <c r="T30" s="173"/>
      <c r="U30" s="172"/>
      <c r="V30" s="173"/>
      <c r="W30" s="172"/>
      <c r="X30" s="173"/>
      <c r="Y30" s="172"/>
      <c r="Z30" s="173"/>
      <c r="AA30" s="172"/>
      <c r="AB30" s="173"/>
      <c r="AC30" s="172"/>
      <c r="AD30" s="173"/>
      <c r="AE30" s="172"/>
      <c r="AF30" s="173"/>
      <c r="AG30" s="172"/>
      <c r="AH30" s="173"/>
      <c r="AI30" s="172"/>
      <c r="AJ30" s="173"/>
      <c r="AK30" s="172"/>
      <c r="AL30" s="173"/>
    </row>
    <row r="31" spans="1:40" ht="15.75" customHeight="1">
      <c r="A31" s="73"/>
      <c r="B31" s="551"/>
      <c r="C31" s="555"/>
      <c r="D31" s="171">
        <v>46136</v>
      </c>
      <c r="E31" s="171" t="s">
        <v>114</v>
      </c>
      <c r="F31" s="331">
        <f t="shared" si="75"/>
        <v>0</v>
      </c>
      <c r="G31" s="553"/>
      <c r="H31" s="557"/>
      <c r="I31" s="172"/>
      <c r="J31" s="173"/>
      <c r="K31" s="172"/>
      <c r="L31" s="173"/>
      <c r="M31" s="172"/>
      <c r="N31" s="173"/>
      <c r="O31" s="172"/>
      <c r="P31" s="173"/>
      <c r="Q31" s="172"/>
      <c r="R31" s="173"/>
      <c r="S31" s="172"/>
      <c r="T31" s="173"/>
      <c r="U31" s="172"/>
      <c r="V31" s="173"/>
      <c r="W31" s="172"/>
      <c r="X31" s="173"/>
      <c r="Y31" s="172"/>
      <c r="Z31" s="173"/>
      <c r="AA31" s="172"/>
      <c r="AB31" s="173"/>
      <c r="AC31" s="172"/>
      <c r="AD31" s="173"/>
      <c r="AE31" s="172"/>
      <c r="AF31" s="173"/>
      <c r="AG31" s="172"/>
      <c r="AH31" s="173"/>
      <c r="AI31" s="172"/>
      <c r="AJ31" s="173"/>
      <c r="AK31" s="172"/>
      <c r="AL31" s="173"/>
    </row>
    <row r="32" spans="1:40" ht="15.75" customHeight="1">
      <c r="A32" s="73"/>
      <c r="B32" s="551"/>
      <c r="C32" s="555"/>
      <c r="D32" s="171">
        <v>46137</v>
      </c>
      <c r="E32" s="171" t="s">
        <v>115</v>
      </c>
      <c r="F32" s="331">
        <f t="shared" si="75"/>
        <v>0</v>
      </c>
      <c r="G32" s="553"/>
      <c r="H32" s="557"/>
      <c r="I32" s="172"/>
      <c r="J32" s="173"/>
      <c r="K32" s="172"/>
      <c r="L32" s="173"/>
      <c r="M32" s="172"/>
      <c r="N32" s="173"/>
      <c r="O32" s="172"/>
      <c r="P32" s="173"/>
      <c r="Q32" s="172"/>
      <c r="R32" s="173"/>
      <c r="S32" s="172"/>
      <c r="T32" s="173"/>
      <c r="U32" s="172"/>
      <c r="V32" s="173"/>
      <c r="W32" s="172"/>
      <c r="X32" s="173"/>
      <c r="Y32" s="172"/>
      <c r="Z32" s="173"/>
      <c r="AA32" s="172"/>
      <c r="AB32" s="173"/>
      <c r="AC32" s="172"/>
      <c r="AD32" s="173"/>
      <c r="AE32" s="172"/>
      <c r="AF32" s="173"/>
      <c r="AG32" s="172"/>
      <c r="AH32" s="173"/>
      <c r="AI32" s="172"/>
      <c r="AJ32" s="173"/>
      <c r="AK32" s="172"/>
      <c r="AL32" s="173"/>
    </row>
    <row r="33" spans="1:38" ht="15.75" customHeight="1">
      <c r="A33" s="73"/>
      <c r="B33" s="551"/>
      <c r="C33" s="555"/>
      <c r="D33" s="171">
        <v>46138</v>
      </c>
      <c r="E33" s="171" t="s">
        <v>116</v>
      </c>
      <c r="F33" s="331">
        <f t="shared" si="75"/>
        <v>0</v>
      </c>
      <c r="G33" s="553"/>
      <c r="H33" s="557"/>
      <c r="I33" s="172"/>
      <c r="J33" s="173"/>
      <c r="K33" s="172"/>
      <c r="L33" s="173"/>
      <c r="M33" s="172"/>
      <c r="N33" s="173"/>
      <c r="O33" s="172"/>
      <c r="P33" s="173"/>
      <c r="Q33" s="172"/>
      <c r="R33" s="173"/>
      <c r="S33" s="172"/>
      <c r="T33" s="173"/>
      <c r="U33" s="172"/>
      <c r="V33" s="173"/>
      <c r="W33" s="172"/>
      <c r="X33" s="173"/>
      <c r="Y33" s="172"/>
      <c r="Z33" s="173"/>
      <c r="AA33" s="172"/>
      <c r="AB33" s="173"/>
      <c r="AC33" s="172"/>
      <c r="AD33" s="173"/>
      <c r="AE33" s="172"/>
      <c r="AF33" s="173"/>
      <c r="AG33" s="172"/>
      <c r="AH33" s="173"/>
      <c r="AI33" s="172"/>
      <c r="AJ33" s="173"/>
      <c r="AK33" s="172"/>
      <c r="AL33" s="173"/>
    </row>
    <row r="34" spans="1:38" ht="15.75" customHeight="1">
      <c r="A34" s="73"/>
      <c r="B34" s="552"/>
      <c r="C34" s="555"/>
      <c r="D34" s="171">
        <v>46139</v>
      </c>
      <c r="E34" s="171" t="s">
        <v>117</v>
      </c>
      <c r="F34" s="331">
        <f t="shared" si="75"/>
        <v>0</v>
      </c>
      <c r="G34" s="553"/>
      <c r="H34" s="557"/>
      <c r="I34" s="172"/>
      <c r="J34" s="173"/>
      <c r="K34" s="172"/>
      <c r="L34" s="173"/>
      <c r="M34" s="172"/>
      <c r="N34" s="173"/>
      <c r="O34" s="172"/>
      <c r="P34" s="173"/>
      <c r="Q34" s="172"/>
      <c r="R34" s="173"/>
      <c r="S34" s="172"/>
      <c r="T34" s="173"/>
      <c r="U34" s="172"/>
      <c r="V34" s="173"/>
      <c r="W34" s="172"/>
      <c r="X34" s="173"/>
      <c r="Y34" s="172"/>
      <c r="Z34" s="173"/>
      <c r="AA34" s="172"/>
      <c r="AB34" s="173"/>
      <c r="AC34" s="172"/>
      <c r="AD34" s="173"/>
      <c r="AE34" s="172"/>
      <c r="AF34" s="173"/>
      <c r="AG34" s="172"/>
      <c r="AH34" s="173"/>
      <c r="AI34" s="172"/>
      <c r="AJ34" s="173"/>
      <c r="AK34" s="172"/>
      <c r="AL34" s="173"/>
    </row>
    <row r="35" spans="1:38" ht="15.75" customHeight="1">
      <c r="A35" s="73"/>
      <c r="B35" s="550">
        <f>D36+7</f>
        <v>46148</v>
      </c>
      <c r="C35" s="555"/>
      <c r="D35" s="171">
        <v>46140</v>
      </c>
      <c r="E35" s="171" t="s">
        <v>118</v>
      </c>
      <c r="F35" s="331">
        <f t="shared" ref="F35:F41" si="76">SUM(M35,S35,U35,W35,AC35,AE35,AG35,AI35,AK35)</f>
        <v>0</v>
      </c>
      <c r="G35" s="553">
        <f>SUM(F35:F41)</f>
        <v>0</v>
      </c>
      <c r="H35" s="557"/>
      <c r="I35" s="172"/>
      <c r="J35" s="173"/>
      <c r="K35" s="172"/>
      <c r="L35" s="173"/>
      <c r="M35" s="172"/>
      <c r="N35" s="173"/>
      <c r="O35" s="172"/>
      <c r="P35" s="173"/>
      <c r="Q35" s="172"/>
      <c r="R35" s="173"/>
      <c r="S35" s="172"/>
      <c r="T35" s="173"/>
      <c r="U35" s="172"/>
      <c r="V35" s="173"/>
      <c r="W35" s="172"/>
      <c r="X35" s="173"/>
      <c r="Y35" s="172"/>
      <c r="Z35" s="173"/>
      <c r="AA35" s="172"/>
      <c r="AB35" s="173"/>
      <c r="AC35" s="172"/>
      <c r="AD35" s="173"/>
      <c r="AE35" s="172"/>
      <c r="AF35" s="173"/>
      <c r="AG35" s="172"/>
      <c r="AH35" s="173"/>
      <c r="AI35" s="172"/>
      <c r="AJ35" s="173"/>
      <c r="AK35" s="172"/>
      <c r="AL35" s="173"/>
    </row>
    <row r="36" spans="1:38" ht="15.75" customHeight="1">
      <c r="A36" s="73"/>
      <c r="B36" s="551"/>
      <c r="C36" s="555"/>
      <c r="D36" s="171">
        <v>46141</v>
      </c>
      <c r="E36" s="171" t="s">
        <v>112</v>
      </c>
      <c r="F36" s="331">
        <f t="shared" si="76"/>
        <v>0</v>
      </c>
      <c r="G36" s="553"/>
      <c r="H36" s="557"/>
      <c r="I36" s="172"/>
      <c r="J36" s="173"/>
      <c r="K36" s="172"/>
      <c r="L36" s="173"/>
      <c r="M36" s="172"/>
      <c r="N36" s="173"/>
      <c r="O36" s="172"/>
      <c r="P36" s="173"/>
      <c r="Q36" s="172"/>
      <c r="R36" s="173"/>
      <c r="S36" s="172"/>
      <c r="T36" s="173"/>
      <c r="U36" s="172"/>
      <c r="V36" s="173"/>
      <c r="W36" s="172"/>
      <c r="X36" s="173"/>
      <c r="Y36" s="172"/>
      <c r="Z36" s="173"/>
      <c r="AA36" s="172"/>
      <c r="AB36" s="173"/>
      <c r="AC36" s="172"/>
      <c r="AD36" s="173"/>
      <c r="AE36" s="172"/>
      <c r="AF36" s="173"/>
      <c r="AG36" s="172"/>
      <c r="AH36" s="173"/>
      <c r="AI36" s="172"/>
      <c r="AJ36" s="173"/>
      <c r="AK36" s="172"/>
      <c r="AL36" s="173"/>
    </row>
    <row r="37" spans="1:38" ht="15.75" customHeight="1">
      <c r="A37" s="73"/>
      <c r="B37" s="551"/>
      <c r="C37" s="555"/>
      <c r="D37" s="171">
        <v>46142</v>
      </c>
      <c r="E37" s="171" t="s">
        <v>113</v>
      </c>
      <c r="F37" s="331">
        <f t="shared" si="76"/>
        <v>0</v>
      </c>
      <c r="G37" s="553"/>
      <c r="H37" s="557"/>
      <c r="I37" s="172"/>
      <c r="J37" s="173"/>
      <c r="K37" s="172"/>
      <c r="L37" s="173"/>
      <c r="M37" s="172"/>
      <c r="N37" s="173"/>
      <c r="O37" s="172"/>
      <c r="P37" s="173"/>
      <c r="Q37" s="172"/>
      <c r="R37" s="173"/>
      <c r="S37" s="172"/>
      <c r="T37" s="173"/>
      <c r="U37" s="172"/>
      <c r="V37" s="173"/>
      <c r="W37" s="172"/>
      <c r="X37" s="173"/>
      <c r="Y37" s="172"/>
      <c r="Z37" s="173"/>
      <c r="AA37" s="172"/>
      <c r="AB37" s="173"/>
      <c r="AC37" s="172"/>
      <c r="AD37" s="173"/>
      <c r="AE37" s="172"/>
      <c r="AF37" s="173"/>
      <c r="AG37" s="172"/>
      <c r="AH37" s="173"/>
      <c r="AI37" s="172"/>
      <c r="AJ37" s="173"/>
      <c r="AK37" s="172"/>
      <c r="AL37" s="173"/>
    </row>
    <row r="38" spans="1:38" ht="15.75">
      <c r="A38" s="73"/>
      <c r="B38" s="551"/>
      <c r="C38" s="496"/>
      <c r="D38" s="171">
        <v>46143</v>
      </c>
      <c r="E38" s="171" t="s">
        <v>114</v>
      </c>
      <c r="F38" s="331">
        <f t="shared" si="76"/>
        <v>0</v>
      </c>
      <c r="G38" s="553"/>
      <c r="H38" s="557"/>
      <c r="I38" s="172"/>
      <c r="J38" s="173"/>
      <c r="K38" s="172"/>
      <c r="L38" s="173"/>
      <c r="M38" s="172"/>
      <c r="N38" s="173"/>
      <c r="O38" s="172"/>
      <c r="P38" s="173"/>
      <c r="Q38" s="172"/>
      <c r="R38" s="173"/>
      <c r="S38" s="172"/>
      <c r="T38" s="173"/>
      <c r="U38" s="172"/>
      <c r="V38" s="173"/>
      <c r="W38" s="172"/>
      <c r="X38" s="173"/>
      <c r="Y38" s="172"/>
      <c r="Z38" s="173"/>
      <c r="AA38" s="172"/>
      <c r="AB38" s="173"/>
      <c r="AC38" s="172"/>
      <c r="AD38" s="173"/>
      <c r="AE38" s="172"/>
      <c r="AF38" s="173"/>
      <c r="AG38" s="172"/>
      <c r="AH38" s="173"/>
      <c r="AI38" s="172"/>
      <c r="AJ38" s="173"/>
      <c r="AK38" s="172"/>
      <c r="AL38" s="173"/>
    </row>
    <row r="39" spans="1:38" ht="15.75">
      <c r="A39" s="73"/>
      <c r="B39" s="551"/>
      <c r="C39" s="496"/>
      <c r="D39" s="171">
        <v>46144</v>
      </c>
      <c r="E39" s="171" t="s">
        <v>115</v>
      </c>
      <c r="F39" s="331">
        <f t="shared" si="76"/>
        <v>0</v>
      </c>
      <c r="G39" s="553"/>
      <c r="H39" s="557"/>
      <c r="I39" s="172"/>
      <c r="J39" s="173"/>
      <c r="K39" s="172"/>
      <c r="L39" s="173"/>
      <c r="M39" s="172"/>
      <c r="N39" s="173"/>
      <c r="O39" s="172"/>
      <c r="P39" s="173"/>
      <c r="Q39" s="172"/>
      <c r="R39" s="173"/>
      <c r="S39" s="172"/>
      <c r="T39" s="173"/>
      <c r="U39" s="172"/>
      <c r="V39" s="173"/>
      <c r="W39" s="172"/>
      <c r="X39" s="173"/>
      <c r="Y39" s="172"/>
      <c r="Z39" s="173"/>
      <c r="AA39" s="172"/>
      <c r="AB39" s="173"/>
      <c r="AC39" s="172"/>
      <c r="AD39" s="173"/>
      <c r="AE39" s="172"/>
      <c r="AF39" s="173"/>
      <c r="AG39" s="172"/>
      <c r="AH39" s="173"/>
      <c r="AI39" s="172"/>
      <c r="AJ39" s="173"/>
      <c r="AK39" s="172"/>
      <c r="AL39" s="173"/>
    </row>
    <row r="40" spans="1:38" ht="15.75">
      <c r="A40" s="73"/>
      <c r="B40" s="551"/>
      <c r="C40" s="496"/>
      <c r="D40" s="171">
        <v>46145</v>
      </c>
      <c r="E40" s="171" t="s">
        <v>116</v>
      </c>
      <c r="F40" s="331">
        <f t="shared" si="76"/>
        <v>0</v>
      </c>
      <c r="G40" s="553"/>
      <c r="H40" s="557"/>
      <c r="I40" s="172"/>
      <c r="J40" s="173"/>
      <c r="K40" s="172"/>
      <c r="L40" s="173"/>
      <c r="M40" s="172"/>
      <c r="N40" s="173"/>
      <c r="O40" s="172"/>
      <c r="P40" s="173"/>
      <c r="Q40" s="172"/>
      <c r="R40" s="173"/>
      <c r="S40" s="172"/>
      <c r="T40" s="173"/>
      <c r="U40" s="172"/>
      <c r="V40" s="173"/>
      <c r="W40" s="172"/>
      <c r="X40" s="173"/>
      <c r="Y40" s="172"/>
      <c r="Z40" s="173"/>
      <c r="AA40" s="172"/>
      <c r="AB40" s="173"/>
      <c r="AC40" s="172"/>
      <c r="AD40" s="173"/>
      <c r="AE40" s="172"/>
      <c r="AF40" s="173"/>
      <c r="AG40" s="172"/>
      <c r="AH40" s="173"/>
      <c r="AI40" s="172"/>
      <c r="AJ40" s="173"/>
      <c r="AK40" s="172"/>
      <c r="AL40" s="173"/>
    </row>
    <row r="41" spans="1:38" ht="15.75">
      <c r="A41" s="73"/>
      <c r="B41" s="552"/>
      <c r="C41" s="497"/>
      <c r="D41" s="171">
        <v>46146</v>
      </c>
      <c r="E41" s="171" t="s">
        <v>117</v>
      </c>
      <c r="F41" s="331">
        <f t="shared" si="76"/>
        <v>0</v>
      </c>
      <c r="G41" s="553"/>
      <c r="H41" s="558"/>
      <c r="I41" s="172"/>
      <c r="J41" s="173"/>
      <c r="K41" s="172"/>
      <c r="L41" s="173"/>
      <c r="M41" s="172"/>
      <c r="N41" s="173"/>
      <c r="O41" s="172"/>
      <c r="P41" s="173"/>
      <c r="Q41" s="172"/>
      <c r="R41" s="173"/>
      <c r="S41" s="172"/>
      <c r="T41" s="173"/>
      <c r="U41" s="172"/>
      <c r="V41" s="173"/>
      <c r="W41" s="172"/>
      <c r="X41" s="173"/>
      <c r="Y41" s="172"/>
      <c r="Z41" s="173"/>
      <c r="AA41" s="172"/>
      <c r="AB41" s="173"/>
      <c r="AC41" s="172"/>
      <c r="AD41" s="173"/>
      <c r="AE41" s="172"/>
      <c r="AF41" s="173"/>
      <c r="AG41" s="172"/>
      <c r="AH41" s="173"/>
      <c r="AI41" s="172"/>
      <c r="AJ41" s="173"/>
      <c r="AK41" s="172"/>
      <c r="AL41" s="173"/>
    </row>
  </sheetData>
  <mergeCells count="46">
    <mergeCell ref="B35:B41"/>
    <mergeCell ref="G35:G41"/>
    <mergeCell ref="C8:C37"/>
    <mergeCell ref="H8:H37"/>
    <mergeCell ref="H38:H41"/>
    <mergeCell ref="B21:B27"/>
    <mergeCell ref="G21:G27"/>
    <mergeCell ref="B28:B34"/>
    <mergeCell ref="G28:G34"/>
    <mergeCell ref="B14:B20"/>
    <mergeCell ref="G14:G20"/>
    <mergeCell ref="B7:B13"/>
    <mergeCell ref="G7:G13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topLeftCell="A7" zoomScale="85" zoomScaleNormal="85" workbookViewId="0">
      <selection activeCell="G21" sqref="G21:G27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18" t="s">
        <v>323</v>
      </c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</row>
    <row r="3" spans="1:38" ht="25.35" customHeight="1">
      <c r="B3" s="541" t="s">
        <v>422</v>
      </c>
      <c r="C3" s="542" t="s">
        <v>423</v>
      </c>
      <c r="D3" s="543" t="s">
        <v>105</v>
      </c>
      <c r="E3" s="543"/>
      <c r="F3" s="560" t="s">
        <v>153</v>
      </c>
      <c r="G3" s="560"/>
      <c r="H3" s="560"/>
      <c r="I3" s="565" t="s">
        <v>321</v>
      </c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565"/>
      <c r="V3" s="565"/>
      <c r="W3" s="565"/>
      <c r="X3" s="565"/>
      <c r="Y3" s="565"/>
      <c r="Z3" s="565"/>
      <c r="AA3" s="565"/>
      <c r="AB3" s="565"/>
      <c r="AC3" s="565"/>
      <c r="AD3" s="565"/>
      <c r="AE3" s="565"/>
      <c r="AF3" s="565"/>
      <c r="AG3" s="565"/>
      <c r="AH3" s="565"/>
      <c r="AI3" s="565"/>
      <c r="AJ3" s="565"/>
      <c r="AK3" s="565"/>
      <c r="AL3" s="565"/>
    </row>
    <row r="4" spans="1:38" ht="25.35" customHeight="1">
      <c r="B4" s="541"/>
      <c r="C4" s="542"/>
      <c r="D4" s="543"/>
      <c r="E4" s="543"/>
      <c r="F4" s="560"/>
      <c r="G4" s="560"/>
      <c r="H4" s="560"/>
      <c r="I4" s="559" t="s">
        <v>424</v>
      </c>
      <c r="J4" s="559"/>
      <c r="K4" s="559"/>
      <c r="L4" s="559"/>
      <c r="M4" s="559"/>
      <c r="N4" s="559"/>
      <c r="O4" s="559" t="s">
        <v>425</v>
      </c>
      <c r="P4" s="559"/>
      <c r="Q4" s="559"/>
      <c r="R4" s="559"/>
      <c r="S4" s="559"/>
      <c r="T4" s="559"/>
      <c r="U4" s="559" t="s">
        <v>426</v>
      </c>
      <c r="V4" s="559"/>
      <c r="W4" s="559" t="s">
        <v>427</v>
      </c>
      <c r="X4" s="559"/>
      <c r="Y4" s="559" t="s">
        <v>139</v>
      </c>
      <c r="Z4" s="559"/>
      <c r="AA4" s="559"/>
      <c r="AB4" s="559"/>
      <c r="AC4" s="559"/>
      <c r="AD4" s="559"/>
      <c r="AE4" s="559" t="s">
        <v>137</v>
      </c>
      <c r="AF4" s="559"/>
      <c r="AG4" s="559" t="s">
        <v>428</v>
      </c>
      <c r="AH4" s="559"/>
      <c r="AI4" s="559" t="s">
        <v>429</v>
      </c>
      <c r="AJ4" s="559"/>
      <c r="AK4" s="559" t="s">
        <v>143</v>
      </c>
      <c r="AL4" s="559"/>
    </row>
    <row r="5" spans="1:38" ht="25.35" customHeight="1">
      <c r="B5" s="541"/>
      <c r="C5" s="542"/>
      <c r="D5" s="543"/>
      <c r="E5" s="543"/>
      <c r="F5" s="561" t="s">
        <v>116</v>
      </c>
      <c r="G5" s="561" t="s">
        <v>120</v>
      </c>
      <c r="H5" s="561" t="s">
        <v>121</v>
      </c>
      <c r="I5" s="559" t="s">
        <v>133</v>
      </c>
      <c r="J5" s="559"/>
      <c r="K5" s="559" t="s">
        <v>134</v>
      </c>
      <c r="L5" s="559"/>
      <c r="M5" s="559" t="s">
        <v>152</v>
      </c>
      <c r="N5" s="559"/>
      <c r="O5" s="559" t="s">
        <v>133</v>
      </c>
      <c r="P5" s="559"/>
      <c r="Q5" s="559" t="s">
        <v>134</v>
      </c>
      <c r="R5" s="559"/>
      <c r="S5" s="559" t="s">
        <v>152</v>
      </c>
      <c r="T5" s="559"/>
      <c r="U5" s="559" t="s">
        <v>133</v>
      </c>
      <c r="V5" s="559"/>
      <c r="W5" s="559" t="s">
        <v>133</v>
      </c>
      <c r="X5" s="559"/>
      <c r="Y5" s="559" t="s">
        <v>133</v>
      </c>
      <c r="Z5" s="559"/>
      <c r="AA5" s="559" t="s">
        <v>134</v>
      </c>
      <c r="AB5" s="559"/>
      <c r="AC5" s="559" t="s">
        <v>152</v>
      </c>
      <c r="AD5" s="559"/>
      <c r="AE5" s="559" t="s">
        <v>133</v>
      </c>
      <c r="AF5" s="559"/>
      <c r="AG5" s="559" t="s">
        <v>133</v>
      </c>
      <c r="AH5" s="559"/>
      <c r="AI5" s="559" t="s">
        <v>133</v>
      </c>
      <c r="AJ5" s="559"/>
      <c r="AK5" s="559" t="s">
        <v>133</v>
      </c>
      <c r="AL5" s="559"/>
    </row>
    <row r="6" spans="1:38" s="77" customFormat="1" ht="23.45" customHeight="1">
      <c r="B6" s="541"/>
      <c r="C6" s="564"/>
      <c r="D6" s="544"/>
      <c r="E6" s="544"/>
      <c r="F6" s="562"/>
      <c r="G6" s="561"/>
      <c r="H6" s="561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50">
        <v>46120</v>
      </c>
      <c r="C7" s="498"/>
      <c r="D7" s="171">
        <v>46112</v>
      </c>
      <c r="E7" s="171" t="s">
        <v>118</v>
      </c>
      <c r="F7" s="332">
        <f t="shared" ref="F7:F27" si="0">SUM(M7,S7,U7,W7,AC7,AE7,AG7,AI7,AK7)</f>
        <v>179182</v>
      </c>
      <c r="G7" s="563">
        <f t="shared" ref="G7" si="1">SUM(F7:F13)</f>
        <v>995977</v>
      </c>
      <c r="H7" s="468"/>
      <c r="I7" s="316">
        <v>39563</v>
      </c>
      <c r="J7" s="237">
        <f t="shared" ref="J7:J27" si="2">I7/$F7</f>
        <v>0.22079784799812482</v>
      </c>
      <c r="K7" s="316">
        <v>61872</v>
      </c>
      <c r="L7" s="237">
        <f t="shared" ref="L7:L27" si="3">K7/$F7</f>
        <v>0.34530254154993245</v>
      </c>
      <c r="M7" s="316">
        <f t="shared" ref="M7:M27" si="4">I7+K7</f>
        <v>101435</v>
      </c>
      <c r="N7" s="237">
        <f t="shared" ref="N7:N27" si="5">M7/$F7</f>
        <v>0.5661003895480573</v>
      </c>
      <c r="O7" s="316">
        <v>11990</v>
      </c>
      <c r="P7" s="237">
        <f t="shared" ref="P7:P27" si="6">O7/$F7</f>
        <v>6.6915203536069473E-2</v>
      </c>
      <c r="Q7" s="316">
        <v>5532</v>
      </c>
      <c r="R7" s="237">
        <f t="shared" ref="R7:R27" si="7">Q7/$F7</f>
        <v>3.0873636860845398E-2</v>
      </c>
      <c r="S7" s="316">
        <f t="shared" ref="S7:S27" si="8">O7+Q7</f>
        <v>17522</v>
      </c>
      <c r="T7" s="237">
        <f t="shared" ref="T7:T27" si="9">S7/$F7</f>
        <v>9.7788840396914864E-2</v>
      </c>
      <c r="U7" s="316">
        <v>4406</v>
      </c>
      <c r="V7" s="237">
        <f t="shared" ref="V7:V27" si="10">U7/$F7</f>
        <v>2.4589523501244544E-2</v>
      </c>
      <c r="W7" s="316">
        <v>2100</v>
      </c>
      <c r="X7" s="237">
        <f t="shared" ref="X7:X27" si="11">W7/$F7</f>
        <v>1.1719927224832852E-2</v>
      </c>
      <c r="Y7" s="316">
        <v>3703</v>
      </c>
      <c r="Z7" s="237">
        <f t="shared" ref="Z7:Z27" si="12">Y7/$F7</f>
        <v>2.0666138339788594E-2</v>
      </c>
      <c r="AA7" s="316">
        <v>13360</v>
      </c>
      <c r="AB7" s="237">
        <f t="shared" ref="AB7:AB27" si="13">AA7/$F7</f>
        <v>7.4561060820841379E-2</v>
      </c>
      <c r="AC7" s="316">
        <f t="shared" ref="AC7:AC27" si="14">Y7+AA7</f>
        <v>17063</v>
      </c>
      <c r="AD7" s="237">
        <f t="shared" ref="AD7:AD27" si="15">AC7/$F7</f>
        <v>9.522719916062998E-2</v>
      </c>
      <c r="AE7" s="316">
        <v>33080</v>
      </c>
      <c r="AF7" s="237">
        <f t="shared" ref="AF7:AF27" si="16">AE7/$F7</f>
        <v>0.18461675837974797</v>
      </c>
      <c r="AG7" s="316">
        <v>0</v>
      </c>
      <c r="AH7" s="237">
        <f t="shared" ref="AH7:AH27" si="17">AG7/$F7</f>
        <v>0</v>
      </c>
      <c r="AI7" s="316">
        <v>0</v>
      </c>
      <c r="AJ7" s="237">
        <f t="shared" ref="AJ7:AJ27" si="18">AI7/$F7</f>
        <v>0</v>
      </c>
      <c r="AK7" s="316">
        <v>3576</v>
      </c>
      <c r="AL7" s="237">
        <f t="shared" ref="AL7:AL27" si="19">AK7/$F7</f>
        <v>1.9957361788572513E-2</v>
      </c>
    </row>
    <row r="8" spans="1:38" s="73" customFormat="1" ht="14.25" customHeight="1">
      <c r="B8" s="551"/>
      <c r="C8" s="554" t="s">
        <v>113</v>
      </c>
      <c r="D8" s="171">
        <v>46113</v>
      </c>
      <c r="E8" s="171" t="s">
        <v>112</v>
      </c>
      <c r="F8" s="332">
        <f t="shared" si="0"/>
        <v>156110</v>
      </c>
      <c r="G8" s="563"/>
      <c r="H8" s="566">
        <f>SUM(F8:F37)</f>
        <v>3434128</v>
      </c>
      <c r="I8" s="316">
        <v>37671</v>
      </c>
      <c r="J8" s="237">
        <f t="shared" si="2"/>
        <v>0.24131061431042214</v>
      </c>
      <c r="K8" s="316">
        <v>53228</v>
      </c>
      <c r="L8" s="237">
        <f t="shared" si="3"/>
        <v>0.34096470437512011</v>
      </c>
      <c r="M8" s="316">
        <f t="shared" si="4"/>
        <v>90899</v>
      </c>
      <c r="N8" s="237">
        <f t="shared" si="5"/>
        <v>0.58227531868554228</v>
      </c>
      <c r="O8" s="316">
        <v>11422</v>
      </c>
      <c r="P8" s="237">
        <f t="shared" si="6"/>
        <v>7.3166357055922102E-2</v>
      </c>
      <c r="Q8" s="316">
        <v>5248</v>
      </c>
      <c r="R8" s="237">
        <f t="shared" si="7"/>
        <v>3.3617321119723272E-2</v>
      </c>
      <c r="S8" s="316">
        <f t="shared" si="8"/>
        <v>16670</v>
      </c>
      <c r="T8" s="237">
        <f t="shared" si="9"/>
        <v>0.10678367817564538</v>
      </c>
      <c r="U8" s="316">
        <v>3921</v>
      </c>
      <c r="V8" s="237">
        <f t="shared" si="10"/>
        <v>2.5116904746653002E-2</v>
      </c>
      <c r="W8" s="316">
        <v>2035</v>
      </c>
      <c r="X8" s="237">
        <f t="shared" si="11"/>
        <v>1.3035679969252451E-2</v>
      </c>
      <c r="Y8" s="316">
        <v>3191</v>
      </c>
      <c r="Z8" s="237">
        <f t="shared" si="12"/>
        <v>2.0440714880532958E-2</v>
      </c>
      <c r="AA8" s="316">
        <v>9792</v>
      </c>
      <c r="AB8" s="237">
        <f t="shared" si="13"/>
        <v>6.272500160143489E-2</v>
      </c>
      <c r="AC8" s="316">
        <f t="shared" si="14"/>
        <v>12983</v>
      </c>
      <c r="AD8" s="237">
        <f t="shared" si="15"/>
        <v>8.3165716481967841E-2</v>
      </c>
      <c r="AE8" s="316">
        <v>25933</v>
      </c>
      <c r="AF8" s="237">
        <f t="shared" si="16"/>
        <v>0.1661200435590289</v>
      </c>
      <c r="AG8" s="316">
        <v>0</v>
      </c>
      <c r="AH8" s="237">
        <f t="shared" si="17"/>
        <v>0</v>
      </c>
      <c r="AI8" s="316">
        <v>0</v>
      </c>
      <c r="AJ8" s="237">
        <f t="shared" si="18"/>
        <v>0</v>
      </c>
      <c r="AK8" s="316">
        <v>3669</v>
      </c>
      <c r="AL8" s="237">
        <f t="shared" si="19"/>
        <v>2.350265838191019E-2</v>
      </c>
    </row>
    <row r="9" spans="1:38" s="73" customFormat="1" ht="14.25" customHeight="1">
      <c r="B9" s="551"/>
      <c r="C9" s="555"/>
      <c r="D9" s="171">
        <v>46114</v>
      </c>
      <c r="E9" s="171" t="s">
        <v>113</v>
      </c>
      <c r="F9" s="332">
        <f t="shared" si="0"/>
        <v>125387</v>
      </c>
      <c r="G9" s="563"/>
      <c r="H9" s="567"/>
      <c r="I9" s="316">
        <v>27133</v>
      </c>
      <c r="J9" s="237">
        <f t="shared" si="2"/>
        <v>0.21639404403965323</v>
      </c>
      <c r="K9" s="316">
        <v>46135</v>
      </c>
      <c r="L9" s="237">
        <f t="shared" si="3"/>
        <v>0.36794085511257146</v>
      </c>
      <c r="M9" s="316">
        <f t="shared" si="4"/>
        <v>73268</v>
      </c>
      <c r="N9" s="237">
        <f t="shared" si="5"/>
        <v>0.5843348991522247</v>
      </c>
      <c r="O9" s="316">
        <v>7731</v>
      </c>
      <c r="P9" s="237">
        <f t="shared" si="6"/>
        <v>6.1657109588713344E-2</v>
      </c>
      <c r="Q9" s="316">
        <v>4501</v>
      </c>
      <c r="R9" s="237">
        <f t="shared" si="7"/>
        <v>3.5896863311188562E-2</v>
      </c>
      <c r="S9" s="316">
        <f t="shared" si="8"/>
        <v>12232</v>
      </c>
      <c r="T9" s="237">
        <f t="shared" si="9"/>
        <v>9.7553972899901906E-2</v>
      </c>
      <c r="U9" s="316">
        <v>3648</v>
      </c>
      <c r="V9" s="237">
        <f t="shared" si="10"/>
        <v>2.9093925207557401E-2</v>
      </c>
      <c r="W9" s="316">
        <v>2130</v>
      </c>
      <c r="X9" s="237">
        <f t="shared" si="11"/>
        <v>1.6987406987965258E-2</v>
      </c>
      <c r="Y9" s="316">
        <v>2859</v>
      </c>
      <c r="Z9" s="237">
        <f t="shared" si="12"/>
        <v>2.2801406844409709E-2</v>
      </c>
      <c r="AA9" s="316">
        <v>8660</v>
      </c>
      <c r="AB9" s="237">
        <f t="shared" si="13"/>
        <v>6.9066171134168616E-2</v>
      </c>
      <c r="AC9" s="316">
        <f t="shared" si="14"/>
        <v>11519</v>
      </c>
      <c r="AD9" s="237">
        <f t="shared" si="15"/>
        <v>9.1867577978578321E-2</v>
      </c>
      <c r="AE9" s="316">
        <v>19281</v>
      </c>
      <c r="AF9" s="237">
        <f t="shared" si="16"/>
        <v>0.15377192212908833</v>
      </c>
      <c r="AG9" s="316">
        <v>0</v>
      </c>
      <c r="AH9" s="237">
        <f t="shared" si="17"/>
        <v>0</v>
      </c>
      <c r="AI9" s="316">
        <v>0</v>
      </c>
      <c r="AJ9" s="237">
        <f t="shared" si="18"/>
        <v>0</v>
      </c>
      <c r="AK9" s="316">
        <v>3309</v>
      </c>
      <c r="AL9" s="237">
        <f t="shared" si="19"/>
        <v>2.6390295644684057E-2</v>
      </c>
    </row>
    <row r="10" spans="1:38" s="73" customFormat="1" ht="14.25" customHeight="1">
      <c r="B10" s="551"/>
      <c r="C10" s="555"/>
      <c r="D10" s="171">
        <v>46115</v>
      </c>
      <c r="E10" s="171" t="s">
        <v>114</v>
      </c>
      <c r="F10" s="332">
        <f t="shared" si="0"/>
        <v>119195</v>
      </c>
      <c r="G10" s="563"/>
      <c r="H10" s="567"/>
      <c r="I10" s="316">
        <v>25747</v>
      </c>
      <c r="J10" s="237">
        <f t="shared" si="2"/>
        <v>0.2160073828600193</v>
      </c>
      <c r="K10" s="316">
        <v>43064</v>
      </c>
      <c r="L10" s="237">
        <f t="shared" si="3"/>
        <v>0.36129032258064514</v>
      </c>
      <c r="M10" s="316">
        <f t="shared" si="4"/>
        <v>68811</v>
      </c>
      <c r="N10" s="237">
        <f t="shared" si="5"/>
        <v>0.5772977054406645</v>
      </c>
      <c r="O10" s="316">
        <v>7237</v>
      </c>
      <c r="P10" s="237">
        <f t="shared" si="6"/>
        <v>6.0715634045052223E-2</v>
      </c>
      <c r="Q10" s="316">
        <v>4414</v>
      </c>
      <c r="R10" s="237">
        <f t="shared" si="7"/>
        <v>3.7031754687696629E-2</v>
      </c>
      <c r="S10" s="316">
        <f t="shared" si="8"/>
        <v>11651</v>
      </c>
      <c r="T10" s="237">
        <f t="shared" si="9"/>
        <v>9.7747388732748852E-2</v>
      </c>
      <c r="U10" s="316">
        <v>3295</v>
      </c>
      <c r="V10" s="237">
        <f t="shared" si="10"/>
        <v>2.7643777004068962E-2</v>
      </c>
      <c r="W10" s="316">
        <v>1950</v>
      </c>
      <c r="X10" s="237">
        <f t="shared" si="11"/>
        <v>1.6359746633667519E-2</v>
      </c>
      <c r="Y10" s="316">
        <v>2911</v>
      </c>
      <c r="Z10" s="237">
        <f t="shared" si="12"/>
        <v>2.4422165359285205E-2</v>
      </c>
      <c r="AA10" s="316">
        <v>10214</v>
      </c>
      <c r="AB10" s="237">
        <f t="shared" si="13"/>
        <v>8.5691513905784639E-2</v>
      </c>
      <c r="AC10" s="316">
        <f t="shared" si="14"/>
        <v>13125</v>
      </c>
      <c r="AD10" s="237">
        <f t="shared" si="15"/>
        <v>0.11011367926506985</v>
      </c>
      <c r="AE10" s="316">
        <v>16976</v>
      </c>
      <c r="AF10" s="237">
        <f t="shared" si="16"/>
        <v>0.14242208146314861</v>
      </c>
      <c r="AG10" s="316">
        <v>0</v>
      </c>
      <c r="AH10" s="237">
        <f t="shared" si="17"/>
        <v>0</v>
      </c>
      <c r="AI10" s="316">
        <v>0</v>
      </c>
      <c r="AJ10" s="237">
        <f t="shared" si="18"/>
        <v>0</v>
      </c>
      <c r="AK10" s="316">
        <v>3387</v>
      </c>
      <c r="AL10" s="237">
        <f t="shared" si="19"/>
        <v>2.841562146063174E-2</v>
      </c>
    </row>
    <row r="11" spans="1:38" s="73" customFormat="1" ht="14.25" customHeight="1">
      <c r="B11" s="551"/>
      <c r="C11" s="555"/>
      <c r="D11" s="171">
        <v>46116</v>
      </c>
      <c r="E11" s="171" t="s">
        <v>115</v>
      </c>
      <c r="F11" s="332">
        <f t="shared" si="0"/>
        <v>114970</v>
      </c>
      <c r="G11" s="563"/>
      <c r="H11" s="567"/>
      <c r="I11" s="316">
        <v>24260</v>
      </c>
      <c r="J11" s="237">
        <f t="shared" si="2"/>
        <v>0.21101156823519179</v>
      </c>
      <c r="K11" s="316">
        <v>41153</v>
      </c>
      <c r="L11" s="237">
        <f t="shared" si="3"/>
        <v>0.35794555101330783</v>
      </c>
      <c r="M11" s="316">
        <f t="shared" si="4"/>
        <v>65413</v>
      </c>
      <c r="N11" s="237">
        <f t="shared" si="5"/>
        <v>0.56895711924849957</v>
      </c>
      <c r="O11" s="316">
        <v>6856</v>
      </c>
      <c r="P11" s="237">
        <f t="shared" si="6"/>
        <v>5.9632947725493608E-2</v>
      </c>
      <c r="Q11" s="316">
        <v>4201</v>
      </c>
      <c r="R11" s="237">
        <f t="shared" si="7"/>
        <v>3.6539966947899453E-2</v>
      </c>
      <c r="S11" s="316">
        <f t="shared" si="8"/>
        <v>11057</v>
      </c>
      <c r="T11" s="237">
        <f t="shared" si="9"/>
        <v>9.6172914673393062E-2</v>
      </c>
      <c r="U11" s="316">
        <v>3268</v>
      </c>
      <c r="V11" s="237">
        <f t="shared" si="10"/>
        <v>2.842480647125337E-2</v>
      </c>
      <c r="W11" s="316">
        <v>2046</v>
      </c>
      <c r="X11" s="237">
        <f t="shared" si="11"/>
        <v>1.7795946768722277E-2</v>
      </c>
      <c r="Y11" s="316">
        <v>3158</v>
      </c>
      <c r="Z11" s="237">
        <f t="shared" si="12"/>
        <v>2.7468035139601634E-2</v>
      </c>
      <c r="AA11" s="316">
        <v>9944</v>
      </c>
      <c r="AB11" s="237">
        <f t="shared" si="13"/>
        <v>8.6492128381316868E-2</v>
      </c>
      <c r="AC11" s="316">
        <f t="shared" si="14"/>
        <v>13102</v>
      </c>
      <c r="AD11" s="237">
        <f t="shared" si="15"/>
        <v>0.11396016352091851</v>
      </c>
      <c r="AE11" s="316">
        <v>17210</v>
      </c>
      <c r="AF11" s="237">
        <f t="shared" si="16"/>
        <v>0.1496912237975124</v>
      </c>
      <c r="AG11" s="316">
        <v>0</v>
      </c>
      <c r="AH11" s="237">
        <f t="shared" si="17"/>
        <v>0</v>
      </c>
      <c r="AI11" s="316">
        <v>0</v>
      </c>
      <c r="AJ11" s="237">
        <f t="shared" si="18"/>
        <v>0</v>
      </c>
      <c r="AK11" s="316">
        <v>2874</v>
      </c>
      <c r="AL11" s="237">
        <f t="shared" si="19"/>
        <v>2.4997825519700791E-2</v>
      </c>
    </row>
    <row r="12" spans="1:38" s="73" customFormat="1" ht="14.25" customHeight="1">
      <c r="B12" s="551"/>
      <c r="C12" s="555"/>
      <c r="D12" s="171">
        <v>46117</v>
      </c>
      <c r="E12" s="171" t="s">
        <v>116</v>
      </c>
      <c r="F12" s="332">
        <f t="shared" si="0"/>
        <v>129122</v>
      </c>
      <c r="G12" s="563"/>
      <c r="H12" s="567"/>
      <c r="I12" s="316">
        <v>25018</v>
      </c>
      <c r="J12" s="237">
        <f t="shared" si="2"/>
        <v>0.19375474357584299</v>
      </c>
      <c r="K12" s="316">
        <v>50126</v>
      </c>
      <c r="L12" s="237">
        <f t="shared" si="3"/>
        <v>0.38820650237759641</v>
      </c>
      <c r="M12" s="316">
        <f t="shared" si="4"/>
        <v>75144</v>
      </c>
      <c r="N12" s="237">
        <f t="shared" si="5"/>
        <v>0.58196124595343934</v>
      </c>
      <c r="O12" s="316">
        <v>7276</v>
      </c>
      <c r="P12" s="237">
        <f t="shared" si="6"/>
        <v>5.6349808708043556E-2</v>
      </c>
      <c r="Q12" s="316">
        <v>4599</v>
      </c>
      <c r="R12" s="237">
        <f t="shared" si="7"/>
        <v>3.5617478044020386E-2</v>
      </c>
      <c r="S12" s="316">
        <f t="shared" si="8"/>
        <v>11875</v>
      </c>
      <c r="T12" s="237">
        <f t="shared" si="9"/>
        <v>9.1967286752063934E-2</v>
      </c>
      <c r="U12" s="316">
        <v>3281</v>
      </c>
      <c r="V12" s="237">
        <f t="shared" si="10"/>
        <v>2.5410077291243938E-2</v>
      </c>
      <c r="W12" s="316">
        <v>1678</v>
      </c>
      <c r="X12" s="237">
        <f t="shared" si="11"/>
        <v>1.2995461656417961E-2</v>
      </c>
      <c r="Y12" s="316">
        <v>3244</v>
      </c>
      <c r="Z12" s="237">
        <f t="shared" si="12"/>
        <v>2.5123526587258561E-2</v>
      </c>
      <c r="AA12" s="316">
        <v>12878</v>
      </c>
      <c r="AB12" s="237">
        <f t="shared" si="13"/>
        <v>9.9735134214154059E-2</v>
      </c>
      <c r="AC12" s="316">
        <f t="shared" si="14"/>
        <v>16122</v>
      </c>
      <c r="AD12" s="237">
        <f t="shared" si="15"/>
        <v>0.12485866080141261</v>
      </c>
      <c r="AE12" s="316">
        <v>18574</v>
      </c>
      <c r="AF12" s="237">
        <f t="shared" si="16"/>
        <v>0.14384845340065985</v>
      </c>
      <c r="AG12" s="316">
        <v>0</v>
      </c>
      <c r="AH12" s="237">
        <f t="shared" si="17"/>
        <v>0</v>
      </c>
      <c r="AI12" s="316">
        <v>0</v>
      </c>
      <c r="AJ12" s="237">
        <f t="shared" si="18"/>
        <v>0</v>
      </c>
      <c r="AK12" s="316">
        <v>2448</v>
      </c>
      <c r="AL12" s="237">
        <f t="shared" si="19"/>
        <v>1.8958814144762318E-2</v>
      </c>
    </row>
    <row r="13" spans="1:38" s="73" customFormat="1" ht="14.25" customHeight="1">
      <c r="B13" s="552"/>
      <c r="C13" s="555"/>
      <c r="D13" s="171">
        <v>46118</v>
      </c>
      <c r="E13" s="171" t="s">
        <v>117</v>
      </c>
      <c r="F13" s="332">
        <f t="shared" si="0"/>
        <v>172011</v>
      </c>
      <c r="G13" s="563"/>
      <c r="H13" s="567"/>
      <c r="I13" s="316">
        <v>38598</v>
      </c>
      <c r="J13" s="237">
        <f t="shared" si="2"/>
        <v>0.22439262605298499</v>
      </c>
      <c r="K13" s="316">
        <v>63604</v>
      </c>
      <c r="L13" s="237">
        <f t="shared" si="3"/>
        <v>0.3697670497817</v>
      </c>
      <c r="M13" s="316">
        <f t="shared" si="4"/>
        <v>102202</v>
      </c>
      <c r="N13" s="237">
        <f t="shared" si="5"/>
        <v>0.59415967583468499</v>
      </c>
      <c r="O13" s="316">
        <v>10406</v>
      </c>
      <c r="P13" s="237">
        <f t="shared" si="6"/>
        <v>6.0496131061385607E-2</v>
      </c>
      <c r="Q13" s="316">
        <v>1439</v>
      </c>
      <c r="R13" s="237">
        <f t="shared" si="7"/>
        <v>8.3657440512525365E-3</v>
      </c>
      <c r="S13" s="316">
        <f t="shared" si="8"/>
        <v>11845</v>
      </c>
      <c r="T13" s="237">
        <f t="shared" si="9"/>
        <v>6.8861875112638152E-2</v>
      </c>
      <c r="U13" s="316">
        <v>4158</v>
      </c>
      <c r="V13" s="237">
        <f t="shared" si="10"/>
        <v>2.4172872665120256E-2</v>
      </c>
      <c r="W13" s="316">
        <v>2066</v>
      </c>
      <c r="X13" s="237">
        <f t="shared" si="11"/>
        <v>1.2010859770596067E-2</v>
      </c>
      <c r="Y13" s="316">
        <v>4119</v>
      </c>
      <c r="Z13" s="237">
        <f t="shared" si="12"/>
        <v>2.3946142979228074E-2</v>
      </c>
      <c r="AA13" s="316">
        <v>14276</v>
      </c>
      <c r="AB13" s="237">
        <f t="shared" si="13"/>
        <v>8.2994692199917453E-2</v>
      </c>
      <c r="AC13" s="316">
        <f t="shared" si="14"/>
        <v>18395</v>
      </c>
      <c r="AD13" s="237">
        <f t="shared" si="15"/>
        <v>0.10694083517914552</v>
      </c>
      <c r="AE13" s="316">
        <v>29946</v>
      </c>
      <c r="AF13" s="237">
        <f t="shared" si="16"/>
        <v>0.17409351727505798</v>
      </c>
      <c r="AG13" s="316">
        <v>0</v>
      </c>
      <c r="AH13" s="237">
        <f t="shared" si="17"/>
        <v>0</v>
      </c>
      <c r="AI13" s="316">
        <v>0</v>
      </c>
      <c r="AJ13" s="237">
        <f t="shared" si="18"/>
        <v>0</v>
      </c>
      <c r="AK13" s="316">
        <v>3399</v>
      </c>
      <c r="AL13" s="237">
        <f t="shared" si="19"/>
        <v>1.9760364162757033E-2</v>
      </c>
    </row>
    <row r="14" spans="1:38" s="73" customFormat="1" ht="14.25" customHeight="1">
      <c r="B14" s="550">
        <f>B7+7</f>
        <v>46127</v>
      </c>
      <c r="C14" s="555"/>
      <c r="D14" s="171">
        <v>46119</v>
      </c>
      <c r="E14" s="171" t="s">
        <v>118</v>
      </c>
      <c r="F14" s="332">
        <f t="shared" si="0"/>
        <v>179797</v>
      </c>
      <c r="G14" s="563">
        <f t="shared" ref="G14" si="20">SUM(F14:F20)</f>
        <v>1171613</v>
      </c>
      <c r="H14" s="567"/>
      <c r="I14" s="316">
        <v>38175</v>
      </c>
      <c r="J14" s="237">
        <f t="shared" si="2"/>
        <v>0.21232278625338577</v>
      </c>
      <c r="K14" s="316">
        <v>61850</v>
      </c>
      <c r="L14" s="237">
        <f t="shared" si="3"/>
        <v>0.34399906561288562</v>
      </c>
      <c r="M14" s="316">
        <f t="shared" si="4"/>
        <v>100025</v>
      </c>
      <c r="N14" s="237">
        <f t="shared" si="5"/>
        <v>0.55632185186627137</v>
      </c>
      <c r="O14" s="316">
        <v>15937</v>
      </c>
      <c r="P14" s="237">
        <f t="shared" si="6"/>
        <v>8.8638853818473057E-2</v>
      </c>
      <c r="Q14" s="316">
        <v>1427</v>
      </c>
      <c r="R14" s="237">
        <f t="shared" si="7"/>
        <v>7.9367286439707002E-3</v>
      </c>
      <c r="S14" s="316">
        <f t="shared" si="8"/>
        <v>17364</v>
      </c>
      <c r="T14" s="237">
        <f t="shared" si="9"/>
        <v>9.6575582462443757E-2</v>
      </c>
      <c r="U14" s="316">
        <v>3887</v>
      </c>
      <c r="V14" s="237">
        <f t="shared" si="10"/>
        <v>2.1618825675623062E-2</v>
      </c>
      <c r="W14" s="316">
        <v>10076</v>
      </c>
      <c r="X14" s="237">
        <f t="shared" si="11"/>
        <v>5.6040979549158217E-2</v>
      </c>
      <c r="Y14" s="316">
        <v>3893</v>
      </c>
      <c r="Z14" s="237">
        <f t="shared" si="12"/>
        <v>2.1652196643992948E-2</v>
      </c>
      <c r="AA14" s="316">
        <v>13527</v>
      </c>
      <c r="AB14" s="237">
        <f t="shared" si="13"/>
        <v>7.5234848189903059E-2</v>
      </c>
      <c r="AC14" s="316">
        <f t="shared" si="14"/>
        <v>17420</v>
      </c>
      <c r="AD14" s="237">
        <f t="shared" si="15"/>
        <v>9.6887044833895999E-2</v>
      </c>
      <c r="AE14" s="316">
        <v>27659</v>
      </c>
      <c r="AF14" s="237">
        <f t="shared" si="16"/>
        <v>0.15383460235710272</v>
      </c>
      <c r="AG14" s="316">
        <v>0</v>
      </c>
      <c r="AH14" s="237">
        <f t="shared" si="17"/>
        <v>0</v>
      </c>
      <c r="AI14" s="316">
        <v>0</v>
      </c>
      <c r="AJ14" s="237">
        <f t="shared" si="18"/>
        <v>0</v>
      </c>
      <c r="AK14" s="316">
        <v>3366</v>
      </c>
      <c r="AL14" s="237">
        <f t="shared" si="19"/>
        <v>1.872111325550482E-2</v>
      </c>
    </row>
    <row r="15" spans="1:38" s="73" customFormat="1" ht="14.25" customHeight="1">
      <c r="B15" s="551"/>
      <c r="C15" s="555"/>
      <c r="D15" s="171">
        <v>46120</v>
      </c>
      <c r="E15" s="171" t="s">
        <v>112</v>
      </c>
      <c r="F15" s="332">
        <f t="shared" si="0"/>
        <v>166150</v>
      </c>
      <c r="G15" s="563"/>
      <c r="H15" s="567"/>
      <c r="I15" s="316">
        <v>37405</v>
      </c>
      <c r="J15" s="237">
        <f t="shared" si="2"/>
        <v>0.22512789647908515</v>
      </c>
      <c r="K15" s="316">
        <v>59075</v>
      </c>
      <c r="L15" s="237">
        <f t="shared" si="3"/>
        <v>0.35555221185675595</v>
      </c>
      <c r="M15" s="316">
        <f t="shared" si="4"/>
        <v>96480</v>
      </c>
      <c r="N15" s="237">
        <f t="shared" si="5"/>
        <v>0.58068010833584116</v>
      </c>
      <c r="O15" s="316">
        <v>11557</v>
      </c>
      <c r="P15" s="237">
        <f t="shared" si="6"/>
        <v>6.955762864881132E-2</v>
      </c>
      <c r="Q15" s="316">
        <v>1499</v>
      </c>
      <c r="R15" s="237">
        <f t="shared" si="7"/>
        <v>9.0219681011134509E-3</v>
      </c>
      <c r="S15" s="316">
        <f t="shared" si="8"/>
        <v>13056</v>
      </c>
      <c r="T15" s="237">
        <f t="shared" si="9"/>
        <v>7.8579596749924763E-2</v>
      </c>
      <c r="U15" s="316">
        <v>3727</v>
      </c>
      <c r="V15" s="237">
        <f t="shared" si="10"/>
        <v>2.2431537767077941E-2</v>
      </c>
      <c r="W15" s="316">
        <v>6442</v>
      </c>
      <c r="X15" s="237">
        <f t="shared" si="11"/>
        <v>3.8772193800782423E-2</v>
      </c>
      <c r="Y15" s="316">
        <v>4326</v>
      </c>
      <c r="Z15" s="237">
        <f t="shared" si="12"/>
        <v>2.6036713812819742E-2</v>
      </c>
      <c r="AA15" s="316">
        <v>12822</v>
      </c>
      <c r="AB15" s="237">
        <f t="shared" si="13"/>
        <v>7.7171230815528138E-2</v>
      </c>
      <c r="AC15" s="316">
        <f t="shared" si="14"/>
        <v>17148</v>
      </c>
      <c r="AD15" s="237">
        <f t="shared" si="15"/>
        <v>0.10320794462834788</v>
      </c>
      <c r="AE15" s="316">
        <v>25679</v>
      </c>
      <c r="AF15" s="237">
        <f t="shared" si="16"/>
        <v>0.15455311465543184</v>
      </c>
      <c r="AG15" s="316">
        <v>0</v>
      </c>
      <c r="AH15" s="237">
        <f t="shared" si="17"/>
        <v>0</v>
      </c>
      <c r="AI15" s="316">
        <v>0</v>
      </c>
      <c r="AJ15" s="237">
        <f t="shared" si="18"/>
        <v>0</v>
      </c>
      <c r="AK15" s="316">
        <v>3618</v>
      </c>
      <c r="AL15" s="237">
        <f t="shared" si="19"/>
        <v>2.1775504062594042E-2</v>
      </c>
    </row>
    <row r="16" spans="1:38" s="73" customFormat="1" ht="14.25" customHeight="1">
      <c r="B16" s="551"/>
      <c r="C16" s="555"/>
      <c r="D16" s="171">
        <v>46121</v>
      </c>
      <c r="E16" s="171" t="s">
        <v>113</v>
      </c>
      <c r="F16" s="332">
        <f t="shared" si="0"/>
        <v>155377</v>
      </c>
      <c r="G16" s="563"/>
      <c r="H16" s="567"/>
      <c r="I16" s="316">
        <v>37021</v>
      </c>
      <c r="J16" s="237">
        <f t="shared" si="2"/>
        <v>0.23826563777135612</v>
      </c>
      <c r="K16" s="316">
        <v>53369</v>
      </c>
      <c r="L16" s="237">
        <f t="shared" si="3"/>
        <v>0.34348069534100928</v>
      </c>
      <c r="M16" s="316">
        <f t="shared" si="4"/>
        <v>90390</v>
      </c>
      <c r="N16" s="237">
        <f t="shared" si="5"/>
        <v>0.58174633311236545</v>
      </c>
      <c r="O16" s="316">
        <v>11585</v>
      </c>
      <c r="P16" s="237">
        <f t="shared" si="6"/>
        <v>7.4560584899953014E-2</v>
      </c>
      <c r="Q16" s="316">
        <v>1526</v>
      </c>
      <c r="R16" s="237">
        <f t="shared" si="7"/>
        <v>9.8212734188457759E-3</v>
      </c>
      <c r="S16" s="316">
        <f t="shared" si="8"/>
        <v>13111</v>
      </c>
      <c r="T16" s="237">
        <f t="shared" si="9"/>
        <v>8.4381858318798797E-2</v>
      </c>
      <c r="U16" s="316">
        <v>3661</v>
      </c>
      <c r="V16" s="237">
        <f t="shared" si="10"/>
        <v>2.3562045862643762E-2</v>
      </c>
      <c r="W16" s="316">
        <v>6152</v>
      </c>
      <c r="X16" s="237">
        <f t="shared" si="11"/>
        <v>3.959401970690643E-2</v>
      </c>
      <c r="Y16" s="316">
        <v>3675</v>
      </c>
      <c r="Z16" s="237">
        <f t="shared" si="12"/>
        <v>2.3652149288504735E-2</v>
      </c>
      <c r="AA16" s="316">
        <v>10970</v>
      </c>
      <c r="AB16" s="237">
        <f t="shared" si="13"/>
        <v>7.0602470121060384E-2</v>
      </c>
      <c r="AC16" s="316">
        <f t="shared" si="14"/>
        <v>14645</v>
      </c>
      <c r="AD16" s="237">
        <f t="shared" si="15"/>
        <v>9.4254619409565116E-2</v>
      </c>
      <c r="AE16" s="316">
        <v>23782</v>
      </c>
      <c r="AF16" s="237">
        <f t="shared" si="16"/>
        <v>0.15305997670182844</v>
      </c>
      <c r="AG16" s="316">
        <v>0</v>
      </c>
      <c r="AH16" s="237">
        <f t="shared" si="17"/>
        <v>0</v>
      </c>
      <c r="AI16" s="316">
        <v>0</v>
      </c>
      <c r="AJ16" s="237">
        <f t="shared" si="18"/>
        <v>0</v>
      </c>
      <c r="AK16" s="316">
        <v>3636</v>
      </c>
      <c r="AL16" s="237">
        <f t="shared" si="19"/>
        <v>2.3401146887892032E-2</v>
      </c>
    </row>
    <row r="17" spans="2:38" s="73" customFormat="1" ht="14.25" customHeight="1">
      <c r="B17" s="551"/>
      <c r="C17" s="555"/>
      <c r="D17" s="171">
        <v>46122</v>
      </c>
      <c r="E17" s="171" t="s">
        <v>114</v>
      </c>
      <c r="F17" s="332">
        <f t="shared" si="0"/>
        <v>137940</v>
      </c>
      <c r="G17" s="563"/>
      <c r="H17" s="567"/>
      <c r="I17" s="316">
        <v>28594</v>
      </c>
      <c r="J17" s="237">
        <f t="shared" si="2"/>
        <v>0.20729302595331303</v>
      </c>
      <c r="K17" s="316">
        <v>50493</v>
      </c>
      <c r="L17" s="237">
        <f t="shared" si="3"/>
        <v>0.36605045672031317</v>
      </c>
      <c r="M17" s="316">
        <f t="shared" si="4"/>
        <v>79087</v>
      </c>
      <c r="N17" s="237">
        <f t="shared" si="5"/>
        <v>0.57334348267362623</v>
      </c>
      <c r="O17" s="316">
        <v>13148</v>
      </c>
      <c r="P17" s="237">
        <f t="shared" si="6"/>
        <v>9.5316804407713493E-2</v>
      </c>
      <c r="Q17" s="316">
        <v>1207</v>
      </c>
      <c r="R17" s="237">
        <f t="shared" si="7"/>
        <v>8.7501812382195163E-3</v>
      </c>
      <c r="S17" s="316">
        <f t="shared" si="8"/>
        <v>14355</v>
      </c>
      <c r="T17" s="237">
        <f t="shared" si="9"/>
        <v>0.10406698564593302</v>
      </c>
      <c r="U17" s="316">
        <v>3144</v>
      </c>
      <c r="V17" s="237">
        <f t="shared" si="10"/>
        <v>2.2792518486298392E-2</v>
      </c>
      <c r="W17" s="316">
        <v>3411</v>
      </c>
      <c r="X17" s="237">
        <f t="shared" si="11"/>
        <v>2.4728142670726403E-2</v>
      </c>
      <c r="Y17" s="316">
        <v>3280</v>
      </c>
      <c r="Z17" s="237">
        <f t="shared" si="12"/>
        <v>2.3778454400463968E-2</v>
      </c>
      <c r="AA17" s="316">
        <v>11226</v>
      </c>
      <c r="AB17" s="237">
        <f t="shared" si="13"/>
        <v>8.1383210091344069E-2</v>
      </c>
      <c r="AC17" s="316">
        <f t="shared" si="14"/>
        <v>14506</v>
      </c>
      <c r="AD17" s="237">
        <f t="shared" si="15"/>
        <v>0.10516166449180803</v>
      </c>
      <c r="AE17" s="316">
        <v>19918</v>
      </c>
      <c r="AF17" s="237">
        <f t="shared" si="16"/>
        <v>0.14439611425257359</v>
      </c>
      <c r="AG17" s="316">
        <v>0</v>
      </c>
      <c r="AH17" s="237">
        <f t="shared" si="17"/>
        <v>0</v>
      </c>
      <c r="AI17" s="316">
        <v>0</v>
      </c>
      <c r="AJ17" s="237">
        <f t="shared" si="18"/>
        <v>0</v>
      </c>
      <c r="AK17" s="316">
        <v>3519</v>
      </c>
      <c r="AL17" s="237">
        <f t="shared" si="19"/>
        <v>2.5511091779034364E-2</v>
      </c>
    </row>
    <row r="18" spans="2:38" s="73" customFormat="1" ht="14.25" customHeight="1">
      <c r="B18" s="551"/>
      <c r="C18" s="555"/>
      <c r="D18" s="171">
        <v>46123</v>
      </c>
      <c r="E18" s="171" t="s">
        <v>115</v>
      </c>
      <c r="F18" s="332">
        <f t="shared" si="0"/>
        <v>148324</v>
      </c>
      <c r="G18" s="563"/>
      <c r="H18" s="567"/>
      <c r="I18" s="316">
        <v>27633</v>
      </c>
      <c r="J18" s="237">
        <f t="shared" si="2"/>
        <v>0.18630160998894313</v>
      </c>
      <c r="K18" s="316">
        <v>57067</v>
      </c>
      <c r="L18" s="237">
        <f t="shared" si="3"/>
        <v>0.38474555702381275</v>
      </c>
      <c r="M18" s="316">
        <f t="shared" si="4"/>
        <v>84700</v>
      </c>
      <c r="N18" s="237">
        <f t="shared" si="5"/>
        <v>0.57104716701275582</v>
      </c>
      <c r="O18" s="316">
        <v>12199</v>
      </c>
      <c r="P18" s="237">
        <f t="shared" si="6"/>
        <v>8.224562444378522E-2</v>
      </c>
      <c r="Q18" s="316">
        <v>1216</v>
      </c>
      <c r="R18" s="237">
        <f t="shared" si="7"/>
        <v>8.1982686551063891E-3</v>
      </c>
      <c r="S18" s="316">
        <f t="shared" si="8"/>
        <v>13415</v>
      </c>
      <c r="T18" s="237">
        <f t="shared" si="9"/>
        <v>9.0443893098891615E-2</v>
      </c>
      <c r="U18" s="316">
        <v>3540</v>
      </c>
      <c r="V18" s="237">
        <f t="shared" si="10"/>
        <v>2.3866670262398533E-2</v>
      </c>
      <c r="W18" s="316">
        <v>5532</v>
      </c>
      <c r="X18" s="237">
        <f t="shared" si="11"/>
        <v>3.7296728782934656E-2</v>
      </c>
      <c r="Y18" s="316">
        <v>3555</v>
      </c>
      <c r="Z18" s="237">
        <f t="shared" si="12"/>
        <v>2.3967800221137509E-2</v>
      </c>
      <c r="AA18" s="316">
        <v>12588</v>
      </c>
      <c r="AB18" s="237">
        <f t="shared" si="13"/>
        <v>8.4868261373749365E-2</v>
      </c>
      <c r="AC18" s="316">
        <f t="shared" si="14"/>
        <v>16143</v>
      </c>
      <c r="AD18" s="237">
        <f t="shared" si="15"/>
        <v>0.10883606159488687</v>
      </c>
      <c r="AE18" s="316">
        <v>21598</v>
      </c>
      <c r="AF18" s="237">
        <f t="shared" si="16"/>
        <v>0.1456136565896281</v>
      </c>
      <c r="AG18" s="316">
        <v>0</v>
      </c>
      <c r="AH18" s="237">
        <f t="shared" si="17"/>
        <v>0</v>
      </c>
      <c r="AI18" s="316">
        <v>0</v>
      </c>
      <c r="AJ18" s="237">
        <f t="shared" si="18"/>
        <v>0</v>
      </c>
      <c r="AK18" s="316">
        <v>3396</v>
      </c>
      <c r="AL18" s="237">
        <f t="shared" si="19"/>
        <v>2.2895822658504355E-2</v>
      </c>
    </row>
    <row r="19" spans="2:38" s="73" customFormat="1" ht="14.25" customHeight="1">
      <c r="B19" s="551"/>
      <c r="C19" s="555"/>
      <c r="D19" s="171">
        <v>46124</v>
      </c>
      <c r="E19" s="171" t="s">
        <v>116</v>
      </c>
      <c r="F19" s="332">
        <f t="shared" si="0"/>
        <v>191499</v>
      </c>
      <c r="G19" s="563"/>
      <c r="H19" s="567"/>
      <c r="I19" s="316">
        <v>41219</v>
      </c>
      <c r="J19" s="237">
        <f t="shared" si="2"/>
        <v>0.21524394383260487</v>
      </c>
      <c r="K19" s="316">
        <v>64586</v>
      </c>
      <c r="L19" s="237">
        <f t="shared" si="3"/>
        <v>0.33726546874918406</v>
      </c>
      <c r="M19" s="316">
        <f t="shared" si="4"/>
        <v>105805</v>
      </c>
      <c r="N19" s="237">
        <f t="shared" si="5"/>
        <v>0.55250941258178898</v>
      </c>
      <c r="O19" s="316">
        <v>17972</v>
      </c>
      <c r="P19" s="237">
        <f t="shared" si="6"/>
        <v>9.3849054042057664E-2</v>
      </c>
      <c r="Q19" s="316">
        <v>1534</v>
      </c>
      <c r="R19" s="237">
        <f t="shared" si="7"/>
        <v>8.0104856944422688E-3</v>
      </c>
      <c r="S19" s="316">
        <f t="shared" si="8"/>
        <v>19506</v>
      </c>
      <c r="T19" s="237">
        <f t="shared" si="9"/>
        <v>0.10185953973649993</v>
      </c>
      <c r="U19" s="316">
        <v>4388</v>
      </c>
      <c r="V19" s="237">
        <f t="shared" si="10"/>
        <v>2.2913957775236426E-2</v>
      </c>
      <c r="W19" s="316">
        <v>6826</v>
      </c>
      <c r="X19" s="237">
        <f t="shared" si="11"/>
        <v>3.5645094752453019E-2</v>
      </c>
      <c r="Y19" s="316">
        <v>4903</v>
      </c>
      <c r="Z19" s="237">
        <f t="shared" si="12"/>
        <v>2.560326685779038E-2</v>
      </c>
      <c r="AA19" s="316">
        <v>14479</v>
      </c>
      <c r="AB19" s="237">
        <f t="shared" si="13"/>
        <v>7.5608749915143159E-2</v>
      </c>
      <c r="AC19" s="316">
        <f t="shared" si="14"/>
        <v>19382</v>
      </c>
      <c r="AD19" s="237">
        <f t="shared" si="15"/>
        <v>0.10121201677293354</v>
      </c>
      <c r="AE19" s="316">
        <v>32034</v>
      </c>
      <c r="AF19" s="237">
        <f t="shared" si="16"/>
        <v>0.16728024689423965</v>
      </c>
      <c r="AG19" s="316">
        <v>0</v>
      </c>
      <c r="AH19" s="237">
        <f t="shared" si="17"/>
        <v>0</v>
      </c>
      <c r="AI19" s="316">
        <v>0</v>
      </c>
      <c r="AJ19" s="237">
        <f t="shared" si="18"/>
        <v>0</v>
      </c>
      <c r="AK19" s="316">
        <v>3558</v>
      </c>
      <c r="AL19" s="237">
        <f t="shared" si="19"/>
        <v>1.8579731486848494E-2</v>
      </c>
    </row>
    <row r="20" spans="2:38" s="73" customFormat="1" ht="14.25" customHeight="1">
      <c r="B20" s="552"/>
      <c r="C20" s="555"/>
      <c r="D20" s="171">
        <v>46125</v>
      </c>
      <c r="E20" s="171" t="s">
        <v>117</v>
      </c>
      <c r="F20" s="332">
        <f t="shared" si="0"/>
        <v>192526</v>
      </c>
      <c r="G20" s="563"/>
      <c r="H20" s="567"/>
      <c r="I20" s="316">
        <v>41374</v>
      </c>
      <c r="J20" s="237">
        <f t="shared" si="2"/>
        <v>0.21490084456125405</v>
      </c>
      <c r="K20" s="316">
        <v>75818</v>
      </c>
      <c r="L20" s="237">
        <f t="shared" si="3"/>
        <v>0.39380655080352783</v>
      </c>
      <c r="M20" s="316">
        <f t="shared" si="4"/>
        <v>117192</v>
      </c>
      <c r="N20" s="237">
        <f t="shared" si="5"/>
        <v>0.60870739536478191</v>
      </c>
      <c r="O20" s="316">
        <v>13637</v>
      </c>
      <c r="P20" s="237">
        <f t="shared" si="6"/>
        <v>7.0831991523222837E-2</v>
      </c>
      <c r="Q20" s="316">
        <v>0</v>
      </c>
      <c r="R20" s="237">
        <f t="shared" si="7"/>
        <v>0</v>
      </c>
      <c r="S20" s="316">
        <f t="shared" si="8"/>
        <v>13637</v>
      </c>
      <c r="T20" s="237">
        <f t="shared" si="9"/>
        <v>7.0831991523222837E-2</v>
      </c>
      <c r="U20" s="316">
        <v>4157</v>
      </c>
      <c r="V20" s="237">
        <f t="shared" si="10"/>
        <v>2.1591888887734643E-2</v>
      </c>
      <c r="W20" s="316">
        <v>6021</v>
      </c>
      <c r="X20" s="237">
        <f t="shared" si="11"/>
        <v>3.1273698097919245E-2</v>
      </c>
      <c r="Y20" s="316">
        <v>4465</v>
      </c>
      <c r="Z20" s="237">
        <f t="shared" si="12"/>
        <v>2.3191672813022656E-2</v>
      </c>
      <c r="AA20" s="316">
        <v>14008</v>
      </c>
      <c r="AB20" s="237">
        <f t="shared" si="13"/>
        <v>7.2759003978683401E-2</v>
      </c>
      <c r="AC20" s="316">
        <f t="shared" si="14"/>
        <v>18473</v>
      </c>
      <c r="AD20" s="237">
        <f t="shared" si="15"/>
        <v>9.595067679170606E-2</v>
      </c>
      <c r="AE20" s="316">
        <v>29350</v>
      </c>
      <c r="AF20" s="237">
        <f t="shared" si="16"/>
        <v>0.15244694223117916</v>
      </c>
      <c r="AG20" s="316">
        <v>0</v>
      </c>
      <c r="AH20" s="237">
        <f t="shared" si="17"/>
        <v>0</v>
      </c>
      <c r="AI20" s="316">
        <v>0</v>
      </c>
      <c r="AJ20" s="237">
        <f t="shared" si="18"/>
        <v>0</v>
      </c>
      <c r="AK20" s="316">
        <v>3696</v>
      </c>
      <c r="AL20" s="237">
        <f t="shared" si="19"/>
        <v>1.9197407103456157E-2</v>
      </c>
    </row>
    <row r="21" spans="2:38" s="73" customFormat="1" ht="14.25" customHeight="1">
      <c r="B21" s="550">
        <f>B14+7</f>
        <v>46134</v>
      </c>
      <c r="C21" s="555"/>
      <c r="D21" s="171">
        <v>46126</v>
      </c>
      <c r="E21" s="171" t="s">
        <v>118</v>
      </c>
      <c r="F21" s="332">
        <f t="shared" si="0"/>
        <v>236038</v>
      </c>
      <c r="G21" s="563">
        <f t="shared" ref="G21" si="21">SUM(F21:F27)</f>
        <v>1445720</v>
      </c>
      <c r="H21" s="567"/>
      <c r="I21" s="316">
        <v>60029</v>
      </c>
      <c r="J21" s="237">
        <f t="shared" si="2"/>
        <v>0.25431921978664451</v>
      </c>
      <c r="K21" s="316">
        <v>78738</v>
      </c>
      <c r="L21" s="237">
        <f t="shared" si="3"/>
        <v>0.33358188088358653</v>
      </c>
      <c r="M21" s="316">
        <f t="shared" si="4"/>
        <v>138767</v>
      </c>
      <c r="N21" s="237">
        <f t="shared" si="5"/>
        <v>0.58790110067023105</v>
      </c>
      <c r="O21" s="316">
        <v>14737</v>
      </c>
      <c r="P21" s="237">
        <f t="shared" si="6"/>
        <v>6.243486218320779E-2</v>
      </c>
      <c r="Q21" s="316">
        <v>0</v>
      </c>
      <c r="R21" s="237">
        <f t="shared" si="7"/>
        <v>0</v>
      </c>
      <c r="S21" s="316">
        <f t="shared" si="8"/>
        <v>14737</v>
      </c>
      <c r="T21" s="237">
        <f t="shared" si="9"/>
        <v>6.243486218320779E-2</v>
      </c>
      <c r="U21" s="316">
        <v>4203</v>
      </c>
      <c r="V21" s="237">
        <f t="shared" si="10"/>
        <v>1.7806454892856236E-2</v>
      </c>
      <c r="W21" s="316">
        <v>8764</v>
      </c>
      <c r="X21" s="237">
        <f t="shared" si="11"/>
        <v>3.7129614723053067E-2</v>
      </c>
      <c r="Y21" s="316">
        <v>4789</v>
      </c>
      <c r="Z21" s="237">
        <f t="shared" si="12"/>
        <v>2.0289105991408162E-2</v>
      </c>
      <c r="AA21" s="316">
        <v>13636</v>
      </c>
      <c r="AB21" s="237">
        <f t="shared" si="13"/>
        <v>5.7770359009989919E-2</v>
      </c>
      <c r="AC21" s="316">
        <f t="shared" si="14"/>
        <v>18425</v>
      </c>
      <c r="AD21" s="237">
        <f t="shared" si="15"/>
        <v>7.8059465001398085E-2</v>
      </c>
      <c r="AE21" s="316">
        <v>27391</v>
      </c>
      <c r="AF21" s="237">
        <f t="shared" si="16"/>
        <v>0.11604487413043663</v>
      </c>
      <c r="AG21" s="316">
        <v>0</v>
      </c>
      <c r="AH21" s="237">
        <f t="shared" si="17"/>
        <v>0</v>
      </c>
      <c r="AI21" s="316">
        <v>19869</v>
      </c>
      <c r="AJ21" s="237">
        <f t="shared" si="18"/>
        <v>8.4177124022403169E-2</v>
      </c>
      <c r="AK21" s="316">
        <v>3882</v>
      </c>
      <c r="AL21" s="237">
        <f t="shared" si="19"/>
        <v>1.6446504376413967E-2</v>
      </c>
    </row>
    <row r="22" spans="2:38" s="73" customFormat="1" ht="14.25" customHeight="1">
      <c r="B22" s="551"/>
      <c r="C22" s="555"/>
      <c r="D22" s="171">
        <v>46127</v>
      </c>
      <c r="E22" s="171" t="s">
        <v>112</v>
      </c>
      <c r="F22" s="332">
        <f t="shared" si="0"/>
        <v>218111</v>
      </c>
      <c r="G22" s="563"/>
      <c r="H22" s="567"/>
      <c r="I22" s="316">
        <v>54647</v>
      </c>
      <c r="J22" s="237">
        <f t="shared" si="2"/>
        <v>0.25054673996267957</v>
      </c>
      <c r="K22" s="316">
        <v>73167</v>
      </c>
      <c r="L22" s="237">
        <f t="shared" si="3"/>
        <v>0.33545763395702188</v>
      </c>
      <c r="M22" s="316">
        <f t="shared" si="4"/>
        <v>127814</v>
      </c>
      <c r="N22" s="237">
        <f t="shared" si="5"/>
        <v>0.58600437391970139</v>
      </c>
      <c r="O22" s="316">
        <v>13964</v>
      </c>
      <c r="P22" s="237">
        <f t="shared" si="6"/>
        <v>6.4022447286014916E-2</v>
      </c>
      <c r="Q22" s="316">
        <v>0</v>
      </c>
      <c r="R22" s="237">
        <f t="shared" si="7"/>
        <v>0</v>
      </c>
      <c r="S22" s="316">
        <f t="shared" si="8"/>
        <v>13964</v>
      </c>
      <c r="T22" s="237">
        <f t="shared" si="9"/>
        <v>6.4022447286014916E-2</v>
      </c>
      <c r="U22" s="316">
        <v>3854</v>
      </c>
      <c r="V22" s="237">
        <f t="shared" si="10"/>
        <v>1.7669902022364761E-2</v>
      </c>
      <c r="W22" s="316">
        <v>8361</v>
      </c>
      <c r="X22" s="237">
        <f t="shared" si="11"/>
        <v>3.8333692477683382E-2</v>
      </c>
      <c r="Y22" s="316">
        <v>3974</v>
      </c>
      <c r="Z22" s="237">
        <f t="shared" si="12"/>
        <v>1.8220080601161794E-2</v>
      </c>
      <c r="AA22" s="316">
        <v>12123</v>
      </c>
      <c r="AB22" s="237">
        <f t="shared" si="13"/>
        <v>5.5581790922970414E-2</v>
      </c>
      <c r="AC22" s="316">
        <f t="shared" si="14"/>
        <v>16097</v>
      </c>
      <c r="AD22" s="237">
        <f t="shared" si="15"/>
        <v>7.3801871524132201E-2</v>
      </c>
      <c r="AE22" s="316">
        <v>26126</v>
      </c>
      <c r="AF22" s="237">
        <f t="shared" si="16"/>
        <v>0.11978304624709436</v>
      </c>
      <c r="AG22" s="316">
        <v>0</v>
      </c>
      <c r="AH22" s="237">
        <f t="shared" si="17"/>
        <v>0</v>
      </c>
      <c r="AI22" s="316">
        <v>18193</v>
      </c>
      <c r="AJ22" s="237">
        <f t="shared" si="18"/>
        <v>8.3411657367120418E-2</v>
      </c>
      <c r="AK22" s="316">
        <v>3702</v>
      </c>
      <c r="AL22" s="237">
        <f t="shared" si="19"/>
        <v>1.6973009155888515E-2</v>
      </c>
    </row>
    <row r="23" spans="2:38" s="73" customFormat="1" ht="14.25" customHeight="1">
      <c r="B23" s="551"/>
      <c r="C23" s="555"/>
      <c r="D23" s="171">
        <v>46128</v>
      </c>
      <c r="E23" s="171" t="s">
        <v>113</v>
      </c>
      <c r="F23" s="332">
        <f t="shared" si="0"/>
        <v>197163</v>
      </c>
      <c r="G23" s="563"/>
      <c r="H23" s="567"/>
      <c r="I23" s="316">
        <v>50325</v>
      </c>
      <c r="J23" s="237">
        <f t="shared" si="2"/>
        <v>0.25524565968259766</v>
      </c>
      <c r="K23" s="316">
        <v>64613</v>
      </c>
      <c r="L23" s="237">
        <f t="shared" si="3"/>
        <v>0.32771361766660073</v>
      </c>
      <c r="M23" s="316">
        <f t="shared" si="4"/>
        <v>114938</v>
      </c>
      <c r="N23" s="237">
        <f t="shared" si="5"/>
        <v>0.58295927734919839</v>
      </c>
      <c r="O23" s="316">
        <v>13923</v>
      </c>
      <c r="P23" s="237">
        <f t="shared" si="6"/>
        <v>7.0616697859131786E-2</v>
      </c>
      <c r="Q23" s="316">
        <v>0</v>
      </c>
      <c r="R23" s="237">
        <f t="shared" si="7"/>
        <v>0</v>
      </c>
      <c r="S23" s="316">
        <f t="shared" si="8"/>
        <v>13923</v>
      </c>
      <c r="T23" s="237">
        <f t="shared" si="9"/>
        <v>7.0616697859131786E-2</v>
      </c>
      <c r="U23" s="316">
        <v>3773</v>
      </c>
      <c r="V23" s="237">
        <f t="shared" si="10"/>
        <v>1.9136450551066882E-2</v>
      </c>
      <c r="W23" s="316">
        <v>8273</v>
      </c>
      <c r="X23" s="237">
        <f t="shared" si="11"/>
        <v>4.1960205515233585E-2</v>
      </c>
      <c r="Y23" s="316">
        <v>2892</v>
      </c>
      <c r="Z23" s="237">
        <f t="shared" si="12"/>
        <v>1.4668066523637802E-2</v>
      </c>
      <c r="AA23" s="316">
        <v>9948</v>
      </c>
      <c r="AB23" s="237">
        <f t="shared" si="13"/>
        <v>5.0455714307451195E-2</v>
      </c>
      <c r="AC23" s="316">
        <f t="shared" si="14"/>
        <v>12840</v>
      </c>
      <c r="AD23" s="237">
        <f t="shared" si="15"/>
        <v>6.5123780831088995E-2</v>
      </c>
      <c r="AE23" s="316">
        <v>23539</v>
      </c>
      <c r="AF23" s="237">
        <f t="shared" si="16"/>
        <v>0.11938852624478223</v>
      </c>
      <c r="AG23" s="316">
        <v>0</v>
      </c>
      <c r="AH23" s="237">
        <f t="shared" si="17"/>
        <v>0</v>
      </c>
      <c r="AI23" s="316">
        <v>16331</v>
      </c>
      <c r="AJ23" s="237">
        <f t="shared" si="18"/>
        <v>8.2829942737734766E-2</v>
      </c>
      <c r="AK23" s="316">
        <v>3546</v>
      </c>
      <c r="AL23" s="237">
        <f t="shared" si="19"/>
        <v>1.7985118911763364E-2</v>
      </c>
    </row>
    <row r="24" spans="2:38" s="73" customFormat="1" ht="14.25" customHeight="1">
      <c r="B24" s="551"/>
      <c r="C24" s="555"/>
      <c r="D24" s="171">
        <v>46129</v>
      </c>
      <c r="E24" s="171" t="s">
        <v>114</v>
      </c>
      <c r="F24" s="332">
        <f t="shared" si="0"/>
        <v>171515</v>
      </c>
      <c r="G24" s="563"/>
      <c r="H24" s="567"/>
      <c r="I24" s="316">
        <v>44038</v>
      </c>
      <c r="J24" s="237">
        <f t="shared" si="2"/>
        <v>0.25675888406261843</v>
      </c>
      <c r="K24" s="316">
        <v>59919</v>
      </c>
      <c r="L24" s="237">
        <f t="shared" si="3"/>
        <v>0.34935136868495464</v>
      </c>
      <c r="M24" s="316">
        <f t="shared" si="4"/>
        <v>103957</v>
      </c>
      <c r="N24" s="237">
        <f t="shared" si="5"/>
        <v>0.60611025274757313</v>
      </c>
      <c r="O24" s="316">
        <v>10144</v>
      </c>
      <c r="P24" s="237">
        <f t="shared" si="6"/>
        <v>5.914351514444801E-2</v>
      </c>
      <c r="Q24" s="316">
        <v>0</v>
      </c>
      <c r="R24" s="237">
        <f t="shared" si="7"/>
        <v>0</v>
      </c>
      <c r="S24" s="316">
        <f t="shared" si="8"/>
        <v>10144</v>
      </c>
      <c r="T24" s="237">
        <f t="shared" si="9"/>
        <v>5.914351514444801E-2</v>
      </c>
      <c r="U24" s="316">
        <v>3178</v>
      </c>
      <c r="V24" s="237">
        <f t="shared" si="10"/>
        <v>1.8528991633384836E-2</v>
      </c>
      <c r="W24" s="316">
        <v>5236</v>
      </c>
      <c r="X24" s="237">
        <f t="shared" si="11"/>
        <v>3.0527942162493077E-2</v>
      </c>
      <c r="Y24" s="316">
        <v>3193</v>
      </c>
      <c r="Z24" s="237">
        <f t="shared" si="12"/>
        <v>1.8616447541031398E-2</v>
      </c>
      <c r="AA24" s="316">
        <v>10505</v>
      </c>
      <c r="AB24" s="237">
        <f t="shared" si="13"/>
        <v>6.1248287321808585E-2</v>
      </c>
      <c r="AC24" s="316">
        <f t="shared" si="14"/>
        <v>13698</v>
      </c>
      <c r="AD24" s="237">
        <f t="shared" si="15"/>
        <v>7.9864734862839987E-2</v>
      </c>
      <c r="AE24" s="316">
        <v>19053</v>
      </c>
      <c r="AF24" s="237">
        <f t="shared" si="16"/>
        <v>0.11108649389266245</v>
      </c>
      <c r="AG24" s="316">
        <v>0</v>
      </c>
      <c r="AH24" s="237">
        <f t="shared" si="17"/>
        <v>0</v>
      </c>
      <c r="AI24" s="316">
        <v>12970</v>
      </c>
      <c r="AJ24" s="237">
        <f t="shared" si="18"/>
        <v>7.5620208145060194E-2</v>
      </c>
      <c r="AK24" s="316">
        <v>3279</v>
      </c>
      <c r="AL24" s="237">
        <f t="shared" si="19"/>
        <v>1.9117861411538348E-2</v>
      </c>
    </row>
    <row r="25" spans="2:38" s="73" customFormat="1" ht="14.25" customHeight="1">
      <c r="B25" s="551"/>
      <c r="C25" s="555"/>
      <c r="D25" s="171">
        <v>46130</v>
      </c>
      <c r="E25" s="171" t="s">
        <v>115</v>
      </c>
      <c r="F25" s="332">
        <f t="shared" si="0"/>
        <v>179200</v>
      </c>
      <c r="G25" s="563"/>
      <c r="H25" s="567"/>
      <c r="I25" s="316">
        <v>42479</v>
      </c>
      <c r="J25" s="237">
        <f t="shared" si="2"/>
        <v>0.23704799107142857</v>
      </c>
      <c r="K25" s="316">
        <v>66732</v>
      </c>
      <c r="L25" s="237">
        <f t="shared" si="3"/>
        <v>0.37238839285714287</v>
      </c>
      <c r="M25" s="316">
        <f t="shared" si="4"/>
        <v>109211</v>
      </c>
      <c r="N25" s="237">
        <f t="shared" si="5"/>
        <v>0.60943638392857147</v>
      </c>
      <c r="O25" s="316">
        <v>9694</v>
      </c>
      <c r="P25" s="237">
        <f t="shared" si="6"/>
        <v>5.4095982142857144E-2</v>
      </c>
      <c r="Q25" s="316">
        <v>0</v>
      </c>
      <c r="R25" s="237">
        <f t="shared" si="7"/>
        <v>0</v>
      </c>
      <c r="S25" s="316">
        <f t="shared" si="8"/>
        <v>9694</v>
      </c>
      <c r="T25" s="237">
        <f t="shared" si="9"/>
        <v>5.4095982142857144E-2</v>
      </c>
      <c r="U25" s="316">
        <v>3409</v>
      </c>
      <c r="V25" s="237">
        <f t="shared" si="10"/>
        <v>1.90234375E-2</v>
      </c>
      <c r="W25" s="316">
        <v>5549</v>
      </c>
      <c r="X25" s="237">
        <f t="shared" si="11"/>
        <v>3.0965401785714285E-2</v>
      </c>
      <c r="Y25" s="316">
        <v>3689</v>
      </c>
      <c r="Z25" s="237">
        <f t="shared" si="12"/>
        <v>2.0585937499999998E-2</v>
      </c>
      <c r="AA25" s="316">
        <v>10934</v>
      </c>
      <c r="AB25" s="237">
        <f t="shared" si="13"/>
        <v>6.1015624999999997E-2</v>
      </c>
      <c r="AC25" s="316">
        <f t="shared" si="14"/>
        <v>14623</v>
      </c>
      <c r="AD25" s="237">
        <f t="shared" si="15"/>
        <v>8.1601562500000002E-2</v>
      </c>
      <c r="AE25" s="316">
        <v>20659</v>
      </c>
      <c r="AF25" s="237">
        <f t="shared" si="16"/>
        <v>0.11528459821428572</v>
      </c>
      <c r="AG25" s="316">
        <v>0</v>
      </c>
      <c r="AH25" s="237">
        <f t="shared" si="17"/>
        <v>0</v>
      </c>
      <c r="AI25" s="316">
        <v>12956</v>
      </c>
      <c r="AJ25" s="237">
        <f t="shared" si="18"/>
        <v>7.2299107142857144E-2</v>
      </c>
      <c r="AK25" s="316">
        <v>3099</v>
      </c>
      <c r="AL25" s="237">
        <f t="shared" si="19"/>
        <v>1.7293526785714285E-2</v>
      </c>
    </row>
    <row r="26" spans="2:38" s="73" customFormat="1" ht="14.25" customHeight="1">
      <c r="B26" s="551"/>
      <c r="C26" s="555"/>
      <c r="D26" s="171">
        <v>46131</v>
      </c>
      <c r="E26" s="171" t="s">
        <v>116</v>
      </c>
      <c r="F26" s="332">
        <f t="shared" si="0"/>
        <v>227448</v>
      </c>
      <c r="G26" s="563"/>
      <c r="H26" s="567"/>
      <c r="I26" s="316">
        <v>58368</v>
      </c>
      <c r="J26" s="237">
        <f t="shared" si="2"/>
        <v>0.2566212936583307</v>
      </c>
      <c r="K26" s="316">
        <v>74095</v>
      </c>
      <c r="L26" s="237">
        <f t="shared" si="3"/>
        <v>0.32576676866800325</v>
      </c>
      <c r="M26" s="316">
        <f t="shared" si="4"/>
        <v>132463</v>
      </c>
      <c r="N26" s="237">
        <f t="shared" si="5"/>
        <v>0.58238806232633389</v>
      </c>
      <c r="O26" s="316">
        <v>13136</v>
      </c>
      <c r="P26" s="237">
        <f t="shared" si="6"/>
        <v>5.7753860222996029E-2</v>
      </c>
      <c r="Q26" s="316">
        <v>0</v>
      </c>
      <c r="R26" s="237">
        <f t="shared" si="7"/>
        <v>0</v>
      </c>
      <c r="S26" s="316">
        <f t="shared" si="8"/>
        <v>13136</v>
      </c>
      <c r="T26" s="237">
        <f t="shared" si="9"/>
        <v>5.7753860222996029E-2</v>
      </c>
      <c r="U26" s="316">
        <v>4111</v>
      </c>
      <c r="V26" s="237">
        <f t="shared" si="10"/>
        <v>1.8074460975695542E-2</v>
      </c>
      <c r="W26" s="316">
        <v>6827</v>
      </c>
      <c r="X26" s="237">
        <f t="shared" si="11"/>
        <v>3.0015651929232175E-2</v>
      </c>
      <c r="Y26" s="316">
        <v>4258</v>
      </c>
      <c r="Z26" s="237">
        <f t="shared" si="12"/>
        <v>1.8720762547923042E-2</v>
      </c>
      <c r="AA26" s="316">
        <v>12845</v>
      </c>
      <c r="AB26" s="237">
        <f t="shared" si="13"/>
        <v>5.6474446906545669E-2</v>
      </c>
      <c r="AC26" s="316">
        <f t="shared" si="14"/>
        <v>17103</v>
      </c>
      <c r="AD26" s="237">
        <f t="shared" si="15"/>
        <v>7.5195209454468712E-2</v>
      </c>
      <c r="AE26" s="316">
        <v>31723</v>
      </c>
      <c r="AF26" s="237">
        <f t="shared" si="16"/>
        <v>0.13947363793042805</v>
      </c>
      <c r="AG26" s="316">
        <v>0</v>
      </c>
      <c r="AH26" s="237">
        <f t="shared" si="17"/>
        <v>0</v>
      </c>
      <c r="AI26" s="316">
        <v>18587</v>
      </c>
      <c r="AJ26" s="237">
        <f t="shared" si="18"/>
        <v>8.1719777707432023E-2</v>
      </c>
      <c r="AK26" s="316">
        <v>3498</v>
      </c>
      <c r="AL26" s="237">
        <f t="shared" si="19"/>
        <v>1.5379339453413528E-2</v>
      </c>
    </row>
    <row r="27" spans="2:38" s="73" customFormat="1" ht="14.25" customHeight="1">
      <c r="B27" s="552"/>
      <c r="C27" s="555"/>
      <c r="D27" s="171">
        <v>46132</v>
      </c>
      <c r="E27" s="171" t="s">
        <v>117</v>
      </c>
      <c r="F27" s="332">
        <f t="shared" si="0"/>
        <v>216245</v>
      </c>
      <c r="G27" s="563"/>
      <c r="H27" s="567"/>
      <c r="I27" s="316">
        <v>54983</v>
      </c>
      <c r="J27" s="237">
        <f t="shared" si="2"/>
        <v>0.25426252630118618</v>
      </c>
      <c r="K27" s="316">
        <v>72194</v>
      </c>
      <c r="L27" s="237">
        <f t="shared" si="3"/>
        <v>0.33385280584522187</v>
      </c>
      <c r="M27" s="316">
        <f t="shared" si="4"/>
        <v>127177</v>
      </c>
      <c r="N27" s="237">
        <f t="shared" si="5"/>
        <v>0.58811533214640799</v>
      </c>
      <c r="O27" s="316">
        <v>12454</v>
      </c>
      <c r="P27" s="237">
        <f t="shared" si="6"/>
        <v>5.7592083053943442E-2</v>
      </c>
      <c r="Q27" s="316">
        <v>0</v>
      </c>
      <c r="R27" s="237">
        <f t="shared" si="7"/>
        <v>0</v>
      </c>
      <c r="S27" s="316">
        <f t="shared" si="8"/>
        <v>12454</v>
      </c>
      <c r="T27" s="237">
        <f t="shared" si="9"/>
        <v>5.7592083053943442E-2</v>
      </c>
      <c r="U27" s="316">
        <v>3982</v>
      </c>
      <c r="V27" s="237">
        <f t="shared" si="10"/>
        <v>1.8414298596499342E-2</v>
      </c>
      <c r="W27" s="316">
        <v>5053</v>
      </c>
      <c r="X27" s="237">
        <f t="shared" si="11"/>
        <v>2.3367014266225807E-2</v>
      </c>
      <c r="Y27" s="316">
        <v>4269</v>
      </c>
      <c r="Z27" s="237">
        <f t="shared" si="12"/>
        <v>1.9741496913223428E-2</v>
      </c>
      <c r="AA27" s="316">
        <v>17611</v>
      </c>
      <c r="AB27" s="237">
        <f t="shared" si="13"/>
        <v>8.1440033295567524E-2</v>
      </c>
      <c r="AC27" s="316">
        <f t="shared" si="14"/>
        <v>21880</v>
      </c>
      <c r="AD27" s="237">
        <f t="shared" si="15"/>
        <v>0.10118153020879095</v>
      </c>
      <c r="AE27" s="316">
        <v>27810</v>
      </c>
      <c r="AF27" s="237">
        <f t="shared" si="16"/>
        <v>0.1286041295752503</v>
      </c>
      <c r="AG27" s="316">
        <v>0</v>
      </c>
      <c r="AH27" s="237">
        <f t="shared" si="17"/>
        <v>0</v>
      </c>
      <c r="AI27" s="316">
        <v>14424</v>
      </c>
      <c r="AJ27" s="237">
        <f t="shared" si="18"/>
        <v>6.6702120280237698E-2</v>
      </c>
      <c r="AK27" s="316">
        <v>3465</v>
      </c>
      <c r="AL27" s="237">
        <f t="shared" si="19"/>
        <v>1.6023491872644454E-2</v>
      </c>
    </row>
    <row r="28" spans="2:38" s="73" customFormat="1" ht="14.25" customHeight="1">
      <c r="B28" s="550">
        <f>B21+7</f>
        <v>46141</v>
      </c>
      <c r="C28" s="555"/>
      <c r="D28" s="171">
        <v>46133</v>
      </c>
      <c r="E28" s="171" t="s">
        <v>118</v>
      </c>
      <c r="F28" s="332"/>
      <c r="G28" s="563">
        <f t="shared" ref="G28" si="22">SUM(F28:F34)</f>
        <v>0</v>
      </c>
      <c r="H28" s="567"/>
      <c r="I28" s="316"/>
      <c r="J28" s="237" t="e">
        <f t="shared" ref="J28:J34" si="23">I28/$F28</f>
        <v>#DIV/0!</v>
      </c>
      <c r="K28" s="316"/>
      <c r="L28" s="237" t="e">
        <f t="shared" ref="L28:L34" si="24">K28/$F28</f>
        <v>#DIV/0!</v>
      </c>
      <c r="M28" s="316">
        <f t="shared" ref="M28:M34" si="25">I28+K28</f>
        <v>0</v>
      </c>
      <c r="N28" s="237" t="e">
        <f t="shared" ref="N28:N34" si="26">M28/$F28</f>
        <v>#DIV/0!</v>
      </c>
      <c r="O28" s="316"/>
      <c r="P28" s="237" t="e">
        <f t="shared" ref="P28:P34" si="27">O28/$F28</f>
        <v>#DIV/0!</v>
      </c>
      <c r="Q28" s="316"/>
      <c r="R28" s="237" t="e">
        <f t="shared" ref="R28:R34" si="28">Q28/$F28</f>
        <v>#DIV/0!</v>
      </c>
      <c r="S28" s="316">
        <f t="shared" ref="S28:S34" si="29">O28+Q28</f>
        <v>0</v>
      </c>
      <c r="T28" s="237" t="e">
        <f t="shared" ref="T28:T34" si="30">S28/$F28</f>
        <v>#DIV/0!</v>
      </c>
      <c r="U28" s="316"/>
      <c r="V28" s="237" t="e">
        <f t="shared" ref="V28:V34" si="31">U28/$F28</f>
        <v>#DIV/0!</v>
      </c>
      <c r="W28" s="316"/>
      <c r="X28" s="237" t="e">
        <f t="shared" ref="X28:X34" si="32">W28/$F28</f>
        <v>#DIV/0!</v>
      </c>
      <c r="Y28" s="316"/>
      <c r="Z28" s="237" t="e">
        <f t="shared" ref="Z28:Z34" si="33">Y28/$F28</f>
        <v>#DIV/0!</v>
      </c>
      <c r="AA28" s="316"/>
      <c r="AB28" s="237" t="e">
        <f t="shared" ref="AB28:AB34" si="34">AA28/$F28</f>
        <v>#DIV/0!</v>
      </c>
      <c r="AC28" s="316">
        <f t="shared" ref="AC28:AC34" si="35">Y28+AA28</f>
        <v>0</v>
      </c>
      <c r="AD28" s="237" t="e">
        <f t="shared" ref="AD28:AD34" si="36">AC28/$F28</f>
        <v>#DIV/0!</v>
      </c>
      <c r="AE28" s="316"/>
      <c r="AF28" s="237" t="e">
        <f t="shared" ref="AF28:AF34" si="37">AE28/$F28</f>
        <v>#DIV/0!</v>
      </c>
      <c r="AG28" s="316">
        <v>0</v>
      </c>
      <c r="AH28" s="237" t="e">
        <f t="shared" ref="AH28:AH34" si="38">AG28/$F28</f>
        <v>#DIV/0!</v>
      </c>
      <c r="AI28" s="316">
        <v>0</v>
      </c>
      <c r="AJ28" s="237" t="e">
        <f t="shared" ref="AJ28:AJ34" si="39">AI28/$F28</f>
        <v>#DIV/0!</v>
      </c>
      <c r="AK28" s="316"/>
      <c r="AL28" s="237" t="e">
        <f t="shared" ref="AL28:AL34" si="40">AK28/$F28</f>
        <v>#DIV/0!</v>
      </c>
    </row>
    <row r="29" spans="2:38" s="73" customFormat="1" ht="14.25" customHeight="1">
      <c r="B29" s="551"/>
      <c r="C29" s="555"/>
      <c r="D29" s="171">
        <v>46134</v>
      </c>
      <c r="E29" s="171" t="s">
        <v>112</v>
      </c>
      <c r="F29" s="332"/>
      <c r="G29" s="563"/>
      <c r="H29" s="567"/>
      <c r="I29" s="316"/>
      <c r="J29" s="237" t="e">
        <f t="shared" si="23"/>
        <v>#DIV/0!</v>
      </c>
      <c r="K29" s="316"/>
      <c r="L29" s="237" t="e">
        <f t="shared" si="24"/>
        <v>#DIV/0!</v>
      </c>
      <c r="M29" s="316">
        <f t="shared" si="25"/>
        <v>0</v>
      </c>
      <c r="N29" s="237" t="e">
        <f t="shared" si="26"/>
        <v>#DIV/0!</v>
      </c>
      <c r="O29" s="316"/>
      <c r="P29" s="237" t="e">
        <f t="shared" si="27"/>
        <v>#DIV/0!</v>
      </c>
      <c r="Q29" s="316"/>
      <c r="R29" s="237" t="e">
        <f t="shared" si="28"/>
        <v>#DIV/0!</v>
      </c>
      <c r="S29" s="316">
        <f t="shared" si="29"/>
        <v>0</v>
      </c>
      <c r="T29" s="237" t="e">
        <f t="shared" si="30"/>
        <v>#DIV/0!</v>
      </c>
      <c r="U29" s="316"/>
      <c r="V29" s="237" t="e">
        <f t="shared" si="31"/>
        <v>#DIV/0!</v>
      </c>
      <c r="W29" s="316"/>
      <c r="X29" s="237" t="e">
        <f t="shared" si="32"/>
        <v>#DIV/0!</v>
      </c>
      <c r="Y29" s="316"/>
      <c r="Z29" s="237" t="e">
        <f t="shared" si="33"/>
        <v>#DIV/0!</v>
      </c>
      <c r="AA29" s="316"/>
      <c r="AB29" s="237" t="e">
        <f t="shared" si="34"/>
        <v>#DIV/0!</v>
      </c>
      <c r="AC29" s="316">
        <f t="shared" si="35"/>
        <v>0</v>
      </c>
      <c r="AD29" s="237" t="e">
        <f t="shared" si="36"/>
        <v>#DIV/0!</v>
      </c>
      <c r="AE29" s="316"/>
      <c r="AF29" s="237" t="e">
        <f t="shared" si="37"/>
        <v>#DIV/0!</v>
      </c>
      <c r="AG29" s="316">
        <v>0</v>
      </c>
      <c r="AH29" s="237" t="e">
        <f t="shared" si="38"/>
        <v>#DIV/0!</v>
      </c>
      <c r="AI29" s="316">
        <v>0</v>
      </c>
      <c r="AJ29" s="237" t="e">
        <f t="shared" si="39"/>
        <v>#DIV/0!</v>
      </c>
      <c r="AK29" s="316"/>
      <c r="AL29" s="237" t="e">
        <f t="shared" si="40"/>
        <v>#DIV/0!</v>
      </c>
    </row>
    <row r="30" spans="2:38" s="73" customFormat="1" ht="14.25" customHeight="1">
      <c r="B30" s="551"/>
      <c r="C30" s="555"/>
      <c r="D30" s="171">
        <v>46135</v>
      </c>
      <c r="E30" s="171" t="s">
        <v>113</v>
      </c>
      <c r="F30" s="332"/>
      <c r="G30" s="563"/>
      <c r="H30" s="567"/>
      <c r="I30" s="316"/>
      <c r="J30" s="237" t="e">
        <f t="shared" si="23"/>
        <v>#DIV/0!</v>
      </c>
      <c r="K30" s="316"/>
      <c r="L30" s="237" t="e">
        <f t="shared" si="24"/>
        <v>#DIV/0!</v>
      </c>
      <c r="M30" s="316">
        <f t="shared" si="25"/>
        <v>0</v>
      </c>
      <c r="N30" s="237" t="e">
        <f t="shared" si="26"/>
        <v>#DIV/0!</v>
      </c>
      <c r="O30" s="316"/>
      <c r="P30" s="237" t="e">
        <f t="shared" si="27"/>
        <v>#DIV/0!</v>
      </c>
      <c r="Q30" s="316"/>
      <c r="R30" s="237" t="e">
        <f t="shared" si="28"/>
        <v>#DIV/0!</v>
      </c>
      <c r="S30" s="316">
        <f t="shared" si="29"/>
        <v>0</v>
      </c>
      <c r="T30" s="237" t="e">
        <f t="shared" si="30"/>
        <v>#DIV/0!</v>
      </c>
      <c r="U30" s="316"/>
      <c r="V30" s="237" t="e">
        <f t="shared" si="31"/>
        <v>#DIV/0!</v>
      </c>
      <c r="W30" s="316"/>
      <c r="X30" s="237" t="e">
        <f t="shared" si="32"/>
        <v>#DIV/0!</v>
      </c>
      <c r="Y30" s="316"/>
      <c r="Z30" s="237" t="e">
        <f t="shared" si="33"/>
        <v>#DIV/0!</v>
      </c>
      <c r="AA30" s="316"/>
      <c r="AB30" s="237" t="e">
        <f t="shared" si="34"/>
        <v>#DIV/0!</v>
      </c>
      <c r="AC30" s="316">
        <f t="shared" si="35"/>
        <v>0</v>
      </c>
      <c r="AD30" s="237" t="e">
        <f t="shared" si="36"/>
        <v>#DIV/0!</v>
      </c>
      <c r="AE30" s="316"/>
      <c r="AF30" s="237" t="e">
        <f t="shared" si="37"/>
        <v>#DIV/0!</v>
      </c>
      <c r="AG30" s="316">
        <v>0</v>
      </c>
      <c r="AH30" s="237" t="e">
        <f t="shared" si="38"/>
        <v>#DIV/0!</v>
      </c>
      <c r="AI30" s="316">
        <v>0</v>
      </c>
      <c r="AJ30" s="237" t="e">
        <f t="shared" si="39"/>
        <v>#DIV/0!</v>
      </c>
      <c r="AK30" s="316"/>
      <c r="AL30" s="237" t="e">
        <f t="shared" si="40"/>
        <v>#DIV/0!</v>
      </c>
    </row>
    <row r="31" spans="2:38" s="73" customFormat="1" ht="14.25" customHeight="1">
      <c r="B31" s="551"/>
      <c r="C31" s="555"/>
      <c r="D31" s="171">
        <v>46136</v>
      </c>
      <c r="E31" s="171" t="s">
        <v>114</v>
      </c>
      <c r="F31" s="332"/>
      <c r="G31" s="563"/>
      <c r="H31" s="567"/>
      <c r="I31" s="316"/>
      <c r="J31" s="237" t="e">
        <f t="shared" si="23"/>
        <v>#DIV/0!</v>
      </c>
      <c r="K31" s="316"/>
      <c r="L31" s="237" t="e">
        <f t="shared" si="24"/>
        <v>#DIV/0!</v>
      </c>
      <c r="M31" s="316">
        <f t="shared" si="25"/>
        <v>0</v>
      </c>
      <c r="N31" s="237" t="e">
        <f t="shared" si="26"/>
        <v>#DIV/0!</v>
      </c>
      <c r="O31" s="316"/>
      <c r="P31" s="237" t="e">
        <f t="shared" si="27"/>
        <v>#DIV/0!</v>
      </c>
      <c r="Q31" s="316"/>
      <c r="R31" s="237" t="e">
        <f t="shared" si="28"/>
        <v>#DIV/0!</v>
      </c>
      <c r="S31" s="316">
        <f t="shared" si="29"/>
        <v>0</v>
      </c>
      <c r="T31" s="237" t="e">
        <f t="shared" si="30"/>
        <v>#DIV/0!</v>
      </c>
      <c r="U31" s="316"/>
      <c r="V31" s="237" t="e">
        <f t="shared" si="31"/>
        <v>#DIV/0!</v>
      </c>
      <c r="W31" s="316"/>
      <c r="X31" s="237" t="e">
        <f t="shared" si="32"/>
        <v>#DIV/0!</v>
      </c>
      <c r="Y31" s="316"/>
      <c r="Z31" s="237" t="e">
        <f t="shared" si="33"/>
        <v>#DIV/0!</v>
      </c>
      <c r="AA31" s="316"/>
      <c r="AB31" s="237" t="e">
        <f t="shared" si="34"/>
        <v>#DIV/0!</v>
      </c>
      <c r="AC31" s="316">
        <f t="shared" si="35"/>
        <v>0</v>
      </c>
      <c r="AD31" s="237" t="e">
        <f t="shared" si="36"/>
        <v>#DIV/0!</v>
      </c>
      <c r="AE31" s="316"/>
      <c r="AF31" s="237" t="e">
        <f t="shared" si="37"/>
        <v>#DIV/0!</v>
      </c>
      <c r="AG31" s="316">
        <v>0</v>
      </c>
      <c r="AH31" s="237" t="e">
        <f t="shared" si="38"/>
        <v>#DIV/0!</v>
      </c>
      <c r="AI31" s="316">
        <v>0</v>
      </c>
      <c r="AJ31" s="237" t="e">
        <f t="shared" si="39"/>
        <v>#DIV/0!</v>
      </c>
      <c r="AK31" s="316"/>
      <c r="AL31" s="237" t="e">
        <f t="shared" si="40"/>
        <v>#DIV/0!</v>
      </c>
    </row>
    <row r="32" spans="2:38" s="73" customFormat="1" ht="14.25" customHeight="1">
      <c r="B32" s="551"/>
      <c r="C32" s="555"/>
      <c r="D32" s="171">
        <v>46137</v>
      </c>
      <c r="E32" s="171" t="s">
        <v>115</v>
      </c>
      <c r="F32" s="332"/>
      <c r="G32" s="563"/>
      <c r="H32" s="567"/>
      <c r="I32" s="316"/>
      <c r="J32" s="237" t="e">
        <f t="shared" si="23"/>
        <v>#DIV/0!</v>
      </c>
      <c r="K32" s="316"/>
      <c r="L32" s="237" t="e">
        <f t="shared" si="24"/>
        <v>#DIV/0!</v>
      </c>
      <c r="M32" s="316">
        <f t="shared" si="25"/>
        <v>0</v>
      </c>
      <c r="N32" s="237" t="e">
        <f t="shared" si="26"/>
        <v>#DIV/0!</v>
      </c>
      <c r="O32" s="316"/>
      <c r="P32" s="237" t="e">
        <f t="shared" si="27"/>
        <v>#DIV/0!</v>
      </c>
      <c r="Q32" s="316"/>
      <c r="R32" s="237" t="e">
        <f t="shared" si="28"/>
        <v>#DIV/0!</v>
      </c>
      <c r="S32" s="316">
        <f t="shared" si="29"/>
        <v>0</v>
      </c>
      <c r="T32" s="237" t="e">
        <f t="shared" si="30"/>
        <v>#DIV/0!</v>
      </c>
      <c r="U32" s="316"/>
      <c r="V32" s="237" t="e">
        <f t="shared" si="31"/>
        <v>#DIV/0!</v>
      </c>
      <c r="W32" s="316"/>
      <c r="X32" s="237" t="e">
        <f t="shared" si="32"/>
        <v>#DIV/0!</v>
      </c>
      <c r="Y32" s="316"/>
      <c r="Z32" s="237" t="e">
        <f t="shared" si="33"/>
        <v>#DIV/0!</v>
      </c>
      <c r="AA32" s="316"/>
      <c r="AB32" s="237" t="e">
        <f t="shared" si="34"/>
        <v>#DIV/0!</v>
      </c>
      <c r="AC32" s="316">
        <f t="shared" si="35"/>
        <v>0</v>
      </c>
      <c r="AD32" s="237" t="e">
        <f t="shared" si="36"/>
        <v>#DIV/0!</v>
      </c>
      <c r="AE32" s="316"/>
      <c r="AF32" s="237" t="e">
        <f t="shared" si="37"/>
        <v>#DIV/0!</v>
      </c>
      <c r="AG32" s="316">
        <v>0</v>
      </c>
      <c r="AH32" s="237" t="e">
        <f t="shared" si="38"/>
        <v>#DIV/0!</v>
      </c>
      <c r="AI32" s="316">
        <v>0</v>
      </c>
      <c r="AJ32" s="237" t="e">
        <f t="shared" si="39"/>
        <v>#DIV/0!</v>
      </c>
      <c r="AK32" s="316"/>
      <c r="AL32" s="237" t="e">
        <f t="shared" si="40"/>
        <v>#DIV/0!</v>
      </c>
    </row>
    <row r="33" spans="2:38" s="73" customFormat="1" ht="14.25" customHeight="1">
      <c r="B33" s="551"/>
      <c r="C33" s="555"/>
      <c r="D33" s="171">
        <v>46138</v>
      </c>
      <c r="E33" s="171" t="s">
        <v>116</v>
      </c>
      <c r="F33" s="332"/>
      <c r="G33" s="563"/>
      <c r="H33" s="567"/>
      <c r="I33" s="316"/>
      <c r="J33" s="237" t="e">
        <f t="shared" si="23"/>
        <v>#DIV/0!</v>
      </c>
      <c r="K33" s="316"/>
      <c r="L33" s="237" t="e">
        <f t="shared" si="24"/>
        <v>#DIV/0!</v>
      </c>
      <c r="M33" s="316">
        <f t="shared" si="25"/>
        <v>0</v>
      </c>
      <c r="N33" s="237" t="e">
        <f t="shared" si="26"/>
        <v>#DIV/0!</v>
      </c>
      <c r="O33" s="316"/>
      <c r="P33" s="237" t="e">
        <f t="shared" si="27"/>
        <v>#DIV/0!</v>
      </c>
      <c r="Q33" s="316"/>
      <c r="R33" s="237" t="e">
        <f t="shared" si="28"/>
        <v>#DIV/0!</v>
      </c>
      <c r="S33" s="316">
        <f t="shared" si="29"/>
        <v>0</v>
      </c>
      <c r="T33" s="237" t="e">
        <f t="shared" si="30"/>
        <v>#DIV/0!</v>
      </c>
      <c r="U33" s="316"/>
      <c r="V33" s="237" t="e">
        <f t="shared" si="31"/>
        <v>#DIV/0!</v>
      </c>
      <c r="W33" s="316"/>
      <c r="X33" s="237" t="e">
        <f t="shared" si="32"/>
        <v>#DIV/0!</v>
      </c>
      <c r="Y33" s="316"/>
      <c r="Z33" s="237" t="e">
        <f t="shared" si="33"/>
        <v>#DIV/0!</v>
      </c>
      <c r="AA33" s="316"/>
      <c r="AB33" s="237" t="e">
        <f t="shared" si="34"/>
        <v>#DIV/0!</v>
      </c>
      <c r="AC33" s="316">
        <f t="shared" si="35"/>
        <v>0</v>
      </c>
      <c r="AD33" s="237" t="e">
        <f t="shared" si="36"/>
        <v>#DIV/0!</v>
      </c>
      <c r="AE33" s="316"/>
      <c r="AF33" s="237" t="e">
        <f t="shared" si="37"/>
        <v>#DIV/0!</v>
      </c>
      <c r="AG33" s="316">
        <v>0</v>
      </c>
      <c r="AH33" s="237" t="e">
        <f t="shared" si="38"/>
        <v>#DIV/0!</v>
      </c>
      <c r="AI33" s="316">
        <v>0</v>
      </c>
      <c r="AJ33" s="237" t="e">
        <f t="shared" si="39"/>
        <v>#DIV/0!</v>
      </c>
      <c r="AK33" s="316"/>
      <c r="AL33" s="237" t="e">
        <f t="shared" si="40"/>
        <v>#DIV/0!</v>
      </c>
    </row>
    <row r="34" spans="2:38" s="73" customFormat="1" ht="14.25" customHeight="1">
      <c r="B34" s="552"/>
      <c r="C34" s="555"/>
      <c r="D34" s="171">
        <v>46139</v>
      </c>
      <c r="E34" s="171" t="s">
        <v>117</v>
      </c>
      <c r="F34" s="332"/>
      <c r="G34" s="563"/>
      <c r="H34" s="567"/>
      <c r="I34" s="316"/>
      <c r="J34" s="237" t="e">
        <f t="shared" si="23"/>
        <v>#DIV/0!</v>
      </c>
      <c r="K34" s="316"/>
      <c r="L34" s="237" t="e">
        <f t="shared" si="24"/>
        <v>#DIV/0!</v>
      </c>
      <c r="M34" s="316">
        <f t="shared" si="25"/>
        <v>0</v>
      </c>
      <c r="N34" s="237" t="e">
        <f t="shared" si="26"/>
        <v>#DIV/0!</v>
      </c>
      <c r="O34" s="316"/>
      <c r="P34" s="237" t="e">
        <f t="shared" si="27"/>
        <v>#DIV/0!</v>
      </c>
      <c r="Q34" s="316"/>
      <c r="R34" s="237" t="e">
        <f t="shared" si="28"/>
        <v>#DIV/0!</v>
      </c>
      <c r="S34" s="316">
        <f t="shared" si="29"/>
        <v>0</v>
      </c>
      <c r="T34" s="237" t="e">
        <f t="shared" si="30"/>
        <v>#DIV/0!</v>
      </c>
      <c r="U34" s="316"/>
      <c r="V34" s="237" t="e">
        <f t="shared" si="31"/>
        <v>#DIV/0!</v>
      </c>
      <c r="W34" s="316"/>
      <c r="X34" s="237" t="e">
        <f t="shared" si="32"/>
        <v>#DIV/0!</v>
      </c>
      <c r="Y34" s="316"/>
      <c r="Z34" s="237" t="e">
        <f t="shared" si="33"/>
        <v>#DIV/0!</v>
      </c>
      <c r="AA34" s="316"/>
      <c r="AB34" s="237" t="e">
        <f t="shared" si="34"/>
        <v>#DIV/0!</v>
      </c>
      <c r="AC34" s="316">
        <f t="shared" si="35"/>
        <v>0</v>
      </c>
      <c r="AD34" s="237" t="e">
        <f t="shared" si="36"/>
        <v>#DIV/0!</v>
      </c>
      <c r="AE34" s="316"/>
      <c r="AF34" s="237" t="e">
        <f t="shared" si="37"/>
        <v>#DIV/0!</v>
      </c>
      <c r="AG34" s="316">
        <v>0</v>
      </c>
      <c r="AH34" s="237" t="e">
        <f t="shared" si="38"/>
        <v>#DIV/0!</v>
      </c>
      <c r="AI34" s="316">
        <v>0</v>
      </c>
      <c r="AJ34" s="237" t="e">
        <f t="shared" si="39"/>
        <v>#DIV/0!</v>
      </c>
      <c r="AK34" s="316"/>
      <c r="AL34" s="237" t="e">
        <f t="shared" si="40"/>
        <v>#DIV/0!</v>
      </c>
    </row>
    <row r="35" spans="2:38" s="73" customFormat="1" ht="14.25" customHeight="1">
      <c r="B35" s="550">
        <f>B28+7</f>
        <v>46148</v>
      </c>
      <c r="C35" s="555"/>
      <c r="D35" s="171">
        <v>46140</v>
      </c>
      <c r="E35" s="171" t="s">
        <v>118</v>
      </c>
      <c r="F35" s="332"/>
      <c r="G35" s="563">
        <f t="shared" ref="G35" si="41">SUM(F35:F41)</f>
        <v>0</v>
      </c>
      <c r="H35" s="567"/>
      <c r="I35" s="316"/>
      <c r="J35" s="237" t="e">
        <f t="shared" ref="J35:J41" si="42">I35/$F35</f>
        <v>#DIV/0!</v>
      </c>
      <c r="K35" s="316"/>
      <c r="L35" s="237" t="e">
        <f t="shared" ref="L35:L41" si="43">K35/$F35</f>
        <v>#DIV/0!</v>
      </c>
      <c r="M35" s="316">
        <f t="shared" ref="M35:M41" si="44">I35+K35</f>
        <v>0</v>
      </c>
      <c r="N35" s="237" t="e">
        <f t="shared" ref="N35:N41" si="45">M35/$F35</f>
        <v>#DIV/0!</v>
      </c>
      <c r="O35" s="316"/>
      <c r="P35" s="237" t="e">
        <f t="shared" ref="P35:P41" si="46">O35/$F35</f>
        <v>#DIV/0!</v>
      </c>
      <c r="Q35" s="316"/>
      <c r="R35" s="237" t="e">
        <f t="shared" ref="R35:R41" si="47">Q35/$F35</f>
        <v>#DIV/0!</v>
      </c>
      <c r="S35" s="316">
        <f t="shared" ref="S35:S41" si="48">O35+Q35</f>
        <v>0</v>
      </c>
      <c r="T35" s="237" t="e">
        <f t="shared" ref="T35:T41" si="49">S35/$F35</f>
        <v>#DIV/0!</v>
      </c>
      <c r="U35" s="316"/>
      <c r="V35" s="237" t="e">
        <f t="shared" ref="V35:V41" si="50">U35/$F35</f>
        <v>#DIV/0!</v>
      </c>
      <c r="W35" s="316"/>
      <c r="X35" s="237" t="e">
        <f t="shared" ref="X35:X41" si="51">W35/$F35</f>
        <v>#DIV/0!</v>
      </c>
      <c r="Y35" s="316"/>
      <c r="Z35" s="237" t="e">
        <f t="shared" ref="Z35:Z41" si="52">Y35/$F35</f>
        <v>#DIV/0!</v>
      </c>
      <c r="AA35" s="316"/>
      <c r="AB35" s="237" t="e">
        <f t="shared" ref="AB35:AB41" si="53">AA35/$F35</f>
        <v>#DIV/0!</v>
      </c>
      <c r="AC35" s="316">
        <f t="shared" ref="AC35:AC41" si="54">Y35+AA35</f>
        <v>0</v>
      </c>
      <c r="AD35" s="237" t="e">
        <f t="shared" ref="AD35:AD41" si="55">AC35/$F35</f>
        <v>#DIV/0!</v>
      </c>
      <c r="AE35" s="316"/>
      <c r="AF35" s="237" t="e">
        <f t="shared" ref="AF35:AF41" si="56">AE35/$F35</f>
        <v>#DIV/0!</v>
      </c>
      <c r="AG35" s="316">
        <v>0</v>
      </c>
      <c r="AH35" s="237" t="e">
        <f t="shared" ref="AH35:AH41" si="57">AG35/$F35</f>
        <v>#DIV/0!</v>
      </c>
      <c r="AI35" s="316">
        <v>0</v>
      </c>
      <c r="AJ35" s="237" t="e">
        <f t="shared" ref="AJ35:AJ41" si="58">AI35/$F35</f>
        <v>#DIV/0!</v>
      </c>
      <c r="AK35" s="316"/>
      <c r="AL35" s="237" t="e">
        <f t="shared" ref="AL35:AL41" si="59">AK35/$F35</f>
        <v>#DIV/0!</v>
      </c>
    </row>
    <row r="36" spans="2:38" s="73" customFormat="1" ht="14.25" customHeight="1">
      <c r="B36" s="551"/>
      <c r="C36" s="555"/>
      <c r="D36" s="171">
        <v>46141</v>
      </c>
      <c r="E36" s="171" t="s">
        <v>112</v>
      </c>
      <c r="F36" s="332"/>
      <c r="G36" s="563"/>
      <c r="H36" s="567"/>
      <c r="I36" s="316"/>
      <c r="J36" s="237" t="e">
        <f t="shared" si="42"/>
        <v>#DIV/0!</v>
      </c>
      <c r="K36" s="316"/>
      <c r="L36" s="237" t="e">
        <f t="shared" si="43"/>
        <v>#DIV/0!</v>
      </c>
      <c r="M36" s="316">
        <f t="shared" si="44"/>
        <v>0</v>
      </c>
      <c r="N36" s="237" t="e">
        <f t="shared" si="45"/>
        <v>#DIV/0!</v>
      </c>
      <c r="O36" s="316"/>
      <c r="P36" s="237" t="e">
        <f t="shared" si="46"/>
        <v>#DIV/0!</v>
      </c>
      <c r="Q36" s="316"/>
      <c r="R36" s="237" t="e">
        <f t="shared" si="47"/>
        <v>#DIV/0!</v>
      </c>
      <c r="S36" s="316">
        <f t="shared" si="48"/>
        <v>0</v>
      </c>
      <c r="T36" s="237" t="e">
        <f t="shared" si="49"/>
        <v>#DIV/0!</v>
      </c>
      <c r="U36" s="316"/>
      <c r="V36" s="237" t="e">
        <f t="shared" si="50"/>
        <v>#DIV/0!</v>
      </c>
      <c r="W36" s="316"/>
      <c r="X36" s="237" t="e">
        <f t="shared" si="51"/>
        <v>#DIV/0!</v>
      </c>
      <c r="Y36" s="316"/>
      <c r="Z36" s="237" t="e">
        <f t="shared" si="52"/>
        <v>#DIV/0!</v>
      </c>
      <c r="AA36" s="316"/>
      <c r="AB36" s="237" t="e">
        <f t="shared" si="53"/>
        <v>#DIV/0!</v>
      </c>
      <c r="AC36" s="316">
        <f t="shared" si="54"/>
        <v>0</v>
      </c>
      <c r="AD36" s="237" t="e">
        <f t="shared" si="55"/>
        <v>#DIV/0!</v>
      </c>
      <c r="AE36" s="316"/>
      <c r="AF36" s="237" t="e">
        <f t="shared" si="56"/>
        <v>#DIV/0!</v>
      </c>
      <c r="AG36" s="316">
        <v>0</v>
      </c>
      <c r="AH36" s="237" t="e">
        <f t="shared" si="57"/>
        <v>#DIV/0!</v>
      </c>
      <c r="AI36" s="316">
        <v>0</v>
      </c>
      <c r="AJ36" s="237" t="e">
        <f t="shared" si="58"/>
        <v>#DIV/0!</v>
      </c>
      <c r="AK36" s="316"/>
      <c r="AL36" s="237" t="e">
        <f t="shared" si="59"/>
        <v>#DIV/0!</v>
      </c>
    </row>
    <row r="37" spans="2:38" s="73" customFormat="1" ht="14.25" customHeight="1">
      <c r="B37" s="551"/>
      <c r="C37" s="555"/>
      <c r="D37" s="171">
        <v>46142</v>
      </c>
      <c r="E37" s="171" t="s">
        <v>113</v>
      </c>
      <c r="F37" s="332"/>
      <c r="G37" s="563"/>
      <c r="H37" s="567"/>
      <c r="I37" s="316"/>
      <c r="J37" s="237" t="e">
        <f t="shared" si="42"/>
        <v>#DIV/0!</v>
      </c>
      <c r="K37" s="316"/>
      <c r="L37" s="237" t="e">
        <f t="shared" si="43"/>
        <v>#DIV/0!</v>
      </c>
      <c r="M37" s="316">
        <f t="shared" si="44"/>
        <v>0</v>
      </c>
      <c r="N37" s="237" t="e">
        <f t="shared" si="45"/>
        <v>#DIV/0!</v>
      </c>
      <c r="O37" s="316"/>
      <c r="P37" s="237" t="e">
        <f t="shared" si="46"/>
        <v>#DIV/0!</v>
      </c>
      <c r="Q37" s="316"/>
      <c r="R37" s="237" t="e">
        <f t="shared" si="47"/>
        <v>#DIV/0!</v>
      </c>
      <c r="S37" s="316">
        <f t="shared" si="48"/>
        <v>0</v>
      </c>
      <c r="T37" s="237" t="e">
        <f t="shared" si="49"/>
        <v>#DIV/0!</v>
      </c>
      <c r="U37" s="316"/>
      <c r="V37" s="237" t="e">
        <f t="shared" si="50"/>
        <v>#DIV/0!</v>
      </c>
      <c r="W37" s="316"/>
      <c r="X37" s="237" t="e">
        <f t="shared" si="51"/>
        <v>#DIV/0!</v>
      </c>
      <c r="Y37" s="316"/>
      <c r="Z37" s="237" t="e">
        <f t="shared" si="52"/>
        <v>#DIV/0!</v>
      </c>
      <c r="AA37" s="316"/>
      <c r="AB37" s="237" t="e">
        <f t="shared" si="53"/>
        <v>#DIV/0!</v>
      </c>
      <c r="AC37" s="316">
        <f t="shared" si="54"/>
        <v>0</v>
      </c>
      <c r="AD37" s="237" t="e">
        <f t="shared" si="55"/>
        <v>#DIV/0!</v>
      </c>
      <c r="AE37" s="316"/>
      <c r="AF37" s="237" t="e">
        <f t="shared" si="56"/>
        <v>#DIV/0!</v>
      </c>
      <c r="AG37" s="316">
        <v>0</v>
      </c>
      <c r="AH37" s="237" t="e">
        <f t="shared" si="57"/>
        <v>#DIV/0!</v>
      </c>
      <c r="AI37" s="316">
        <v>0</v>
      </c>
      <c r="AJ37" s="237" t="e">
        <f t="shared" si="58"/>
        <v>#DIV/0!</v>
      </c>
      <c r="AK37" s="316"/>
      <c r="AL37" s="237" t="e">
        <f t="shared" si="59"/>
        <v>#DIV/0!</v>
      </c>
    </row>
    <row r="38" spans="2:38" s="73" customFormat="1" ht="14.25" customHeight="1">
      <c r="B38" s="551"/>
      <c r="C38" s="568"/>
      <c r="D38" s="171">
        <v>46143</v>
      </c>
      <c r="E38" s="171" t="s">
        <v>114</v>
      </c>
      <c r="F38" s="332"/>
      <c r="G38" s="563"/>
      <c r="H38" s="571"/>
      <c r="I38" s="316"/>
      <c r="J38" s="237" t="e">
        <f t="shared" si="42"/>
        <v>#DIV/0!</v>
      </c>
      <c r="K38" s="316"/>
      <c r="L38" s="237" t="e">
        <f t="shared" si="43"/>
        <v>#DIV/0!</v>
      </c>
      <c r="M38" s="316">
        <f t="shared" si="44"/>
        <v>0</v>
      </c>
      <c r="N38" s="237" t="e">
        <f t="shared" si="45"/>
        <v>#DIV/0!</v>
      </c>
      <c r="O38" s="316"/>
      <c r="P38" s="237" t="e">
        <f t="shared" si="46"/>
        <v>#DIV/0!</v>
      </c>
      <c r="Q38" s="316"/>
      <c r="R38" s="237" t="e">
        <f t="shared" si="47"/>
        <v>#DIV/0!</v>
      </c>
      <c r="S38" s="316">
        <f t="shared" si="48"/>
        <v>0</v>
      </c>
      <c r="T38" s="237" t="e">
        <f t="shared" si="49"/>
        <v>#DIV/0!</v>
      </c>
      <c r="U38" s="316"/>
      <c r="V38" s="237" t="e">
        <f t="shared" si="50"/>
        <v>#DIV/0!</v>
      </c>
      <c r="W38" s="316"/>
      <c r="X38" s="237" t="e">
        <f t="shared" si="51"/>
        <v>#DIV/0!</v>
      </c>
      <c r="Y38" s="316"/>
      <c r="Z38" s="237" t="e">
        <f t="shared" si="52"/>
        <v>#DIV/0!</v>
      </c>
      <c r="AA38" s="316"/>
      <c r="AB38" s="237" t="e">
        <f t="shared" si="53"/>
        <v>#DIV/0!</v>
      </c>
      <c r="AC38" s="316">
        <f t="shared" si="54"/>
        <v>0</v>
      </c>
      <c r="AD38" s="237" t="e">
        <f t="shared" si="55"/>
        <v>#DIV/0!</v>
      </c>
      <c r="AE38" s="316"/>
      <c r="AF38" s="237" t="e">
        <f t="shared" si="56"/>
        <v>#DIV/0!</v>
      </c>
      <c r="AG38" s="316">
        <v>0</v>
      </c>
      <c r="AH38" s="237" t="e">
        <f t="shared" si="57"/>
        <v>#DIV/0!</v>
      </c>
      <c r="AI38" s="316">
        <v>0</v>
      </c>
      <c r="AJ38" s="237" t="e">
        <f t="shared" si="58"/>
        <v>#DIV/0!</v>
      </c>
      <c r="AK38" s="316"/>
      <c r="AL38" s="237" t="e">
        <f t="shared" si="59"/>
        <v>#DIV/0!</v>
      </c>
    </row>
    <row r="39" spans="2:38" s="73" customFormat="1" ht="14.25" customHeight="1">
      <c r="B39" s="551"/>
      <c r="C39" s="569"/>
      <c r="D39" s="171">
        <v>46144</v>
      </c>
      <c r="E39" s="171" t="s">
        <v>115</v>
      </c>
      <c r="F39" s="332"/>
      <c r="G39" s="563"/>
      <c r="H39" s="572"/>
      <c r="I39" s="316"/>
      <c r="J39" s="237" t="e">
        <f t="shared" si="42"/>
        <v>#DIV/0!</v>
      </c>
      <c r="K39" s="316"/>
      <c r="L39" s="237" t="e">
        <f t="shared" si="43"/>
        <v>#DIV/0!</v>
      </c>
      <c r="M39" s="316">
        <f t="shared" si="44"/>
        <v>0</v>
      </c>
      <c r="N39" s="237" t="e">
        <f t="shared" si="45"/>
        <v>#DIV/0!</v>
      </c>
      <c r="O39" s="316"/>
      <c r="P39" s="237" t="e">
        <f t="shared" si="46"/>
        <v>#DIV/0!</v>
      </c>
      <c r="Q39" s="316"/>
      <c r="R39" s="237" t="e">
        <f t="shared" si="47"/>
        <v>#DIV/0!</v>
      </c>
      <c r="S39" s="316">
        <f t="shared" si="48"/>
        <v>0</v>
      </c>
      <c r="T39" s="237" t="e">
        <f t="shared" si="49"/>
        <v>#DIV/0!</v>
      </c>
      <c r="U39" s="316"/>
      <c r="V39" s="237" t="e">
        <f t="shared" si="50"/>
        <v>#DIV/0!</v>
      </c>
      <c r="W39" s="316"/>
      <c r="X39" s="237" t="e">
        <f t="shared" si="51"/>
        <v>#DIV/0!</v>
      </c>
      <c r="Y39" s="316"/>
      <c r="Z39" s="237" t="e">
        <f t="shared" si="52"/>
        <v>#DIV/0!</v>
      </c>
      <c r="AA39" s="316"/>
      <c r="AB39" s="237" t="e">
        <f t="shared" si="53"/>
        <v>#DIV/0!</v>
      </c>
      <c r="AC39" s="316">
        <f t="shared" si="54"/>
        <v>0</v>
      </c>
      <c r="AD39" s="237" t="e">
        <f t="shared" si="55"/>
        <v>#DIV/0!</v>
      </c>
      <c r="AE39" s="316"/>
      <c r="AF39" s="237" t="e">
        <f t="shared" si="56"/>
        <v>#DIV/0!</v>
      </c>
      <c r="AG39" s="316">
        <v>0</v>
      </c>
      <c r="AH39" s="237" t="e">
        <f t="shared" si="57"/>
        <v>#DIV/0!</v>
      </c>
      <c r="AI39" s="316">
        <v>0</v>
      </c>
      <c r="AJ39" s="237" t="e">
        <f t="shared" si="58"/>
        <v>#DIV/0!</v>
      </c>
      <c r="AK39" s="316"/>
      <c r="AL39" s="237" t="e">
        <f t="shared" si="59"/>
        <v>#DIV/0!</v>
      </c>
    </row>
    <row r="40" spans="2:38" s="73" customFormat="1" ht="14.25" customHeight="1">
      <c r="B40" s="551"/>
      <c r="C40" s="569"/>
      <c r="D40" s="171">
        <v>46145</v>
      </c>
      <c r="E40" s="171" t="s">
        <v>116</v>
      </c>
      <c r="F40" s="332"/>
      <c r="G40" s="563"/>
      <c r="H40" s="572"/>
      <c r="I40" s="316"/>
      <c r="J40" s="237" t="e">
        <f t="shared" si="42"/>
        <v>#DIV/0!</v>
      </c>
      <c r="K40" s="316"/>
      <c r="L40" s="237" t="e">
        <f t="shared" si="43"/>
        <v>#DIV/0!</v>
      </c>
      <c r="M40" s="316">
        <f t="shared" si="44"/>
        <v>0</v>
      </c>
      <c r="N40" s="237" t="e">
        <f t="shared" si="45"/>
        <v>#DIV/0!</v>
      </c>
      <c r="O40" s="316"/>
      <c r="P40" s="237" t="e">
        <f t="shared" si="46"/>
        <v>#DIV/0!</v>
      </c>
      <c r="Q40" s="316"/>
      <c r="R40" s="237" t="e">
        <f t="shared" si="47"/>
        <v>#DIV/0!</v>
      </c>
      <c r="S40" s="316">
        <f t="shared" si="48"/>
        <v>0</v>
      </c>
      <c r="T40" s="237" t="e">
        <f t="shared" si="49"/>
        <v>#DIV/0!</v>
      </c>
      <c r="U40" s="316"/>
      <c r="V40" s="237" t="e">
        <f t="shared" si="50"/>
        <v>#DIV/0!</v>
      </c>
      <c r="W40" s="316"/>
      <c r="X40" s="237" t="e">
        <f t="shared" si="51"/>
        <v>#DIV/0!</v>
      </c>
      <c r="Y40" s="316"/>
      <c r="Z40" s="237" t="e">
        <f t="shared" si="52"/>
        <v>#DIV/0!</v>
      </c>
      <c r="AA40" s="316"/>
      <c r="AB40" s="237" t="e">
        <f t="shared" si="53"/>
        <v>#DIV/0!</v>
      </c>
      <c r="AC40" s="316">
        <f t="shared" si="54"/>
        <v>0</v>
      </c>
      <c r="AD40" s="237" t="e">
        <f t="shared" si="55"/>
        <v>#DIV/0!</v>
      </c>
      <c r="AE40" s="316"/>
      <c r="AF40" s="237" t="e">
        <f t="shared" si="56"/>
        <v>#DIV/0!</v>
      </c>
      <c r="AG40" s="316">
        <v>0</v>
      </c>
      <c r="AH40" s="237" t="e">
        <f t="shared" si="57"/>
        <v>#DIV/0!</v>
      </c>
      <c r="AI40" s="316">
        <v>0</v>
      </c>
      <c r="AJ40" s="237" t="e">
        <f t="shared" si="58"/>
        <v>#DIV/0!</v>
      </c>
      <c r="AK40" s="316"/>
      <c r="AL40" s="237" t="e">
        <f t="shared" si="59"/>
        <v>#DIV/0!</v>
      </c>
    </row>
    <row r="41" spans="2:38" s="73" customFormat="1" ht="14.25" customHeight="1">
      <c r="B41" s="552"/>
      <c r="C41" s="570"/>
      <c r="D41" s="171">
        <v>46146</v>
      </c>
      <c r="E41" s="171" t="s">
        <v>117</v>
      </c>
      <c r="F41" s="332"/>
      <c r="G41" s="563"/>
      <c r="H41" s="573"/>
      <c r="I41" s="316"/>
      <c r="J41" s="237" t="e">
        <f t="shared" si="42"/>
        <v>#DIV/0!</v>
      </c>
      <c r="K41" s="316"/>
      <c r="L41" s="237" t="e">
        <f t="shared" si="43"/>
        <v>#DIV/0!</v>
      </c>
      <c r="M41" s="316">
        <f t="shared" si="44"/>
        <v>0</v>
      </c>
      <c r="N41" s="237" t="e">
        <f t="shared" si="45"/>
        <v>#DIV/0!</v>
      </c>
      <c r="O41" s="316"/>
      <c r="P41" s="237" t="e">
        <f t="shared" si="46"/>
        <v>#DIV/0!</v>
      </c>
      <c r="Q41" s="316"/>
      <c r="R41" s="237" t="e">
        <f t="shared" si="47"/>
        <v>#DIV/0!</v>
      </c>
      <c r="S41" s="316">
        <f t="shared" si="48"/>
        <v>0</v>
      </c>
      <c r="T41" s="237" t="e">
        <f t="shared" si="49"/>
        <v>#DIV/0!</v>
      </c>
      <c r="U41" s="316"/>
      <c r="V41" s="237" t="e">
        <f t="shared" si="50"/>
        <v>#DIV/0!</v>
      </c>
      <c r="W41" s="316"/>
      <c r="X41" s="237" t="e">
        <f t="shared" si="51"/>
        <v>#DIV/0!</v>
      </c>
      <c r="Y41" s="316"/>
      <c r="Z41" s="237" t="e">
        <f t="shared" si="52"/>
        <v>#DIV/0!</v>
      </c>
      <c r="AA41" s="316"/>
      <c r="AB41" s="237" t="e">
        <f t="shared" si="53"/>
        <v>#DIV/0!</v>
      </c>
      <c r="AC41" s="316">
        <f t="shared" si="54"/>
        <v>0</v>
      </c>
      <c r="AD41" s="237" t="e">
        <f t="shared" si="55"/>
        <v>#DIV/0!</v>
      </c>
      <c r="AE41" s="316"/>
      <c r="AF41" s="237" t="e">
        <f t="shared" si="56"/>
        <v>#DIV/0!</v>
      </c>
      <c r="AG41" s="316">
        <v>0</v>
      </c>
      <c r="AH41" s="237" t="e">
        <f t="shared" si="57"/>
        <v>#DIV/0!</v>
      </c>
      <c r="AI41" s="316">
        <v>0</v>
      </c>
      <c r="AJ41" s="237" t="e">
        <f t="shared" si="58"/>
        <v>#DIV/0!</v>
      </c>
      <c r="AK41" s="316"/>
      <c r="AL41" s="237" t="e">
        <f t="shared" si="59"/>
        <v>#DIV/0!</v>
      </c>
    </row>
  </sheetData>
  <mergeCells count="47">
    <mergeCell ref="B35:B41"/>
    <mergeCell ref="G35:G41"/>
    <mergeCell ref="H8:H37"/>
    <mergeCell ref="C8:C37"/>
    <mergeCell ref="C38:C41"/>
    <mergeCell ref="H38:H41"/>
    <mergeCell ref="B14:B20"/>
    <mergeCell ref="G14:G20"/>
    <mergeCell ref="B21:B27"/>
    <mergeCell ref="G21:G27"/>
    <mergeCell ref="B28:B34"/>
    <mergeCell ref="G28:G34"/>
    <mergeCell ref="B7:B13"/>
    <mergeCell ref="G7:G13"/>
    <mergeCell ref="AI5:AJ5"/>
    <mergeCell ref="K5:L5"/>
    <mergeCell ref="S5:T5"/>
    <mergeCell ref="H5:H6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A5:AB5"/>
    <mergeCell ref="F5:F6"/>
    <mergeCell ref="AK4:AL4"/>
    <mergeCell ref="F3:H4"/>
    <mergeCell ref="B3:B6"/>
    <mergeCell ref="O4:T4"/>
    <mergeCell ref="I4:N4"/>
    <mergeCell ref="Y4:AD4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17"/>
  <sheetViews>
    <sheetView zoomScale="85" zoomScaleNormal="85" workbookViewId="0">
      <pane xSplit="13" ySplit="1" topLeftCell="N77" activePane="bottomRight" state="frozen"/>
      <selection activeCell="E31" sqref="E31"/>
      <selection pane="topRight" activeCell="E31" sqref="E31"/>
      <selection pane="bottomLeft" activeCell="E31" sqref="E31"/>
      <selection pane="bottomRight" activeCell="B78" sqref="B78:M7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67" t="s">
        <v>676</v>
      </c>
      <c r="C1" s="175">
        <f>AVERAGE(L7,L45,L83)</f>
        <v>738.68930145750983</v>
      </c>
    </row>
    <row r="2" spans="1:50" ht="14.25" customHeight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593" t="s">
        <v>375</v>
      </c>
      <c r="O2" s="593" t="s">
        <v>105</v>
      </c>
      <c r="P2" s="580">
        <v>46112</v>
      </c>
      <c r="Q2" s="581"/>
      <c r="R2" s="581"/>
      <c r="S2" s="581"/>
      <c r="T2" s="582"/>
      <c r="U2" s="641">
        <v>46113</v>
      </c>
      <c r="V2" s="642"/>
      <c r="W2" s="642"/>
      <c r="X2" s="642"/>
      <c r="Y2" s="643"/>
      <c r="Z2" s="580">
        <v>46114</v>
      </c>
      <c r="AA2" s="581"/>
      <c r="AB2" s="581"/>
      <c r="AC2" s="581"/>
      <c r="AD2" s="582"/>
      <c r="AE2" s="641">
        <v>46115</v>
      </c>
      <c r="AF2" s="642"/>
      <c r="AG2" s="642"/>
      <c r="AH2" s="642"/>
      <c r="AI2" s="643"/>
      <c r="AJ2" s="580">
        <v>46116</v>
      </c>
      <c r="AK2" s="581"/>
      <c r="AL2" s="581"/>
      <c r="AM2" s="581"/>
      <c r="AN2" s="582"/>
      <c r="AO2" s="641">
        <v>46117</v>
      </c>
      <c r="AP2" s="642"/>
      <c r="AQ2" s="642"/>
      <c r="AR2" s="642"/>
      <c r="AS2" s="643"/>
      <c r="AT2" s="580">
        <v>46118</v>
      </c>
      <c r="AU2" s="581"/>
      <c r="AV2" s="581"/>
      <c r="AW2" s="581"/>
      <c r="AX2" s="582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594"/>
      <c r="O3" s="594"/>
      <c r="P3" s="585">
        <v>46112</v>
      </c>
      <c r="Q3" s="586"/>
      <c r="R3" s="586"/>
      <c r="S3" s="586"/>
      <c r="T3" s="587"/>
      <c r="U3" s="621">
        <v>46113</v>
      </c>
      <c r="V3" s="622"/>
      <c r="W3" s="622"/>
      <c r="X3" s="622"/>
      <c r="Y3" s="623"/>
      <c r="Z3" s="585">
        <v>46114</v>
      </c>
      <c r="AA3" s="586"/>
      <c r="AB3" s="586"/>
      <c r="AC3" s="586"/>
      <c r="AD3" s="587"/>
      <c r="AE3" s="621">
        <v>46115</v>
      </c>
      <c r="AF3" s="622"/>
      <c r="AG3" s="622"/>
      <c r="AH3" s="622"/>
      <c r="AI3" s="623"/>
      <c r="AJ3" s="585">
        <v>46116</v>
      </c>
      <c r="AK3" s="586"/>
      <c r="AL3" s="586"/>
      <c r="AM3" s="586"/>
      <c r="AN3" s="587"/>
      <c r="AO3" s="621">
        <v>46117</v>
      </c>
      <c r="AP3" s="622"/>
      <c r="AQ3" s="622"/>
      <c r="AR3" s="622"/>
      <c r="AS3" s="623"/>
      <c r="AT3" s="585">
        <v>46118</v>
      </c>
      <c r="AU3" s="586"/>
      <c r="AV3" s="586"/>
      <c r="AW3" s="586"/>
      <c r="AX3" s="587"/>
    </row>
    <row r="4" spans="1:50">
      <c r="B4" s="602" t="s">
        <v>162</v>
      </c>
      <c r="C4" s="624" t="s">
        <v>157</v>
      </c>
      <c r="D4" s="625"/>
      <c r="E4" s="615" t="s">
        <v>158</v>
      </c>
      <c r="F4" s="616"/>
      <c r="G4" s="617"/>
      <c r="H4" s="602" t="s">
        <v>163</v>
      </c>
      <c r="I4" s="618" t="s">
        <v>376</v>
      </c>
      <c r="J4" s="619"/>
      <c r="K4" s="620"/>
      <c r="L4" s="630" t="s">
        <v>163</v>
      </c>
      <c r="M4" s="630" t="s">
        <v>165</v>
      </c>
      <c r="N4" s="633"/>
      <c r="O4" s="593" t="s">
        <v>164</v>
      </c>
      <c r="P4" s="612" t="s">
        <v>160</v>
      </c>
      <c r="Q4" s="613"/>
      <c r="R4" s="613"/>
      <c r="S4" s="614"/>
      <c r="T4" s="593" t="s">
        <v>163</v>
      </c>
      <c r="U4" s="612" t="s">
        <v>160</v>
      </c>
      <c r="V4" s="613"/>
      <c r="W4" s="613"/>
      <c r="X4" s="614"/>
      <c r="Y4" s="593" t="s">
        <v>163</v>
      </c>
      <c r="Z4" s="612" t="s">
        <v>160</v>
      </c>
      <c r="AA4" s="613"/>
      <c r="AB4" s="613"/>
      <c r="AC4" s="614"/>
      <c r="AD4" s="593" t="s">
        <v>163</v>
      </c>
      <c r="AE4" s="612" t="s">
        <v>160</v>
      </c>
      <c r="AF4" s="613"/>
      <c r="AG4" s="613"/>
      <c r="AH4" s="614"/>
      <c r="AI4" s="593" t="s">
        <v>163</v>
      </c>
      <c r="AJ4" s="612" t="s">
        <v>160</v>
      </c>
      <c r="AK4" s="613"/>
      <c r="AL4" s="613"/>
      <c r="AM4" s="614"/>
      <c r="AN4" s="593" t="s">
        <v>163</v>
      </c>
      <c r="AO4" s="612" t="s">
        <v>160</v>
      </c>
      <c r="AP4" s="613"/>
      <c r="AQ4" s="613"/>
      <c r="AR4" s="614"/>
      <c r="AS4" s="593" t="s">
        <v>163</v>
      </c>
      <c r="AT4" s="612" t="s">
        <v>160</v>
      </c>
      <c r="AU4" s="613"/>
      <c r="AV4" s="613"/>
      <c r="AW4" s="614"/>
      <c r="AX4" s="593" t="s">
        <v>163</v>
      </c>
    </row>
    <row r="5" spans="1:50">
      <c r="B5" s="603"/>
      <c r="C5" s="626"/>
      <c r="D5" s="627"/>
      <c r="E5" s="615" t="s">
        <v>377</v>
      </c>
      <c r="F5" s="616"/>
      <c r="G5" s="617"/>
      <c r="H5" s="603"/>
      <c r="I5" s="618" t="s">
        <v>377</v>
      </c>
      <c r="J5" s="619"/>
      <c r="K5" s="620"/>
      <c r="L5" s="631"/>
      <c r="M5" s="631"/>
      <c r="N5" s="634"/>
      <c r="O5" s="611"/>
      <c r="P5" s="612" t="s">
        <v>378</v>
      </c>
      <c r="Q5" s="613"/>
      <c r="R5" s="613"/>
      <c r="S5" s="614"/>
      <c r="T5" s="611"/>
      <c r="U5" s="612" t="s">
        <v>378</v>
      </c>
      <c r="V5" s="613"/>
      <c r="W5" s="613"/>
      <c r="X5" s="614"/>
      <c r="Y5" s="611"/>
      <c r="Z5" s="612" t="s">
        <v>378</v>
      </c>
      <c r="AA5" s="613"/>
      <c r="AB5" s="613"/>
      <c r="AC5" s="614"/>
      <c r="AD5" s="611"/>
      <c r="AE5" s="612" t="s">
        <v>378</v>
      </c>
      <c r="AF5" s="613"/>
      <c r="AG5" s="613"/>
      <c r="AH5" s="614"/>
      <c r="AI5" s="611"/>
      <c r="AJ5" s="612" t="s">
        <v>378</v>
      </c>
      <c r="AK5" s="613"/>
      <c r="AL5" s="613"/>
      <c r="AM5" s="614"/>
      <c r="AN5" s="611"/>
      <c r="AO5" s="612" t="s">
        <v>378</v>
      </c>
      <c r="AP5" s="613"/>
      <c r="AQ5" s="613"/>
      <c r="AR5" s="614"/>
      <c r="AS5" s="611"/>
      <c r="AT5" s="612" t="s">
        <v>378</v>
      </c>
      <c r="AU5" s="613"/>
      <c r="AV5" s="613"/>
      <c r="AW5" s="614"/>
      <c r="AX5" s="611"/>
    </row>
    <row r="6" spans="1:50">
      <c r="A6" s="177"/>
      <c r="B6" s="604"/>
      <c r="C6" s="628"/>
      <c r="D6" s="629"/>
      <c r="E6" s="180" t="s">
        <v>159</v>
      </c>
      <c r="F6" s="180" t="s">
        <v>379</v>
      </c>
      <c r="G6" s="180" t="s">
        <v>161</v>
      </c>
      <c r="H6" s="604"/>
      <c r="I6" s="181" t="s">
        <v>159</v>
      </c>
      <c r="J6" s="181" t="s">
        <v>379</v>
      </c>
      <c r="K6" s="181" t="s">
        <v>161</v>
      </c>
      <c r="L6" s="632"/>
      <c r="M6" s="632"/>
      <c r="N6" s="634"/>
      <c r="O6" s="611"/>
      <c r="P6" s="182" t="s">
        <v>159</v>
      </c>
      <c r="Q6" s="182" t="s">
        <v>379</v>
      </c>
      <c r="R6" s="182" t="s">
        <v>161</v>
      </c>
      <c r="S6" s="182" t="s">
        <v>165</v>
      </c>
      <c r="T6" s="594"/>
      <c r="U6" s="182" t="s">
        <v>159</v>
      </c>
      <c r="V6" s="182" t="s">
        <v>379</v>
      </c>
      <c r="W6" s="182" t="s">
        <v>161</v>
      </c>
      <c r="X6" s="182" t="s">
        <v>165</v>
      </c>
      <c r="Y6" s="594"/>
      <c r="Z6" s="182" t="s">
        <v>159</v>
      </c>
      <c r="AA6" s="182" t="s">
        <v>379</v>
      </c>
      <c r="AB6" s="182" t="s">
        <v>161</v>
      </c>
      <c r="AC6" s="182" t="s">
        <v>165</v>
      </c>
      <c r="AD6" s="594"/>
      <c r="AE6" s="182" t="s">
        <v>159</v>
      </c>
      <c r="AF6" s="182" t="s">
        <v>379</v>
      </c>
      <c r="AG6" s="182" t="s">
        <v>161</v>
      </c>
      <c r="AH6" s="182" t="s">
        <v>165</v>
      </c>
      <c r="AI6" s="594"/>
      <c r="AJ6" s="182" t="s">
        <v>159</v>
      </c>
      <c r="AK6" s="182" t="s">
        <v>379</v>
      </c>
      <c r="AL6" s="182" t="s">
        <v>161</v>
      </c>
      <c r="AM6" s="182" t="s">
        <v>165</v>
      </c>
      <c r="AN6" s="594"/>
      <c r="AO6" s="182" t="s">
        <v>159</v>
      </c>
      <c r="AP6" s="182" t="s">
        <v>379</v>
      </c>
      <c r="AQ6" s="182" t="s">
        <v>161</v>
      </c>
      <c r="AR6" s="182" t="s">
        <v>165</v>
      </c>
      <c r="AS6" s="594"/>
      <c r="AT6" s="182" t="s">
        <v>159</v>
      </c>
      <c r="AU6" s="182" t="s">
        <v>379</v>
      </c>
      <c r="AV6" s="182" t="s">
        <v>161</v>
      </c>
      <c r="AW6" s="182" t="s">
        <v>165</v>
      </c>
      <c r="AX6" s="594"/>
    </row>
    <row r="7" spans="1:50">
      <c r="B7" s="602" t="s">
        <v>380</v>
      </c>
      <c r="C7" s="180">
        <v>1</v>
      </c>
      <c r="D7" s="183" t="s">
        <v>405</v>
      </c>
      <c r="E7" s="184">
        <v>4</v>
      </c>
      <c r="F7" s="180">
        <v>3600</v>
      </c>
      <c r="G7" s="185">
        <f>F7/E7</f>
        <v>900</v>
      </c>
      <c r="H7" s="605">
        <f>AVERAGE(G7:G39)</f>
        <v>832.6426799007445</v>
      </c>
      <c r="I7" s="186">
        <f>AVERAGE(P7,U7,Z7,AE7,AJ7,AO7,AT7)</f>
        <v>4</v>
      </c>
      <c r="J7" s="186">
        <f>AVERAGE(Q7,V7,AA7,AF7,AK7,AP7,AU7)</f>
        <v>3173.5385980639976</v>
      </c>
      <c r="K7" s="187">
        <f>AVERAGE(R7,W7,AB7,AG7,AL7,AQ7,AV7)</f>
        <v>793.3846495159994</v>
      </c>
      <c r="L7" s="608">
        <f>IFERROR(AVERAGE(K7:K39),"-")</f>
        <v>738.89977406999492</v>
      </c>
      <c r="M7" s="186">
        <f>RANK(K7, K$7:$K$39)</f>
        <v>13</v>
      </c>
      <c r="N7" s="634"/>
      <c r="O7" s="611"/>
      <c r="P7" s="188">
        <v>4</v>
      </c>
      <c r="Q7" s="188">
        <v>3172.5175006481741</v>
      </c>
      <c r="R7" s="185">
        <f t="shared" ref="R7:R36" si="0">IFERROR(Q7/P7,"")</f>
        <v>793.12937516204352</v>
      </c>
      <c r="S7" s="182">
        <f>RANK(R7, R$7:R$39)</f>
        <v>13</v>
      </c>
      <c r="T7" s="599">
        <f>AVERAGE(R7:R39)</f>
        <v>746.59492506559945</v>
      </c>
      <c r="U7" s="188">
        <v>4</v>
      </c>
      <c r="V7" s="188">
        <v>3172.7986995394217</v>
      </c>
      <c r="W7" s="185">
        <f t="shared" ref="W7:W36" si="1">IFERROR(V7/U7,"")</f>
        <v>793.19967488485543</v>
      </c>
      <c r="X7" s="182">
        <f>RANK(W7, W$7:W$39)</f>
        <v>13</v>
      </c>
      <c r="Y7" s="599">
        <f>AVERAGE(W7:W39)</f>
        <v>746.82007932415434</v>
      </c>
      <c r="Z7" s="188">
        <v>4</v>
      </c>
      <c r="AA7" s="188">
        <v>3172.3032069970841</v>
      </c>
      <c r="AB7" s="185">
        <f>IFERROR(AA7/Z7,"")</f>
        <v>793.07580174927102</v>
      </c>
      <c r="AC7" s="182">
        <f>RANK(AB7, AB$7:AB$39)</f>
        <v>13</v>
      </c>
      <c r="AD7" s="599">
        <f>AVERAGE(AB7:AB39)</f>
        <v>747.00784282999359</v>
      </c>
      <c r="AE7" s="188">
        <v>4</v>
      </c>
      <c r="AF7" s="188">
        <v>3173.499610288387</v>
      </c>
      <c r="AG7" s="185">
        <f>IFERROR(AF7/AE7,"")</f>
        <v>793.37490257209674</v>
      </c>
      <c r="AH7" s="182">
        <f>RANK(AG7, AG$7:AG$39)</f>
        <v>13</v>
      </c>
      <c r="AI7" s="599">
        <f>AVERAGE(AG7:AG39)</f>
        <v>747.12715061221832</v>
      </c>
      <c r="AJ7" s="188">
        <v>4</v>
      </c>
      <c r="AK7" s="188">
        <v>3174.1007194244635</v>
      </c>
      <c r="AL7" s="185">
        <f>IFERROR(AK7/AJ7,"")</f>
        <v>793.52517985611587</v>
      </c>
      <c r="AM7" s="182">
        <f>RANK(AL7, AL$7:AL$39)</f>
        <v>13</v>
      </c>
      <c r="AN7" s="599">
        <f>AVERAGE(AL7:AL39)</f>
        <v>747.3417135779672</v>
      </c>
      <c r="AO7" s="188">
        <v>4</v>
      </c>
      <c r="AP7" s="188">
        <v>3174.7252747252783</v>
      </c>
      <c r="AQ7" s="185">
        <f>IFERROR(AP7/AO7,"")</f>
        <v>793.68131868131957</v>
      </c>
      <c r="AR7" s="182">
        <f>RANK(AQ7, AQ$7:AQ$39)</f>
        <v>13</v>
      </c>
      <c r="AS7" s="599">
        <f>AVERAGE(AQ7:AQ39)</f>
        <v>747.48751780360715</v>
      </c>
      <c r="AT7" s="188">
        <v>4</v>
      </c>
      <c r="AU7" s="188">
        <v>3174.8251748251751</v>
      </c>
      <c r="AV7" s="185">
        <f>IFERROR(AU7/AT7,"")</f>
        <v>793.70629370629376</v>
      </c>
      <c r="AW7" s="182">
        <f>RANK(AV7, AV$7:AV$39)</f>
        <v>13</v>
      </c>
      <c r="AX7" s="599">
        <f>AVERAGE(AV7:AV39)</f>
        <v>739.16591394370437</v>
      </c>
    </row>
    <row r="8" spans="1:50">
      <c r="B8" s="603"/>
      <c r="C8" s="180">
        <v>2</v>
      </c>
      <c r="D8" s="183" t="s">
        <v>403</v>
      </c>
      <c r="E8" s="184">
        <v>3</v>
      </c>
      <c r="F8" s="180">
        <v>3600</v>
      </c>
      <c r="G8" s="185">
        <f t="shared" ref="G8:G27" si="2">F8/E8</f>
        <v>1200</v>
      </c>
      <c r="H8" s="606"/>
      <c r="I8" s="186">
        <f t="shared" ref="I8:K37" si="3">AVERAGE(P8,U8,Z8,AE8,AJ8,AO8,AT8)</f>
        <v>3</v>
      </c>
      <c r="J8" s="186">
        <f t="shared" si="3"/>
        <v>3173.772564635347</v>
      </c>
      <c r="K8" s="187">
        <f t="shared" si="3"/>
        <v>1057.9241882117824</v>
      </c>
      <c r="L8" s="609"/>
      <c r="M8" s="186">
        <f>RANK(K8, K$7:$K$39)</f>
        <v>7</v>
      </c>
      <c r="N8" s="634"/>
      <c r="O8" s="611"/>
      <c r="P8" s="188">
        <v>3</v>
      </c>
      <c r="Q8" s="188">
        <v>3173.069796170475</v>
      </c>
      <c r="R8" s="185">
        <f t="shared" si="0"/>
        <v>1057.689932056825</v>
      </c>
      <c r="S8" s="182">
        <f t="shared" ref="S8:S36" si="4">RANK(R8, R$7:R$39)</f>
        <v>7</v>
      </c>
      <c r="T8" s="600"/>
      <c r="U8" s="188">
        <v>3</v>
      </c>
      <c r="V8" s="188">
        <v>3173.1861198738152</v>
      </c>
      <c r="W8" s="185">
        <f t="shared" si="1"/>
        <v>1057.7287066246051</v>
      </c>
      <c r="X8" s="182">
        <f t="shared" ref="X8:X36" si="5">RANK(W8, W$7:W$39)</f>
        <v>7</v>
      </c>
      <c r="Y8" s="600"/>
      <c r="Z8" s="188">
        <v>3</v>
      </c>
      <c r="AA8" s="188">
        <v>3173.4533183352082</v>
      </c>
      <c r="AB8" s="185">
        <f t="shared" ref="AB8:AB36" si="6">IFERROR(AA8/Z8,"")</f>
        <v>1057.8177727784027</v>
      </c>
      <c r="AC8" s="182">
        <f t="shared" ref="AC8:AC36" si="7">RANK(AB8, AB$7:AB$39)</f>
        <v>7</v>
      </c>
      <c r="AD8" s="600"/>
      <c r="AE8" s="188">
        <v>3</v>
      </c>
      <c r="AF8" s="188">
        <v>3173.9062500000014</v>
      </c>
      <c r="AG8" s="185">
        <f t="shared" ref="AG8:AG36" si="8">IFERROR(AF8/AE8,"")</f>
        <v>1057.9687500000005</v>
      </c>
      <c r="AH8" s="182">
        <f t="shared" ref="AH8:AH36" si="9">RANK(AG8, AG$7:AG$39)</f>
        <v>7</v>
      </c>
      <c r="AI8" s="600"/>
      <c r="AJ8" s="188">
        <v>3</v>
      </c>
      <c r="AK8" s="188">
        <v>3174.1610738255044</v>
      </c>
      <c r="AL8" s="185">
        <f t="shared" ref="AL8:AL36" si="10">IFERROR(AK8/AJ8,"")</f>
        <v>1058.0536912751681</v>
      </c>
      <c r="AM8" s="182">
        <f t="shared" ref="AM8:AM36" si="11">RANK(AL8, AL$7:AL$39)</f>
        <v>7</v>
      </c>
      <c r="AN8" s="600"/>
      <c r="AO8" s="188">
        <v>3</v>
      </c>
      <c r="AP8" s="188">
        <v>3174.3547044129891</v>
      </c>
      <c r="AQ8" s="185">
        <f t="shared" ref="AQ8:AQ36" si="12">IFERROR(AP8/AO8,"")</f>
        <v>1058.1182348043296</v>
      </c>
      <c r="AR8" s="182">
        <f t="shared" ref="AR8:AR36" si="13">RANK(AQ8, AQ$7:AQ$39)</f>
        <v>7</v>
      </c>
      <c r="AS8" s="600"/>
      <c r="AT8" s="188">
        <v>3</v>
      </c>
      <c r="AU8" s="188">
        <v>3174.2766898294376</v>
      </c>
      <c r="AV8" s="185">
        <f t="shared" ref="AV8:AV37" si="14">IFERROR(AU8/AT8,"")</f>
        <v>1058.0922299431459</v>
      </c>
      <c r="AW8" s="182">
        <f t="shared" ref="AW8:AW37" si="15">RANK(AV8, AV$7:AV$39)</f>
        <v>7</v>
      </c>
      <c r="AX8" s="600"/>
    </row>
    <row r="9" spans="1:50">
      <c r="B9" s="603"/>
      <c r="C9" s="180">
        <v>3</v>
      </c>
      <c r="D9" s="183" t="s">
        <v>404</v>
      </c>
      <c r="E9" s="184">
        <v>5</v>
      </c>
      <c r="F9" s="180">
        <v>3600</v>
      </c>
      <c r="G9" s="185">
        <f t="shared" si="2"/>
        <v>720</v>
      </c>
      <c r="H9" s="606"/>
      <c r="I9" s="186">
        <f t="shared" si="3"/>
        <v>5</v>
      </c>
      <c r="J9" s="186">
        <f t="shared" si="3"/>
        <v>3173.8657293623828</v>
      </c>
      <c r="K9" s="187">
        <f t="shared" si="3"/>
        <v>634.77314587247645</v>
      </c>
      <c r="L9" s="609"/>
      <c r="M9" s="186">
        <f>RANK(K9, K$7:$K$39)</f>
        <v>23</v>
      </c>
      <c r="N9" s="634"/>
      <c r="O9" s="611"/>
      <c r="P9" s="188">
        <v>5</v>
      </c>
      <c r="Q9" s="188">
        <v>3173.2457449985045</v>
      </c>
      <c r="R9" s="185">
        <f t="shared" si="0"/>
        <v>634.64914899970086</v>
      </c>
      <c r="S9" s="182">
        <f t="shared" si="4"/>
        <v>22</v>
      </c>
      <c r="T9" s="600"/>
      <c r="U9" s="188">
        <v>5</v>
      </c>
      <c r="V9" s="188">
        <v>3173.7819393747004</v>
      </c>
      <c r="W9" s="185">
        <f t="shared" si="1"/>
        <v>634.75638787494006</v>
      </c>
      <c r="X9" s="182">
        <f t="shared" si="5"/>
        <v>22</v>
      </c>
      <c r="Y9" s="600"/>
      <c r="Z9" s="188">
        <v>5</v>
      </c>
      <c r="AA9" s="188">
        <v>3173.8317757009331</v>
      </c>
      <c r="AB9" s="185">
        <f t="shared" si="6"/>
        <v>634.76635514018665</v>
      </c>
      <c r="AC9" s="182">
        <f t="shared" si="7"/>
        <v>22</v>
      </c>
      <c r="AD9" s="600"/>
      <c r="AE9" s="188">
        <v>5</v>
      </c>
      <c r="AF9" s="188">
        <v>3174.1575644898917</v>
      </c>
      <c r="AG9" s="185">
        <f t="shared" si="8"/>
        <v>634.83151289797831</v>
      </c>
      <c r="AH9" s="182">
        <f t="shared" si="9"/>
        <v>23</v>
      </c>
      <c r="AI9" s="600"/>
      <c r="AJ9" s="188">
        <v>5</v>
      </c>
      <c r="AK9" s="188">
        <v>3174.0285785911269</v>
      </c>
      <c r="AL9" s="185">
        <f t="shared" si="10"/>
        <v>634.80571571822543</v>
      </c>
      <c r="AM9" s="182">
        <f t="shared" si="11"/>
        <v>23</v>
      </c>
      <c r="AN9" s="600"/>
      <c r="AO9" s="188">
        <v>5</v>
      </c>
      <c r="AP9" s="188">
        <v>3174.1550695825072</v>
      </c>
      <c r="AQ9" s="185">
        <f t="shared" si="12"/>
        <v>634.83101391650143</v>
      </c>
      <c r="AR9" s="182">
        <f t="shared" si="13"/>
        <v>23</v>
      </c>
      <c r="AS9" s="600"/>
      <c r="AT9" s="188">
        <v>5</v>
      </c>
      <c r="AU9" s="188">
        <v>3173.8594327990136</v>
      </c>
      <c r="AV9" s="185">
        <f t="shared" si="14"/>
        <v>634.77188655980274</v>
      </c>
      <c r="AW9" s="182">
        <f t="shared" si="15"/>
        <v>22</v>
      </c>
      <c r="AX9" s="600"/>
    </row>
    <row r="10" spans="1:50">
      <c r="B10" s="603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606"/>
      <c r="I10" s="186">
        <f t="shared" si="3"/>
        <v>5</v>
      </c>
      <c r="J10" s="186">
        <f t="shared" si="3"/>
        <v>2947.5098539384066</v>
      </c>
      <c r="K10" s="187">
        <f t="shared" si="3"/>
        <v>589.50197078768144</v>
      </c>
      <c r="L10" s="609"/>
      <c r="M10" s="186">
        <f>RANK(K10, K$7:$K$39)</f>
        <v>24</v>
      </c>
      <c r="N10" s="634"/>
      <c r="O10" s="611"/>
      <c r="P10" s="188">
        <v>5</v>
      </c>
      <c r="Q10" s="188">
        <v>2947.7272727272757</v>
      </c>
      <c r="R10" s="185">
        <f t="shared" si="0"/>
        <v>589.54545454545519</v>
      </c>
      <c r="S10" s="182">
        <f t="shared" si="4"/>
        <v>24</v>
      </c>
      <c r="T10" s="600"/>
      <c r="U10" s="188">
        <v>5</v>
      </c>
      <c r="V10" s="188">
        <v>2946.9127943984736</v>
      </c>
      <c r="W10" s="185">
        <f t="shared" si="1"/>
        <v>589.38255887969467</v>
      </c>
      <c r="X10" s="182">
        <f t="shared" si="5"/>
        <v>24</v>
      </c>
      <c r="Y10" s="600"/>
      <c r="Z10" s="188">
        <v>5</v>
      </c>
      <c r="AA10" s="188">
        <v>2948.3304042179211</v>
      </c>
      <c r="AB10" s="185">
        <f t="shared" si="6"/>
        <v>589.66608084358427</v>
      </c>
      <c r="AC10" s="182">
        <f t="shared" si="7"/>
        <v>24</v>
      </c>
      <c r="AD10" s="600"/>
      <c r="AE10" s="188">
        <v>5</v>
      </c>
      <c r="AF10" s="188">
        <v>2947.8991596638666</v>
      </c>
      <c r="AG10" s="185">
        <f t="shared" si="8"/>
        <v>589.57983193277335</v>
      </c>
      <c r="AH10" s="182">
        <f t="shared" si="9"/>
        <v>24</v>
      </c>
      <c r="AI10" s="600"/>
      <c r="AJ10" s="188">
        <v>5</v>
      </c>
      <c r="AK10" s="188">
        <v>2947.4103585657458</v>
      </c>
      <c r="AL10" s="185">
        <f t="shared" si="10"/>
        <v>589.48207171314914</v>
      </c>
      <c r="AM10" s="182">
        <f t="shared" si="11"/>
        <v>24</v>
      </c>
      <c r="AN10" s="600"/>
      <c r="AO10" s="188">
        <v>5</v>
      </c>
      <c r="AP10" s="188">
        <v>2947.6056338028206</v>
      </c>
      <c r="AQ10" s="185">
        <f t="shared" si="12"/>
        <v>589.52112676056413</v>
      </c>
      <c r="AR10" s="182">
        <f t="shared" si="13"/>
        <v>24</v>
      </c>
      <c r="AS10" s="600"/>
      <c r="AT10" s="188">
        <v>5</v>
      </c>
      <c r="AU10" s="188">
        <v>2946.6833541927431</v>
      </c>
      <c r="AV10" s="185">
        <f t="shared" si="14"/>
        <v>589.33667083854857</v>
      </c>
      <c r="AW10" s="182">
        <f t="shared" si="15"/>
        <v>23</v>
      </c>
      <c r="AX10" s="600"/>
    </row>
    <row r="11" spans="1:50">
      <c r="B11" s="603"/>
      <c r="C11" s="180">
        <v>5</v>
      </c>
      <c r="D11" s="183" t="s">
        <v>400</v>
      </c>
      <c r="E11" s="184">
        <v>3</v>
      </c>
      <c r="F11" s="180">
        <v>3600</v>
      </c>
      <c r="G11" s="185">
        <f t="shared" si="2"/>
        <v>1200</v>
      </c>
      <c r="H11" s="606"/>
      <c r="I11" s="186">
        <f t="shared" si="3"/>
        <v>3</v>
      </c>
      <c r="J11" s="186">
        <f t="shared" si="3"/>
        <v>3175.3093339119396</v>
      </c>
      <c r="K11" s="187">
        <f t="shared" si="3"/>
        <v>1058.4364446373131</v>
      </c>
      <c r="L11" s="609"/>
      <c r="M11" s="186">
        <f>RANK(K11, K$7:$K$39)</f>
        <v>6</v>
      </c>
      <c r="N11" s="634"/>
      <c r="O11" s="611"/>
      <c r="P11" s="188">
        <v>3</v>
      </c>
      <c r="Q11" s="188">
        <v>3175.2175426383556</v>
      </c>
      <c r="R11" s="185">
        <f t="shared" si="0"/>
        <v>1058.4058475461186</v>
      </c>
      <c r="S11" s="182">
        <f t="shared" si="4"/>
        <v>6</v>
      </c>
      <c r="T11" s="600"/>
      <c r="U11" s="188">
        <v>3</v>
      </c>
      <c r="V11" s="188">
        <v>3175.3385602280837</v>
      </c>
      <c r="W11" s="185">
        <f t="shared" si="1"/>
        <v>1058.4461867426946</v>
      </c>
      <c r="X11" s="182">
        <f t="shared" si="5"/>
        <v>6</v>
      </c>
      <c r="Y11" s="600"/>
      <c r="Z11" s="188">
        <v>3</v>
      </c>
      <c r="AA11" s="188">
        <v>3174.9521988527754</v>
      </c>
      <c r="AB11" s="185">
        <f t="shared" si="6"/>
        <v>1058.3173996175917</v>
      </c>
      <c r="AC11" s="182">
        <f t="shared" si="7"/>
        <v>5</v>
      </c>
      <c r="AD11" s="600"/>
      <c r="AE11" s="188">
        <v>3</v>
      </c>
      <c r="AF11" s="188">
        <v>3174.5287824758002</v>
      </c>
      <c r="AG11" s="185">
        <f t="shared" si="8"/>
        <v>1058.1762608252668</v>
      </c>
      <c r="AH11" s="182">
        <f t="shared" si="9"/>
        <v>5</v>
      </c>
      <c r="AI11" s="600"/>
      <c r="AJ11" s="188">
        <v>3</v>
      </c>
      <c r="AK11" s="188">
        <v>3175.9112519809773</v>
      </c>
      <c r="AL11" s="185">
        <f t="shared" si="10"/>
        <v>1058.6370839936592</v>
      </c>
      <c r="AM11" s="182">
        <f t="shared" si="11"/>
        <v>4</v>
      </c>
      <c r="AN11" s="600"/>
      <c r="AO11" s="188">
        <v>3</v>
      </c>
      <c r="AP11" s="188">
        <v>3175.4891864057622</v>
      </c>
      <c r="AQ11" s="185">
        <f t="shared" si="12"/>
        <v>1058.4963954685875</v>
      </c>
      <c r="AR11" s="182">
        <f t="shared" si="13"/>
        <v>6</v>
      </c>
      <c r="AS11" s="600"/>
      <c r="AT11" s="188">
        <v>3</v>
      </c>
      <c r="AU11" s="188">
        <v>3175.7278148018227</v>
      </c>
      <c r="AV11" s="185">
        <f t="shared" si="14"/>
        <v>1058.5759382672743</v>
      </c>
      <c r="AW11" s="182">
        <f t="shared" si="15"/>
        <v>6</v>
      </c>
      <c r="AX11" s="600"/>
    </row>
    <row r="12" spans="1:50">
      <c r="B12" s="603"/>
      <c r="C12" s="180">
        <v>6</v>
      </c>
      <c r="D12" s="183" t="s">
        <v>341</v>
      </c>
      <c r="E12" s="184">
        <v>3</v>
      </c>
      <c r="F12" s="180">
        <v>3000</v>
      </c>
      <c r="G12" s="185">
        <f t="shared" si="2"/>
        <v>1000</v>
      </c>
      <c r="H12" s="606"/>
      <c r="I12" s="186">
        <f t="shared" si="3"/>
        <v>3</v>
      </c>
      <c r="J12" s="186">
        <f t="shared" si="3"/>
        <v>2700.2760856700074</v>
      </c>
      <c r="K12" s="187">
        <f t="shared" si="3"/>
        <v>900.09202855666911</v>
      </c>
      <c r="L12" s="609"/>
      <c r="M12" s="186">
        <f>RANK(K12, K$7:$K$39)</f>
        <v>9</v>
      </c>
      <c r="N12" s="634"/>
      <c r="O12" s="611"/>
      <c r="P12" s="188">
        <v>3</v>
      </c>
      <c r="Q12" s="188">
        <v>2700.1992472880233</v>
      </c>
      <c r="R12" s="185">
        <f t="shared" si="0"/>
        <v>900.06641576267441</v>
      </c>
      <c r="S12" s="182">
        <f t="shared" si="4"/>
        <v>9</v>
      </c>
      <c r="T12" s="600"/>
      <c r="U12" s="188">
        <v>3</v>
      </c>
      <c r="V12" s="188">
        <v>2700.4126547455321</v>
      </c>
      <c r="W12" s="185">
        <f t="shared" si="1"/>
        <v>900.13755158184404</v>
      </c>
      <c r="X12" s="182">
        <f t="shared" si="5"/>
        <v>9</v>
      </c>
      <c r="Y12" s="600"/>
      <c r="Z12" s="188">
        <v>3</v>
      </c>
      <c r="AA12" s="188">
        <v>2700.2894821485979</v>
      </c>
      <c r="AB12" s="185">
        <f t="shared" si="6"/>
        <v>900.09649404953268</v>
      </c>
      <c r="AC12" s="182">
        <f t="shared" si="7"/>
        <v>9</v>
      </c>
      <c r="AD12" s="600"/>
      <c r="AE12" s="188">
        <v>3</v>
      </c>
      <c r="AF12" s="188">
        <v>2700.3068530514861</v>
      </c>
      <c r="AG12" s="185">
        <f t="shared" si="8"/>
        <v>900.10228435049532</v>
      </c>
      <c r="AH12" s="182">
        <f t="shared" si="9"/>
        <v>9</v>
      </c>
      <c r="AI12" s="600"/>
      <c r="AJ12" s="188">
        <v>3</v>
      </c>
      <c r="AK12" s="188">
        <v>2699.9999999999991</v>
      </c>
      <c r="AL12" s="185">
        <f t="shared" si="10"/>
        <v>899.99999999999966</v>
      </c>
      <c r="AM12" s="182">
        <f t="shared" si="11"/>
        <v>10</v>
      </c>
      <c r="AN12" s="600"/>
      <c r="AO12" s="188">
        <v>3</v>
      </c>
      <c r="AP12" s="188">
        <v>2700.3154574132495</v>
      </c>
      <c r="AQ12" s="185">
        <f t="shared" si="12"/>
        <v>900.10515247108322</v>
      </c>
      <c r="AR12" s="182">
        <f t="shared" si="13"/>
        <v>10</v>
      </c>
      <c r="AS12" s="600"/>
      <c r="AT12" s="188">
        <v>3</v>
      </c>
      <c r="AU12" s="188">
        <v>2700.408905043163</v>
      </c>
      <c r="AV12" s="185">
        <f t="shared" si="14"/>
        <v>900.13630168105431</v>
      </c>
      <c r="AW12" s="182">
        <f t="shared" si="15"/>
        <v>10</v>
      </c>
      <c r="AX12" s="600"/>
    </row>
    <row r="13" spans="1:50">
      <c r="B13" s="603"/>
      <c r="C13" s="180">
        <v>7</v>
      </c>
      <c r="D13" s="183" t="s">
        <v>402</v>
      </c>
      <c r="E13" s="184">
        <v>3</v>
      </c>
      <c r="F13" s="180">
        <v>3600</v>
      </c>
      <c r="G13" s="185">
        <f t="shared" si="2"/>
        <v>1200</v>
      </c>
      <c r="H13" s="606"/>
      <c r="I13" s="186">
        <f t="shared" si="3"/>
        <v>3</v>
      </c>
      <c r="J13" s="186">
        <f t="shared" si="3"/>
        <v>3178.836210245116</v>
      </c>
      <c r="K13" s="187">
        <f t="shared" si="3"/>
        <v>1059.612070081705</v>
      </c>
      <c r="L13" s="609"/>
      <c r="M13" s="186">
        <f>RANK(K13, K$7:$K$39)</f>
        <v>2</v>
      </c>
      <c r="N13" s="634"/>
      <c r="O13" s="611"/>
      <c r="P13" s="188">
        <v>3</v>
      </c>
      <c r="Q13" s="188">
        <v>3178.5480706344069</v>
      </c>
      <c r="R13" s="185">
        <f t="shared" si="0"/>
        <v>1059.5160235448022</v>
      </c>
      <c r="S13" s="182">
        <f t="shared" si="4"/>
        <v>1</v>
      </c>
      <c r="T13" s="600"/>
      <c r="U13" s="188">
        <v>3</v>
      </c>
      <c r="V13" s="188">
        <v>3179.6833773087101</v>
      </c>
      <c r="W13" s="185">
        <f t="shared" si="1"/>
        <v>1059.8944591029033</v>
      </c>
      <c r="X13" s="182">
        <f t="shared" si="5"/>
        <v>2</v>
      </c>
      <c r="Y13" s="600"/>
      <c r="Z13" s="188">
        <v>3</v>
      </c>
      <c r="AA13" s="188">
        <v>3179.4392523364404</v>
      </c>
      <c r="AB13" s="185">
        <f t="shared" si="6"/>
        <v>1059.8130841121467</v>
      </c>
      <c r="AC13" s="182">
        <f t="shared" si="7"/>
        <v>2</v>
      </c>
      <c r="AD13" s="600"/>
      <c r="AE13" s="188">
        <v>3</v>
      </c>
      <c r="AF13" s="188">
        <v>3178.3155856727976</v>
      </c>
      <c r="AG13" s="185">
        <f t="shared" si="8"/>
        <v>1059.4385285575993</v>
      </c>
      <c r="AH13" s="182">
        <f t="shared" si="9"/>
        <v>2</v>
      </c>
      <c r="AI13" s="600"/>
      <c r="AJ13" s="188">
        <v>3</v>
      </c>
      <c r="AK13" s="188">
        <v>3178.8526434195674</v>
      </c>
      <c r="AL13" s="185">
        <f t="shared" si="10"/>
        <v>1059.6175478065225</v>
      </c>
      <c r="AM13" s="182">
        <f t="shared" si="11"/>
        <v>2</v>
      </c>
      <c r="AN13" s="600"/>
      <c r="AO13" s="188">
        <v>3</v>
      </c>
      <c r="AP13" s="188">
        <v>3178.5714285714307</v>
      </c>
      <c r="AQ13" s="185">
        <f t="shared" si="12"/>
        <v>1059.5238095238103</v>
      </c>
      <c r="AR13" s="182">
        <f t="shared" si="13"/>
        <v>2</v>
      </c>
      <c r="AS13" s="600"/>
      <c r="AT13" s="188">
        <v>3</v>
      </c>
      <c r="AU13" s="188">
        <v>3178.4431137724555</v>
      </c>
      <c r="AV13" s="185">
        <f t="shared" si="14"/>
        <v>1059.4810379241519</v>
      </c>
      <c r="AW13" s="182">
        <f t="shared" si="15"/>
        <v>3</v>
      </c>
      <c r="AX13" s="600"/>
    </row>
    <row r="14" spans="1:50">
      <c r="B14" s="603"/>
      <c r="C14" s="180">
        <v>8</v>
      </c>
      <c r="D14" s="183" t="s">
        <v>401</v>
      </c>
      <c r="E14" s="184">
        <v>4</v>
      </c>
      <c r="F14" s="180">
        <v>3300</v>
      </c>
      <c r="G14" s="185">
        <f t="shared" si="2"/>
        <v>825</v>
      </c>
      <c r="H14" s="606"/>
      <c r="I14" s="186">
        <f t="shared" si="3"/>
        <v>4</v>
      </c>
      <c r="J14" s="186">
        <f t="shared" si="3"/>
        <v>2943.6951790548251</v>
      </c>
      <c r="K14" s="187">
        <f t="shared" si="3"/>
        <v>735.92379476370627</v>
      </c>
      <c r="L14" s="609"/>
      <c r="M14" s="186">
        <f>RANK(K14, K$7:$K$39)</f>
        <v>17</v>
      </c>
      <c r="N14" s="634"/>
      <c r="O14" s="611"/>
      <c r="P14" s="188">
        <v>4</v>
      </c>
      <c r="Q14" s="188">
        <v>2941.2915851272019</v>
      </c>
      <c r="R14" s="185">
        <f t="shared" si="0"/>
        <v>735.32289628180047</v>
      </c>
      <c r="S14" s="182">
        <f t="shared" si="4"/>
        <v>17</v>
      </c>
      <c r="T14" s="600"/>
      <c r="U14" s="188">
        <v>4</v>
      </c>
      <c r="V14" s="188">
        <v>2941.550695825048</v>
      </c>
      <c r="W14" s="185">
        <f t="shared" si="1"/>
        <v>735.38767395626201</v>
      </c>
      <c r="X14" s="182">
        <f t="shared" si="5"/>
        <v>17</v>
      </c>
      <c r="Y14" s="600"/>
      <c r="Z14" s="188">
        <v>4</v>
      </c>
      <c r="AA14" s="188">
        <v>2943.7359339834984</v>
      </c>
      <c r="AB14" s="185">
        <f t="shared" si="6"/>
        <v>735.9339834958746</v>
      </c>
      <c r="AC14" s="182">
        <f t="shared" si="7"/>
        <v>16</v>
      </c>
      <c r="AD14" s="600"/>
      <c r="AE14" s="188">
        <v>4</v>
      </c>
      <c r="AF14" s="188">
        <v>2943.3414043583489</v>
      </c>
      <c r="AG14" s="185">
        <f t="shared" si="8"/>
        <v>735.83535108958722</v>
      </c>
      <c r="AH14" s="182">
        <f t="shared" si="9"/>
        <v>17</v>
      </c>
      <c r="AI14" s="600"/>
      <c r="AJ14" s="188">
        <v>4</v>
      </c>
      <c r="AK14" s="188">
        <v>2944.8763250883362</v>
      </c>
      <c r="AL14" s="185">
        <f t="shared" si="10"/>
        <v>736.21908127208405</v>
      </c>
      <c r="AM14" s="182">
        <f t="shared" si="11"/>
        <v>15</v>
      </c>
      <c r="AN14" s="600"/>
      <c r="AO14" s="188">
        <v>4</v>
      </c>
      <c r="AP14" s="188">
        <v>2945.4545454545464</v>
      </c>
      <c r="AQ14" s="185">
        <f t="shared" si="12"/>
        <v>736.3636363636366</v>
      </c>
      <c r="AR14" s="182">
        <f t="shared" si="13"/>
        <v>15</v>
      </c>
      <c r="AS14" s="600"/>
      <c r="AT14" s="188">
        <v>4</v>
      </c>
      <c r="AU14" s="188">
        <v>2945.6157635467921</v>
      </c>
      <c r="AV14" s="185">
        <f t="shared" si="14"/>
        <v>736.40394088669802</v>
      </c>
      <c r="AW14" s="182">
        <f t="shared" si="15"/>
        <v>16</v>
      </c>
      <c r="AX14" s="600"/>
    </row>
    <row r="15" spans="1:50">
      <c r="B15" s="603"/>
      <c r="C15" s="180">
        <v>9</v>
      </c>
      <c r="D15" s="183" t="s">
        <v>399</v>
      </c>
      <c r="E15" s="184">
        <v>4</v>
      </c>
      <c r="F15" s="180">
        <v>3300</v>
      </c>
      <c r="G15" s="185">
        <f t="shared" si="2"/>
        <v>825</v>
      </c>
      <c r="H15" s="606"/>
      <c r="I15" s="186">
        <f t="shared" si="3"/>
        <v>4</v>
      </c>
      <c r="J15" s="186">
        <f t="shared" si="3"/>
        <v>2942.6570474907448</v>
      </c>
      <c r="K15" s="187">
        <f t="shared" si="3"/>
        <v>735.66426187268621</v>
      </c>
      <c r="L15" s="609"/>
      <c r="M15" s="186">
        <f>RANK(K15, K$7:$K$39)</f>
        <v>18</v>
      </c>
      <c r="N15" s="634"/>
      <c r="O15" s="611"/>
      <c r="P15" s="188">
        <v>4</v>
      </c>
      <c r="Q15" s="188">
        <v>2941.1293552262732</v>
      </c>
      <c r="R15" s="185">
        <f t="shared" si="0"/>
        <v>735.2823388065683</v>
      </c>
      <c r="S15" s="182">
        <f t="shared" si="4"/>
        <v>18</v>
      </c>
      <c r="T15" s="600"/>
      <c r="U15" s="188">
        <v>4</v>
      </c>
      <c r="V15" s="188">
        <v>2940.8659793814409</v>
      </c>
      <c r="W15" s="185">
        <f t="shared" si="1"/>
        <v>735.21649484536022</v>
      </c>
      <c r="X15" s="182">
        <f t="shared" si="5"/>
        <v>18</v>
      </c>
      <c r="Y15" s="600"/>
      <c r="Z15" s="188">
        <v>4</v>
      </c>
      <c r="AA15" s="188">
        <v>2942.6086956521722</v>
      </c>
      <c r="AB15" s="185">
        <f t="shared" si="6"/>
        <v>735.65217391304304</v>
      </c>
      <c r="AC15" s="182">
        <f t="shared" si="7"/>
        <v>18</v>
      </c>
      <c r="AD15" s="600"/>
      <c r="AE15" s="188">
        <v>4</v>
      </c>
      <c r="AF15" s="188">
        <v>2942.4354243542434</v>
      </c>
      <c r="AG15" s="185">
        <f t="shared" si="8"/>
        <v>735.60885608856086</v>
      </c>
      <c r="AH15" s="182">
        <f t="shared" si="9"/>
        <v>18</v>
      </c>
      <c r="AI15" s="600"/>
      <c r="AJ15" s="188">
        <v>4</v>
      </c>
      <c r="AK15" s="188">
        <v>2942.9483088704587</v>
      </c>
      <c r="AL15" s="185">
        <f t="shared" si="10"/>
        <v>735.73707721761468</v>
      </c>
      <c r="AM15" s="182">
        <f t="shared" si="11"/>
        <v>17</v>
      </c>
      <c r="AN15" s="600"/>
      <c r="AO15" s="188">
        <v>4</v>
      </c>
      <c r="AP15" s="188">
        <v>2944.0860215053717</v>
      </c>
      <c r="AQ15" s="185">
        <f t="shared" si="12"/>
        <v>736.02150537634293</v>
      </c>
      <c r="AR15" s="182">
        <f t="shared" si="13"/>
        <v>18</v>
      </c>
      <c r="AS15" s="600"/>
      <c r="AT15" s="188">
        <v>4</v>
      </c>
      <c r="AU15" s="188">
        <v>2944.5255474452533</v>
      </c>
      <c r="AV15" s="185">
        <f t="shared" si="14"/>
        <v>736.13138686131333</v>
      </c>
      <c r="AW15" s="182">
        <f t="shared" si="15"/>
        <v>17</v>
      </c>
      <c r="AX15" s="600"/>
    </row>
    <row r="16" spans="1:50">
      <c r="B16" s="603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606"/>
      <c r="I16" s="186">
        <f t="shared" si="3"/>
        <v>3</v>
      </c>
      <c r="J16" s="186">
        <f t="shared" si="3"/>
        <v>2700.0011236945111</v>
      </c>
      <c r="K16" s="187">
        <f t="shared" si="3"/>
        <v>900.0003745648371</v>
      </c>
      <c r="L16" s="609"/>
      <c r="M16" s="186">
        <f>RANK(K16, K$7:$K$39)</f>
        <v>10</v>
      </c>
      <c r="N16" s="634"/>
      <c r="O16" s="611"/>
      <c r="P16" s="188">
        <v>3</v>
      </c>
      <c r="Q16" s="188">
        <v>2699.0918264379407</v>
      </c>
      <c r="R16" s="185">
        <f t="shared" si="0"/>
        <v>899.69727547931359</v>
      </c>
      <c r="S16" s="182">
        <f t="shared" si="4"/>
        <v>11</v>
      </c>
      <c r="T16" s="600"/>
      <c r="U16" s="188">
        <v>3</v>
      </c>
      <c r="V16" s="188">
        <v>2699.430018999366</v>
      </c>
      <c r="W16" s="185">
        <f t="shared" si="1"/>
        <v>899.81000633312203</v>
      </c>
      <c r="X16" s="182">
        <f t="shared" si="5"/>
        <v>11</v>
      </c>
      <c r="Y16" s="600"/>
      <c r="Z16" s="188">
        <v>3</v>
      </c>
      <c r="AA16" s="188">
        <v>2699.6036988110964</v>
      </c>
      <c r="AB16" s="185">
        <f t="shared" si="6"/>
        <v>899.86789960369879</v>
      </c>
      <c r="AC16" s="182">
        <f t="shared" si="7"/>
        <v>11</v>
      </c>
      <c r="AD16" s="600"/>
      <c r="AE16" s="188">
        <v>3</v>
      </c>
      <c r="AF16" s="188">
        <v>2699.791811242193</v>
      </c>
      <c r="AG16" s="185">
        <f t="shared" si="8"/>
        <v>899.93060374739764</v>
      </c>
      <c r="AH16" s="182">
        <f t="shared" si="9"/>
        <v>10</v>
      </c>
      <c r="AI16" s="600"/>
      <c r="AJ16" s="188">
        <v>3</v>
      </c>
      <c r="AK16" s="188">
        <v>2700.2158791077013</v>
      </c>
      <c r="AL16" s="185">
        <f t="shared" si="10"/>
        <v>900.07195970256714</v>
      </c>
      <c r="AM16" s="182">
        <f t="shared" si="11"/>
        <v>9</v>
      </c>
      <c r="AN16" s="600"/>
      <c r="AO16" s="188">
        <v>3</v>
      </c>
      <c r="AP16" s="188">
        <v>2701.049195616692</v>
      </c>
      <c r="AQ16" s="185">
        <f t="shared" si="12"/>
        <v>900.34973187223068</v>
      </c>
      <c r="AR16" s="182">
        <f t="shared" si="13"/>
        <v>9</v>
      </c>
      <c r="AS16" s="600"/>
      <c r="AT16" s="188">
        <v>3</v>
      </c>
      <c r="AU16" s="188">
        <v>2700.8254356465895</v>
      </c>
      <c r="AV16" s="185">
        <f t="shared" si="14"/>
        <v>900.27514521552985</v>
      </c>
      <c r="AW16" s="182">
        <f t="shared" si="15"/>
        <v>9</v>
      </c>
      <c r="AX16" s="600"/>
    </row>
    <row r="17" spans="2:50">
      <c r="B17" s="603"/>
      <c r="C17" s="180">
        <v>11</v>
      </c>
      <c r="D17" s="183" t="s">
        <v>474</v>
      </c>
      <c r="E17" s="184">
        <v>12</v>
      </c>
      <c r="F17" s="180">
        <v>3600</v>
      </c>
      <c r="G17" s="185">
        <f t="shared" si="2"/>
        <v>300</v>
      </c>
      <c r="H17" s="606"/>
      <c r="I17" s="186">
        <f t="shared" si="3"/>
        <v>12</v>
      </c>
      <c r="J17" s="186">
        <f t="shared" si="3"/>
        <v>3125.1402780743629</v>
      </c>
      <c r="K17" s="187">
        <f t="shared" si="3"/>
        <v>260.42835650619696</v>
      </c>
      <c r="L17" s="609"/>
      <c r="M17" s="186">
        <f>RANK(K17, K$7:$K$39)</f>
        <v>29</v>
      </c>
      <c r="N17" s="634"/>
      <c r="O17" s="611"/>
      <c r="P17" s="188">
        <v>12</v>
      </c>
      <c r="Q17" s="188">
        <v>3125.5328403653743</v>
      </c>
      <c r="R17" s="185">
        <f t="shared" si="0"/>
        <v>260.46107003044784</v>
      </c>
      <c r="S17" s="182">
        <f t="shared" si="4"/>
        <v>28</v>
      </c>
      <c r="T17" s="600"/>
      <c r="U17" s="188">
        <v>12</v>
      </c>
      <c r="V17" s="188">
        <v>3126.1894175188972</v>
      </c>
      <c r="W17" s="185">
        <f t="shared" si="1"/>
        <v>260.51578479324144</v>
      </c>
      <c r="X17" s="182">
        <f t="shared" si="5"/>
        <v>28</v>
      </c>
      <c r="Y17" s="600"/>
      <c r="Z17" s="188">
        <v>12</v>
      </c>
      <c r="AA17" s="188">
        <v>3125.1152073732701</v>
      </c>
      <c r="AB17" s="185">
        <f t="shared" si="6"/>
        <v>260.42626728110582</v>
      </c>
      <c r="AC17" s="182">
        <f t="shared" si="7"/>
        <v>28</v>
      </c>
      <c r="AD17" s="600"/>
      <c r="AE17" s="188">
        <v>12</v>
      </c>
      <c r="AF17" s="188">
        <v>3124.4036697247684</v>
      </c>
      <c r="AG17" s="185">
        <f t="shared" si="8"/>
        <v>260.36697247706405</v>
      </c>
      <c r="AH17" s="182">
        <f t="shared" si="9"/>
        <v>28</v>
      </c>
      <c r="AI17" s="600"/>
      <c r="AJ17" s="188">
        <v>12</v>
      </c>
      <c r="AK17" s="188">
        <v>3125.2747252747249</v>
      </c>
      <c r="AL17" s="185">
        <f t="shared" si="10"/>
        <v>260.43956043956041</v>
      </c>
      <c r="AM17" s="182">
        <f t="shared" si="11"/>
        <v>28</v>
      </c>
      <c r="AN17" s="600"/>
      <c r="AO17" s="188">
        <v>12</v>
      </c>
      <c r="AP17" s="188">
        <v>3124.9070631970208</v>
      </c>
      <c r="AQ17" s="185">
        <f t="shared" si="12"/>
        <v>260.40892193308508</v>
      </c>
      <c r="AR17" s="182">
        <f t="shared" si="13"/>
        <v>29</v>
      </c>
      <c r="AS17" s="600"/>
      <c r="AT17" s="188">
        <v>12</v>
      </c>
      <c r="AU17" s="188">
        <v>3124.5590230664848</v>
      </c>
      <c r="AV17" s="185">
        <f t="shared" si="14"/>
        <v>260.37991858887375</v>
      </c>
      <c r="AW17" s="182">
        <f t="shared" si="15"/>
        <v>29</v>
      </c>
      <c r="AX17" s="600"/>
    </row>
    <row r="18" spans="2:50">
      <c r="B18" s="603"/>
      <c r="C18" s="180">
        <v>12</v>
      </c>
      <c r="D18" s="183" t="s">
        <v>502</v>
      </c>
      <c r="E18" s="184">
        <v>3</v>
      </c>
      <c r="F18" s="180">
        <v>3300</v>
      </c>
      <c r="G18" s="185">
        <f t="shared" si="2"/>
        <v>1100</v>
      </c>
      <c r="H18" s="606"/>
      <c r="I18" s="186">
        <f t="shared" si="3"/>
        <v>3</v>
      </c>
      <c r="J18" s="186">
        <f t="shared" si="3"/>
        <v>2971.5361060997557</v>
      </c>
      <c r="K18" s="187">
        <f t="shared" si="3"/>
        <v>990.51203536658511</v>
      </c>
      <c r="L18" s="609"/>
      <c r="M18" s="186">
        <f>RANK(K18, K$7:$K$39)</f>
        <v>8</v>
      </c>
      <c r="N18" s="634"/>
      <c r="O18" s="611"/>
      <c r="P18" s="188">
        <v>3</v>
      </c>
      <c r="Q18" s="188">
        <v>2971.3639448088679</v>
      </c>
      <c r="R18" s="185">
        <f t="shared" si="0"/>
        <v>990.45464826962268</v>
      </c>
      <c r="S18" s="182">
        <f t="shared" si="4"/>
        <v>8</v>
      </c>
      <c r="T18" s="600"/>
      <c r="U18" s="188">
        <v>3</v>
      </c>
      <c r="V18" s="188">
        <v>2971.6052318668262</v>
      </c>
      <c r="W18" s="185">
        <f t="shared" si="1"/>
        <v>990.53507728894203</v>
      </c>
      <c r="X18" s="182">
        <f t="shared" si="5"/>
        <v>8</v>
      </c>
      <c r="Y18" s="600"/>
      <c r="Z18" s="188">
        <v>3</v>
      </c>
      <c r="AA18" s="188">
        <v>2971.0635579687014</v>
      </c>
      <c r="AB18" s="185">
        <f t="shared" si="6"/>
        <v>990.3545193229005</v>
      </c>
      <c r="AC18" s="182">
        <f t="shared" si="7"/>
        <v>8</v>
      </c>
      <c r="AD18" s="600"/>
      <c r="AE18" s="188">
        <v>3</v>
      </c>
      <c r="AF18" s="188">
        <v>2971.5438950555003</v>
      </c>
      <c r="AG18" s="185">
        <f t="shared" si="8"/>
        <v>990.51463168516682</v>
      </c>
      <c r="AH18" s="182">
        <f t="shared" si="9"/>
        <v>8</v>
      </c>
      <c r="AI18" s="600"/>
      <c r="AJ18" s="188">
        <v>3</v>
      </c>
      <c r="AK18" s="188">
        <v>2970.6382978723409</v>
      </c>
      <c r="AL18" s="185">
        <f t="shared" si="10"/>
        <v>990.212765957447</v>
      </c>
      <c r="AM18" s="182">
        <f t="shared" si="11"/>
        <v>8</v>
      </c>
      <c r="AN18" s="600"/>
      <c r="AO18" s="188">
        <v>3</v>
      </c>
      <c r="AP18" s="188">
        <v>2972.2689075630246</v>
      </c>
      <c r="AQ18" s="185">
        <f t="shared" si="12"/>
        <v>990.75630252100825</v>
      </c>
      <c r="AR18" s="182">
        <f t="shared" si="13"/>
        <v>8</v>
      </c>
      <c r="AS18" s="600"/>
      <c r="AT18" s="188">
        <v>3</v>
      </c>
      <c r="AU18" s="188">
        <v>2972.268907563026</v>
      </c>
      <c r="AV18" s="185">
        <f t="shared" si="14"/>
        <v>990.75630252100871</v>
      </c>
      <c r="AW18" s="182">
        <f t="shared" si="15"/>
        <v>8</v>
      </c>
      <c r="AX18" s="600"/>
    </row>
    <row r="19" spans="2:50">
      <c r="B19" s="603"/>
      <c r="C19" s="180">
        <v>13</v>
      </c>
      <c r="D19" s="183" t="s">
        <v>413</v>
      </c>
      <c r="E19" s="184">
        <v>5</v>
      </c>
      <c r="F19" s="180">
        <v>3600</v>
      </c>
      <c r="G19" s="185">
        <f t="shared" si="2"/>
        <v>720</v>
      </c>
      <c r="H19" s="606"/>
      <c r="I19" s="186">
        <f t="shared" si="3"/>
        <v>5</v>
      </c>
      <c r="J19" s="186">
        <f t="shared" si="3"/>
        <v>3174.3570264774967</v>
      </c>
      <c r="K19" s="187">
        <f t="shared" si="3"/>
        <v>634.87140529549936</v>
      </c>
      <c r="L19" s="609"/>
      <c r="M19" s="186">
        <f>RANK(K19, K$7:$K$39)</f>
        <v>22</v>
      </c>
      <c r="N19" s="634"/>
      <c r="O19" s="611"/>
      <c r="P19" s="188">
        <v>5</v>
      </c>
      <c r="Q19" s="188">
        <v>3173.0407899180591</v>
      </c>
      <c r="R19" s="185">
        <f t="shared" si="0"/>
        <v>634.60815798361182</v>
      </c>
      <c r="S19" s="182">
        <f t="shared" si="4"/>
        <v>23</v>
      </c>
      <c r="T19" s="600"/>
      <c r="U19" s="188">
        <v>5</v>
      </c>
      <c r="V19" s="188">
        <v>3173.2392739398247</v>
      </c>
      <c r="W19" s="185">
        <f t="shared" si="1"/>
        <v>634.64785478796489</v>
      </c>
      <c r="X19" s="182">
        <f t="shared" si="5"/>
        <v>23</v>
      </c>
      <c r="Y19" s="600"/>
      <c r="Z19" s="188">
        <v>5</v>
      </c>
      <c r="AA19" s="188">
        <v>3173.6454333776492</v>
      </c>
      <c r="AB19" s="185">
        <f t="shared" si="6"/>
        <v>634.72908667552986</v>
      </c>
      <c r="AC19" s="182">
        <f t="shared" si="7"/>
        <v>23</v>
      </c>
      <c r="AD19" s="600"/>
      <c r="AE19" s="188">
        <v>5</v>
      </c>
      <c r="AF19" s="188">
        <v>3174.1630048148281</v>
      </c>
      <c r="AG19" s="185">
        <f t="shared" si="8"/>
        <v>634.83260096296567</v>
      </c>
      <c r="AH19" s="182">
        <f t="shared" si="9"/>
        <v>22</v>
      </c>
      <c r="AI19" s="600"/>
      <c r="AJ19" s="188">
        <v>5</v>
      </c>
      <c r="AK19" s="188">
        <v>3174.6403022265076</v>
      </c>
      <c r="AL19" s="185">
        <f t="shared" si="10"/>
        <v>634.92806044530153</v>
      </c>
      <c r="AM19" s="182">
        <f t="shared" si="11"/>
        <v>22</v>
      </c>
      <c r="AN19" s="600"/>
      <c r="AO19" s="188">
        <v>5</v>
      </c>
      <c r="AP19" s="188">
        <v>3175.6054344532313</v>
      </c>
      <c r="AQ19" s="185">
        <f t="shared" si="12"/>
        <v>635.12108689064621</v>
      </c>
      <c r="AR19" s="182">
        <f t="shared" si="13"/>
        <v>22</v>
      </c>
      <c r="AS19" s="600"/>
      <c r="AT19" s="188">
        <v>5</v>
      </c>
      <c r="AU19" s="188">
        <v>3176.1649466123758</v>
      </c>
      <c r="AV19" s="185">
        <f t="shared" si="14"/>
        <v>635.23298932247519</v>
      </c>
      <c r="AW19" s="182">
        <f t="shared" si="15"/>
        <v>21</v>
      </c>
      <c r="AX19" s="600"/>
    </row>
    <row r="20" spans="2:50">
      <c r="B20" s="603"/>
      <c r="C20" s="180">
        <v>14</v>
      </c>
      <c r="D20" s="183" t="s">
        <v>412</v>
      </c>
      <c r="E20" s="184">
        <v>3</v>
      </c>
      <c r="F20" s="180">
        <v>3600</v>
      </c>
      <c r="G20" s="185">
        <f t="shared" si="2"/>
        <v>1200</v>
      </c>
      <c r="H20" s="606"/>
      <c r="I20" s="186">
        <f t="shared" si="3"/>
        <v>3</v>
      </c>
      <c r="J20" s="186">
        <f t="shared" si="3"/>
        <v>3177.4049349391148</v>
      </c>
      <c r="K20" s="187">
        <f t="shared" si="3"/>
        <v>1059.1349783130386</v>
      </c>
      <c r="L20" s="609"/>
      <c r="M20" s="186">
        <f>RANK(K20, K$7:$K$39)</f>
        <v>3</v>
      </c>
      <c r="N20" s="634"/>
      <c r="O20" s="611"/>
      <c r="P20" s="188">
        <v>3</v>
      </c>
      <c r="Q20" s="188">
        <v>3175.3075570618348</v>
      </c>
      <c r="R20" s="185">
        <f t="shared" si="0"/>
        <v>1058.4358523539449</v>
      </c>
      <c r="S20" s="182">
        <f t="shared" si="4"/>
        <v>4</v>
      </c>
      <c r="T20" s="600"/>
      <c r="U20" s="188">
        <v>3</v>
      </c>
      <c r="V20" s="188">
        <v>3176.0005289597384</v>
      </c>
      <c r="W20" s="185">
        <f t="shared" si="1"/>
        <v>1058.6668429865795</v>
      </c>
      <c r="X20" s="182">
        <f t="shared" si="5"/>
        <v>4</v>
      </c>
      <c r="Y20" s="600"/>
      <c r="Z20" s="188">
        <v>3</v>
      </c>
      <c r="AA20" s="188">
        <v>3177.1109484837866</v>
      </c>
      <c r="AB20" s="185">
        <f t="shared" si="6"/>
        <v>1059.0369828279288</v>
      </c>
      <c r="AC20" s="182">
        <f t="shared" si="7"/>
        <v>3</v>
      </c>
      <c r="AD20" s="600"/>
      <c r="AE20" s="188">
        <v>3</v>
      </c>
      <c r="AF20" s="188">
        <v>3178.1200408696313</v>
      </c>
      <c r="AG20" s="185">
        <f t="shared" si="8"/>
        <v>1059.3733469565439</v>
      </c>
      <c r="AH20" s="182">
        <f t="shared" si="9"/>
        <v>3</v>
      </c>
      <c r="AI20" s="600"/>
      <c r="AJ20" s="188">
        <v>3</v>
      </c>
      <c r="AK20" s="188">
        <v>3178.0927988692092</v>
      </c>
      <c r="AL20" s="185">
        <f t="shared" si="10"/>
        <v>1059.3642662897364</v>
      </c>
      <c r="AM20" s="182">
        <f t="shared" si="11"/>
        <v>3</v>
      </c>
      <c r="AN20" s="600"/>
      <c r="AO20" s="188">
        <v>3</v>
      </c>
      <c r="AP20" s="188">
        <v>3178.4398339698273</v>
      </c>
      <c r="AQ20" s="185">
        <f t="shared" si="12"/>
        <v>1059.4799446566092</v>
      </c>
      <c r="AR20" s="182">
        <f t="shared" si="13"/>
        <v>3</v>
      </c>
      <c r="AS20" s="600"/>
      <c r="AT20" s="188">
        <v>3</v>
      </c>
      <c r="AU20" s="188">
        <v>3178.7628363597796</v>
      </c>
      <c r="AV20" s="185">
        <f t="shared" si="14"/>
        <v>1059.5876121199265</v>
      </c>
      <c r="AW20" s="182">
        <f t="shared" si="15"/>
        <v>2</v>
      </c>
      <c r="AX20" s="600"/>
    </row>
    <row r="21" spans="2:50">
      <c r="B21" s="603"/>
      <c r="C21" s="180">
        <v>15</v>
      </c>
      <c r="D21" s="183" t="s">
        <v>414</v>
      </c>
      <c r="E21" s="184">
        <v>4</v>
      </c>
      <c r="F21" s="180">
        <v>3600</v>
      </c>
      <c r="G21" s="185">
        <f t="shared" si="2"/>
        <v>900</v>
      </c>
      <c r="H21" s="606"/>
      <c r="I21" s="186">
        <f t="shared" si="3"/>
        <v>4</v>
      </c>
      <c r="J21" s="186">
        <f t="shared" si="3"/>
        <v>3176.1009984431485</v>
      </c>
      <c r="K21" s="187">
        <f t="shared" si="3"/>
        <v>794.02524961078711</v>
      </c>
      <c r="L21" s="609"/>
      <c r="M21" s="186">
        <f>RANK(K21, K$7:$K$39)</f>
        <v>12</v>
      </c>
      <c r="N21" s="634"/>
      <c r="O21" s="611"/>
      <c r="P21" s="188">
        <v>4</v>
      </c>
      <c r="Q21" s="188">
        <v>3176.6634528564591</v>
      </c>
      <c r="R21" s="185">
        <f t="shared" si="0"/>
        <v>794.16586321411478</v>
      </c>
      <c r="S21" s="182">
        <f t="shared" si="4"/>
        <v>12</v>
      </c>
      <c r="T21" s="600"/>
      <c r="U21" s="188">
        <v>4</v>
      </c>
      <c r="V21" s="188">
        <v>3176.7403898706561</v>
      </c>
      <c r="W21" s="185">
        <f t="shared" si="1"/>
        <v>794.18509746766404</v>
      </c>
      <c r="X21" s="182">
        <f t="shared" si="5"/>
        <v>12</v>
      </c>
      <c r="Y21" s="600"/>
      <c r="Z21" s="188">
        <v>4</v>
      </c>
      <c r="AA21" s="188">
        <v>3176.2055452178683</v>
      </c>
      <c r="AB21" s="185">
        <f t="shared" si="6"/>
        <v>794.05138630446709</v>
      </c>
      <c r="AC21" s="182">
        <f t="shared" si="7"/>
        <v>12</v>
      </c>
      <c r="AD21" s="600"/>
      <c r="AE21" s="188">
        <v>4</v>
      </c>
      <c r="AF21" s="188">
        <v>3175.9893356102057</v>
      </c>
      <c r="AG21" s="185">
        <f t="shared" si="8"/>
        <v>793.99733390255142</v>
      </c>
      <c r="AH21" s="182">
        <f t="shared" si="9"/>
        <v>12</v>
      </c>
      <c r="AI21" s="600"/>
      <c r="AJ21" s="188">
        <v>4</v>
      </c>
      <c r="AK21" s="188">
        <v>3175.7148090020828</v>
      </c>
      <c r="AL21" s="185">
        <f t="shared" si="10"/>
        <v>793.9287022505207</v>
      </c>
      <c r="AM21" s="182">
        <f t="shared" si="11"/>
        <v>12</v>
      </c>
      <c r="AN21" s="600"/>
      <c r="AO21" s="188">
        <v>4</v>
      </c>
      <c r="AP21" s="188">
        <v>3175.7254239062731</v>
      </c>
      <c r="AQ21" s="185">
        <f t="shared" si="12"/>
        <v>793.93135597656828</v>
      </c>
      <c r="AR21" s="182">
        <f t="shared" si="13"/>
        <v>12</v>
      </c>
      <c r="AS21" s="600"/>
      <c r="AT21" s="188">
        <v>4</v>
      </c>
      <c r="AU21" s="188">
        <v>3175.6680326384921</v>
      </c>
      <c r="AV21" s="185">
        <f t="shared" si="14"/>
        <v>793.91700815962304</v>
      </c>
      <c r="AW21" s="182">
        <f t="shared" si="15"/>
        <v>12</v>
      </c>
      <c r="AX21" s="600"/>
    </row>
    <row r="22" spans="2:50">
      <c r="B22" s="603"/>
      <c r="C22" s="180">
        <v>16</v>
      </c>
      <c r="D22" s="183" t="s">
        <v>346</v>
      </c>
      <c r="E22" s="184">
        <v>5</v>
      </c>
      <c r="F22" s="180">
        <v>3300</v>
      </c>
      <c r="G22" s="185">
        <f t="shared" si="2"/>
        <v>660</v>
      </c>
      <c r="H22" s="606"/>
      <c r="I22" s="186">
        <f t="shared" si="3"/>
        <v>5</v>
      </c>
      <c r="J22" s="186">
        <f t="shared" si="3"/>
        <v>2943.1906045348082</v>
      </c>
      <c r="K22" s="187">
        <f t="shared" si="3"/>
        <v>588.6381209069616</v>
      </c>
      <c r="L22" s="609"/>
      <c r="M22" s="186">
        <f>RANK(K22, K$7:$K$39)</f>
        <v>25</v>
      </c>
      <c r="N22" s="634"/>
      <c r="O22" s="611"/>
      <c r="P22" s="188">
        <v>5</v>
      </c>
      <c r="Q22" s="188">
        <v>2941.849766222289</v>
      </c>
      <c r="R22" s="185">
        <f t="shared" si="0"/>
        <v>588.36995324445775</v>
      </c>
      <c r="S22" s="182">
        <f t="shared" si="4"/>
        <v>25</v>
      </c>
      <c r="T22" s="600"/>
      <c r="U22" s="188">
        <v>5</v>
      </c>
      <c r="V22" s="188">
        <v>2940.5247813411142</v>
      </c>
      <c r="W22" s="185">
        <f t="shared" si="1"/>
        <v>588.10495626822285</v>
      </c>
      <c r="X22" s="182">
        <f t="shared" si="5"/>
        <v>25</v>
      </c>
      <c r="Y22" s="600"/>
      <c r="Z22" s="188">
        <v>5</v>
      </c>
      <c r="AA22" s="188">
        <v>2943.0238726790544</v>
      </c>
      <c r="AB22" s="185">
        <f t="shared" si="6"/>
        <v>588.60477453581086</v>
      </c>
      <c r="AC22" s="182">
        <f t="shared" si="7"/>
        <v>25</v>
      </c>
      <c r="AD22" s="600"/>
      <c r="AE22" s="188">
        <v>5</v>
      </c>
      <c r="AF22" s="188">
        <v>2943.6353529738799</v>
      </c>
      <c r="AG22" s="185">
        <f t="shared" si="8"/>
        <v>588.72707059477602</v>
      </c>
      <c r="AH22" s="182">
        <f t="shared" si="9"/>
        <v>25</v>
      </c>
      <c r="AI22" s="600"/>
      <c r="AJ22" s="188">
        <v>5</v>
      </c>
      <c r="AK22" s="188">
        <v>2944.1368494000162</v>
      </c>
      <c r="AL22" s="185">
        <f t="shared" si="10"/>
        <v>588.82736988000329</v>
      </c>
      <c r="AM22" s="182">
        <f t="shared" si="11"/>
        <v>25</v>
      </c>
      <c r="AN22" s="600"/>
      <c r="AO22" s="188">
        <v>5</v>
      </c>
      <c r="AP22" s="188">
        <v>2944.8813883139665</v>
      </c>
      <c r="AQ22" s="185">
        <f t="shared" si="12"/>
        <v>588.97627766279334</v>
      </c>
      <c r="AR22" s="182">
        <f t="shared" si="13"/>
        <v>25</v>
      </c>
      <c r="AS22" s="600"/>
      <c r="AT22" s="188">
        <v>5</v>
      </c>
      <c r="AU22" s="188">
        <v>2944.2822208133366</v>
      </c>
      <c r="AV22" s="185">
        <f t="shared" si="14"/>
        <v>588.85644416266734</v>
      </c>
      <c r="AW22" s="182">
        <f t="shared" si="15"/>
        <v>24</v>
      </c>
      <c r="AX22" s="600"/>
    </row>
    <row r="23" spans="2:50">
      <c r="B23" s="603"/>
      <c r="C23" s="180">
        <v>17</v>
      </c>
      <c r="D23" s="183" t="s">
        <v>407</v>
      </c>
      <c r="E23" s="184">
        <v>3</v>
      </c>
      <c r="F23" s="180">
        <v>3600</v>
      </c>
      <c r="G23" s="185">
        <f t="shared" si="2"/>
        <v>1200</v>
      </c>
      <c r="H23" s="606"/>
      <c r="I23" s="186">
        <f t="shared" si="3"/>
        <v>3</v>
      </c>
      <c r="J23" s="186">
        <f t="shared" si="3"/>
        <v>3176.4997092153685</v>
      </c>
      <c r="K23" s="187">
        <f t="shared" si="3"/>
        <v>1058.8332364051228</v>
      </c>
      <c r="L23" s="609"/>
      <c r="M23" s="186">
        <f>RANK(K23, K$7:$K$39)</f>
        <v>4</v>
      </c>
      <c r="N23" s="634"/>
      <c r="O23" s="611"/>
      <c r="P23" s="188">
        <v>3</v>
      </c>
      <c r="Q23" s="188">
        <v>3177.1205755871679</v>
      </c>
      <c r="R23" s="185">
        <f t="shared" si="0"/>
        <v>1059.0401918623893</v>
      </c>
      <c r="S23" s="182">
        <f t="shared" si="4"/>
        <v>3</v>
      </c>
      <c r="T23" s="600"/>
      <c r="U23" s="188">
        <v>3</v>
      </c>
      <c r="V23" s="188">
        <v>3177.3266416436391</v>
      </c>
      <c r="W23" s="185">
        <f t="shared" si="1"/>
        <v>1059.1088805478796</v>
      </c>
      <c r="X23" s="182">
        <f t="shared" si="5"/>
        <v>3</v>
      </c>
      <c r="Y23" s="600"/>
      <c r="Z23" s="188">
        <v>3</v>
      </c>
      <c r="AA23" s="188">
        <v>3175.6821026282864</v>
      </c>
      <c r="AB23" s="185">
        <f t="shared" si="6"/>
        <v>1058.5607008760956</v>
      </c>
      <c r="AC23" s="182">
        <f t="shared" si="7"/>
        <v>4</v>
      </c>
      <c r="AD23" s="600"/>
      <c r="AE23" s="188">
        <v>3</v>
      </c>
      <c r="AF23" s="188">
        <v>3174.9425584097135</v>
      </c>
      <c r="AG23" s="185">
        <f t="shared" si="8"/>
        <v>1058.3141861365712</v>
      </c>
      <c r="AH23" s="182">
        <f t="shared" si="9"/>
        <v>4</v>
      </c>
      <c r="AI23" s="600"/>
      <c r="AJ23" s="188">
        <v>3</v>
      </c>
      <c r="AK23" s="188">
        <v>3175.2364933358244</v>
      </c>
      <c r="AL23" s="185">
        <f t="shared" si="10"/>
        <v>1058.4121644452748</v>
      </c>
      <c r="AM23" s="182">
        <f t="shared" si="11"/>
        <v>6</v>
      </c>
      <c r="AN23" s="600"/>
      <c r="AO23" s="188">
        <v>3</v>
      </c>
      <c r="AP23" s="188">
        <v>3176.9133184886759</v>
      </c>
      <c r="AQ23" s="185">
        <f t="shared" si="12"/>
        <v>1058.9711061628921</v>
      </c>
      <c r="AR23" s="182">
        <f t="shared" si="13"/>
        <v>4</v>
      </c>
      <c r="AS23" s="600"/>
      <c r="AT23" s="188">
        <v>3</v>
      </c>
      <c r="AU23" s="188">
        <v>3178.2762744142733</v>
      </c>
      <c r="AV23" s="185">
        <f t="shared" si="14"/>
        <v>1059.4254248047578</v>
      </c>
      <c r="AW23" s="182">
        <f t="shared" si="15"/>
        <v>4</v>
      </c>
      <c r="AX23" s="600"/>
    </row>
    <row r="24" spans="2:50">
      <c r="B24" s="603"/>
      <c r="C24" s="180">
        <v>18</v>
      </c>
      <c r="D24" s="183" t="s">
        <v>411</v>
      </c>
      <c r="E24" s="184">
        <v>3</v>
      </c>
      <c r="F24" s="180">
        <v>3600</v>
      </c>
      <c r="G24" s="185">
        <f t="shared" si="2"/>
        <v>1200</v>
      </c>
      <c r="H24" s="606"/>
      <c r="I24" s="186">
        <f t="shared" si="3"/>
        <v>3</v>
      </c>
      <c r="J24" s="186">
        <f t="shared" si="3"/>
        <v>3175.6429731826256</v>
      </c>
      <c r="K24" s="187">
        <f t="shared" si="3"/>
        <v>1058.5476577275419</v>
      </c>
      <c r="L24" s="609"/>
      <c r="M24" s="186">
        <f>RANK(K24, K$7:$K$39)</f>
        <v>5</v>
      </c>
      <c r="N24" s="634"/>
      <c r="O24" s="611"/>
      <c r="P24" s="188">
        <v>3</v>
      </c>
      <c r="Q24" s="188">
        <v>3175.2551020407991</v>
      </c>
      <c r="R24" s="185">
        <f t="shared" si="0"/>
        <v>1058.4183673469331</v>
      </c>
      <c r="S24" s="182">
        <f t="shared" si="4"/>
        <v>5</v>
      </c>
      <c r="T24" s="600"/>
      <c r="U24" s="188">
        <v>3</v>
      </c>
      <c r="V24" s="188">
        <v>3175.695461200587</v>
      </c>
      <c r="W24" s="185">
        <f t="shared" si="1"/>
        <v>1058.5651537335291</v>
      </c>
      <c r="X24" s="182">
        <f t="shared" si="5"/>
        <v>5</v>
      </c>
      <c r="Y24" s="600"/>
      <c r="Z24" s="188">
        <v>3</v>
      </c>
      <c r="AA24" s="188">
        <v>3174.8743718593105</v>
      </c>
      <c r="AB24" s="185">
        <f t="shared" si="6"/>
        <v>1058.2914572864368</v>
      </c>
      <c r="AC24" s="182">
        <f t="shared" si="7"/>
        <v>6</v>
      </c>
      <c r="AD24" s="600"/>
      <c r="AE24" s="188">
        <v>3</v>
      </c>
      <c r="AF24" s="188">
        <v>3174.045801526725</v>
      </c>
      <c r="AG24" s="185">
        <f t="shared" si="8"/>
        <v>1058.015267175575</v>
      </c>
      <c r="AH24" s="182">
        <f t="shared" si="9"/>
        <v>6</v>
      </c>
      <c r="AI24" s="600"/>
      <c r="AJ24" s="188">
        <v>3</v>
      </c>
      <c r="AK24" s="188">
        <v>3175.6906077348149</v>
      </c>
      <c r="AL24" s="185">
        <f t="shared" si="10"/>
        <v>1058.563535911605</v>
      </c>
      <c r="AM24" s="182">
        <f t="shared" si="11"/>
        <v>5</v>
      </c>
      <c r="AN24" s="600"/>
      <c r="AO24" s="188">
        <v>3</v>
      </c>
      <c r="AP24" s="188">
        <v>3176.7817781043236</v>
      </c>
      <c r="AQ24" s="185">
        <f t="shared" si="12"/>
        <v>1058.9272593681078</v>
      </c>
      <c r="AR24" s="182">
        <f t="shared" si="13"/>
        <v>5</v>
      </c>
      <c r="AS24" s="600"/>
      <c r="AT24" s="188">
        <v>3</v>
      </c>
      <c r="AU24" s="188">
        <v>3177.1576898118215</v>
      </c>
      <c r="AV24" s="185">
        <f t="shared" si="14"/>
        <v>1059.0525632706072</v>
      </c>
      <c r="AW24" s="182">
        <f t="shared" si="15"/>
        <v>5</v>
      </c>
      <c r="AX24" s="600"/>
    </row>
    <row r="25" spans="2:50">
      <c r="B25" s="603"/>
      <c r="C25" s="180">
        <v>19</v>
      </c>
      <c r="D25" s="183" t="s">
        <v>410</v>
      </c>
      <c r="E25" s="184">
        <v>4</v>
      </c>
      <c r="F25" s="180">
        <v>3300</v>
      </c>
      <c r="G25" s="185">
        <f t="shared" si="2"/>
        <v>825</v>
      </c>
      <c r="H25" s="606"/>
      <c r="I25" s="186">
        <f t="shared" si="3"/>
        <v>4</v>
      </c>
      <c r="J25" s="186">
        <f t="shared" si="3"/>
        <v>2943.9912487394099</v>
      </c>
      <c r="K25" s="187">
        <f t="shared" si="3"/>
        <v>735.99781218485248</v>
      </c>
      <c r="L25" s="609"/>
      <c r="M25" s="186">
        <f>RANK(K25, K$7:$K$39)</f>
        <v>16</v>
      </c>
      <c r="N25" s="634"/>
      <c r="O25" s="611"/>
      <c r="P25" s="188">
        <v>4</v>
      </c>
      <c r="Q25" s="188">
        <v>2943.5896703273934</v>
      </c>
      <c r="R25" s="185">
        <f t="shared" si="0"/>
        <v>735.89741758184834</v>
      </c>
      <c r="S25" s="182">
        <f t="shared" si="4"/>
        <v>16</v>
      </c>
      <c r="T25" s="600"/>
      <c r="U25" s="188">
        <v>4</v>
      </c>
      <c r="V25" s="188">
        <v>2943.704183186333</v>
      </c>
      <c r="W25" s="185">
        <f t="shared" si="1"/>
        <v>735.92604579658325</v>
      </c>
      <c r="X25" s="182">
        <f t="shared" si="5"/>
        <v>16</v>
      </c>
      <c r="Y25" s="600"/>
      <c r="Z25" s="188">
        <v>4</v>
      </c>
      <c r="AA25" s="188">
        <v>2943.7068381855038</v>
      </c>
      <c r="AB25" s="185">
        <f t="shared" si="6"/>
        <v>735.92670954637595</v>
      </c>
      <c r="AC25" s="182">
        <f t="shared" si="7"/>
        <v>17</v>
      </c>
      <c r="AD25" s="600"/>
      <c r="AE25" s="188">
        <v>4</v>
      </c>
      <c r="AF25" s="188">
        <v>2943.3472217478866</v>
      </c>
      <c r="AG25" s="185">
        <f t="shared" si="8"/>
        <v>735.83680543697164</v>
      </c>
      <c r="AH25" s="182">
        <f t="shared" si="9"/>
        <v>16</v>
      </c>
      <c r="AI25" s="600"/>
      <c r="AJ25" s="188">
        <v>4</v>
      </c>
      <c r="AK25" s="188">
        <v>2942.5210084033597</v>
      </c>
      <c r="AL25" s="185">
        <f t="shared" si="10"/>
        <v>735.63025210083993</v>
      </c>
      <c r="AM25" s="182">
        <f t="shared" si="11"/>
        <v>18</v>
      </c>
      <c r="AN25" s="600"/>
      <c r="AO25" s="188">
        <v>4</v>
      </c>
      <c r="AP25" s="188">
        <v>2944.396095495702</v>
      </c>
      <c r="AQ25" s="185">
        <f t="shared" si="12"/>
        <v>736.09902387392549</v>
      </c>
      <c r="AR25" s="182">
        <f t="shared" si="13"/>
        <v>17</v>
      </c>
      <c r="AS25" s="600"/>
      <c r="AT25" s="188">
        <v>4</v>
      </c>
      <c r="AU25" s="188">
        <v>2946.6737238296896</v>
      </c>
      <c r="AV25" s="185">
        <f t="shared" si="14"/>
        <v>736.6684309574224</v>
      </c>
      <c r="AW25" s="182">
        <f t="shared" si="15"/>
        <v>14</v>
      </c>
      <c r="AX25" s="600"/>
    </row>
    <row r="26" spans="2:50">
      <c r="B26" s="603"/>
      <c r="C26" s="180">
        <v>20</v>
      </c>
      <c r="D26" s="183" t="s">
        <v>406</v>
      </c>
      <c r="E26" s="184">
        <v>4</v>
      </c>
      <c r="F26" s="180">
        <v>3300</v>
      </c>
      <c r="G26" s="185">
        <f t="shared" si="2"/>
        <v>825</v>
      </c>
      <c r="H26" s="606"/>
      <c r="I26" s="186">
        <f t="shared" si="3"/>
        <v>4</v>
      </c>
      <c r="J26" s="186">
        <f t="shared" si="3"/>
        <v>2944.6478821117294</v>
      </c>
      <c r="K26" s="187">
        <f t="shared" si="3"/>
        <v>736.16197052793234</v>
      </c>
      <c r="L26" s="609"/>
      <c r="M26" s="186">
        <f>RANK(K26, K$7:$K$39)</f>
        <v>15</v>
      </c>
      <c r="N26" s="634"/>
      <c r="O26" s="611"/>
      <c r="P26" s="188">
        <v>4</v>
      </c>
      <c r="Q26" s="188">
        <v>2944.79831994289</v>
      </c>
      <c r="R26" s="185">
        <f t="shared" si="0"/>
        <v>736.19957998572249</v>
      </c>
      <c r="S26" s="182">
        <f t="shared" si="4"/>
        <v>15</v>
      </c>
      <c r="T26" s="600"/>
      <c r="U26" s="188">
        <v>4</v>
      </c>
      <c r="V26" s="188">
        <v>2944.2267677658169</v>
      </c>
      <c r="W26" s="185">
        <f t="shared" si="1"/>
        <v>736.05669194145423</v>
      </c>
      <c r="X26" s="182">
        <f t="shared" si="5"/>
        <v>15</v>
      </c>
      <c r="Y26" s="600"/>
      <c r="Z26" s="188">
        <v>4</v>
      </c>
      <c r="AA26" s="188">
        <v>2944.0545042204712</v>
      </c>
      <c r="AB26" s="185">
        <f t="shared" si="6"/>
        <v>736.01362605511781</v>
      </c>
      <c r="AC26" s="182">
        <f t="shared" si="7"/>
        <v>15</v>
      </c>
      <c r="AD26" s="600"/>
      <c r="AE26" s="188">
        <v>4</v>
      </c>
      <c r="AF26" s="188">
        <v>2944.1026365688776</v>
      </c>
      <c r="AG26" s="185">
        <f t="shared" si="8"/>
        <v>736.02565914221941</v>
      </c>
      <c r="AH26" s="182">
        <f t="shared" si="9"/>
        <v>15</v>
      </c>
      <c r="AI26" s="600"/>
      <c r="AJ26" s="188">
        <v>4</v>
      </c>
      <c r="AK26" s="188">
        <v>2944.2062300404341</v>
      </c>
      <c r="AL26" s="185">
        <f t="shared" si="10"/>
        <v>736.05155751010852</v>
      </c>
      <c r="AM26" s="182">
        <f t="shared" si="11"/>
        <v>16</v>
      </c>
      <c r="AN26" s="600"/>
      <c r="AO26" s="188">
        <v>4</v>
      </c>
      <c r="AP26" s="188">
        <v>2945.1522149905559</v>
      </c>
      <c r="AQ26" s="185">
        <f t="shared" si="12"/>
        <v>736.28805374763897</v>
      </c>
      <c r="AR26" s="182">
        <f t="shared" si="13"/>
        <v>16</v>
      </c>
      <c r="AS26" s="600"/>
      <c r="AT26" s="188">
        <v>4</v>
      </c>
      <c r="AU26" s="188">
        <v>2945.9945012530588</v>
      </c>
      <c r="AV26" s="185">
        <f t="shared" si="14"/>
        <v>736.49862531326471</v>
      </c>
      <c r="AW26" s="182">
        <f t="shared" si="15"/>
        <v>15</v>
      </c>
      <c r="AX26" s="600"/>
    </row>
    <row r="27" spans="2:50">
      <c r="B27" s="603"/>
      <c r="C27" s="180">
        <v>21</v>
      </c>
      <c r="D27" s="183" t="s">
        <v>409</v>
      </c>
      <c r="E27" s="184">
        <v>4</v>
      </c>
      <c r="F27" s="180">
        <v>3000</v>
      </c>
      <c r="G27" s="185">
        <f t="shared" si="2"/>
        <v>750</v>
      </c>
      <c r="H27" s="606"/>
      <c r="I27" s="186">
        <f t="shared" si="3"/>
        <v>4</v>
      </c>
      <c r="J27" s="186">
        <f t="shared" si="3"/>
        <v>2700.9420940418017</v>
      </c>
      <c r="K27" s="187">
        <f t="shared" si="3"/>
        <v>675.23552351045043</v>
      </c>
      <c r="L27" s="609"/>
      <c r="M27" s="186">
        <f>RANK(K27, K$7:$K$39)</f>
        <v>19</v>
      </c>
      <c r="N27" s="634"/>
      <c r="O27" s="611"/>
      <c r="P27" s="188">
        <v>4</v>
      </c>
      <c r="Q27" s="188">
        <v>2700.7531496130869</v>
      </c>
      <c r="R27" s="185">
        <f t="shared" si="0"/>
        <v>675.18828740327172</v>
      </c>
      <c r="S27" s="182">
        <f t="shared" si="4"/>
        <v>19</v>
      </c>
      <c r="T27" s="600"/>
      <c r="U27" s="188">
        <v>4</v>
      </c>
      <c r="V27" s="188">
        <v>2701.1765027537181</v>
      </c>
      <c r="W27" s="185">
        <f t="shared" si="1"/>
        <v>675.29412568842952</v>
      </c>
      <c r="X27" s="182">
        <f t="shared" si="5"/>
        <v>19</v>
      </c>
      <c r="Y27" s="600"/>
      <c r="Z27" s="188">
        <v>4</v>
      </c>
      <c r="AA27" s="188">
        <v>2701.3506753376787</v>
      </c>
      <c r="AB27" s="185">
        <f t="shared" si="6"/>
        <v>675.33766883441967</v>
      </c>
      <c r="AC27" s="182">
        <f t="shared" si="7"/>
        <v>19</v>
      </c>
      <c r="AD27" s="600"/>
      <c r="AE27" s="188">
        <v>4</v>
      </c>
      <c r="AF27" s="188">
        <v>2700.9443861490072</v>
      </c>
      <c r="AG27" s="185">
        <f t="shared" si="8"/>
        <v>675.2360965372518</v>
      </c>
      <c r="AH27" s="182">
        <f t="shared" si="9"/>
        <v>19</v>
      </c>
      <c r="AI27" s="600"/>
      <c r="AJ27" s="188">
        <v>4</v>
      </c>
      <c r="AK27" s="188">
        <v>2701.4523937600916</v>
      </c>
      <c r="AL27" s="185">
        <f t="shared" si="10"/>
        <v>675.3630984400229</v>
      </c>
      <c r="AM27" s="182">
        <f t="shared" si="11"/>
        <v>19</v>
      </c>
      <c r="AN27" s="600"/>
      <c r="AO27" s="188">
        <v>4</v>
      </c>
      <c r="AP27" s="188">
        <v>2700.3786285233441</v>
      </c>
      <c r="AQ27" s="185">
        <f t="shared" si="12"/>
        <v>675.09465713083603</v>
      </c>
      <c r="AR27" s="182">
        <f t="shared" si="13"/>
        <v>19</v>
      </c>
      <c r="AS27" s="600"/>
      <c r="AT27" s="188">
        <v>4</v>
      </c>
      <c r="AU27" s="188">
        <v>2700.5389221556852</v>
      </c>
      <c r="AV27" s="185">
        <f t="shared" si="14"/>
        <v>675.1347305389213</v>
      </c>
      <c r="AW27" s="182">
        <f t="shared" si="15"/>
        <v>18</v>
      </c>
      <c r="AX27" s="600"/>
    </row>
    <row r="28" spans="2:50">
      <c r="B28" s="603"/>
      <c r="C28" s="180">
        <v>22</v>
      </c>
      <c r="D28" s="183" t="s">
        <v>408</v>
      </c>
      <c r="E28" s="184">
        <v>4</v>
      </c>
      <c r="F28" s="180">
        <v>3300</v>
      </c>
      <c r="G28" s="185">
        <f>F28/E28</f>
        <v>825</v>
      </c>
      <c r="H28" s="606"/>
      <c r="I28" s="186">
        <f t="shared" si="3"/>
        <v>4</v>
      </c>
      <c r="J28" s="186">
        <f t="shared" si="3"/>
        <v>2971.1757656437908</v>
      </c>
      <c r="K28" s="187">
        <f t="shared" si="3"/>
        <v>742.7939414109477</v>
      </c>
      <c r="L28" s="609"/>
      <c r="M28" s="186">
        <f>RANK(K28, K$7:$K$39)</f>
        <v>14</v>
      </c>
      <c r="N28" s="634"/>
      <c r="O28" s="611"/>
      <c r="P28" s="188">
        <v>4</v>
      </c>
      <c r="Q28" s="188">
        <v>2971.2676056337932</v>
      </c>
      <c r="R28" s="185">
        <f t="shared" si="0"/>
        <v>742.8169014084483</v>
      </c>
      <c r="S28" s="182">
        <f t="shared" si="4"/>
        <v>14</v>
      </c>
      <c r="T28" s="600"/>
      <c r="U28" s="188">
        <v>4</v>
      </c>
      <c r="V28" s="188">
        <v>2970.9563164108799</v>
      </c>
      <c r="W28" s="185">
        <f t="shared" si="1"/>
        <v>742.73907910271998</v>
      </c>
      <c r="X28" s="182">
        <f t="shared" si="5"/>
        <v>14</v>
      </c>
      <c r="Y28" s="600"/>
      <c r="Z28" s="188">
        <v>4</v>
      </c>
      <c r="AA28" s="188">
        <v>2970.7736389684933</v>
      </c>
      <c r="AB28" s="185">
        <f t="shared" si="6"/>
        <v>742.69340974212332</v>
      </c>
      <c r="AC28" s="182">
        <f t="shared" si="7"/>
        <v>14</v>
      </c>
      <c r="AD28" s="600"/>
      <c r="AE28" s="188">
        <v>4</v>
      </c>
      <c r="AF28" s="188">
        <v>2970.1444622793174</v>
      </c>
      <c r="AG28" s="185">
        <f t="shared" si="8"/>
        <v>742.53611556982935</v>
      </c>
      <c r="AH28" s="182">
        <f t="shared" si="9"/>
        <v>14</v>
      </c>
      <c r="AI28" s="600"/>
      <c r="AJ28" s="188">
        <v>4</v>
      </c>
      <c r="AK28" s="188">
        <v>2969.3023255813728</v>
      </c>
      <c r="AL28" s="185">
        <f t="shared" si="10"/>
        <v>742.32558139534319</v>
      </c>
      <c r="AM28" s="182">
        <f t="shared" si="11"/>
        <v>14</v>
      </c>
      <c r="AN28" s="600"/>
      <c r="AO28" s="188">
        <v>4</v>
      </c>
      <c r="AP28" s="188">
        <v>2974.6102449888863</v>
      </c>
      <c r="AQ28" s="185">
        <f t="shared" si="12"/>
        <v>743.65256124722157</v>
      </c>
      <c r="AR28" s="182">
        <f t="shared" si="13"/>
        <v>14</v>
      </c>
      <c r="AS28" s="600"/>
      <c r="AT28" s="188"/>
      <c r="AU28" s="188"/>
      <c r="AV28" s="185"/>
      <c r="AW28" s="182"/>
      <c r="AX28" s="600"/>
    </row>
    <row r="29" spans="2:50">
      <c r="B29" s="603"/>
      <c r="C29" s="180">
        <v>23</v>
      </c>
      <c r="D29" s="183" t="s">
        <v>466</v>
      </c>
      <c r="E29" s="184">
        <v>3</v>
      </c>
      <c r="F29" s="180">
        <v>3600</v>
      </c>
      <c r="G29" s="185">
        <f t="shared" ref="G29:G37" si="16">F29/E29</f>
        <v>1200</v>
      </c>
      <c r="H29" s="606"/>
      <c r="I29" s="186">
        <f t="shared" si="3"/>
        <v>3</v>
      </c>
      <c r="J29" s="186">
        <f t="shared" si="3"/>
        <v>3180.9857471046348</v>
      </c>
      <c r="K29" s="187">
        <f t="shared" si="3"/>
        <v>1060.3285823682113</v>
      </c>
      <c r="L29" s="609"/>
      <c r="M29" s="186">
        <f>RANK(K29, K$7:$K$39)</f>
        <v>1</v>
      </c>
      <c r="N29" s="634"/>
      <c r="O29" s="611"/>
      <c r="P29" s="188">
        <v>3</v>
      </c>
      <c r="Q29" s="188">
        <v>3177.8456837280319</v>
      </c>
      <c r="R29" s="185">
        <f t="shared" si="0"/>
        <v>1059.2818945760107</v>
      </c>
      <c r="S29" s="182">
        <f t="shared" si="4"/>
        <v>2</v>
      </c>
      <c r="T29" s="600"/>
      <c r="U29" s="188">
        <v>3</v>
      </c>
      <c r="V29" s="188">
        <v>3180.2914642609271</v>
      </c>
      <c r="W29" s="185">
        <f t="shared" si="1"/>
        <v>1060.0971547536424</v>
      </c>
      <c r="X29" s="182">
        <f t="shared" si="5"/>
        <v>1</v>
      </c>
      <c r="Y29" s="600"/>
      <c r="Z29" s="188">
        <v>3</v>
      </c>
      <c r="AA29" s="188">
        <v>3180.440097799511</v>
      </c>
      <c r="AB29" s="185">
        <f t="shared" si="6"/>
        <v>1060.1466992665037</v>
      </c>
      <c r="AC29" s="182">
        <f t="shared" si="7"/>
        <v>1</v>
      </c>
      <c r="AD29" s="600"/>
      <c r="AE29" s="188">
        <v>3</v>
      </c>
      <c r="AF29" s="188">
        <v>3180.7355516637494</v>
      </c>
      <c r="AG29" s="185">
        <f t="shared" si="8"/>
        <v>1060.2451838879165</v>
      </c>
      <c r="AH29" s="182">
        <f t="shared" si="9"/>
        <v>1</v>
      </c>
      <c r="AI29" s="600"/>
      <c r="AJ29" s="188">
        <v>3</v>
      </c>
      <c r="AK29" s="188">
        <v>3182.3204419889589</v>
      </c>
      <c r="AL29" s="185">
        <f t="shared" si="10"/>
        <v>1060.7734806629862</v>
      </c>
      <c r="AM29" s="182">
        <f t="shared" si="11"/>
        <v>1</v>
      </c>
      <c r="AN29" s="600"/>
      <c r="AO29" s="188">
        <v>3</v>
      </c>
      <c r="AP29" s="188">
        <v>3182.5000000000114</v>
      </c>
      <c r="AQ29" s="185">
        <f t="shared" si="12"/>
        <v>1060.8333333333371</v>
      </c>
      <c r="AR29" s="182">
        <f t="shared" si="13"/>
        <v>1</v>
      </c>
      <c r="AS29" s="600"/>
      <c r="AT29" s="188">
        <v>3</v>
      </c>
      <c r="AU29" s="188">
        <v>3182.7669902912521</v>
      </c>
      <c r="AV29" s="185">
        <f t="shared" si="14"/>
        <v>1060.9223300970841</v>
      </c>
      <c r="AW29" s="182">
        <f t="shared" si="15"/>
        <v>1</v>
      </c>
      <c r="AX29" s="600"/>
    </row>
    <row r="30" spans="2:50">
      <c r="B30" s="603"/>
      <c r="C30" s="180">
        <v>24</v>
      </c>
      <c r="D30" s="183" t="s">
        <v>475</v>
      </c>
      <c r="E30" s="184">
        <v>4</v>
      </c>
      <c r="F30" s="180">
        <v>3000</v>
      </c>
      <c r="G30" s="185">
        <f t="shared" si="16"/>
        <v>750</v>
      </c>
      <c r="H30" s="606"/>
      <c r="I30" s="186">
        <f t="shared" si="3"/>
        <v>4</v>
      </c>
      <c r="J30" s="186">
        <f t="shared" si="3"/>
        <v>2682.7255607841616</v>
      </c>
      <c r="K30" s="187">
        <f t="shared" si="3"/>
        <v>670.68139019604041</v>
      </c>
      <c r="L30" s="609"/>
      <c r="M30" s="186">
        <f>RANK(K30, K$7:$K$39)</f>
        <v>20</v>
      </c>
      <c r="N30" s="634"/>
      <c r="O30" s="611"/>
      <c r="P30" s="188">
        <v>4</v>
      </c>
      <c r="Q30" s="188">
        <v>2682.7178729689763</v>
      </c>
      <c r="R30" s="185">
        <f t="shared" si="0"/>
        <v>670.67946824224407</v>
      </c>
      <c r="S30" s="182">
        <f t="shared" si="4"/>
        <v>21</v>
      </c>
      <c r="T30" s="600"/>
      <c r="U30" s="188">
        <v>4</v>
      </c>
      <c r="V30" s="188">
        <v>2683.361344537821</v>
      </c>
      <c r="W30" s="185">
        <f t="shared" si="1"/>
        <v>670.84033613445524</v>
      </c>
      <c r="X30" s="182">
        <f t="shared" si="5"/>
        <v>20</v>
      </c>
      <c r="Y30" s="600"/>
      <c r="Z30" s="188">
        <v>4</v>
      </c>
      <c r="AA30" s="188">
        <v>2682.5531914893563</v>
      </c>
      <c r="AB30" s="185">
        <f t="shared" si="6"/>
        <v>670.63829787233908</v>
      </c>
      <c r="AC30" s="182">
        <f t="shared" si="7"/>
        <v>21</v>
      </c>
      <c r="AD30" s="600"/>
      <c r="AE30" s="188">
        <v>4</v>
      </c>
      <c r="AF30" s="188">
        <v>2682.1736922295613</v>
      </c>
      <c r="AG30" s="185">
        <f t="shared" si="8"/>
        <v>670.54342305739033</v>
      </c>
      <c r="AH30" s="182">
        <f t="shared" si="9"/>
        <v>21</v>
      </c>
      <c r="AI30" s="600"/>
      <c r="AJ30" s="188">
        <v>4</v>
      </c>
      <c r="AK30" s="188">
        <v>2682.8261990716833</v>
      </c>
      <c r="AL30" s="185">
        <f t="shared" si="10"/>
        <v>670.70654976792082</v>
      </c>
      <c r="AM30" s="182">
        <f t="shared" si="11"/>
        <v>21</v>
      </c>
      <c r="AN30" s="600"/>
      <c r="AO30" s="188">
        <v>4</v>
      </c>
      <c r="AP30" s="188">
        <v>2682.7144686299598</v>
      </c>
      <c r="AQ30" s="185">
        <f t="shared" si="12"/>
        <v>670.67861715748995</v>
      </c>
      <c r="AR30" s="182">
        <f t="shared" si="13"/>
        <v>20</v>
      </c>
      <c r="AS30" s="600"/>
      <c r="AT30" s="188">
        <v>4</v>
      </c>
      <c r="AU30" s="188">
        <v>2682.7321565617726</v>
      </c>
      <c r="AV30" s="185">
        <f t="shared" si="14"/>
        <v>670.68303914044316</v>
      </c>
      <c r="AW30" s="182">
        <f t="shared" si="15"/>
        <v>19</v>
      </c>
      <c r="AX30" s="600"/>
    </row>
    <row r="31" spans="2:50">
      <c r="B31" s="603"/>
      <c r="C31" s="180">
        <v>25</v>
      </c>
      <c r="D31" s="183" t="s">
        <v>495</v>
      </c>
      <c r="E31" s="184">
        <v>5</v>
      </c>
      <c r="F31" s="180">
        <v>3000</v>
      </c>
      <c r="G31" s="185">
        <f t="shared" si="16"/>
        <v>600</v>
      </c>
      <c r="H31" s="606"/>
      <c r="I31" s="186">
        <f t="shared" si="3"/>
        <v>5</v>
      </c>
      <c r="J31" s="186">
        <f t="shared" si="3"/>
        <v>2682.0995140174914</v>
      </c>
      <c r="K31" s="187">
        <f t="shared" si="3"/>
        <v>536.4199028034983</v>
      </c>
      <c r="L31" s="609"/>
      <c r="M31" s="186">
        <f>RANK(K31, K$7:$K$39)</f>
        <v>26</v>
      </c>
      <c r="N31" s="634"/>
      <c r="O31" s="611"/>
      <c r="P31" s="188">
        <v>5</v>
      </c>
      <c r="Q31" s="188">
        <v>2682.5297432686339</v>
      </c>
      <c r="R31" s="185">
        <f t="shared" si="0"/>
        <v>536.50594865372682</v>
      </c>
      <c r="S31" s="182">
        <f t="shared" si="4"/>
        <v>26</v>
      </c>
      <c r="T31" s="600"/>
      <c r="U31" s="188">
        <v>5</v>
      </c>
      <c r="V31" s="188">
        <v>2681.9866567827958</v>
      </c>
      <c r="W31" s="185">
        <f t="shared" si="1"/>
        <v>536.39733135655911</v>
      </c>
      <c r="X31" s="182">
        <f t="shared" si="5"/>
        <v>26</v>
      </c>
      <c r="Y31" s="600"/>
      <c r="Z31" s="188">
        <v>5</v>
      </c>
      <c r="AA31" s="188">
        <v>2683.3333333333426</v>
      </c>
      <c r="AB31" s="185">
        <f t="shared" si="6"/>
        <v>536.66666666666856</v>
      </c>
      <c r="AC31" s="182">
        <f t="shared" si="7"/>
        <v>26</v>
      </c>
      <c r="AD31" s="600"/>
      <c r="AE31" s="188">
        <v>5</v>
      </c>
      <c r="AF31" s="188">
        <v>2682.1428571428464</v>
      </c>
      <c r="AG31" s="185">
        <f t="shared" si="8"/>
        <v>536.42857142856928</v>
      </c>
      <c r="AH31" s="182">
        <f t="shared" si="9"/>
        <v>26</v>
      </c>
      <c r="AI31" s="600"/>
      <c r="AJ31" s="188">
        <v>5</v>
      </c>
      <c r="AK31" s="188">
        <v>2681.4524043179599</v>
      </c>
      <c r="AL31" s="185">
        <f t="shared" si="10"/>
        <v>536.29048086359194</v>
      </c>
      <c r="AM31" s="182">
        <f t="shared" si="11"/>
        <v>26</v>
      </c>
      <c r="AN31" s="600"/>
      <c r="AO31" s="188">
        <v>5</v>
      </c>
      <c r="AP31" s="188">
        <v>2680.8510638297912</v>
      </c>
      <c r="AQ31" s="185">
        <f t="shared" si="12"/>
        <v>536.17021276595824</v>
      </c>
      <c r="AR31" s="182">
        <f t="shared" si="13"/>
        <v>26</v>
      </c>
      <c r="AS31" s="600"/>
      <c r="AT31" s="188">
        <v>5</v>
      </c>
      <c r="AU31" s="188">
        <v>2682.4005394470696</v>
      </c>
      <c r="AV31" s="185">
        <f t="shared" si="14"/>
        <v>536.48010788941394</v>
      </c>
      <c r="AW31" s="182">
        <f t="shared" si="15"/>
        <v>25</v>
      </c>
      <c r="AX31" s="600"/>
    </row>
    <row r="32" spans="2:50">
      <c r="B32" s="603"/>
      <c r="C32" s="180">
        <v>26</v>
      </c>
      <c r="D32" s="183" t="s">
        <v>533</v>
      </c>
      <c r="E32" s="184">
        <v>4</v>
      </c>
      <c r="F32" s="180">
        <v>3000</v>
      </c>
      <c r="G32" s="185">
        <f t="shared" si="16"/>
        <v>750</v>
      </c>
      <c r="H32" s="606"/>
      <c r="I32" s="186">
        <f t="shared" si="3"/>
        <v>4</v>
      </c>
      <c r="J32" s="186">
        <f t="shared" si="3"/>
        <v>2682.71317070235</v>
      </c>
      <c r="K32" s="187">
        <f t="shared" si="3"/>
        <v>670.6782926755875</v>
      </c>
      <c r="L32" s="609"/>
      <c r="M32" s="186">
        <f>RANK(K32, K$7:$K$39)</f>
        <v>21</v>
      </c>
      <c r="N32" s="634"/>
      <c r="O32" s="611"/>
      <c r="P32" s="188">
        <v>4</v>
      </c>
      <c r="Q32" s="188">
        <v>2683.0319353597538</v>
      </c>
      <c r="R32" s="185">
        <f t="shared" si="0"/>
        <v>670.75798383993845</v>
      </c>
      <c r="S32" s="182">
        <f t="shared" si="4"/>
        <v>20</v>
      </c>
      <c r="T32" s="600"/>
      <c r="U32" s="188">
        <v>4</v>
      </c>
      <c r="V32" s="188">
        <v>2682.7098078867552</v>
      </c>
      <c r="W32" s="185">
        <f t="shared" si="1"/>
        <v>670.67745197168881</v>
      </c>
      <c r="X32" s="182">
        <f t="shared" si="5"/>
        <v>21</v>
      </c>
      <c r="Y32" s="600"/>
      <c r="Z32" s="188">
        <v>4</v>
      </c>
      <c r="AA32" s="188">
        <v>2682.772277227728</v>
      </c>
      <c r="AB32" s="185">
        <f t="shared" si="6"/>
        <v>670.69306930693199</v>
      </c>
      <c r="AC32" s="182">
        <f t="shared" si="7"/>
        <v>20</v>
      </c>
      <c r="AD32" s="600"/>
      <c r="AE32" s="188">
        <v>4</v>
      </c>
      <c r="AF32" s="188">
        <v>2683.0425680390667</v>
      </c>
      <c r="AG32" s="185">
        <f t="shared" si="8"/>
        <v>670.76064200976668</v>
      </c>
      <c r="AH32" s="182">
        <f t="shared" si="9"/>
        <v>20</v>
      </c>
      <c r="AI32" s="600"/>
      <c r="AJ32" s="188">
        <v>4</v>
      </c>
      <c r="AK32" s="188">
        <v>2682.8993666432002</v>
      </c>
      <c r="AL32" s="185">
        <f t="shared" si="10"/>
        <v>670.72484166080005</v>
      </c>
      <c r="AM32" s="182">
        <f t="shared" si="11"/>
        <v>20</v>
      </c>
      <c r="AN32" s="600"/>
      <c r="AO32" s="188">
        <v>4</v>
      </c>
      <c r="AP32" s="188">
        <v>2682.2134387351739</v>
      </c>
      <c r="AQ32" s="185">
        <f t="shared" si="12"/>
        <v>670.55335968379347</v>
      </c>
      <c r="AR32" s="182">
        <f t="shared" si="13"/>
        <v>21</v>
      </c>
      <c r="AS32" s="600"/>
      <c r="AT32" s="188">
        <v>4</v>
      </c>
      <c r="AU32" s="188">
        <v>2682.3228010247708</v>
      </c>
      <c r="AV32" s="185">
        <f t="shared" si="14"/>
        <v>670.5807002561927</v>
      </c>
      <c r="AW32" s="182">
        <f t="shared" si="15"/>
        <v>20</v>
      </c>
      <c r="AX32" s="600"/>
    </row>
    <row r="33" spans="1:50">
      <c r="B33" s="603"/>
      <c r="C33" s="180">
        <v>27</v>
      </c>
      <c r="D33" s="183" t="s">
        <v>554</v>
      </c>
      <c r="E33" s="184">
        <v>12</v>
      </c>
      <c r="F33" s="180">
        <v>3600</v>
      </c>
      <c r="G33" s="185">
        <f t="shared" si="16"/>
        <v>300</v>
      </c>
      <c r="H33" s="606"/>
      <c r="I33" s="186">
        <f t="shared" si="3"/>
        <v>12</v>
      </c>
      <c r="J33" s="186">
        <f t="shared" si="3"/>
        <v>3252.2426521270168</v>
      </c>
      <c r="K33" s="187">
        <f t="shared" si="3"/>
        <v>271.02022101058475</v>
      </c>
      <c r="L33" s="609"/>
      <c r="M33" s="186">
        <f>RANK(K33, K$7:$K$39)</f>
        <v>28</v>
      </c>
      <c r="N33" s="634"/>
      <c r="O33" s="611"/>
      <c r="P33" s="188">
        <v>12</v>
      </c>
      <c r="Q33" s="188">
        <v>3250.1079913606995</v>
      </c>
      <c r="R33" s="185">
        <f t="shared" si="0"/>
        <v>270.84233261339165</v>
      </c>
      <c r="S33" s="182">
        <f t="shared" si="4"/>
        <v>27</v>
      </c>
      <c r="T33" s="600"/>
      <c r="U33" s="188">
        <v>12</v>
      </c>
      <c r="V33" s="188">
        <v>3249.901768172911</v>
      </c>
      <c r="W33" s="185">
        <f t="shared" si="1"/>
        <v>270.82514734774259</v>
      </c>
      <c r="X33" s="182">
        <f t="shared" si="5"/>
        <v>27</v>
      </c>
      <c r="Y33" s="600"/>
      <c r="Z33" s="188">
        <v>12</v>
      </c>
      <c r="AA33" s="188">
        <v>3249.7005988024316</v>
      </c>
      <c r="AB33" s="185">
        <f t="shared" si="6"/>
        <v>270.80838323353595</v>
      </c>
      <c r="AC33" s="182">
        <f t="shared" si="7"/>
        <v>27</v>
      </c>
      <c r="AD33" s="600"/>
      <c r="AE33" s="188">
        <v>12</v>
      </c>
      <c r="AF33" s="188">
        <v>3253.1791907514175</v>
      </c>
      <c r="AG33" s="185">
        <f t="shared" si="8"/>
        <v>271.09826589595144</v>
      </c>
      <c r="AH33" s="182">
        <f t="shared" si="9"/>
        <v>27</v>
      </c>
      <c r="AI33" s="600"/>
      <c r="AJ33" s="188">
        <v>12</v>
      </c>
      <c r="AK33" s="188">
        <v>3253.8461538461024</v>
      </c>
      <c r="AL33" s="185">
        <f t="shared" si="10"/>
        <v>271.15384615384187</v>
      </c>
      <c r="AM33" s="182">
        <f t="shared" si="11"/>
        <v>27</v>
      </c>
      <c r="AN33" s="600"/>
      <c r="AO33" s="188">
        <v>12</v>
      </c>
      <c r="AP33" s="188">
        <v>3253.1386861313945</v>
      </c>
      <c r="AQ33" s="185">
        <f t="shared" si="12"/>
        <v>271.09489051094954</v>
      </c>
      <c r="AR33" s="182">
        <f t="shared" si="13"/>
        <v>27</v>
      </c>
      <c r="AS33" s="600"/>
      <c r="AT33" s="188">
        <v>12</v>
      </c>
      <c r="AU33" s="188">
        <v>3255.8241758241588</v>
      </c>
      <c r="AV33" s="185">
        <f t="shared" si="14"/>
        <v>271.31868131867992</v>
      </c>
      <c r="AW33" s="182">
        <f t="shared" si="15"/>
        <v>27</v>
      </c>
      <c r="AX33" s="600"/>
    </row>
    <row r="34" spans="1:50">
      <c r="B34" s="603"/>
      <c r="C34" s="180">
        <v>28</v>
      </c>
      <c r="D34" s="183" t="s">
        <v>587</v>
      </c>
      <c r="E34" s="184">
        <v>13</v>
      </c>
      <c r="F34" s="180">
        <v>3600</v>
      </c>
      <c r="G34" s="185">
        <f t="shared" si="16"/>
        <v>276.92307692307691</v>
      </c>
      <c r="H34" s="606"/>
      <c r="I34" s="186">
        <f t="shared" si="3"/>
        <v>13</v>
      </c>
      <c r="J34" s="186">
        <f t="shared" si="3"/>
        <v>3172.7093415088698</v>
      </c>
      <c r="K34" s="187">
        <f t="shared" si="3"/>
        <v>244.05456473145145</v>
      </c>
      <c r="L34" s="609"/>
      <c r="M34" s="186">
        <f>RANK(K34, K$7:$K$39)</f>
        <v>31</v>
      </c>
      <c r="N34" s="634"/>
      <c r="O34" s="611"/>
      <c r="P34" s="188">
        <v>13</v>
      </c>
      <c r="Q34" s="188">
        <v>3019.0757855822558</v>
      </c>
      <c r="R34" s="185">
        <f t="shared" si="0"/>
        <v>232.23659889094276</v>
      </c>
      <c r="S34" s="182">
        <f t="shared" si="4"/>
        <v>30</v>
      </c>
      <c r="T34" s="600"/>
      <c r="U34" s="188">
        <v>13</v>
      </c>
      <c r="V34" s="188">
        <v>3083.9160839160845</v>
      </c>
      <c r="W34" s="185">
        <f t="shared" si="1"/>
        <v>237.22431414739111</v>
      </c>
      <c r="X34" s="182">
        <f t="shared" si="5"/>
        <v>30</v>
      </c>
      <c r="Y34" s="600"/>
      <c r="Z34" s="188">
        <v>13</v>
      </c>
      <c r="AA34" s="188">
        <v>3145.4416961130801</v>
      </c>
      <c r="AB34" s="185">
        <f t="shared" si="6"/>
        <v>241.95705354716</v>
      </c>
      <c r="AC34" s="182">
        <f t="shared" si="7"/>
        <v>30</v>
      </c>
      <c r="AD34" s="600"/>
      <c r="AE34" s="188">
        <v>13</v>
      </c>
      <c r="AF34" s="188">
        <v>3197.4545454545473</v>
      </c>
      <c r="AG34" s="185">
        <f t="shared" si="8"/>
        <v>245.95804195804209</v>
      </c>
      <c r="AH34" s="182">
        <f t="shared" si="9"/>
        <v>30</v>
      </c>
      <c r="AI34" s="600"/>
      <c r="AJ34" s="188">
        <v>13</v>
      </c>
      <c r="AK34" s="188">
        <v>3253.9114043355439</v>
      </c>
      <c r="AL34" s="185">
        <f t="shared" si="10"/>
        <v>250.30087725658029</v>
      </c>
      <c r="AM34" s="182">
        <f t="shared" si="11"/>
        <v>30</v>
      </c>
      <c r="AN34" s="600"/>
      <c r="AO34" s="188">
        <v>13</v>
      </c>
      <c r="AP34" s="188">
        <v>3254.6021840873627</v>
      </c>
      <c r="AQ34" s="185">
        <f t="shared" si="12"/>
        <v>250.35401416056635</v>
      </c>
      <c r="AR34" s="182">
        <f t="shared" si="13"/>
        <v>30</v>
      </c>
      <c r="AS34" s="600"/>
      <c r="AT34" s="188">
        <v>13</v>
      </c>
      <c r="AU34" s="188">
        <v>3254.5636910732119</v>
      </c>
      <c r="AV34" s="185">
        <f t="shared" si="14"/>
        <v>250.35105315947783</v>
      </c>
      <c r="AW34" s="182">
        <f t="shared" si="15"/>
        <v>30</v>
      </c>
      <c r="AX34" s="600"/>
    </row>
    <row r="35" spans="1:50">
      <c r="B35" s="603"/>
      <c r="C35" s="180">
        <v>29</v>
      </c>
      <c r="D35" s="183" t="s">
        <v>347</v>
      </c>
      <c r="E35" s="184">
        <v>3</v>
      </c>
      <c r="F35" s="180">
        <v>3000</v>
      </c>
      <c r="G35" s="185">
        <f t="shared" si="16"/>
        <v>1000</v>
      </c>
      <c r="H35" s="606"/>
      <c r="I35" s="186">
        <f t="shared" si="3"/>
        <v>3</v>
      </c>
      <c r="J35" s="186">
        <f t="shared" si="3"/>
        <v>2699.4703605622817</v>
      </c>
      <c r="K35" s="187">
        <f t="shared" si="3"/>
        <v>899.82345352076061</v>
      </c>
      <c r="L35" s="609"/>
      <c r="M35" s="186">
        <f>RANK(K35, K$7:$K$39)</f>
        <v>11</v>
      </c>
      <c r="N35" s="634"/>
      <c r="O35" s="611"/>
      <c r="P35" s="188">
        <v>3</v>
      </c>
      <c r="Q35" s="188">
        <v>2699.4725508493048</v>
      </c>
      <c r="R35" s="185">
        <f t="shared" si="0"/>
        <v>899.82418361643488</v>
      </c>
      <c r="S35" s="182">
        <f t="shared" si="4"/>
        <v>10</v>
      </c>
      <c r="T35" s="600"/>
      <c r="U35" s="188">
        <v>3</v>
      </c>
      <c r="V35" s="188">
        <v>2699.5514465394435</v>
      </c>
      <c r="W35" s="185">
        <f t="shared" si="1"/>
        <v>899.85048217981455</v>
      </c>
      <c r="X35" s="182">
        <f t="shared" si="5"/>
        <v>10</v>
      </c>
      <c r="Y35" s="600"/>
      <c r="Z35" s="188">
        <v>3</v>
      </c>
      <c r="AA35" s="188">
        <v>2699.6527217880584</v>
      </c>
      <c r="AB35" s="185">
        <f t="shared" si="6"/>
        <v>899.88424059601948</v>
      </c>
      <c r="AC35" s="182">
        <f t="shared" si="7"/>
        <v>10</v>
      </c>
      <c r="AD35" s="600"/>
      <c r="AE35" s="188">
        <v>3</v>
      </c>
      <c r="AF35" s="188">
        <v>2699.4377817104132</v>
      </c>
      <c r="AG35" s="185">
        <f t="shared" si="8"/>
        <v>899.81259390347111</v>
      </c>
      <c r="AH35" s="182">
        <f t="shared" si="9"/>
        <v>11</v>
      </c>
      <c r="AI35" s="600"/>
      <c r="AJ35" s="188">
        <v>3</v>
      </c>
      <c r="AK35" s="188">
        <v>2699.3546176764748</v>
      </c>
      <c r="AL35" s="185">
        <f t="shared" si="10"/>
        <v>899.78487255882499</v>
      </c>
      <c r="AM35" s="182">
        <f t="shared" si="11"/>
        <v>11</v>
      </c>
      <c r="AN35" s="600"/>
      <c r="AO35" s="188">
        <v>3</v>
      </c>
      <c r="AP35" s="188">
        <v>2699.3758310397734</v>
      </c>
      <c r="AQ35" s="185">
        <f t="shared" si="12"/>
        <v>899.79194367992443</v>
      </c>
      <c r="AR35" s="182">
        <f t="shared" si="13"/>
        <v>11</v>
      </c>
      <c r="AS35" s="600"/>
      <c r="AT35" s="188">
        <v>3</v>
      </c>
      <c r="AU35" s="188">
        <v>2699.4475743325047</v>
      </c>
      <c r="AV35" s="185">
        <f t="shared" si="14"/>
        <v>899.81585811083494</v>
      </c>
      <c r="AW35" s="182">
        <f t="shared" si="15"/>
        <v>11</v>
      </c>
      <c r="AX35" s="600"/>
    </row>
    <row r="36" spans="1:50">
      <c r="B36" s="603"/>
      <c r="C36" s="180">
        <v>30</v>
      </c>
      <c r="D36" s="183" t="s">
        <v>471</v>
      </c>
      <c r="E36" s="184">
        <v>12</v>
      </c>
      <c r="F36" s="180">
        <v>3600</v>
      </c>
      <c r="G36" s="185">
        <f t="shared" si="16"/>
        <v>300</v>
      </c>
      <c r="H36" s="606"/>
      <c r="I36" s="186">
        <f t="shared" si="3"/>
        <v>12</v>
      </c>
      <c r="J36" s="186">
        <f t="shared" si="3"/>
        <v>3124.514992674005</v>
      </c>
      <c r="K36" s="187">
        <f t="shared" si="3"/>
        <v>260.3762493895004</v>
      </c>
      <c r="L36" s="609"/>
      <c r="M36" s="186">
        <f>RANK(K36, K$7:$K$39)</f>
        <v>30</v>
      </c>
      <c r="N36" s="634"/>
      <c r="O36" s="611"/>
      <c r="P36" s="188">
        <v>12</v>
      </c>
      <c r="Q36" s="188">
        <v>3124.3001119820869</v>
      </c>
      <c r="R36" s="185">
        <f t="shared" si="0"/>
        <v>260.35834266517389</v>
      </c>
      <c r="S36" s="182">
        <f t="shared" si="4"/>
        <v>29</v>
      </c>
      <c r="T36" s="600"/>
      <c r="U36" s="188">
        <v>12</v>
      </c>
      <c r="V36" s="188">
        <v>3124.61844724618</v>
      </c>
      <c r="W36" s="185">
        <f t="shared" si="1"/>
        <v>260.38487060384836</v>
      </c>
      <c r="X36" s="182">
        <f t="shared" si="5"/>
        <v>29</v>
      </c>
      <c r="Y36" s="600"/>
      <c r="Z36" s="188">
        <v>12</v>
      </c>
      <c r="AA36" s="188">
        <v>3124.886877828063</v>
      </c>
      <c r="AB36" s="185">
        <f t="shared" si="6"/>
        <v>260.40723981900527</v>
      </c>
      <c r="AC36" s="182">
        <f t="shared" si="7"/>
        <v>29</v>
      </c>
      <c r="AD36" s="600"/>
      <c r="AE36" s="188">
        <v>12</v>
      </c>
      <c r="AF36" s="188">
        <v>3124.1379310344869</v>
      </c>
      <c r="AG36" s="185">
        <f t="shared" si="8"/>
        <v>260.34482758620726</v>
      </c>
      <c r="AH36" s="182">
        <f t="shared" si="9"/>
        <v>29</v>
      </c>
      <c r="AI36" s="600"/>
      <c r="AJ36" s="188">
        <v>12</v>
      </c>
      <c r="AK36" s="188">
        <v>3123.8416175231755</v>
      </c>
      <c r="AL36" s="185">
        <f t="shared" si="10"/>
        <v>260.32013479359796</v>
      </c>
      <c r="AM36" s="182">
        <f t="shared" si="11"/>
        <v>29</v>
      </c>
      <c r="AN36" s="600"/>
      <c r="AO36" s="188">
        <v>12</v>
      </c>
      <c r="AP36" s="188">
        <v>3125.1682368775059</v>
      </c>
      <c r="AQ36" s="185">
        <f t="shared" si="12"/>
        <v>260.43068640645885</v>
      </c>
      <c r="AR36" s="182">
        <f t="shared" si="13"/>
        <v>28</v>
      </c>
      <c r="AS36" s="600"/>
      <c r="AT36" s="188">
        <v>12</v>
      </c>
      <c r="AU36" s="188">
        <v>3124.651726226537</v>
      </c>
      <c r="AV36" s="185">
        <f t="shared" si="14"/>
        <v>260.3876438522114</v>
      </c>
      <c r="AW36" s="182">
        <f t="shared" si="15"/>
        <v>28</v>
      </c>
      <c r="AX36" s="600"/>
    </row>
    <row r="37" spans="1:50">
      <c r="B37" s="603"/>
      <c r="C37" s="180">
        <v>31</v>
      </c>
      <c r="D37" s="183" t="s">
        <v>640</v>
      </c>
      <c r="E37" s="180">
        <v>5</v>
      </c>
      <c r="F37" s="180">
        <v>3000</v>
      </c>
      <c r="G37" s="185">
        <f t="shared" si="16"/>
        <v>600</v>
      </c>
      <c r="H37" s="606"/>
      <c r="I37" s="186">
        <f t="shared" si="3"/>
        <v>5</v>
      </c>
      <c r="J37" s="186">
        <f t="shared" si="3"/>
        <v>2460.0856142171519</v>
      </c>
      <c r="K37" s="187">
        <f t="shared" si="3"/>
        <v>492.0171228434304</v>
      </c>
      <c r="L37" s="609"/>
      <c r="M37" s="186">
        <f>RANK(K37, K$7:$K$39)</f>
        <v>27</v>
      </c>
      <c r="N37" s="634"/>
      <c r="O37" s="611"/>
      <c r="P37" s="188"/>
      <c r="Q37" s="188"/>
      <c r="R37" s="185"/>
      <c r="S37" s="182"/>
      <c r="T37" s="600"/>
      <c r="U37" s="188"/>
      <c r="V37" s="188"/>
      <c r="W37" s="185"/>
      <c r="X37" s="182"/>
      <c r="Y37" s="600"/>
      <c r="Z37" s="188"/>
      <c r="AA37" s="188"/>
      <c r="AB37" s="185"/>
      <c r="AC37" s="182"/>
      <c r="AD37" s="600"/>
      <c r="AE37" s="188"/>
      <c r="AF37" s="188"/>
      <c r="AG37" s="185"/>
      <c r="AH37" s="182"/>
      <c r="AI37" s="600"/>
      <c r="AJ37" s="188"/>
      <c r="AK37" s="188"/>
      <c r="AL37" s="185"/>
      <c r="AM37" s="182"/>
      <c r="AN37" s="600"/>
      <c r="AO37" s="188"/>
      <c r="AP37" s="188"/>
      <c r="AQ37" s="185"/>
      <c r="AR37" s="182"/>
      <c r="AS37" s="600"/>
      <c r="AT37" s="188">
        <v>5</v>
      </c>
      <c r="AU37" s="188">
        <v>2460.0856142171519</v>
      </c>
      <c r="AV37" s="185">
        <f t="shared" si="14"/>
        <v>492.0171228434304</v>
      </c>
      <c r="AW37" s="182">
        <f t="shared" si="15"/>
        <v>26</v>
      </c>
      <c r="AX37" s="600"/>
    </row>
    <row r="38" spans="1:50">
      <c r="B38" s="603"/>
      <c r="C38" s="180">
        <v>32</v>
      </c>
      <c r="D38" s="183"/>
      <c r="E38" s="180"/>
      <c r="F38" s="180"/>
      <c r="G38" s="185"/>
      <c r="H38" s="606"/>
      <c r="I38" s="186"/>
      <c r="J38" s="186"/>
      <c r="K38" s="187"/>
      <c r="L38" s="609"/>
      <c r="M38" s="186"/>
      <c r="N38" s="634"/>
      <c r="O38" s="611"/>
      <c r="P38" s="188"/>
      <c r="Q38" s="188"/>
      <c r="R38" s="185"/>
      <c r="S38" s="182"/>
      <c r="T38" s="600"/>
      <c r="U38" s="188"/>
      <c r="V38" s="188"/>
      <c r="W38" s="185"/>
      <c r="X38" s="182"/>
      <c r="Y38" s="600"/>
      <c r="Z38" s="188"/>
      <c r="AA38" s="188"/>
      <c r="AB38" s="185"/>
      <c r="AC38" s="182"/>
      <c r="AD38" s="600"/>
      <c r="AE38" s="188"/>
      <c r="AF38" s="188"/>
      <c r="AG38" s="185"/>
      <c r="AH38" s="182"/>
      <c r="AI38" s="600"/>
      <c r="AJ38" s="188"/>
      <c r="AK38" s="188"/>
      <c r="AL38" s="185"/>
      <c r="AM38" s="182"/>
      <c r="AN38" s="600"/>
      <c r="AO38" s="188"/>
      <c r="AP38" s="188"/>
      <c r="AQ38" s="185"/>
      <c r="AR38" s="182"/>
      <c r="AS38" s="600"/>
      <c r="AT38" s="188"/>
      <c r="AU38" s="188"/>
      <c r="AV38" s="185"/>
      <c r="AW38" s="182"/>
      <c r="AX38" s="600"/>
    </row>
    <row r="39" spans="1:50">
      <c r="B39" s="604"/>
      <c r="C39" s="180">
        <v>33</v>
      </c>
      <c r="D39" s="183"/>
      <c r="E39" s="180"/>
      <c r="F39" s="180"/>
      <c r="G39" s="185"/>
      <c r="H39" s="607"/>
      <c r="I39" s="186"/>
      <c r="J39" s="186"/>
      <c r="K39" s="187"/>
      <c r="L39" s="610"/>
      <c r="M39" s="186"/>
      <c r="N39" s="635"/>
      <c r="O39" s="594"/>
      <c r="P39" s="188"/>
      <c r="Q39" s="188"/>
      <c r="R39" s="185"/>
      <c r="S39" s="182"/>
      <c r="T39" s="601"/>
      <c r="U39" s="188"/>
      <c r="V39" s="188"/>
      <c r="W39" s="185"/>
      <c r="X39" s="182"/>
      <c r="Y39" s="601"/>
      <c r="Z39" s="188"/>
      <c r="AA39" s="188"/>
      <c r="AB39" s="185"/>
      <c r="AC39" s="182"/>
      <c r="AD39" s="601"/>
      <c r="AE39" s="188"/>
      <c r="AF39" s="188"/>
      <c r="AG39" s="185"/>
      <c r="AH39" s="182"/>
      <c r="AI39" s="601"/>
      <c r="AJ39" s="188"/>
      <c r="AK39" s="188"/>
      <c r="AL39" s="185"/>
      <c r="AM39" s="182"/>
      <c r="AN39" s="601"/>
      <c r="AO39" s="188"/>
      <c r="AP39" s="188"/>
      <c r="AQ39" s="185"/>
      <c r="AR39" s="182"/>
      <c r="AS39" s="601"/>
      <c r="AT39" s="188"/>
      <c r="AU39" s="188"/>
      <c r="AV39" s="185"/>
      <c r="AW39" s="182"/>
      <c r="AX39" s="601"/>
    </row>
    <row r="40" spans="1:50" ht="14.25" customHeight="1">
      <c r="B40" s="636" t="s">
        <v>680</v>
      </c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44"/>
      <c r="N40" s="593" t="s">
        <v>375</v>
      </c>
      <c r="O40" s="593" t="s">
        <v>105</v>
      </c>
      <c r="P40" s="595">
        <v>46119</v>
      </c>
      <c r="Q40" s="596"/>
      <c r="R40" s="596"/>
      <c r="S40" s="596"/>
      <c r="T40" s="596"/>
      <c r="U40" s="597">
        <v>46120</v>
      </c>
      <c r="V40" s="598"/>
      <c r="W40" s="598"/>
      <c r="X40" s="598"/>
      <c r="Y40" s="598"/>
      <c r="Z40" s="595">
        <v>46121</v>
      </c>
      <c r="AA40" s="596"/>
      <c r="AB40" s="596"/>
      <c r="AC40" s="596"/>
      <c r="AD40" s="596"/>
      <c r="AE40" s="597">
        <v>46122</v>
      </c>
      <c r="AF40" s="598"/>
      <c r="AG40" s="598"/>
      <c r="AH40" s="598"/>
      <c r="AI40" s="598"/>
      <c r="AJ40" s="580">
        <v>46123</v>
      </c>
      <c r="AK40" s="581"/>
      <c r="AL40" s="581"/>
      <c r="AM40" s="581"/>
      <c r="AN40" s="582"/>
      <c r="AO40" s="597">
        <v>46124</v>
      </c>
      <c r="AP40" s="598"/>
      <c r="AQ40" s="598"/>
      <c r="AR40" s="598"/>
      <c r="AS40" s="598"/>
      <c r="AT40" s="580">
        <v>46125</v>
      </c>
      <c r="AU40" s="581"/>
      <c r="AV40" s="581"/>
      <c r="AW40" s="581"/>
      <c r="AX40" s="582"/>
    </row>
    <row r="41" spans="1:50" ht="14.25" customHeight="1">
      <c r="B41" s="645"/>
      <c r="C41" s="645"/>
      <c r="D41" s="645"/>
      <c r="E41" s="645"/>
      <c r="F41" s="645"/>
      <c r="G41" s="645"/>
      <c r="H41" s="645"/>
      <c r="I41" s="645"/>
      <c r="J41" s="645"/>
      <c r="K41" s="645"/>
      <c r="L41" s="645"/>
      <c r="M41" s="646"/>
      <c r="N41" s="594"/>
      <c r="O41" s="594"/>
      <c r="P41" s="583">
        <v>46119</v>
      </c>
      <c r="Q41" s="583"/>
      <c r="R41" s="583"/>
      <c r="S41" s="583"/>
      <c r="T41" s="583"/>
      <c r="U41" s="584">
        <v>46120</v>
      </c>
      <c r="V41" s="584"/>
      <c r="W41" s="584"/>
      <c r="X41" s="584"/>
      <c r="Y41" s="584"/>
      <c r="Z41" s="583">
        <v>46121</v>
      </c>
      <c r="AA41" s="583"/>
      <c r="AB41" s="583"/>
      <c r="AC41" s="583"/>
      <c r="AD41" s="583"/>
      <c r="AE41" s="584">
        <v>46122</v>
      </c>
      <c r="AF41" s="584"/>
      <c r="AG41" s="584"/>
      <c r="AH41" s="584"/>
      <c r="AI41" s="584"/>
      <c r="AJ41" s="585">
        <v>46123</v>
      </c>
      <c r="AK41" s="586"/>
      <c r="AL41" s="586"/>
      <c r="AM41" s="586"/>
      <c r="AN41" s="587"/>
      <c r="AO41" s="584">
        <v>46124</v>
      </c>
      <c r="AP41" s="584"/>
      <c r="AQ41" s="584"/>
      <c r="AR41" s="584"/>
      <c r="AS41" s="584"/>
      <c r="AT41" s="585">
        <v>46125</v>
      </c>
      <c r="AU41" s="586"/>
      <c r="AV41" s="586"/>
      <c r="AW41" s="586"/>
      <c r="AX41" s="587"/>
    </row>
    <row r="42" spans="1:50">
      <c r="B42" s="575" t="s">
        <v>162</v>
      </c>
      <c r="C42" s="575" t="s">
        <v>157</v>
      </c>
      <c r="D42" s="575"/>
      <c r="E42" s="575" t="s">
        <v>158</v>
      </c>
      <c r="F42" s="575"/>
      <c r="G42" s="575"/>
      <c r="H42" s="575" t="s">
        <v>163</v>
      </c>
      <c r="I42" s="579" t="s">
        <v>376</v>
      </c>
      <c r="J42" s="579"/>
      <c r="K42" s="579"/>
      <c r="L42" s="579" t="s">
        <v>163</v>
      </c>
      <c r="M42" s="579" t="s">
        <v>165</v>
      </c>
      <c r="N42" s="588"/>
      <c r="O42" s="578" t="s">
        <v>164</v>
      </c>
      <c r="P42" s="578" t="s">
        <v>160</v>
      </c>
      <c r="Q42" s="578"/>
      <c r="R42" s="578"/>
      <c r="S42" s="578"/>
      <c r="T42" s="578" t="s">
        <v>163</v>
      </c>
      <c r="U42" s="578" t="s">
        <v>160</v>
      </c>
      <c r="V42" s="578"/>
      <c r="W42" s="578"/>
      <c r="X42" s="578"/>
      <c r="Y42" s="578" t="s">
        <v>163</v>
      </c>
      <c r="Z42" s="578" t="s">
        <v>160</v>
      </c>
      <c r="AA42" s="578"/>
      <c r="AB42" s="578"/>
      <c r="AC42" s="578"/>
      <c r="AD42" s="578" t="s">
        <v>163</v>
      </c>
      <c r="AE42" s="578" t="s">
        <v>160</v>
      </c>
      <c r="AF42" s="578"/>
      <c r="AG42" s="578"/>
      <c r="AH42" s="578"/>
      <c r="AI42" s="578" t="s">
        <v>163</v>
      </c>
      <c r="AJ42" s="578" t="s">
        <v>160</v>
      </c>
      <c r="AK42" s="578"/>
      <c r="AL42" s="578"/>
      <c r="AM42" s="578"/>
      <c r="AN42" s="578" t="s">
        <v>163</v>
      </c>
      <c r="AO42" s="578" t="s">
        <v>160</v>
      </c>
      <c r="AP42" s="578"/>
      <c r="AQ42" s="578"/>
      <c r="AR42" s="578"/>
      <c r="AS42" s="578" t="s">
        <v>163</v>
      </c>
      <c r="AT42" s="578" t="s">
        <v>160</v>
      </c>
      <c r="AU42" s="578"/>
      <c r="AV42" s="578"/>
      <c r="AW42" s="578"/>
      <c r="AX42" s="578" t="s">
        <v>163</v>
      </c>
    </row>
    <row r="43" spans="1:50">
      <c r="B43" s="575"/>
      <c r="C43" s="575"/>
      <c r="D43" s="575"/>
      <c r="E43" s="575" t="s">
        <v>377</v>
      </c>
      <c r="F43" s="575"/>
      <c r="G43" s="575"/>
      <c r="H43" s="575"/>
      <c r="I43" s="579" t="s">
        <v>377</v>
      </c>
      <c r="J43" s="579"/>
      <c r="K43" s="579"/>
      <c r="L43" s="579"/>
      <c r="M43" s="579"/>
      <c r="N43" s="588"/>
      <c r="O43" s="578"/>
      <c r="P43" s="578" t="s">
        <v>378</v>
      </c>
      <c r="Q43" s="578"/>
      <c r="R43" s="578"/>
      <c r="S43" s="578"/>
      <c r="T43" s="578"/>
      <c r="U43" s="578" t="s">
        <v>378</v>
      </c>
      <c r="V43" s="578"/>
      <c r="W43" s="578"/>
      <c r="X43" s="578"/>
      <c r="Y43" s="578"/>
      <c r="Z43" s="578" t="s">
        <v>378</v>
      </c>
      <c r="AA43" s="578"/>
      <c r="AB43" s="578"/>
      <c r="AC43" s="578"/>
      <c r="AD43" s="578"/>
      <c r="AE43" s="578" t="s">
        <v>378</v>
      </c>
      <c r="AF43" s="578"/>
      <c r="AG43" s="578"/>
      <c r="AH43" s="578"/>
      <c r="AI43" s="578"/>
      <c r="AJ43" s="578" t="s">
        <v>378</v>
      </c>
      <c r="AK43" s="578"/>
      <c r="AL43" s="578"/>
      <c r="AM43" s="578"/>
      <c r="AN43" s="578"/>
      <c r="AO43" s="578" t="s">
        <v>378</v>
      </c>
      <c r="AP43" s="578"/>
      <c r="AQ43" s="578"/>
      <c r="AR43" s="578"/>
      <c r="AS43" s="578"/>
      <c r="AT43" s="578" t="s">
        <v>378</v>
      </c>
      <c r="AU43" s="578"/>
      <c r="AV43" s="578"/>
      <c r="AW43" s="578"/>
      <c r="AX43" s="578"/>
    </row>
    <row r="44" spans="1:50">
      <c r="A44" s="177"/>
      <c r="B44" s="575"/>
      <c r="C44" s="575"/>
      <c r="D44" s="575"/>
      <c r="E44" s="180" t="s">
        <v>159</v>
      </c>
      <c r="F44" s="180" t="s">
        <v>379</v>
      </c>
      <c r="G44" s="180" t="s">
        <v>161</v>
      </c>
      <c r="H44" s="575"/>
      <c r="I44" s="181" t="s">
        <v>159</v>
      </c>
      <c r="J44" s="181" t="s">
        <v>379</v>
      </c>
      <c r="K44" s="181" t="s">
        <v>161</v>
      </c>
      <c r="L44" s="579"/>
      <c r="M44" s="579"/>
      <c r="N44" s="588"/>
      <c r="O44" s="578"/>
      <c r="P44" s="182" t="s">
        <v>159</v>
      </c>
      <c r="Q44" s="182" t="s">
        <v>379</v>
      </c>
      <c r="R44" s="182" t="s">
        <v>161</v>
      </c>
      <c r="S44" s="182" t="s">
        <v>165</v>
      </c>
      <c r="T44" s="578"/>
      <c r="U44" s="182" t="s">
        <v>159</v>
      </c>
      <c r="V44" s="182" t="s">
        <v>379</v>
      </c>
      <c r="W44" s="182" t="s">
        <v>161</v>
      </c>
      <c r="X44" s="182" t="s">
        <v>165</v>
      </c>
      <c r="Y44" s="578"/>
      <c r="Z44" s="182" t="s">
        <v>159</v>
      </c>
      <c r="AA44" s="182" t="s">
        <v>379</v>
      </c>
      <c r="AB44" s="182" t="s">
        <v>161</v>
      </c>
      <c r="AC44" s="182" t="s">
        <v>165</v>
      </c>
      <c r="AD44" s="578"/>
      <c r="AE44" s="182" t="s">
        <v>159</v>
      </c>
      <c r="AF44" s="182" t="s">
        <v>379</v>
      </c>
      <c r="AG44" s="182" t="s">
        <v>161</v>
      </c>
      <c r="AH44" s="182" t="s">
        <v>165</v>
      </c>
      <c r="AI44" s="578"/>
      <c r="AJ44" s="182" t="s">
        <v>159</v>
      </c>
      <c r="AK44" s="182" t="s">
        <v>379</v>
      </c>
      <c r="AL44" s="182" t="s">
        <v>161</v>
      </c>
      <c r="AM44" s="182" t="s">
        <v>165</v>
      </c>
      <c r="AN44" s="578"/>
      <c r="AO44" s="182" t="s">
        <v>159</v>
      </c>
      <c r="AP44" s="182" t="s">
        <v>379</v>
      </c>
      <c r="AQ44" s="182" t="s">
        <v>161</v>
      </c>
      <c r="AR44" s="182" t="s">
        <v>165</v>
      </c>
      <c r="AS44" s="578"/>
      <c r="AT44" s="182" t="s">
        <v>159</v>
      </c>
      <c r="AU44" s="182" t="s">
        <v>379</v>
      </c>
      <c r="AV44" s="182" t="s">
        <v>161</v>
      </c>
      <c r="AW44" s="182" t="s">
        <v>165</v>
      </c>
      <c r="AX44" s="578"/>
    </row>
    <row r="45" spans="1:50">
      <c r="B45" s="575" t="s">
        <v>380</v>
      </c>
      <c r="C45" s="180">
        <v>1</v>
      </c>
      <c r="D45" s="183" t="s">
        <v>405</v>
      </c>
      <c r="E45" s="184">
        <v>4</v>
      </c>
      <c r="F45" s="180">
        <v>3600</v>
      </c>
      <c r="G45" s="185">
        <f>F45/E45</f>
        <v>900</v>
      </c>
      <c r="H45" s="576">
        <f>AVERAGE(G45:G77)</f>
        <v>846.46634615384619</v>
      </c>
      <c r="I45" s="186">
        <f>AVERAGE(P45,U45,Z45,AE45,AJ45,AO45,AT45)</f>
        <v>4</v>
      </c>
      <c r="J45" s="186">
        <f>AVERAGE(Q45,V45,AA45,AF45,AK45,AP45,AU45)</f>
        <v>3175.4816234150794</v>
      </c>
      <c r="K45" s="187">
        <f>AVERAGE(R45,W45,AB45,AG45,AL45,AQ45,AV45)</f>
        <v>793.87040585376985</v>
      </c>
      <c r="L45" s="577">
        <f>IFERROR(AVERAGE(K45:K77),"-")</f>
        <v>748.89269830714511</v>
      </c>
      <c r="M45" s="186">
        <f>RANK(K45, K$45:$K$77)</f>
        <v>15</v>
      </c>
      <c r="N45" s="588"/>
      <c r="O45" s="578"/>
      <c r="P45" s="188">
        <v>4</v>
      </c>
      <c r="Q45" s="188">
        <v>3175.0911933298621</v>
      </c>
      <c r="R45" s="185">
        <f t="shared" ref="R45:R74" si="17">IFERROR(Q45/P45,"")</f>
        <v>793.77279833246553</v>
      </c>
      <c r="S45" s="182">
        <f>RANK(R45, R$45:R$77)</f>
        <v>13</v>
      </c>
      <c r="T45" s="574">
        <f>AVERAGE(R45:R77)</f>
        <v>739.62270669928694</v>
      </c>
      <c r="U45" s="188">
        <v>4</v>
      </c>
      <c r="V45" s="188">
        <v>3174.9466950959491</v>
      </c>
      <c r="W45" s="185">
        <f t="shared" ref="W45:W74" si="18">IFERROR(V45/U45,"")</f>
        <v>793.73667377398726</v>
      </c>
      <c r="X45" s="182">
        <f>RANK(W45, W$45:W$77)</f>
        <v>13</v>
      </c>
      <c r="Y45" s="574">
        <f>AVERAGE(W45:W77)</f>
        <v>740.02792074751483</v>
      </c>
      <c r="Z45" s="188">
        <v>4</v>
      </c>
      <c r="AA45" s="188">
        <v>3174.2266950959493</v>
      </c>
      <c r="AB45" s="185">
        <f>IFERROR(AA45/Z45,"")</f>
        <v>793.55667377398731</v>
      </c>
      <c r="AC45" s="182">
        <f>RANK(AB45, AB$45:AB$77)</f>
        <v>13</v>
      </c>
      <c r="AD45" s="574">
        <f>AVERAGE(AB45:AB77)</f>
        <v>740.34460588118554</v>
      </c>
      <c r="AE45" s="188">
        <v>4</v>
      </c>
      <c r="AF45" s="188">
        <v>3174.9466950959491</v>
      </c>
      <c r="AG45" s="185">
        <f>IFERROR(AF45/AE45,"")</f>
        <v>793.73667377398726</v>
      </c>
      <c r="AH45" s="182">
        <f>RANK(AG45, AG$45:AG$77)</f>
        <v>13</v>
      </c>
      <c r="AI45" s="574">
        <f>AVERAGE(AG45:AG77)</f>
        <v>740.64284739826121</v>
      </c>
      <c r="AJ45" s="188">
        <v>4</v>
      </c>
      <c r="AK45" s="188">
        <v>3176.7466950959492</v>
      </c>
      <c r="AL45" s="185">
        <f>IFERROR(AK45/AJ45,"")</f>
        <v>794.18667377398731</v>
      </c>
      <c r="AM45" s="182">
        <f>RANK(AL45, AL$45:AL$77)</f>
        <v>12</v>
      </c>
      <c r="AN45" s="574">
        <f>AVERAGE(AL45:AL77)</f>
        <v>740.73800951457349</v>
      </c>
      <c r="AO45" s="188">
        <v>4</v>
      </c>
      <c r="AP45" s="188">
        <v>3176.0266950959494</v>
      </c>
      <c r="AQ45" s="185">
        <f>IFERROR(AP45/AO45,"")</f>
        <v>794.00667377398736</v>
      </c>
      <c r="AR45" s="182">
        <f>RANK(AQ45, AQ$45:AQ$77)</f>
        <v>13</v>
      </c>
      <c r="AS45" s="574">
        <f>AVERAGE(AQ45:AQ77)</f>
        <v>740.75622618124032</v>
      </c>
      <c r="AT45" s="188">
        <v>4</v>
      </c>
      <c r="AU45" s="188">
        <v>3176.38669509595</v>
      </c>
      <c r="AV45" s="185">
        <f>IFERROR(AU45/AT45,"")</f>
        <v>794.0966737739875</v>
      </c>
      <c r="AW45" s="182">
        <f>RANK(AV45, AV$45:AV$77)</f>
        <v>15</v>
      </c>
      <c r="AX45" s="574">
        <f>AVERAGE(AV45:AV77)</f>
        <v>749.25114194021444</v>
      </c>
    </row>
    <row r="46" spans="1:50">
      <c r="B46" s="575"/>
      <c r="C46" s="180">
        <v>2</v>
      </c>
      <c r="D46" s="183" t="s">
        <v>403</v>
      </c>
      <c r="E46" s="184">
        <v>3</v>
      </c>
      <c r="F46" s="180">
        <v>3600</v>
      </c>
      <c r="G46" s="185">
        <f t="shared" ref="G46:G65" si="19">F46/E46</f>
        <v>1200</v>
      </c>
      <c r="H46" s="576"/>
      <c r="I46" s="186">
        <f t="shared" ref="I46:K76" si="20">AVERAGE(P46,U46,Z46,AE46,AJ46,AO46,AT46)</f>
        <v>3</v>
      </c>
      <c r="J46" s="186">
        <f t="shared" si="20"/>
        <v>3175.3592079839832</v>
      </c>
      <c r="K46" s="187">
        <f t="shared" si="20"/>
        <v>1058.4530693279946</v>
      </c>
      <c r="L46" s="577"/>
      <c r="M46" s="186">
        <f>RANK(K46, K$45:$K$77)</f>
        <v>7</v>
      </c>
      <c r="N46" s="588"/>
      <c r="O46" s="578"/>
      <c r="P46" s="188">
        <v>3</v>
      </c>
      <c r="Q46" s="188">
        <v>3174.3212382644001</v>
      </c>
      <c r="R46" s="185">
        <f t="shared" si="17"/>
        <v>1058.1070794214668</v>
      </c>
      <c r="S46" s="182">
        <f t="shared" ref="S46:S74" si="21">RANK(R46, R$45:R$77)</f>
        <v>7</v>
      </c>
      <c r="T46" s="574"/>
      <c r="U46" s="188">
        <v>3</v>
      </c>
      <c r="V46" s="188">
        <v>3174.1522029372477</v>
      </c>
      <c r="W46" s="185">
        <f t="shared" si="18"/>
        <v>1058.0507343124159</v>
      </c>
      <c r="X46" s="182">
        <f t="shared" ref="X46:X74" si="22">RANK(W46, W$45:W$77)</f>
        <v>7</v>
      </c>
      <c r="Y46" s="574"/>
      <c r="Z46" s="188">
        <v>3</v>
      </c>
      <c r="AA46" s="188">
        <v>3175.5922029372473</v>
      </c>
      <c r="AB46" s="185">
        <f t="shared" ref="AB46:AB74" si="23">IFERROR(AA46/Z46,"")</f>
        <v>1058.5307343124157</v>
      </c>
      <c r="AC46" s="182">
        <f t="shared" ref="AC46:AC74" si="24">RANK(AB46, AB$45:AB$77)</f>
        <v>7</v>
      </c>
      <c r="AD46" s="574"/>
      <c r="AE46" s="188">
        <v>3</v>
      </c>
      <c r="AF46" s="188">
        <v>3176.6722029372472</v>
      </c>
      <c r="AG46" s="185">
        <f t="shared" ref="AG46:AG74" si="25">IFERROR(AF46/AE46,"")</f>
        <v>1058.8907343124158</v>
      </c>
      <c r="AH46" s="182">
        <f t="shared" ref="AH46:AH74" si="26">RANK(AG46, AG$45:AG$77)</f>
        <v>7</v>
      </c>
      <c r="AI46" s="574"/>
      <c r="AJ46" s="188">
        <v>3</v>
      </c>
      <c r="AK46" s="188">
        <v>3175.2322029372472</v>
      </c>
      <c r="AL46" s="185">
        <f t="shared" ref="AL46:AL74" si="27">IFERROR(AK46/AJ46,"")</f>
        <v>1058.4107343124158</v>
      </c>
      <c r="AM46" s="182">
        <f t="shared" ref="AM46:AM74" si="28">RANK(AL46, AL$45:AL$77)</f>
        <v>7</v>
      </c>
      <c r="AN46" s="574"/>
      <c r="AO46" s="188">
        <v>3</v>
      </c>
      <c r="AP46" s="188">
        <v>3176.6722029372472</v>
      </c>
      <c r="AQ46" s="185">
        <f t="shared" ref="AQ46:AQ74" si="29">IFERROR(AP46/AO46,"")</f>
        <v>1058.8907343124158</v>
      </c>
      <c r="AR46" s="182">
        <f t="shared" ref="AR46:AR74" si="30">RANK(AQ46, AQ$45:AQ$77)</f>
        <v>6</v>
      </c>
      <c r="AS46" s="574"/>
      <c r="AT46" s="188">
        <v>3</v>
      </c>
      <c r="AU46" s="188">
        <v>3174.8722029372479</v>
      </c>
      <c r="AV46" s="185">
        <f t="shared" ref="AV46:AV76" si="31">IFERROR(AU46/AT46,"")</f>
        <v>1058.2907343124159</v>
      </c>
      <c r="AW46" s="182">
        <f t="shared" ref="AW46:AW76" si="32">RANK(AV46, AV$45:AV$77)</f>
        <v>7</v>
      </c>
      <c r="AX46" s="574"/>
    </row>
    <row r="47" spans="1:50">
      <c r="B47" s="575"/>
      <c r="C47" s="180">
        <v>3</v>
      </c>
      <c r="D47" s="183" t="s">
        <v>404</v>
      </c>
      <c r="E47" s="184">
        <v>5</v>
      </c>
      <c r="F47" s="180">
        <v>3600</v>
      </c>
      <c r="G47" s="185">
        <f t="shared" si="19"/>
        <v>720</v>
      </c>
      <c r="H47" s="576"/>
      <c r="I47" s="186">
        <f t="shared" si="20"/>
        <v>5</v>
      </c>
      <c r="J47" s="186">
        <f t="shared" si="20"/>
        <v>3172.0426497299568</v>
      </c>
      <c r="K47" s="187">
        <f t="shared" si="20"/>
        <v>634.40852994599129</v>
      </c>
      <c r="L47" s="577"/>
      <c r="M47" s="186">
        <f>RANK(K47, K$45:$K$77)</f>
        <v>24</v>
      </c>
      <c r="N47" s="588"/>
      <c r="O47" s="578"/>
      <c r="P47" s="188">
        <v>5</v>
      </c>
      <c r="Q47" s="188">
        <v>3173.9090491502097</v>
      </c>
      <c r="R47" s="185">
        <f t="shared" si="17"/>
        <v>634.78180983004199</v>
      </c>
      <c r="S47" s="182">
        <f t="shared" si="21"/>
        <v>22</v>
      </c>
      <c r="T47" s="574"/>
      <c r="U47" s="188">
        <v>5</v>
      </c>
      <c r="V47" s="188">
        <v>3174.1315831599145</v>
      </c>
      <c r="W47" s="185">
        <f t="shared" si="18"/>
        <v>634.82631663198288</v>
      </c>
      <c r="X47" s="182">
        <f t="shared" si="22"/>
        <v>22</v>
      </c>
      <c r="Y47" s="574"/>
      <c r="Z47" s="188">
        <v>5</v>
      </c>
      <c r="AA47" s="188">
        <v>3172.6915831599154</v>
      </c>
      <c r="AB47" s="185">
        <f t="shared" si="23"/>
        <v>634.53831663198309</v>
      </c>
      <c r="AC47" s="182">
        <f t="shared" si="24"/>
        <v>22</v>
      </c>
      <c r="AD47" s="574"/>
      <c r="AE47" s="188">
        <v>5</v>
      </c>
      <c r="AF47" s="188">
        <v>3171.611583159915</v>
      </c>
      <c r="AG47" s="185">
        <f t="shared" si="25"/>
        <v>634.32231663198297</v>
      </c>
      <c r="AH47" s="182">
        <f t="shared" si="26"/>
        <v>22</v>
      </c>
      <c r="AI47" s="574"/>
      <c r="AJ47" s="188">
        <v>5</v>
      </c>
      <c r="AK47" s="188">
        <v>3170.1715831599145</v>
      </c>
      <c r="AL47" s="185">
        <f t="shared" si="27"/>
        <v>634.03431663198285</v>
      </c>
      <c r="AM47" s="182">
        <f t="shared" si="28"/>
        <v>22</v>
      </c>
      <c r="AN47" s="574"/>
      <c r="AO47" s="188">
        <v>5</v>
      </c>
      <c r="AP47" s="188">
        <v>3170.171583159914</v>
      </c>
      <c r="AQ47" s="185">
        <f t="shared" si="29"/>
        <v>634.03431663198285</v>
      </c>
      <c r="AR47" s="182">
        <f t="shared" si="30"/>
        <v>22</v>
      </c>
      <c r="AS47" s="574"/>
      <c r="AT47" s="188">
        <v>5</v>
      </c>
      <c r="AU47" s="188">
        <v>3171.6115831599145</v>
      </c>
      <c r="AV47" s="185">
        <f t="shared" si="31"/>
        <v>634.32231663198286</v>
      </c>
      <c r="AW47" s="182">
        <f t="shared" si="32"/>
        <v>24</v>
      </c>
      <c r="AX47" s="574"/>
    </row>
    <row r="48" spans="1:50">
      <c r="B48" s="575"/>
      <c r="C48" s="180">
        <v>4</v>
      </c>
      <c r="D48" s="183" t="s">
        <v>229</v>
      </c>
      <c r="E48" s="184">
        <v>5</v>
      </c>
      <c r="F48" s="180">
        <v>3300</v>
      </c>
      <c r="G48" s="185">
        <f t="shared" si="19"/>
        <v>660</v>
      </c>
      <c r="H48" s="576"/>
      <c r="I48" s="186">
        <f t="shared" si="20"/>
        <v>5</v>
      </c>
      <c r="J48" s="186">
        <f t="shared" si="20"/>
        <v>2947.3997399236055</v>
      </c>
      <c r="K48" s="187">
        <f t="shared" si="20"/>
        <v>589.47994798472098</v>
      </c>
      <c r="L48" s="577"/>
      <c r="M48" s="186">
        <f>RANK(K48, K$45:$K$77)</f>
        <v>25</v>
      </c>
      <c r="N48" s="588"/>
      <c r="O48" s="578"/>
      <c r="P48" s="188">
        <v>5</v>
      </c>
      <c r="Q48" s="188">
        <v>2945.8792991563932</v>
      </c>
      <c r="R48" s="185">
        <f t="shared" si="17"/>
        <v>589.17585983127867</v>
      </c>
      <c r="S48" s="182">
        <f t="shared" si="21"/>
        <v>23</v>
      </c>
      <c r="T48" s="574"/>
      <c r="U48" s="188">
        <v>5</v>
      </c>
      <c r="V48" s="188">
        <v>2946.7181467181408</v>
      </c>
      <c r="W48" s="185">
        <f t="shared" si="18"/>
        <v>589.34362934362821</v>
      </c>
      <c r="X48" s="182">
        <f t="shared" si="22"/>
        <v>23</v>
      </c>
      <c r="Y48" s="574"/>
      <c r="Z48" s="188">
        <v>5</v>
      </c>
      <c r="AA48" s="188">
        <v>2946.7181467181408</v>
      </c>
      <c r="AB48" s="185">
        <f t="shared" si="23"/>
        <v>589.34362934362821</v>
      </c>
      <c r="AC48" s="182">
        <f t="shared" si="24"/>
        <v>24</v>
      </c>
      <c r="AD48" s="574"/>
      <c r="AE48" s="188">
        <v>5</v>
      </c>
      <c r="AF48" s="188">
        <v>2946.3881467181409</v>
      </c>
      <c r="AG48" s="185">
        <f t="shared" si="25"/>
        <v>589.27762934362818</v>
      </c>
      <c r="AH48" s="182">
        <f t="shared" si="26"/>
        <v>23</v>
      </c>
      <c r="AI48" s="574"/>
      <c r="AJ48" s="188">
        <v>5</v>
      </c>
      <c r="AK48" s="188">
        <v>2947.7081467181411</v>
      </c>
      <c r="AL48" s="185">
        <f t="shared" si="27"/>
        <v>589.54162934362819</v>
      </c>
      <c r="AM48" s="182">
        <f t="shared" si="28"/>
        <v>23</v>
      </c>
      <c r="AN48" s="574"/>
      <c r="AO48" s="188">
        <v>5</v>
      </c>
      <c r="AP48" s="188">
        <v>2948.3681467181409</v>
      </c>
      <c r="AQ48" s="185">
        <f t="shared" si="29"/>
        <v>589.67362934362814</v>
      </c>
      <c r="AR48" s="182">
        <f t="shared" si="30"/>
        <v>23</v>
      </c>
      <c r="AS48" s="574"/>
      <c r="AT48" s="188">
        <v>5</v>
      </c>
      <c r="AU48" s="188">
        <v>2950.0181467181405</v>
      </c>
      <c r="AV48" s="185">
        <f t="shared" si="31"/>
        <v>590.00362934362806</v>
      </c>
      <c r="AW48" s="182">
        <f t="shared" si="32"/>
        <v>25</v>
      </c>
      <c r="AX48" s="574"/>
    </row>
    <row r="49" spans="2:50">
      <c r="B49" s="575"/>
      <c r="C49" s="180">
        <v>5</v>
      </c>
      <c r="D49" s="183" t="s">
        <v>400</v>
      </c>
      <c r="E49" s="184">
        <v>3</v>
      </c>
      <c r="F49" s="180">
        <v>3600</v>
      </c>
      <c r="G49" s="185">
        <f t="shared" si="19"/>
        <v>1200</v>
      </c>
      <c r="H49" s="576"/>
      <c r="I49" s="186">
        <f t="shared" si="20"/>
        <v>3</v>
      </c>
      <c r="J49" s="186">
        <f t="shared" si="20"/>
        <v>3176.5326929228472</v>
      </c>
      <c r="K49" s="187">
        <f t="shared" si="20"/>
        <v>1058.8442309742825</v>
      </c>
      <c r="L49" s="577"/>
      <c r="M49" s="186">
        <f>RANK(K49, K$45:$K$77)</f>
        <v>6</v>
      </c>
      <c r="N49" s="588"/>
      <c r="O49" s="578"/>
      <c r="P49" s="188">
        <v>3</v>
      </c>
      <c r="Q49" s="188">
        <v>3176.0893050054005</v>
      </c>
      <c r="R49" s="185">
        <f t="shared" si="17"/>
        <v>1058.6964350018002</v>
      </c>
      <c r="S49" s="182">
        <f t="shared" si="21"/>
        <v>6</v>
      </c>
      <c r="T49" s="574"/>
      <c r="U49" s="188">
        <v>3</v>
      </c>
      <c r="V49" s="188">
        <v>3176.8465909090887</v>
      </c>
      <c r="W49" s="185">
        <f t="shared" si="18"/>
        <v>1058.9488636363628</v>
      </c>
      <c r="X49" s="182">
        <f t="shared" si="22"/>
        <v>6</v>
      </c>
      <c r="Y49" s="574"/>
      <c r="Z49" s="188">
        <v>3</v>
      </c>
      <c r="AA49" s="188">
        <v>3176.1265909090885</v>
      </c>
      <c r="AB49" s="185">
        <f t="shared" si="23"/>
        <v>1058.7088636363628</v>
      </c>
      <c r="AC49" s="182">
        <f t="shared" si="24"/>
        <v>6</v>
      </c>
      <c r="AD49" s="574"/>
      <c r="AE49" s="188">
        <v>3</v>
      </c>
      <c r="AF49" s="188">
        <v>3177.2065909090884</v>
      </c>
      <c r="AG49" s="185">
        <f t="shared" si="25"/>
        <v>1059.0688636363627</v>
      </c>
      <c r="AH49" s="182">
        <f t="shared" si="26"/>
        <v>6</v>
      </c>
      <c r="AI49" s="574"/>
      <c r="AJ49" s="188">
        <v>3</v>
      </c>
      <c r="AK49" s="188">
        <v>3175.7665909090888</v>
      </c>
      <c r="AL49" s="185">
        <f t="shared" si="27"/>
        <v>1058.5888636363629</v>
      </c>
      <c r="AM49" s="182">
        <f t="shared" si="28"/>
        <v>6</v>
      </c>
      <c r="AN49" s="574"/>
      <c r="AO49" s="188">
        <v>3</v>
      </c>
      <c r="AP49" s="188">
        <v>3176.8465909090883</v>
      </c>
      <c r="AQ49" s="185">
        <f t="shared" si="29"/>
        <v>1058.9488636363628</v>
      </c>
      <c r="AR49" s="182">
        <f t="shared" si="30"/>
        <v>4</v>
      </c>
      <c r="AS49" s="574"/>
      <c r="AT49" s="188">
        <v>3</v>
      </c>
      <c r="AU49" s="188">
        <v>3176.8465909090878</v>
      </c>
      <c r="AV49" s="185">
        <f t="shared" si="31"/>
        <v>1058.9488636363626</v>
      </c>
      <c r="AW49" s="182">
        <f t="shared" si="32"/>
        <v>6</v>
      </c>
      <c r="AX49" s="574"/>
    </row>
    <row r="50" spans="2:50">
      <c r="B50" s="575"/>
      <c r="C50" s="180">
        <v>6</v>
      </c>
      <c r="D50" s="183" t="s">
        <v>341</v>
      </c>
      <c r="E50" s="184">
        <v>3</v>
      </c>
      <c r="F50" s="180">
        <v>3000</v>
      </c>
      <c r="G50" s="185">
        <f t="shared" si="19"/>
        <v>1000</v>
      </c>
      <c r="H50" s="576"/>
      <c r="I50" s="186">
        <f t="shared" si="20"/>
        <v>3</v>
      </c>
      <c r="J50" s="186">
        <f t="shared" si="20"/>
        <v>2700.6705256751884</v>
      </c>
      <c r="K50" s="187">
        <f t="shared" si="20"/>
        <v>900.22350855839613</v>
      </c>
      <c r="L50" s="577"/>
      <c r="M50" s="186">
        <f>RANK(K50, K$45:$K$77)</f>
        <v>11</v>
      </c>
      <c r="N50" s="588"/>
      <c r="O50" s="578"/>
      <c r="P50" s="188">
        <v>3</v>
      </c>
      <c r="Q50" s="188">
        <v>2700.6137758581499</v>
      </c>
      <c r="R50" s="185">
        <f t="shared" si="17"/>
        <v>900.20459195271667</v>
      </c>
      <c r="S50" s="182">
        <f t="shared" si="21"/>
        <v>10</v>
      </c>
      <c r="T50" s="574"/>
      <c r="U50" s="188">
        <v>3</v>
      </c>
      <c r="V50" s="188">
        <v>2701.0299839780278</v>
      </c>
      <c r="W50" s="185">
        <f t="shared" si="18"/>
        <v>900.34332799267588</v>
      </c>
      <c r="X50" s="182">
        <f t="shared" si="22"/>
        <v>10</v>
      </c>
      <c r="Y50" s="574"/>
      <c r="Z50" s="188">
        <v>3</v>
      </c>
      <c r="AA50" s="188">
        <v>2701.0299839780278</v>
      </c>
      <c r="AB50" s="185">
        <f t="shared" si="23"/>
        <v>900.34332799267588</v>
      </c>
      <c r="AC50" s="182">
        <f t="shared" si="24"/>
        <v>10</v>
      </c>
      <c r="AD50" s="574"/>
      <c r="AE50" s="188">
        <v>3</v>
      </c>
      <c r="AF50" s="188">
        <v>2699.8299839780279</v>
      </c>
      <c r="AG50" s="185">
        <f t="shared" si="25"/>
        <v>899.94332799267602</v>
      </c>
      <c r="AH50" s="182">
        <f t="shared" si="26"/>
        <v>11</v>
      </c>
      <c r="AI50" s="574"/>
      <c r="AJ50" s="188">
        <v>3</v>
      </c>
      <c r="AK50" s="188">
        <v>2700.4299839780283</v>
      </c>
      <c r="AL50" s="185">
        <f t="shared" si="27"/>
        <v>900.14332799267606</v>
      </c>
      <c r="AM50" s="182">
        <f t="shared" si="28"/>
        <v>11</v>
      </c>
      <c r="AN50" s="574"/>
      <c r="AO50" s="188">
        <v>3</v>
      </c>
      <c r="AP50" s="188">
        <v>2700.729983978028</v>
      </c>
      <c r="AQ50" s="185">
        <f t="shared" si="29"/>
        <v>900.24332799267597</v>
      </c>
      <c r="AR50" s="182">
        <f t="shared" si="30"/>
        <v>11</v>
      </c>
      <c r="AS50" s="574"/>
      <c r="AT50" s="188">
        <v>3</v>
      </c>
      <c r="AU50" s="188">
        <v>2701.0299839780278</v>
      </c>
      <c r="AV50" s="185">
        <f t="shared" si="31"/>
        <v>900.34332799267588</v>
      </c>
      <c r="AW50" s="182">
        <f t="shared" si="32"/>
        <v>11</v>
      </c>
      <c r="AX50" s="574"/>
    </row>
    <row r="51" spans="2:50">
      <c r="B51" s="575"/>
      <c r="C51" s="180">
        <v>7</v>
      </c>
      <c r="D51" s="183" t="s">
        <v>402</v>
      </c>
      <c r="E51" s="184">
        <v>3</v>
      </c>
      <c r="F51" s="180">
        <v>3600</v>
      </c>
      <c r="G51" s="185">
        <f t="shared" si="19"/>
        <v>1200</v>
      </c>
      <c r="H51" s="576"/>
      <c r="I51" s="186">
        <f t="shared" si="20"/>
        <v>3</v>
      </c>
      <c r="J51" s="186">
        <f t="shared" si="20"/>
        <v>3178.6352347623406</v>
      </c>
      <c r="K51" s="187">
        <f t="shared" si="20"/>
        <v>1059.5450782541136</v>
      </c>
      <c r="L51" s="577"/>
      <c r="M51" s="186">
        <f>RANK(K51, K$45:$K$77)</f>
        <v>5</v>
      </c>
      <c r="N51" s="588"/>
      <c r="O51" s="578"/>
      <c r="P51" s="188">
        <v>3</v>
      </c>
      <c r="Q51" s="188">
        <v>3178.9046653143996</v>
      </c>
      <c r="R51" s="185">
        <f t="shared" si="17"/>
        <v>1059.6348884381332</v>
      </c>
      <c r="S51" s="182">
        <f t="shared" si="21"/>
        <v>4</v>
      </c>
      <c r="T51" s="574"/>
      <c r="U51" s="188">
        <v>3</v>
      </c>
      <c r="V51" s="188">
        <v>3179.6703296703313</v>
      </c>
      <c r="W51" s="185">
        <f t="shared" si="18"/>
        <v>1059.8901098901104</v>
      </c>
      <c r="X51" s="182">
        <f t="shared" si="22"/>
        <v>3</v>
      </c>
      <c r="Y51" s="574"/>
      <c r="Z51" s="188">
        <v>3</v>
      </c>
      <c r="AA51" s="188">
        <v>3179.6703296703313</v>
      </c>
      <c r="AB51" s="185">
        <f t="shared" si="23"/>
        <v>1059.8901098901104</v>
      </c>
      <c r="AC51" s="182">
        <f t="shared" si="24"/>
        <v>3</v>
      </c>
      <c r="AD51" s="574"/>
      <c r="AE51" s="188">
        <v>3</v>
      </c>
      <c r="AF51" s="188">
        <v>3178.5903296703314</v>
      </c>
      <c r="AG51" s="185">
        <f t="shared" si="25"/>
        <v>1059.5301098901105</v>
      </c>
      <c r="AH51" s="182">
        <f t="shared" si="26"/>
        <v>5</v>
      </c>
      <c r="AI51" s="574"/>
      <c r="AJ51" s="188">
        <v>3</v>
      </c>
      <c r="AK51" s="188">
        <v>3178.5903296703309</v>
      </c>
      <c r="AL51" s="185">
        <f t="shared" si="27"/>
        <v>1059.5301098901102</v>
      </c>
      <c r="AM51" s="182">
        <f t="shared" si="28"/>
        <v>3</v>
      </c>
      <c r="AN51" s="574"/>
      <c r="AO51" s="188">
        <v>3</v>
      </c>
      <c r="AP51" s="188">
        <v>3176.7903296703307</v>
      </c>
      <c r="AQ51" s="185">
        <f t="shared" si="29"/>
        <v>1058.9301098901103</v>
      </c>
      <c r="AR51" s="182">
        <f t="shared" si="30"/>
        <v>5</v>
      </c>
      <c r="AS51" s="574"/>
      <c r="AT51" s="188">
        <v>3</v>
      </c>
      <c r="AU51" s="188">
        <v>3178.2303296703312</v>
      </c>
      <c r="AV51" s="185">
        <f t="shared" si="31"/>
        <v>1059.4101098901103</v>
      </c>
      <c r="AW51" s="182">
        <f t="shared" si="32"/>
        <v>4</v>
      </c>
      <c r="AX51" s="574"/>
    </row>
    <row r="52" spans="2:50">
      <c r="B52" s="575"/>
      <c r="C52" s="180">
        <v>8</v>
      </c>
      <c r="D52" s="183" t="s">
        <v>401</v>
      </c>
      <c r="E52" s="184">
        <v>4</v>
      </c>
      <c r="F52" s="180">
        <v>3300</v>
      </c>
      <c r="G52" s="185">
        <f t="shared" si="19"/>
        <v>825</v>
      </c>
      <c r="H52" s="576"/>
      <c r="I52" s="186">
        <f t="shared" si="20"/>
        <v>4</v>
      </c>
      <c r="J52" s="186">
        <f t="shared" si="20"/>
        <v>2947.5691240880092</v>
      </c>
      <c r="K52" s="187">
        <f t="shared" si="20"/>
        <v>736.89228102200229</v>
      </c>
      <c r="L52" s="577"/>
      <c r="M52" s="186">
        <f>RANK(K52, K$45:$K$77)</f>
        <v>16</v>
      </c>
      <c r="N52" s="588"/>
      <c r="O52" s="578"/>
      <c r="P52" s="188">
        <v>4</v>
      </c>
      <c r="Q52" s="188">
        <v>2946.450304259638</v>
      </c>
      <c r="R52" s="185">
        <f t="shared" si="17"/>
        <v>736.61257606490949</v>
      </c>
      <c r="S52" s="182">
        <f t="shared" si="21"/>
        <v>15</v>
      </c>
      <c r="T52" s="574"/>
      <c r="U52" s="188">
        <v>4</v>
      </c>
      <c r="V52" s="188">
        <v>2945.9405940594052</v>
      </c>
      <c r="W52" s="185">
        <f t="shared" si="18"/>
        <v>736.48514851485129</v>
      </c>
      <c r="X52" s="182">
        <f t="shared" si="22"/>
        <v>16</v>
      </c>
      <c r="Y52" s="574"/>
      <c r="Z52" s="188">
        <v>4</v>
      </c>
      <c r="AA52" s="188">
        <v>2946.2705940594051</v>
      </c>
      <c r="AB52" s="185">
        <f t="shared" si="23"/>
        <v>736.56764851485127</v>
      </c>
      <c r="AC52" s="182">
        <f t="shared" si="24"/>
        <v>16</v>
      </c>
      <c r="AD52" s="574"/>
      <c r="AE52" s="188">
        <v>4</v>
      </c>
      <c r="AF52" s="188">
        <v>2946.600594059405</v>
      </c>
      <c r="AG52" s="185">
        <f t="shared" si="25"/>
        <v>736.65014851485125</v>
      </c>
      <c r="AH52" s="182">
        <f t="shared" si="26"/>
        <v>14</v>
      </c>
      <c r="AI52" s="574"/>
      <c r="AJ52" s="188">
        <v>4</v>
      </c>
      <c r="AK52" s="188">
        <v>2948.2505940594046</v>
      </c>
      <c r="AL52" s="185">
        <f t="shared" si="27"/>
        <v>737.06264851485116</v>
      </c>
      <c r="AM52" s="182">
        <f t="shared" si="28"/>
        <v>14</v>
      </c>
      <c r="AN52" s="574"/>
      <c r="AO52" s="188">
        <v>4</v>
      </c>
      <c r="AP52" s="188">
        <v>2949.240594059404</v>
      </c>
      <c r="AQ52" s="185">
        <f t="shared" si="29"/>
        <v>737.31014851485099</v>
      </c>
      <c r="AR52" s="182">
        <f t="shared" si="30"/>
        <v>14</v>
      </c>
      <c r="AS52" s="574"/>
      <c r="AT52" s="188">
        <v>4</v>
      </c>
      <c r="AU52" s="188">
        <v>2950.2305940594038</v>
      </c>
      <c r="AV52" s="185">
        <f t="shared" si="31"/>
        <v>737.55764851485094</v>
      </c>
      <c r="AW52" s="182">
        <f t="shared" si="32"/>
        <v>16</v>
      </c>
      <c r="AX52" s="574"/>
    </row>
    <row r="53" spans="2:50">
      <c r="B53" s="575"/>
      <c r="C53" s="180">
        <v>9</v>
      </c>
      <c r="D53" s="183" t="s">
        <v>399</v>
      </c>
      <c r="E53" s="184">
        <v>4</v>
      </c>
      <c r="F53" s="180">
        <v>3300</v>
      </c>
      <c r="G53" s="185">
        <f t="shared" si="19"/>
        <v>825</v>
      </c>
      <c r="H53" s="576"/>
      <c r="I53" s="186">
        <f t="shared" si="20"/>
        <v>4</v>
      </c>
      <c r="J53" s="186">
        <f t="shared" si="20"/>
        <v>2943.9439333504592</v>
      </c>
      <c r="K53" s="187">
        <f t="shared" si="20"/>
        <v>735.98598333761481</v>
      </c>
      <c r="L53" s="577"/>
      <c r="M53" s="186">
        <f>RANK(K53, K$45:$K$77)</f>
        <v>19</v>
      </c>
      <c r="N53" s="588"/>
      <c r="O53" s="578"/>
      <c r="P53" s="188">
        <v>4</v>
      </c>
      <c r="Q53" s="188">
        <v>2945.0439146800509</v>
      </c>
      <c r="R53" s="185">
        <f t="shared" si="17"/>
        <v>736.26097867001272</v>
      </c>
      <c r="S53" s="182">
        <f t="shared" si="21"/>
        <v>17</v>
      </c>
      <c r="T53" s="574"/>
      <c r="U53" s="188">
        <v>4</v>
      </c>
      <c r="V53" s="188">
        <v>2944.9156031288608</v>
      </c>
      <c r="W53" s="185">
        <f t="shared" si="18"/>
        <v>736.22890078221519</v>
      </c>
      <c r="X53" s="182">
        <f t="shared" si="22"/>
        <v>17</v>
      </c>
      <c r="Y53" s="574"/>
      <c r="Z53" s="188">
        <v>4</v>
      </c>
      <c r="AA53" s="188">
        <v>2945.5756031288606</v>
      </c>
      <c r="AB53" s="185">
        <f t="shared" si="23"/>
        <v>736.39390078221516</v>
      </c>
      <c r="AC53" s="182">
        <f t="shared" si="24"/>
        <v>17</v>
      </c>
      <c r="AD53" s="574"/>
      <c r="AE53" s="188">
        <v>4</v>
      </c>
      <c r="AF53" s="188">
        <v>2943.9256031288601</v>
      </c>
      <c r="AG53" s="185">
        <f t="shared" si="25"/>
        <v>735.98140078221502</v>
      </c>
      <c r="AH53" s="182">
        <f t="shared" si="26"/>
        <v>17</v>
      </c>
      <c r="AI53" s="574"/>
      <c r="AJ53" s="188">
        <v>4</v>
      </c>
      <c r="AK53" s="188">
        <v>2942.9356031288603</v>
      </c>
      <c r="AL53" s="185">
        <f t="shared" si="27"/>
        <v>735.73390078221507</v>
      </c>
      <c r="AM53" s="182">
        <f t="shared" si="28"/>
        <v>17</v>
      </c>
      <c r="AN53" s="574"/>
      <c r="AO53" s="188">
        <v>4</v>
      </c>
      <c r="AP53" s="188">
        <v>2943.2656031288602</v>
      </c>
      <c r="AQ53" s="185">
        <f t="shared" si="29"/>
        <v>735.81640078221506</v>
      </c>
      <c r="AR53" s="182">
        <f t="shared" si="30"/>
        <v>17</v>
      </c>
      <c r="AS53" s="574"/>
      <c r="AT53" s="188">
        <v>4</v>
      </c>
      <c r="AU53" s="188">
        <v>2941.9456031288601</v>
      </c>
      <c r="AV53" s="185">
        <f t="shared" si="31"/>
        <v>735.48640078221501</v>
      </c>
      <c r="AW53" s="182">
        <f t="shared" si="32"/>
        <v>19</v>
      </c>
      <c r="AX53" s="574"/>
    </row>
    <row r="54" spans="2:50">
      <c r="B54" s="575"/>
      <c r="C54" s="180">
        <v>10</v>
      </c>
      <c r="D54" s="183" t="s">
        <v>228</v>
      </c>
      <c r="E54" s="184">
        <v>3</v>
      </c>
      <c r="F54" s="180">
        <v>3000</v>
      </c>
      <c r="G54" s="185">
        <f t="shared" si="19"/>
        <v>1000</v>
      </c>
      <c r="H54" s="576"/>
      <c r="I54" s="186">
        <f t="shared" si="20"/>
        <v>3</v>
      </c>
      <c r="J54" s="186">
        <f t="shared" si="20"/>
        <v>2702.5391830082845</v>
      </c>
      <c r="K54" s="187">
        <f t="shared" si="20"/>
        <v>900.8463943360947</v>
      </c>
      <c r="L54" s="577"/>
      <c r="M54" s="186">
        <f>RANK(K54, K$45:$K$77)</f>
        <v>9</v>
      </c>
      <c r="N54" s="588"/>
      <c r="O54" s="578"/>
      <c r="P54" s="188">
        <v>3</v>
      </c>
      <c r="Q54" s="188">
        <v>2700.9820732657845</v>
      </c>
      <c r="R54" s="185">
        <f t="shared" si="17"/>
        <v>900.32735775526146</v>
      </c>
      <c r="S54" s="182">
        <f t="shared" si="21"/>
        <v>9</v>
      </c>
      <c r="T54" s="574"/>
      <c r="U54" s="188">
        <v>3</v>
      </c>
      <c r="V54" s="188">
        <v>2701.298701298701</v>
      </c>
      <c r="W54" s="185">
        <f t="shared" si="18"/>
        <v>900.43290043290028</v>
      </c>
      <c r="X54" s="182">
        <f t="shared" si="22"/>
        <v>9</v>
      </c>
      <c r="Y54" s="574"/>
      <c r="Z54" s="188">
        <v>3</v>
      </c>
      <c r="AA54" s="188">
        <v>2702.4987012987012</v>
      </c>
      <c r="AB54" s="185">
        <f t="shared" si="23"/>
        <v>900.83290043290037</v>
      </c>
      <c r="AC54" s="182">
        <f t="shared" si="24"/>
        <v>9</v>
      </c>
      <c r="AD54" s="574"/>
      <c r="AE54" s="188">
        <v>3</v>
      </c>
      <c r="AF54" s="188">
        <v>2702.4987012987008</v>
      </c>
      <c r="AG54" s="185">
        <f t="shared" si="25"/>
        <v>900.83290043290026</v>
      </c>
      <c r="AH54" s="182">
        <f t="shared" si="26"/>
        <v>9</v>
      </c>
      <c r="AI54" s="574"/>
      <c r="AJ54" s="188">
        <v>3</v>
      </c>
      <c r="AK54" s="188">
        <v>2703.3987012987009</v>
      </c>
      <c r="AL54" s="185">
        <f t="shared" si="27"/>
        <v>901.13290043290033</v>
      </c>
      <c r="AM54" s="182">
        <f t="shared" si="28"/>
        <v>9</v>
      </c>
      <c r="AN54" s="574"/>
      <c r="AO54" s="188">
        <v>3</v>
      </c>
      <c r="AP54" s="188">
        <v>2702.7987012987014</v>
      </c>
      <c r="AQ54" s="185">
        <f t="shared" si="29"/>
        <v>900.93290043290051</v>
      </c>
      <c r="AR54" s="182">
        <f t="shared" si="30"/>
        <v>10</v>
      </c>
      <c r="AS54" s="574"/>
      <c r="AT54" s="188">
        <v>3</v>
      </c>
      <c r="AU54" s="188">
        <v>2704.2987012987014</v>
      </c>
      <c r="AV54" s="185">
        <f t="shared" si="31"/>
        <v>901.43290043290051</v>
      </c>
      <c r="AW54" s="182">
        <f t="shared" si="32"/>
        <v>9</v>
      </c>
      <c r="AX54" s="574"/>
    </row>
    <row r="55" spans="2:50">
      <c r="B55" s="575"/>
      <c r="C55" s="180">
        <v>11</v>
      </c>
      <c r="D55" s="183" t="s">
        <v>474</v>
      </c>
      <c r="E55" s="184">
        <v>12</v>
      </c>
      <c r="F55" s="180">
        <v>3600</v>
      </c>
      <c r="G55" s="185">
        <f t="shared" si="19"/>
        <v>300</v>
      </c>
      <c r="H55" s="576"/>
      <c r="I55" s="186">
        <f t="shared" si="20"/>
        <v>12</v>
      </c>
      <c r="J55" s="186">
        <f t="shared" si="20"/>
        <v>3125.4831529954322</v>
      </c>
      <c r="K55" s="187">
        <f t="shared" si="20"/>
        <v>260.45692941628602</v>
      </c>
      <c r="L55" s="577"/>
      <c r="M55" s="186">
        <f>RANK(K55, K$45:$K$77)</f>
        <v>31</v>
      </c>
      <c r="N55" s="588"/>
      <c r="O55" s="578"/>
      <c r="P55" s="188">
        <v>12</v>
      </c>
      <c r="Q55" s="188">
        <v>3124.2506811989115</v>
      </c>
      <c r="R55" s="185">
        <f t="shared" si="17"/>
        <v>260.35422343324262</v>
      </c>
      <c r="S55" s="182">
        <f t="shared" si="21"/>
        <v>28</v>
      </c>
      <c r="T55" s="574"/>
      <c r="U55" s="188">
        <v>12</v>
      </c>
      <c r="V55" s="188">
        <v>3124.1285649615193</v>
      </c>
      <c r="W55" s="185">
        <f t="shared" si="18"/>
        <v>260.34404708012659</v>
      </c>
      <c r="X55" s="182">
        <f t="shared" si="22"/>
        <v>29</v>
      </c>
      <c r="Y55" s="574"/>
      <c r="Z55" s="188">
        <v>12</v>
      </c>
      <c r="AA55" s="188">
        <v>3125.5685649615189</v>
      </c>
      <c r="AB55" s="185">
        <f t="shared" si="23"/>
        <v>260.46404708012659</v>
      </c>
      <c r="AC55" s="182">
        <f t="shared" si="24"/>
        <v>29</v>
      </c>
      <c r="AD55" s="574"/>
      <c r="AE55" s="188">
        <v>12</v>
      </c>
      <c r="AF55" s="188">
        <v>3125.2085649615192</v>
      </c>
      <c r="AG55" s="185">
        <f t="shared" si="25"/>
        <v>260.43404708012662</v>
      </c>
      <c r="AH55" s="182">
        <f t="shared" si="26"/>
        <v>29</v>
      </c>
      <c r="AI55" s="574"/>
      <c r="AJ55" s="188">
        <v>12</v>
      </c>
      <c r="AK55" s="188">
        <v>3125.5685649615193</v>
      </c>
      <c r="AL55" s="185">
        <f t="shared" si="27"/>
        <v>260.46404708012659</v>
      </c>
      <c r="AM55" s="182">
        <f t="shared" si="28"/>
        <v>29</v>
      </c>
      <c r="AN55" s="574"/>
      <c r="AO55" s="188">
        <v>12</v>
      </c>
      <c r="AP55" s="188">
        <v>3126.2885649615191</v>
      </c>
      <c r="AQ55" s="185">
        <f t="shared" si="29"/>
        <v>260.52404708012659</v>
      </c>
      <c r="AR55" s="182">
        <f t="shared" si="30"/>
        <v>28</v>
      </c>
      <c r="AS55" s="574"/>
      <c r="AT55" s="188">
        <v>12</v>
      </c>
      <c r="AU55" s="188">
        <v>3127.3685649615186</v>
      </c>
      <c r="AV55" s="185">
        <f t="shared" si="31"/>
        <v>260.61404708012657</v>
      </c>
      <c r="AW55" s="182">
        <f t="shared" si="32"/>
        <v>30</v>
      </c>
      <c r="AX55" s="574"/>
    </row>
    <row r="56" spans="2:50">
      <c r="B56" s="575"/>
      <c r="C56" s="180">
        <v>12</v>
      </c>
      <c r="D56" s="183" t="s">
        <v>502</v>
      </c>
      <c r="E56" s="184">
        <v>3</v>
      </c>
      <c r="F56" s="180">
        <v>3300</v>
      </c>
      <c r="G56" s="185">
        <f t="shared" si="19"/>
        <v>1100</v>
      </c>
      <c r="H56" s="576"/>
      <c r="I56" s="186">
        <f t="shared" si="20"/>
        <v>3</v>
      </c>
      <c r="J56" s="186">
        <f t="shared" si="20"/>
        <v>2972.3815372170552</v>
      </c>
      <c r="K56" s="187">
        <f t="shared" si="20"/>
        <v>990.79384573901837</v>
      </c>
      <c r="L56" s="577"/>
      <c r="M56" s="186">
        <f>RANK(K56, K$45:$K$77)</f>
        <v>8</v>
      </c>
      <c r="N56" s="588"/>
      <c r="O56" s="578"/>
      <c r="P56" s="188">
        <v>3</v>
      </c>
      <c r="Q56" s="188">
        <v>2972.3120837297829</v>
      </c>
      <c r="R56" s="185">
        <f t="shared" si="17"/>
        <v>990.77069457659434</v>
      </c>
      <c r="S56" s="182">
        <f t="shared" si="21"/>
        <v>8</v>
      </c>
      <c r="T56" s="574"/>
      <c r="U56" s="188">
        <v>3</v>
      </c>
      <c r="V56" s="188">
        <v>2972.6681127982674</v>
      </c>
      <c r="W56" s="185">
        <f t="shared" si="18"/>
        <v>990.88937093275581</v>
      </c>
      <c r="X56" s="182">
        <f t="shared" si="22"/>
        <v>8</v>
      </c>
      <c r="Y56" s="574"/>
      <c r="Z56" s="188">
        <v>3</v>
      </c>
      <c r="AA56" s="188">
        <v>2971.6781127982676</v>
      </c>
      <c r="AB56" s="185">
        <f t="shared" si="23"/>
        <v>990.55937093275588</v>
      </c>
      <c r="AC56" s="182">
        <f t="shared" si="24"/>
        <v>8</v>
      </c>
      <c r="AD56" s="574"/>
      <c r="AE56" s="188">
        <v>3</v>
      </c>
      <c r="AF56" s="188">
        <v>2972.9981127982674</v>
      </c>
      <c r="AG56" s="185">
        <f t="shared" si="25"/>
        <v>990.99937093275582</v>
      </c>
      <c r="AH56" s="182">
        <f t="shared" si="26"/>
        <v>8</v>
      </c>
      <c r="AI56" s="574"/>
      <c r="AJ56" s="188">
        <v>3</v>
      </c>
      <c r="AK56" s="188">
        <v>2972.6681127982674</v>
      </c>
      <c r="AL56" s="185">
        <f t="shared" si="27"/>
        <v>990.88937093275581</v>
      </c>
      <c r="AM56" s="182">
        <f t="shared" si="28"/>
        <v>8</v>
      </c>
      <c r="AN56" s="574"/>
      <c r="AO56" s="188">
        <v>3</v>
      </c>
      <c r="AP56" s="188">
        <v>2972.0081127982671</v>
      </c>
      <c r="AQ56" s="185">
        <f t="shared" si="29"/>
        <v>990.66937093275567</v>
      </c>
      <c r="AR56" s="182">
        <f t="shared" si="30"/>
        <v>8</v>
      </c>
      <c r="AS56" s="574"/>
      <c r="AT56" s="188">
        <v>3</v>
      </c>
      <c r="AU56" s="188">
        <v>2972.338112798267</v>
      </c>
      <c r="AV56" s="185">
        <f t="shared" si="31"/>
        <v>990.77937093275568</v>
      </c>
      <c r="AW56" s="182">
        <f t="shared" si="32"/>
        <v>8</v>
      </c>
      <c r="AX56" s="574"/>
    </row>
    <row r="57" spans="2:50">
      <c r="B57" s="575"/>
      <c r="C57" s="180">
        <v>13</v>
      </c>
      <c r="D57" s="183" t="s">
        <v>413</v>
      </c>
      <c r="E57" s="184">
        <v>5</v>
      </c>
      <c r="F57" s="180">
        <v>3600</v>
      </c>
      <c r="G57" s="185">
        <f t="shared" si="19"/>
        <v>720</v>
      </c>
      <c r="H57" s="576"/>
      <c r="I57" s="186">
        <f t="shared" si="20"/>
        <v>5</v>
      </c>
      <c r="J57" s="186">
        <f t="shared" si="20"/>
        <v>3175.1242934285765</v>
      </c>
      <c r="K57" s="187">
        <f t="shared" si="20"/>
        <v>635.02485868571523</v>
      </c>
      <c r="L57" s="577"/>
      <c r="M57" s="186">
        <f>RANK(K57, K$45:$K$77)</f>
        <v>23</v>
      </c>
      <c r="N57" s="588"/>
      <c r="O57" s="578"/>
      <c r="P57" s="188">
        <v>5</v>
      </c>
      <c r="Q57" s="188">
        <v>3176.2152486864225</v>
      </c>
      <c r="R57" s="185">
        <f t="shared" si="17"/>
        <v>635.24304973728454</v>
      </c>
      <c r="S57" s="182">
        <f t="shared" si="21"/>
        <v>21</v>
      </c>
      <c r="T57" s="574"/>
      <c r="U57" s="188">
        <v>5</v>
      </c>
      <c r="V57" s="188">
        <v>3176.81929768999</v>
      </c>
      <c r="W57" s="185">
        <f t="shared" si="18"/>
        <v>635.363859537998</v>
      </c>
      <c r="X57" s="182">
        <f t="shared" si="22"/>
        <v>21</v>
      </c>
      <c r="Y57" s="574"/>
      <c r="Z57" s="188">
        <v>5</v>
      </c>
      <c r="AA57" s="188">
        <v>3176.2231015247244</v>
      </c>
      <c r="AB57" s="185">
        <f t="shared" si="23"/>
        <v>635.24462030494487</v>
      </c>
      <c r="AC57" s="182">
        <f t="shared" si="24"/>
        <v>21</v>
      </c>
      <c r="AD57" s="574"/>
      <c r="AE57" s="188">
        <v>5</v>
      </c>
      <c r="AF57" s="188">
        <v>3175.8631015247247</v>
      </c>
      <c r="AG57" s="185">
        <f t="shared" si="25"/>
        <v>635.17262030494499</v>
      </c>
      <c r="AH57" s="182">
        <f t="shared" si="26"/>
        <v>21</v>
      </c>
      <c r="AI57" s="574"/>
      <c r="AJ57" s="188">
        <v>5</v>
      </c>
      <c r="AK57" s="188">
        <v>3174.4231015247251</v>
      </c>
      <c r="AL57" s="185">
        <f t="shared" si="27"/>
        <v>634.88462030494497</v>
      </c>
      <c r="AM57" s="182">
        <f t="shared" si="28"/>
        <v>21</v>
      </c>
      <c r="AN57" s="574"/>
      <c r="AO57" s="188">
        <v>5</v>
      </c>
      <c r="AP57" s="188">
        <v>3173.7031015247248</v>
      </c>
      <c r="AQ57" s="185">
        <f t="shared" si="29"/>
        <v>634.74062030494497</v>
      </c>
      <c r="AR57" s="182">
        <f t="shared" si="30"/>
        <v>21</v>
      </c>
      <c r="AS57" s="574"/>
      <c r="AT57" s="188">
        <v>5</v>
      </c>
      <c r="AU57" s="188">
        <v>3172.6231015247249</v>
      </c>
      <c r="AV57" s="185">
        <f t="shared" si="31"/>
        <v>634.52462030494496</v>
      </c>
      <c r="AW57" s="182">
        <f t="shared" si="32"/>
        <v>23</v>
      </c>
      <c r="AX57" s="574"/>
    </row>
    <row r="58" spans="2:50">
      <c r="B58" s="575"/>
      <c r="C58" s="180">
        <v>14</v>
      </c>
      <c r="D58" s="183" t="s">
        <v>412</v>
      </c>
      <c r="E58" s="184">
        <v>3</v>
      </c>
      <c r="F58" s="180">
        <v>3600</v>
      </c>
      <c r="G58" s="185">
        <f t="shared" si="19"/>
        <v>1200</v>
      </c>
      <c r="H58" s="576"/>
      <c r="I58" s="186">
        <f t="shared" si="20"/>
        <v>3</v>
      </c>
      <c r="J58" s="186">
        <f t="shared" si="20"/>
        <v>3179.4601484757432</v>
      </c>
      <c r="K58" s="187">
        <f t="shared" si="20"/>
        <v>1059.8200494919145</v>
      </c>
      <c r="L58" s="577"/>
      <c r="M58" s="186">
        <f>RANK(K58, K$45:$K$77)</f>
        <v>2</v>
      </c>
      <c r="N58" s="588"/>
      <c r="O58" s="578"/>
      <c r="P58" s="188">
        <v>3</v>
      </c>
      <c r="Q58" s="188">
        <v>3179.1024613054788</v>
      </c>
      <c r="R58" s="185">
        <f t="shared" si="17"/>
        <v>1059.7008204351596</v>
      </c>
      <c r="S58" s="182">
        <f t="shared" si="21"/>
        <v>3</v>
      </c>
      <c r="T58" s="574"/>
      <c r="U58" s="188">
        <v>3</v>
      </c>
      <c r="V58" s="188">
        <v>3179.223980868308</v>
      </c>
      <c r="W58" s="185">
        <f t="shared" si="18"/>
        <v>1059.7413269561027</v>
      </c>
      <c r="X58" s="182">
        <f t="shared" si="22"/>
        <v>4</v>
      </c>
      <c r="Y58" s="574"/>
      <c r="Z58" s="188">
        <v>3</v>
      </c>
      <c r="AA58" s="188">
        <v>3179.8669194312833</v>
      </c>
      <c r="AB58" s="185">
        <f t="shared" si="23"/>
        <v>1059.9556398104278</v>
      </c>
      <c r="AC58" s="182">
        <f t="shared" si="24"/>
        <v>2</v>
      </c>
      <c r="AD58" s="574"/>
      <c r="AE58" s="188">
        <v>3</v>
      </c>
      <c r="AF58" s="188">
        <v>3179.8669194312833</v>
      </c>
      <c r="AG58" s="185">
        <f t="shared" si="25"/>
        <v>1059.9556398104278</v>
      </c>
      <c r="AH58" s="182">
        <f t="shared" si="26"/>
        <v>2</v>
      </c>
      <c r="AI58" s="574"/>
      <c r="AJ58" s="188">
        <v>3</v>
      </c>
      <c r="AK58" s="188">
        <v>3178.4269194312833</v>
      </c>
      <c r="AL58" s="185">
        <f t="shared" si="27"/>
        <v>1059.4756398104278</v>
      </c>
      <c r="AM58" s="182">
        <f t="shared" si="28"/>
        <v>4</v>
      </c>
      <c r="AN58" s="574"/>
      <c r="AO58" s="188">
        <v>3</v>
      </c>
      <c r="AP58" s="188">
        <v>3179.8669194312833</v>
      </c>
      <c r="AQ58" s="185">
        <f t="shared" si="29"/>
        <v>1059.9556398104278</v>
      </c>
      <c r="AR58" s="182">
        <f t="shared" si="30"/>
        <v>1</v>
      </c>
      <c r="AS58" s="574"/>
      <c r="AT58" s="188">
        <v>3</v>
      </c>
      <c r="AU58" s="188">
        <v>3179.8669194312843</v>
      </c>
      <c r="AV58" s="185">
        <f t="shared" si="31"/>
        <v>1059.955639810428</v>
      </c>
      <c r="AW58" s="182">
        <f t="shared" si="32"/>
        <v>1</v>
      </c>
      <c r="AX58" s="574"/>
    </row>
    <row r="59" spans="2:50">
      <c r="B59" s="575"/>
      <c r="C59" s="180">
        <v>15</v>
      </c>
      <c r="D59" s="183" t="s">
        <v>414</v>
      </c>
      <c r="E59" s="184">
        <v>4</v>
      </c>
      <c r="F59" s="180">
        <v>3600</v>
      </c>
      <c r="G59" s="185">
        <f t="shared" si="19"/>
        <v>900</v>
      </c>
      <c r="H59" s="576"/>
      <c r="I59" s="186">
        <f t="shared" si="20"/>
        <v>4</v>
      </c>
      <c r="J59" s="186">
        <f t="shared" si="20"/>
        <v>3176.562821260788</v>
      </c>
      <c r="K59" s="187">
        <f t="shared" si="20"/>
        <v>794.14070531519701</v>
      </c>
      <c r="L59" s="577"/>
      <c r="M59" s="186">
        <f>RANK(K59, K$45:$K$77)</f>
        <v>14</v>
      </c>
      <c r="N59" s="588"/>
      <c r="O59" s="578"/>
      <c r="P59" s="188">
        <v>4</v>
      </c>
      <c r="Q59" s="188">
        <v>3175.4027114120122</v>
      </c>
      <c r="R59" s="185">
        <f t="shared" si="17"/>
        <v>793.85067785300305</v>
      </c>
      <c r="S59" s="182">
        <f t="shared" si="21"/>
        <v>12</v>
      </c>
      <c r="T59" s="574"/>
      <c r="U59" s="188">
        <v>4</v>
      </c>
      <c r="V59" s="188">
        <v>3175.5203900146166</v>
      </c>
      <c r="W59" s="185">
        <f t="shared" si="18"/>
        <v>793.88009750365416</v>
      </c>
      <c r="X59" s="182">
        <f t="shared" si="22"/>
        <v>12</v>
      </c>
      <c r="Y59" s="574"/>
      <c r="Z59" s="188">
        <v>4</v>
      </c>
      <c r="AA59" s="188">
        <v>3176.571329479777</v>
      </c>
      <c r="AB59" s="185">
        <f t="shared" si="23"/>
        <v>794.14283236994424</v>
      </c>
      <c r="AC59" s="182">
        <f t="shared" si="24"/>
        <v>12</v>
      </c>
      <c r="AD59" s="574"/>
      <c r="AE59" s="188">
        <v>4</v>
      </c>
      <c r="AF59" s="188">
        <v>3175.8513294797776</v>
      </c>
      <c r="AG59" s="185">
        <f t="shared" si="25"/>
        <v>793.96283236994441</v>
      </c>
      <c r="AH59" s="182">
        <f t="shared" si="26"/>
        <v>12</v>
      </c>
      <c r="AI59" s="574"/>
      <c r="AJ59" s="188">
        <v>4</v>
      </c>
      <c r="AK59" s="188">
        <v>3176.2113294797773</v>
      </c>
      <c r="AL59" s="185">
        <f t="shared" si="27"/>
        <v>794.05283236994433</v>
      </c>
      <c r="AM59" s="182">
        <f t="shared" si="28"/>
        <v>13</v>
      </c>
      <c r="AN59" s="574"/>
      <c r="AO59" s="188">
        <v>4</v>
      </c>
      <c r="AP59" s="188">
        <v>3178.0113294797775</v>
      </c>
      <c r="AQ59" s="185">
        <f t="shared" si="29"/>
        <v>794.50283236994437</v>
      </c>
      <c r="AR59" s="182">
        <f t="shared" si="30"/>
        <v>12</v>
      </c>
      <c r="AS59" s="574"/>
      <c r="AT59" s="188">
        <v>4</v>
      </c>
      <c r="AU59" s="188">
        <v>3178.3713294797781</v>
      </c>
      <c r="AV59" s="185">
        <f t="shared" si="31"/>
        <v>794.59283236994452</v>
      </c>
      <c r="AW59" s="182">
        <f t="shared" si="32"/>
        <v>14</v>
      </c>
      <c r="AX59" s="574"/>
    </row>
    <row r="60" spans="2:50">
      <c r="B60" s="575"/>
      <c r="C60" s="180">
        <v>16</v>
      </c>
      <c r="D60" s="183" t="s">
        <v>346</v>
      </c>
      <c r="E60" s="184">
        <v>5</v>
      </c>
      <c r="F60" s="180">
        <v>3300</v>
      </c>
      <c r="G60" s="185">
        <f t="shared" si="19"/>
        <v>660</v>
      </c>
      <c r="H60" s="576"/>
      <c r="I60" s="186">
        <f t="shared" si="20"/>
        <v>5</v>
      </c>
      <c r="J60" s="186">
        <f t="shared" si="20"/>
        <v>2945.8091072814595</v>
      </c>
      <c r="K60" s="187">
        <f t="shared" si="20"/>
        <v>589.16182145629193</v>
      </c>
      <c r="L60" s="577"/>
      <c r="M60" s="186">
        <f>RANK(K60, K$45:$K$77)</f>
        <v>26</v>
      </c>
      <c r="N60" s="588"/>
      <c r="O60" s="578"/>
      <c r="P60" s="188">
        <v>5</v>
      </c>
      <c r="Q60" s="188">
        <v>2945.6214771927016</v>
      </c>
      <c r="R60" s="185">
        <f t="shared" si="17"/>
        <v>589.12429543854034</v>
      </c>
      <c r="S60" s="182">
        <f t="shared" si="21"/>
        <v>24</v>
      </c>
      <c r="T60" s="574"/>
      <c r="U60" s="188">
        <v>5</v>
      </c>
      <c r="V60" s="188">
        <v>2946.6781561304442</v>
      </c>
      <c r="W60" s="185">
        <f t="shared" si="18"/>
        <v>589.33563122608882</v>
      </c>
      <c r="X60" s="182">
        <f t="shared" si="22"/>
        <v>24</v>
      </c>
      <c r="Y60" s="574"/>
      <c r="Z60" s="188">
        <v>5</v>
      </c>
      <c r="AA60" s="188">
        <v>2946.7288235294136</v>
      </c>
      <c r="AB60" s="185">
        <f t="shared" si="23"/>
        <v>589.34576470588274</v>
      </c>
      <c r="AC60" s="182">
        <f t="shared" si="24"/>
        <v>23</v>
      </c>
      <c r="AD60" s="574"/>
      <c r="AE60" s="188">
        <v>5</v>
      </c>
      <c r="AF60" s="188">
        <v>2945.078823529414</v>
      </c>
      <c r="AG60" s="185">
        <f t="shared" si="25"/>
        <v>589.01576470588282</v>
      </c>
      <c r="AH60" s="182">
        <f t="shared" si="26"/>
        <v>24</v>
      </c>
      <c r="AI60" s="574"/>
      <c r="AJ60" s="188">
        <v>5</v>
      </c>
      <c r="AK60" s="188">
        <v>2946.7288235294145</v>
      </c>
      <c r="AL60" s="185">
        <f t="shared" si="27"/>
        <v>589.34576470588286</v>
      </c>
      <c r="AM60" s="182">
        <f t="shared" si="28"/>
        <v>24</v>
      </c>
      <c r="AN60" s="574"/>
      <c r="AO60" s="188">
        <v>5</v>
      </c>
      <c r="AP60" s="188">
        <v>2945.4088235294143</v>
      </c>
      <c r="AQ60" s="185">
        <f t="shared" si="29"/>
        <v>589.08176470588285</v>
      </c>
      <c r="AR60" s="182">
        <f t="shared" si="30"/>
        <v>24</v>
      </c>
      <c r="AS60" s="574"/>
      <c r="AT60" s="188">
        <v>5</v>
      </c>
      <c r="AU60" s="188">
        <v>2944.4188235294141</v>
      </c>
      <c r="AV60" s="185">
        <f t="shared" si="31"/>
        <v>588.88376470588287</v>
      </c>
      <c r="AW60" s="182">
        <f t="shared" si="32"/>
        <v>26</v>
      </c>
      <c r="AX60" s="574"/>
    </row>
    <row r="61" spans="2:50">
      <c r="B61" s="575"/>
      <c r="C61" s="180">
        <v>17</v>
      </c>
      <c r="D61" s="183" t="s">
        <v>407</v>
      </c>
      <c r="E61" s="184">
        <v>3</v>
      </c>
      <c r="F61" s="180">
        <v>3600</v>
      </c>
      <c r="G61" s="185">
        <f t="shared" si="19"/>
        <v>1200</v>
      </c>
      <c r="H61" s="576"/>
      <c r="I61" s="186">
        <f t="shared" si="20"/>
        <v>3</v>
      </c>
      <c r="J61" s="186">
        <f t="shared" si="20"/>
        <v>3178.6656831799928</v>
      </c>
      <c r="K61" s="187">
        <f t="shared" si="20"/>
        <v>1059.5552277266643</v>
      </c>
      <c r="L61" s="577"/>
      <c r="M61" s="186">
        <f>RANK(K61, K$45:$K$77)</f>
        <v>4</v>
      </c>
      <c r="N61" s="588"/>
      <c r="O61" s="578"/>
      <c r="P61" s="188">
        <v>3</v>
      </c>
      <c r="Q61" s="188">
        <v>3179.910759920665</v>
      </c>
      <c r="R61" s="185">
        <f t="shared" si="17"/>
        <v>1059.9702533068883</v>
      </c>
      <c r="S61" s="182">
        <f t="shared" si="21"/>
        <v>2</v>
      </c>
      <c r="T61" s="574"/>
      <c r="U61" s="188">
        <v>3</v>
      </c>
      <c r="V61" s="188">
        <v>3180.5754297779913</v>
      </c>
      <c r="W61" s="185">
        <f t="shared" si="18"/>
        <v>1060.1918099259972</v>
      </c>
      <c r="X61" s="182">
        <f t="shared" si="22"/>
        <v>2</v>
      </c>
      <c r="Y61" s="574"/>
      <c r="Z61" s="188">
        <v>3</v>
      </c>
      <c r="AA61" s="188">
        <v>3179.330718512258</v>
      </c>
      <c r="AB61" s="185">
        <f t="shared" si="23"/>
        <v>1059.7769061707527</v>
      </c>
      <c r="AC61" s="182">
        <f t="shared" si="24"/>
        <v>4</v>
      </c>
      <c r="AD61" s="574"/>
      <c r="AE61" s="188">
        <v>3</v>
      </c>
      <c r="AF61" s="188">
        <v>3179.3307185122585</v>
      </c>
      <c r="AG61" s="185">
        <f t="shared" si="25"/>
        <v>1059.7769061707529</v>
      </c>
      <c r="AH61" s="182">
        <f t="shared" si="26"/>
        <v>3</v>
      </c>
      <c r="AI61" s="574"/>
      <c r="AJ61" s="188">
        <v>3</v>
      </c>
      <c r="AK61" s="188">
        <v>3177.5307185122579</v>
      </c>
      <c r="AL61" s="185">
        <f t="shared" si="27"/>
        <v>1059.1769061707525</v>
      </c>
      <c r="AM61" s="182">
        <f t="shared" si="28"/>
        <v>5</v>
      </c>
      <c r="AN61" s="574"/>
      <c r="AO61" s="188">
        <v>3</v>
      </c>
      <c r="AP61" s="188">
        <v>3176.4507185122584</v>
      </c>
      <c r="AQ61" s="185">
        <f t="shared" si="29"/>
        <v>1058.8169061707529</v>
      </c>
      <c r="AR61" s="182">
        <f t="shared" si="30"/>
        <v>7</v>
      </c>
      <c r="AS61" s="574"/>
      <c r="AT61" s="188">
        <v>3</v>
      </c>
      <c r="AU61" s="188">
        <v>3177.5307185122574</v>
      </c>
      <c r="AV61" s="185">
        <f t="shared" si="31"/>
        <v>1059.1769061707525</v>
      </c>
      <c r="AW61" s="182">
        <f t="shared" si="32"/>
        <v>5</v>
      </c>
      <c r="AX61" s="574"/>
    </row>
    <row r="62" spans="2:50">
      <c r="B62" s="575"/>
      <c r="C62" s="180">
        <v>18</v>
      </c>
      <c r="D62" s="183" t="s">
        <v>411</v>
      </c>
      <c r="E62" s="184">
        <v>3</v>
      </c>
      <c r="F62" s="180">
        <v>3600</v>
      </c>
      <c r="G62" s="185">
        <f t="shared" si="19"/>
        <v>1200</v>
      </c>
      <c r="H62" s="576"/>
      <c r="I62" s="186">
        <f t="shared" si="20"/>
        <v>3</v>
      </c>
      <c r="J62" s="186">
        <f t="shared" si="20"/>
        <v>3178.9886939782687</v>
      </c>
      <c r="K62" s="187">
        <f t="shared" si="20"/>
        <v>1059.6628979927561</v>
      </c>
      <c r="L62" s="577"/>
      <c r="M62" s="186">
        <f>RANK(K62, K$45:$K$77)</f>
        <v>3</v>
      </c>
      <c r="N62" s="588"/>
      <c r="O62" s="578"/>
      <c r="P62" s="188">
        <v>3</v>
      </c>
      <c r="Q62" s="188">
        <v>3178.1818181818348</v>
      </c>
      <c r="R62" s="185">
        <f t="shared" si="17"/>
        <v>1059.3939393939449</v>
      </c>
      <c r="S62" s="182">
        <f t="shared" si="21"/>
        <v>5</v>
      </c>
      <c r="T62" s="574"/>
      <c r="U62" s="188">
        <v>3</v>
      </c>
      <c r="V62" s="188">
        <v>3179.1231732776741</v>
      </c>
      <c r="W62" s="185">
        <f t="shared" si="18"/>
        <v>1059.7077244258915</v>
      </c>
      <c r="X62" s="182">
        <f t="shared" si="22"/>
        <v>5</v>
      </c>
      <c r="Y62" s="574"/>
      <c r="Z62" s="188">
        <v>3</v>
      </c>
      <c r="AA62" s="188">
        <v>3178.7631732776745</v>
      </c>
      <c r="AB62" s="185">
        <f t="shared" si="23"/>
        <v>1059.5877244258916</v>
      </c>
      <c r="AC62" s="182">
        <f t="shared" si="24"/>
        <v>5</v>
      </c>
      <c r="AD62" s="574"/>
      <c r="AE62" s="188">
        <v>3</v>
      </c>
      <c r="AF62" s="188">
        <v>3179.1231732776746</v>
      </c>
      <c r="AG62" s="185">
        <f t="shared" si="25"/>
        <v>1059.7077244258915</v>
      </c>
      <c r="AH62" s="182">
        <f t="shared" si="26"/>
        <v>4</v>
      </c>
      <c r="AI62" s="574"/>
      <c r="AJ62" s="188">
        <v>3</v>
      </c>
      <c r="AK62" s="188">
        <v>3179.4831732776743</v>
      </c>
      <c r="AL62" s="185">
        <f t="shared" si="27"/>
        <v>1059.8277244258913</v>
      </c>
      <c r="AM62" s="182">
        <f t="shared" si="28"/>
        <v>2</v>
      </c>
      <c r="AN62" s="574"/>
      <c r="AO62" s="188">
        <v>3</v>
      </c>
      <c r="AP62" s="188">
        <v>3179.4831732776738</v>
      </c>
      <c r="AQ62" s="185">
        <f t="shared" si="29"/>
        <v>1059.8277244258913</v>
      </c>
      <c r="AR62" s="182">
        <f t="shared" si="30"/>
        <v>2</v>
      </c>
      <c r="AS62" s="574"/>
      <c r="AT62" s="188">
        <v>3</v>
      </c>
      <c r="AU62" s="188">
        <v>3178.7631732776736</v>
      </c>
      <c r="AV62" s="185">
        <f t="shared" si="31"/>
        <v>1059.5877244258911</v>
      </c>
      <c r="AW62" s="182">
        <f t="shared" si="32"/>
        <v>3</v>
      </c>
      <c r="AX62" s="574"/>
    </row>
    <row r="63" spans="2:50">
      <c r="B63" s="575"/>
      <c r="C63" s="180">
        <v>19</v>
      </c>
      <c r="D63" s="183" t="s">
        <v>410</v>
      </c>
      <c r="E63" s="184">
        <v>4</v>
      </c>
      <c r="F63" s="180">
        <v>3300</v>
      </c>
      <c r="G63" s="185">
        <f t="shared" si="19"/>
        <v>825</v>
      </c>
      <c r="H63" s="576"/>
      <c r="I63" s="186">
        <f t="shared" si="20"/>
        <v>4</v>
      </c>
      <c r="J63" s="186">
        <f t="shared" si="20"/>
        <v>2946.5082571214457</v>
      </c>
      <c r="K63" s="187">
        <f t="shared" si="20"/>
        <v>736.62706428036142</v>
      </c>
      <c r="L63" s="577"/>
      <c r="M63" s="186">
        <f>RANK(K63, K$45:$K$77)</f>
        <v>17</v>
      </c>
      <c r="N63" s="588"/>
      <c r="O63" s="578"/>
      <c r="P63" s="188">
        <v>4</v>
      </c>
      <c r="Q63" s="188">
        <v>2947.6574423359343</v>
      </c>
      <c r="R63" s="185">
        <f t="shared" si="17"/>
        <v>736.91436058398358</v>
      </c>
      <c r="S63" s="182">
        <f t="shared" si="21"/>
        <v>14</v>
      </c>
      <c r="T63" s="574"/>
      <c r="U63" s="188">
        <v>4</v>
      </c>
      <c r="V63" s="188">
        <v>2948.9247264461837</v>
      </c>
      <c r="W63" s="185">
        <f t="shared" si="18"/>
        <v>737.23118161154594</v>
      </c>
      <c r="X63" s="182">
        <f t="shared" si="22"/>
        <v>14</v>
      </c>
      <c r="Y63" s="574"/>
      <c r="Z63" s="188">
        <v>4</v>
      </c>
      <c r="AA63" s="188">
        <v>2947.7091262136009</v>
      </c>
      <c r="AB63" s="185">
        <f t="shared" si="23"/>
        <v>736.92728155340023</v>
      </c>
      <c r="AC63" s="182">
        <f t="shared" si="24"/>
        <v>14</v>
      </c>
      <c r="AD63" s="574"/>
      <c r="AE63" s="188">
        <v>4</v>
      </c>
      <c r="AF63" s="188">
        <v>2946.3891262136012</v>
      </c>
      <c r="AG63" s="185">
        <f t="shared" si="25"/>
        <v>736.59728155340031</v>
      </c>
      <c r="AH63" s="182">
        <f t="shared" si="26"/>
        <v>15</v>
      </c>
      <c r="AI63" s="574"/>
      <c r="AJ63" s="188">
        <v>4</v>
      </c>
      <c r="AK63" s="188">
        <v>2946.0591262136008</v>
      </c>
      <c r="AL63" s="185">
        <f t="shared" si="27"/>
        <v>736.51478155340021</v>
      </c>
      <c r="AM63" s="182">
        <f t="shared" si="28"/>
        <v>15</v>
      </c>
      <c r="AN63" s="574"/>
      <c r="AO63" s="188">
        <v>4</v>
      </c>
      <c r="AP63" s="188">
        <v>2944.7391262136007</v>
      </c>
      <c r="AQ63" s="185">
        <f t="shared" si="29"/>
        <v>736.18478155340017</v>
      </c>
      <c r="AR63" s="182">
        <f t="shared" si="30"/>
        <v>16</v>
      </c>
      <c r="AS63" s="574"/>
      <c r="AT63" s="188">
        <v>4</v>
      </c>
      <c r="AU63" s="188">
        <v>2944.0791262136013</v>
      </c>
      <c r="AV63" s="185">
        <f t="shared" si="31"/>
        <v>736.01978155340032</v>
      </c>
      <c r="AW63" s="182">
        <f t="shared" si="32"/>
        <v>18</v>
      </c>
      <c r="AX63" s="574"/>
    </row>
    <row r="64" spans="2:50">
      <c r="B64" s="575"/>
      <c r="C64" s="180">
        <v>20</v>
      </c>
      <c r="D64" s="183" t="s">
        <v>406</v>
      </c>
      <c r="E64" s="184">
        <v>4</v>
      </c>
      <c r="F64" s="180">
        <v>3300</v>
      </c>
      <c r="G64" s="185">
        <f t="shared" si="19"/>
        <v>825</v>
      </c>
      <c r="H64" s="576"/>
      <c r="I64" s="186">
        <f t="shared" si="20"/>
        <v>4</v>
      </c>
      <c r="J64" s="186">
        <f t="shared" si="20"/>
        <v>2946.1066759219771</v>
      </c>
      <c r="K64" s="187">
        <f t="shared" si="20"/>
        <v>736.52666898049426</v>
      </c>
      <c r="L64" s="577"/>
      <c r="M64" s="186">
        <f>RANK(K64, K$45:$K$77)</f>
        <v>18</v>
      </c>
      <c r="N64" s="588"/>
      <c r="O64" s="578"/>
      <c r="P64" s="188">
        <v>4</v>
      </c>
      <c r="Q64" s="188">
        <v>2946.2895728261628</v>
      </c>
      <c r="R64" s="185">
        <f t="shared" si="17"/>
        <v>736.57239320654071</v>
      </c>
      <c r="S64" s="182">
        <f t="shared" si="21"/>
        <v>16</v>
      </c>
      <c r="T64" s="574"/>
      <c r="U64" s="188">
        <v>4</v>
      </c>
      <c r="V64" s="188">
        <v>2947.1648485972955</v>
      </c>
      <c r="W64" s="185">
        <f t="shared" si="18"/>
        <v>736.79121214932388</v>
      </c>
      <c r="X64" s="182">
        <f t="shared" si="22"/>
        <v>15</v>
      </c>
      <c r="Y64" s="574"/>
      <c r="Z64" s="188">
        <v>4</v>
      </c>
      <c r="AA64" s="188">
        <v>2946.7824620060765</v>
      </c>
      <c r="AB64" s="185">
        <f t="shared" si="23"/>
        <v>736.69561550151911</v>
      </c>
      <c r="AC64" s="182">
        <f t="shared" si="24"/>
        <v>15</v>
      </c>
      <c r="AD64" s="574"/>
      <c r="AE64" s="188">
        <v>4</v>
      </c>
      <c r="AF64" s="188">
        <v>2945.4624620060767</v>
      </c>
      <c r="AG64" s="185">
        <f t="shared" si="25"/>
        <v>736.36561550151919</v>
      </c>
      <c r="AH64" s="182">
        <f t="shared" si="26"/>
        <v>16</v>
      </c>
      <c r="AI64" s="574"/>
      <c r="AJ64" s="188">
        <v>4</v>
      </c>
      <c r="AK64" s="188">
        <v>2945.1324620060768</v>
      </c>
      <c r="AL64" s="185">
        <f t="shared" si="27"/>
        <v>736.28311550151921</v>
      </c>
      <c r="AM64" s="182">
        <f t="shared" si="28"/>
        <v>16</v>
      </c>
      <c r="AN64" s="574"/>
      <c r="AO64" s="188">
        <v>4</v>
      </c>
      <c r="AP64" s="188">
        <v>2946.1224620060766</v>
      </c>
      <c r="AQ64" s="185">
        <f t="shared" si="29"/>
        <v>736.53061550151915</v>
      </c>
      <c r="AR64" s="182">
        <f t="shared" si="30"/>
        <v>15</v>
      </c>
      <c r="AS64" s="574"/>
      <c r="AT64" s="188">
        <v>4</v>
      </c>
      <c r="AU64" s="188">
        <v>2945.7924620060767</v>
      </c>
      <c r="AV64" s="185">
        <f t="shared" si="31"/>
        <v>736.44811550151917</v>
      </c>
      <c r="AW64" s="182">
        <f t="shared" si="32"/>
        <v>17</v>
      </c>
      <c r="AX64" s="574"/>
    </row>
    <row r="65" spans="2:50">
      <c r="B65" s="575"/>
      <c r="C65" s="180">
        <v>21</v>
      </c>
      <c r="D65" s="183" t="s">
        <v>409</v>
      </c>
      <c r="E65" s="184">
        <v>4</v>
      </c>
      <c r="F65" s="180">
        <v>3000</v>
      </c>
      <c r="G65" s="185">
        <f t="shared" si="19"/>
        <v>750</v>
      </c>
      <c r="H65" s="576"/>
      <c r="I65" s="186">
        <f t="shared" si="20"/>
        <v>4</v>
      </c>
      <c r="J65" s="186">
        <f t="shared" si="20"/>
        <v>2700.1142838277237</v>
      </c>
      <c r="K65" s="187">
        <f t="shared" si="20"/>
        <v>675.02857095693093</v>
      </c>
      <c r="L65" s="577"/>
      <c r="M65" s="186">
        <f>RANK(K65, K$45:$K$77)</f>
        <v>20</v>
      </c>
      <c r="N65" s="588"/>
      <c r="O65" s="578"/>
      <c r="P65" s="188">
        <v>4</v>
      </c>
      <c r="Q65" s="188">
        <v>2700.5107832009107</v>
      </c>
      <c r="R65" s="185">
        <f t="shared" si="17"/>
        <v>675.12769580022768</v>
      </c>
      <c r="S65" s="182">
        <f t="shared" si="21"/>
        <v>18</v>
      </c>
      <c r="T65" s="574"/>
      <c r="U65" s="188">
        <v>4</v>
      </c>
      <c r="V65" s="188">
        <v>2701.3627227569232</v>
      </c>
      <c r="W65" s="185">
        <f t="shared" si="18"/>
        <v>675.34068068923079</v>
      </c>
      <c r="X65" s="182">
        <f t="shared" si="22"/>
        <v>18</v>
      </c>
      <c r="Y65" s="574"/>
      <c r="Z65" s="188">
        <v>4</v>
      </c>
      <c r="AA65" s="188">
        <v>2699.8452961672469</v>
      </c>
      <c r="AB65" s="185">
        <f t="shared" si="23"/>
        <v>674.96132404181174</v>
      </c>
      <c r="AC65" s="182">
        <f t="shared" si="24"/>
        <v>18</v>
      </c>
      <c r="AD65" s="574"/>
      <c r="AE65" s="188">
        <v>4</v>
      </c>
      <c r="AF65" s="188">
        <v>2698.6452961672471</v>
      </c>
      <c r="AG65" s="185">
        <f t="shared" si="25"/>
        <v>674.66132404181178</v>
      </c>
      <c r="AH65" s="182">
        <f t="shared" si="26"/>
        <v>18</v>
      </c>
      <c r="AI65" s="574"/>
      <c r="AJ65" s="188">
        <v>4</v>
      </c>
      <c r="AK65" s="188">
        <v>2699.245296167247</v>
      </c>
      <c r="AL65" s="185">
        <f t="shared" si="27"/>
        <v>674.81132404181176</v>
      </c>
      <c r="AM65" s="182">
        <f t="shared" si="28"/>
        <v>18</v>
      </c>
      <c r="AN65" s="574"/>
      <c r="AO65" s="188">
        <v>4</v>
      </c>
      <c r="AP65" s="188">
        <v>2700.745296167247</v>
      </c>
      <c r="AQ65" s="185">
        <f t="shared" si="29"/>
        <v>675.18632404181176</v>
      </c>
      <c r="AR65" s="182">
        <f t="shared" si="30"/>
        <v>18</v>
      </c>
      <c r="AS65" s="574"/>
      <c r="AT65" s="188">
        <v>4</v>
      </c>
      <c r="AU65" s="188">
        <v>2700.4452961672478</v>
      </c>
      <c r="AV65" s="185">
        <f t="shared" si="31"/>
        <v>675.11132404181194</v>
      </c>
      <c r="AW65" s="182">
        <f t="shared" si="32"/>
        <v>20</v>
      </c>
      <c r="AX65" s="574"/>
    </row>
    <row r="66" spans="2:50">
      <c r="B66" s="575"/>
      <c r="C66" s="180">
        <v>22</v>
      </c>
      <c r="D66" s="183" t="s">
        <v>466</v>
      </c>
      <c r="E66" s="184">
        <v>3</v>
      </c>
      <c r="F66" s="180">
        <v>3600</v>
      </c>
      <c r="G66" s="185">
        <f>F66/E66</f>
        <v>1200</v>
      </c>
      <c r="H66" s="576"/>
      <c r="I66" s="186">
        <f t="shared" si="20"/>
        <v>3</v>
      </c>
      <c r="J66" s="186">
        <f t="shared" si="20"/>
        <v>3180.81923260754</v>
      </c>
      <c r="K66" s="187">
        <f t="shared" si="20"/>
        <v>1060.2730775358466</v>
      </c>
      <c r="L66" s="577"/>
      <c r="M66" s="186">
        <f>RANK(K66, K$45:$K$77)</f>
        <v>1</v>
      </c>
      <c r="N66" s="588"/>
      <c r="O66" s="578"/>
      <c r="P66" s="188">
        <v>3</v>
      </c>
      <c r="Q66" s="188">
        <v>3182.8996282527823</v>
      </c>
      <c r="R66" s="185">
        <f t="shared" si="17"/>
        <v>1060.9665427509274</v>
      </c>
      <c r="S66" s="182">
        <f t="shared" si="21"/>
        <v>1</v>
      </c>
      <c r="T66" s="574"/>
      <c r="U66" s="188">
        <v>3</v>
      </c>
      <c r="V66" s="188">
        <v>3182.8124999999995</v>
      </c>
      <c r="W66" s="185">
        <f t="shared" si="18"/>
        <v>1060.9374999999998</v>
      </c>
      <c r="X66" s="182">
        <f t="shared" si="22"/>
        <v>1</v>
      </c>
      <c r="Y66" s="574"/>
      <c r="Z66" s="188">
        <v>3</v>
      </c>
      <c r="AA66" s="188">
        <v>3181.0124999999994</v>
      </c>
      <c r="AB66" s="185">
        <f t="shared" si="23"/>
        <v>1060.3374999999999</v>
      </c>
      <c r="AC66" s="182">
        <f t="shared" si="24"/>
        <v>1</v>
      </c>
      <c r="AD66" s="574"/>
      <c r="AE66" s="188">
        <v>3</v>
      </c>
      <c r="AF66" s="188">
        <v>3180.2925</v>
      </c>
      <c r="AG66" s="185">
        <f t="shared" si="25"/>
        <v>1060.0975000000001</v>
      </c>
      <c r="AH66" s="182">
        <f t="shared" si="26"/>
        <v>1</v>
      </c>
      <c r="AI66" s="574"/>
      <c r="AJ66" s="188">
        <v>3</v>
      </c>
      <c r="AK66" s="188">
        <v>3180.6525000000001</v>
      </c>
      <c r="AL66" s="185">
        <f t="shared" si="27"/>
        <v>1060.2175</v>
      </c>
      <c r="AM66" s="182">
        <f t="shared" si="28"/>
        <v>1</v>
      </c>
      <c r="AN66" s="574"/>
      <c r="AO66" s="188">
        <v>3</v>
      </c>
      <c r="AP66" s="188">
        <v>3178.8525</v>
      </c>
      <c r="AQ66" s="185">
        <f t="shared" si="29"/>
        <v>1059.6175000000001</v>
      </c>
      <c r="AR66" s="182">
        <f t="shared" si="30"/>
        <v>3</v>
      </c>
      <c r="AS66" s="574"/>
      <c r="AT66" s="188">
        <v>3</v>
      </c>
      <c r="AU66" s="188">
        <v>3179.2124999999996</v>
      </c>
      <c r="AV66" s="185">
        <f t="shared" si="31"/>
        <v>1059.7375</v>
      </c>
      <c r="AW66" s="182">
        <f t="shared" si="32"/>
        <v>2</v>
      </c>
      <c r="AX66" s="574"/>
    </row>
    <row r="67" spans="2:50">
      <c r="B67" s="575"/>
      <c r="C67" s="180">
        <v>23</v>
      </c>
      <c r="D67" s="183" t="s">
        <v>475</v>
      </c>
      <c r="E67" s="184">
        <v>4</v>
      </c>
      <c r="F67" s="180">
        <v>3000</v>
      </c>
      <c r="G67" s="185">
        <f t="shared" ref="G67:G76" si="33">F67/E67</f>
        <v>750</v>
      </c>
      <c r="H67" s="576"/>
      <c r="I67" s="186">
        <f t="shared" si="20"/>
        <v>4</v>
      </c>
      <c r="J67" s="186">
        <f t="shared" si="20"/>
        <v>2682.4569220538992</v>
      </c>
      <c r="K67" s="187">
        <f t="shared" si="20"/>
        <v>670.61423051347481</v>
      </c>
      <c r="L67" s="577"/>
      <c r="M67" s="186">
        <f>RANK(K67, K$45:$K$77)</f>
        <v>22</v>
      </c>
      <c r="N67" s="588"/>
      <c r="O67" s="578"/>
      <c r="P67" s="188">
        <v>4</v>
      </c>
      <c r="Q67" s="188">
        <v>2682.5446082234325</v>
      </c>
      <c r="R67" s="185">
        <f t="shared" si="17"/>
        <v>670.63615205585813</v>
      </c>
      <c r="S67" s="182">
        <f t="shared" si="21"/>
        <v>20</v>
      </c>
      <c r="T67" s="574"/>
      <c r="U67" s="188">
        <v>4</v>
      </c>
      <c r="V67" s="188">
        <v>2682.6923076923108</v>
      </c>
      <c r="W67" s="185">
        <f t="shared" si="18"/>
        <v>670.6730769230777</v>
      </c>
      <c r="X67" s="182">
        <f t="shared" si="22"/>
        <v>20</v>
      </c>
      <c r="Y67" s="574"/>
      <c r="Z67" s="188">
        <v>4</v>
      </c>
      <c r="AA67" s="188">
        <v>2683.2923076923103</v>
      </c>
      <c r="AB67" s="185">
        <f t="shared" si="23"/>
        <v>670.82307692307756</v>
      </c>
      <c r="AC67" s="182">
        <f t="shared" si="24"/>
        <v>20</v>
      </c>
      <c r="AD67" s="574"/>
      <c r="AE67" s="188">
        <v>4</v>
      </c>
      <c r="AF67" s="188">
        <v>2682.9923076923105</v>
      </c>
      <c r="AG67" s="185">
        <f t="shared" si="25"/>
        <v>670.74807692307763</v>
      </c>
      <c r="AH67" s="182">
        <f t="shared" si="26"/>
        <v>20</v>
      </c>
      <c r="AI67" s="574"/>
      <c r="AJ67" s="188">
        <v>4</v>
      </c>
      <c r="AK67" s="188">
        <v>2682.3923076923106</v>
      </c>
      <c r="AL67" s="185">
        <f t="shared" si="27"/>
        <v>670.59807692307766</v>
      </c>
      <c r="AM67" s="182">
        <f t="shared" si="28"/>
        <v>20</v>
      </c>
      <c r="AN67" s="574"/>
      <c r="AO67" s="188">
        <v>4</v>
      </c>
      <c r="AP67" s="188">
        <v>2681.1923076923108</v>
      </c>
      <c r="AQ67" s="185">
        <f t="shared" si="29"/>
        <v>670.2980769230777</v>
      </c>
      <c r="AR67" s="182">
        <f t="shared" si="30"/>
        <v>20</v>
      </c>
      <c r="AS67" s="574"/>
      <c r="AT67" s="188">
        <v>4</v>
      </c>
      <c r="AU67" s="188">
        <v>2682.0923076923109</v>
      </c>
      <c r="AV67" s="185">
        <f t="shared" si="31"/>
        <v>670.52307692307772</v>
      </c>
      <c r="AW67" s="182">
        <f t="shared" si="32"/>
        <v>22</v>
      </c>
      <c r="AX67" s="574"/>
    </row>
    <row r="68" spans="2:50">
      <c r="B68" s="575"/>
      <c r="C68" s="180">
        <v>24</v>
      </c>
      <c r="D68" s="183" t="s">
        <v>495</v>
      </c>
      <c r="E68" s="184">
        <v>5</v>
      </c>
      <c r="F68" s="180">
        <v>3000</v>
      </c>
      <c r="G68" s="185">
        <f t="shared" si="33"/>
        <v>600</v>
      </c>
      <c r="H68" s="576"/>
      <c r="I68" s="186">
        <f t="shared" si="20"/>
        <v>5</v>
      </c>
      <c r="J68" s="186">
        <f t="shared" si="20"/>
        <v>2682.4549658183801</v>
      </c>
      <c r="K68" s="187">
        <f t="shared" si="20"/>
        <v>536.49099316367597</v>
      </c>
      <c r="L68" s="577"/>
      <c r="M68" s="186">
        <f>RANK(K68, K$45:$K$77)</f>
        <v>27</v>
      </c>
      <c r="N68" s="588"/>
      <c r="O68" s="578"/>
      <c r="P68" s="188">
        <v>5</v>
      </c>
      <c r="Q68" s="188">
        <v>2681.8624044475373</v>
      </c>
      <c r="R68" s="185">
        <f t="shared" si="17"/>
        <v>536.37248088950741</v>
      </c>
      <c r="S68" s="182">
        <f t="shared" si="21"/>
        <v>25</v>
      </c>
      <c r="T68" s="574"/>
      <c r="U68" s="188">
        <v>5</v>
      </c>
      <c r="V68" s="188">
        <v>2682.7537260468544</v>
      </c>
      <c r="W68" s="185">
        <f t="shared" si="18"/>
        <v>536.55074520937092</v>
      </c>
      <c r="X68" s="182">
        <f t="shared" si="22"/>
        <v>25</v>
      </c>
      <c r="Y68" s="574"/>
      <c r="Z68" s="188">
        <v>5</v>
      </c>
      <c r="AA68" s="188">
        <v>2682.4537260468542</v>
      </c>
      <c r="AB68" s="185">
        <f t="shared" si="23"/>
        <v>536.49074520937086</v>
      </c>
      <c r="AC68" s="182">
        <f t="shared" si="24"/>
        <v>25</v>
      </c>
      <c r="AD68" s="574"/>
      <c r="AE68" s="188">
        <v>5</v>
      </c>
      <c r="AF68" s="188">
        <v>2682.1537260468544</v>
      </c>
      <c r="AG68" s="185">
        <f t="shared" si="25"/>
        <v>536.43074520937091</v>
      </c>
      <c r="AH68" s="182">
        <f t="shared" si="26"/>
        <v>25</v>
      </c>
      <c r="AI68" s="574"/>
      <c r="AJ68" s="188">
        <v>5</v>
      </c>
      <c r="AK68" s="188">
        <v>2682.7537260468539</v>
      </c>
      <c r="AL68" s="185">
        <f t="shared" si="27"/>
        <v>536.5507452093708</v>
      </c>
      <c r="AM68" s="182">
        <f t="shared" si="28"/>
        <v>25</v>
      </c>
      <c r="AN68" s="574"/>
      <c r="AO68" s="188">
        <v>5</v>
      </c>
      <c r="AP68" s="188">
        <v>2682.7537260468539</v>
      </c>
      <c r="AQ68" s="185">
        <f t="shared" si="29"/>
        <v>536.5507452093708</v>
      </c>
      <c r="AR68" s="182">
        <f t="shared" si="30"/>
        <v>26</v>
      </c>
      <c r="AS68" s="574"/>
      <c r="AT68" s="188">
        <v>5</v>
      </c>
      <c r="AU68" s="188">
        <v>2682.4537260468537</v>
      </c>
      <c r="AV68" s="185">
        <f t="shared" si="31"/>
        <v>536.49074520937074</v>
      </c>
      <c r="AW68" s="182">
        <f t="shared" si="32"/>
        <v>28</v>
      </c>
      <c r="AX68" s="574"/>
    </row>
    <row r="69" spans="2:50">
      <c r="B69" s="575"/>
      <c r="C69" s="180">
        <v>25</v>
      </c>
      <c r="D69" s="183" t="s">
        <v>533</v>
      </c>
      <c r="E69" s="184">
        <v>4</v>
      </c>
      <c r="F69" s="180">
        <v>3000</v>
      </c>
      <c r="G69" s="185">
        <f t="shared" si="33"/>
        <v>750</v>
      </c>
      <c r="H69" s="576"/>
      <c r="I69" s="186">
        <f t="shared" si="20"/>
        <v>4</v>
      </c>
      <c r="J69" s="186">
        <f t="shared" si="20"/>
        <v>2685.0224813397026</v>
      </c>
      <c r="K69" s="187">
        <f t="shared" si="20"/>
        <v>671.25562033492565</v>
      </c>
      <c r="L69" s="577"/>
      <c r="M69" s="186">
        <f>RANK(K69, K$45:$K$77)</f>
        <v>21</v>
      </c>
      <c r="N69" s="588"/>
      <c r="O69" s="578"/>
      <c r="P69" s="188">
        <v>4</v>
      </c>
      <c r="Q69" s="188">
        <v>2683.2394976180167</v>
      </c>
      <c r="R69" s="185">
        <f t="shared" si="17"/>
        <v>670.80987440450417</v>
      </c>
      <c r="S69" s="182">
        <f t="shared" si="21"/>
        <v>19</v>
      </c>
      <c r="T69" s="574"/>
      <c r="U69" s="188">
        <v>4</v>
      </c>
      <c r="V69" s="188">
        <v>2683.2196452933167</v>
      </c>
      <c r="W69" s="185">
        <f t="shared" si="18"/>
        <v>670.80491132332918</v>
      </c>
      <c r="X69" s="182">
        <f t="shared" si="22"/>
        <v>19</v>
      </c>
      <c r="Y69" s="574"/>
      <c r="Z69" s="188">
        <v>4</v>
      </c>
      <c r="AA69" s="188">
        <v>2684.7196452933172</v>
      </c>
      <c r="AB69" s="185">
        <f t="shared" si="23"/>
        <v>671.17991132332929</v>
      </c>
      <c r="AC69" s="182">
        <f t="shared" si="24"/>
        <v>19</v>
      </c>
      <c r="AD69" s="574"/>
      <c r="AE69" s="188">
        <v>4</v>
      </c>
      <c r="AF69" s="188">
        <v>2684.7196452933172</v>
      </c>
      <c r="AG69" s="185">
        <f t="shared" si="25"/>
        <v>671.17991132332929</v>
      </c>
      <c r="AH69" s="182">
        <f t="shared" si="26"/>
        <v>19</v>
      </c>
      <c r="AI69" s="574"/>
      <c r="AJ69" s="188">
        <v>4</v>
      </c>
      <c r="AK69" s="188">
        <v>2685.3196452933171</v>
      </c>
      <c r="AL69" s="185">
        <f t="shared" si="27"/>
        <v>671.32991132332927</v>
      </c>
      <c r="AM69" s="182">
        <f t="shared" si="28"/>
        <v>19</v>
      </c>
      <c r="AN69" s="574"/>
      <c r="AO69" s="188">
        <v>4</v>
      </c>
      <c r="AP69" s="188">
        <v>2686.5196452933169</v>
      </c>
      <c r="AQ69" s="185">
        <f t="shared" si="29"/>
        <v>671.62991132332922</v>
      </c>
      <c r="AR69" s="182">
        <f t="shared" si="30"/>
        <v>19</v>
      </c>
      <c r="AS69" s="574"/>
      <c r="AT69" s="188">
        <v>4</v>
      </c>
      <c r="AU69" s="188">
        <v>2687.4196452933174</v>
      </c>
      <c r="AV69" s="185">
        <f t="shared" si="31"/>
        <v>671.85491132332936</v>
      </c>
      <c r="AW69" s="182">
        <f t="shared" si="32"/>
        <v>21</v>
      </c>
      <c r="AX69" s="574"/>
    </row>
    <row r="70" spans="2:50">
      <c r="B70" s="575"/>
      <c r="C70" s="180">
        <v>26</v>
      </c>
      <c r="D70" s="183" t="s">
        <v>640</v>
      </c>
      <c r="E70" s="184">
        <v>5</v>
      </c>
      <c r="F70" s="180">
        <v>3000</v>
      </c>
      <c r="G70" s="185">
        <f t="shared" si="33"/>
        <v>600</v>
      </c>
      <c r="H70" s="576"/>
      <c r="I70" s="186">
        <f t="shared" si="20"/>
        <v>5</v>
      </c>
      <c r="J70" s="186">
        <f t="shared" si="20"/>
        <v>2629.682070014439</v>
      </c>
      <c r="K70" s="187">
        <f t="shared" si="20"/>
        <v>525.93641400288777</v>
      </c>
      <c r="L70" s="577"/>
      <c r="M70" s="186">
        <f>RANK(K70, K$45:$K$77)</f>
        <v>28</v>
      </c>
      <c r="N70" s="588"/>
      <c r="O70" s="578"/>
      <c r="P70" s="188">
        <v>5</v>
      </c>
      <c r="Q70" s="188">
        <v>2516.4705882352914</v>
      </c>
      <c r="R70" s="185">
        <f t="shared" si="17"/>
        <v>503.29411764705827</v>
      </c>
      <c r="S70" s="182">
        <f t="shared" si="21"/>
        <v>26</v>
      </c>
      <c r="T70" s="574"/>
      <c r="U70" s="188">
        <v>5</v>
      </c>
      <c r="V70" s="188">
        <v>2563.0114566284742</v>
      </c>
      <c r="W70" s="185">
        <f t="shared" si="18"/>
        <v>512.60229132569486</v>
      </c>
      <c r="X70" s="182">
        <f t="shared" si="22"/>
        <v>26</v>
      </c>
      <c r="Y70" s="574"/>
      <c r="Z70" s="188">
        <v>5</v>
      </c>
      <c r="AA70" s="188">
        <v>2613.3536857610443</v>
      </c>
      <c r="AB70" s="185">
        <f t="shared" si="23"/>
        <v>522.67073715220886</v>
      </c>
      <c r="AC70" s="182">
        <f t="shared" si="24"/>
        <v>26</v>
      </c>
      <c r="AD70" s="574"/>
      <c r="AE70" s="188">
        <v>5</v>
      </c>
      <c r="AF70" s="188">
        <v>2666.5387594762651</v>
      </c>
      <c r="AG70" s="185">
        <f t="shared" si="25"/>
        <v>533.30775189525298</v>
      </c>
      <c r="AH70" s="182">
        <f t="shared" si="26"/>
        <v>26</v>
      </c>
      <c r="AI70" s="574"/>
      <c r="AJ70" s="188">
        <v>5</v>
      </c>
      <c r="AK70" s="188">
        <v>2682</v>
      </c>
      <c r="AL70" s="185">
        <f t="shared" si="27"/>
        <v>536.4</v>
      </c>
      <c r="AM70" s="182">
        <f t="shared" si="28"/>
        <v>26</v>
      </c>
      <c r="AN70" s="574"/>
      <c r="AO70" s="188">
        <v>5</v>
      </c>
      <c r="AP70" s="188">
        <v>2682.8999999999996</v>
      </c>
      <c r="AQ70" s="185">
        <f t="shared" si="29"/>
        <v>536.57999999999993</v>
      </c>
      <c r="AR70" s="182">
        <f t="shared" si="30"/>
        <v>25</v>
      </c>
      <c r="AS70" s="574"/>
      <c r="AT70" s="188">
        <v>5</v>
      </c>
      <c r="AU70" s="188">
        <v>2683.4999999999995</v>
      </c>
      <c r="AV70" s="185">
        <f t="shared" si="31"/>
        <v>536.69999999999993</v>
      </c>
      <c r="AW70" s="182">
        <f t="shared" si="32"/>
        <v>27</v>
      </c>
      <c r="AX70" s="574"/>
    </row>
    <row r="71" spans="2:50">
      <c r="B71" s="575"/>
      <c r="C71" s="180">
        <v>27</v>
      </c>
      <c r="D71" s="183" t="s">
        <v>554</v>
      </c>
      <c r="E71" s="184">
        <v>12</v>
      </c>
      <c r="F71" s="180">
        <v>3600</v>
      </c>
      <c r="G71" s="185">
        <f t="shared" si="33"/>
        <v>300</v>
      </c>
      <c r="H71" s="576"/>
      <c r="I71" s="186">
        <f t="shared" si="20"/>
        <v>12</v>
      </c>
      <c r="J71" s="186">
        <f t="shared" si="20"/>
        <v>3256.6520702542293</v>
      </c>
      <c r="K71" s="187">
        <f t="shared" si="20"/>
        <v>271.38767252118583</v>
      </c>
      <c r="L71" s="577"/>
      <c r="M71" s="186">
        <f>RANK(K71, K$45:$K$77)</f>
        <v>29</v>
      </c>
      <c r="N71" s="588"/>
      <c r="O71" s="578"/>
      <c r="P71" s="188">
        <v>12</v>
      </c>
      <c r="Q71" s="188">
        <v>3255.9440559440563</v>
      </c>
      <c r="R71" s="185">
        <f t="shared" si="17"/>
        <v>271.32867132867136</v>
      </c>
      <c r="S71" s="182">
        <f t="shared" si="21"/>
        <v>27</v>
      </c>
      <c r="T71" s="574"/>
      <c r="U71" s="188">
        <v>12</v>
      </c>
      <c r="V71" s="188">
        <v>3255.6900726392582</v>
      </c>
      <c r="W71" s="185">
        <f t="shared" si="18"/>
        <v>271.30750605327154</v>
      </c>
      <c r="X71" s="182">
        <f t="shared" si="22"/>
        <v>27</v>
      </c>
      <c r="Y71" s="574"/>
      <c r="Z71" s="188">
        <v>12</v>
      </c>
      <c r="AA71" s="188">
        <v>3256.0500726392584</v>
      </c>
      <c r="AB71" s="185">
        <f t="shared" si="23"/>
        <v>271.33750605327151</v>
      </c>
      <c r="AC71" s="182">
        <f t="shared" si="24"/>
        <v>27</v>
      </c>
      <c r="AD71" s="574"/>
      <c r="AE71" s="188">
        <v>12</v>
      </c>
      <c r="AF71" s="188">
        <v>3257.1300726392587</v>
      </c>
      <c r="AG71" s="185">
        <f t="shared" si="25"/>
        <v>271.42750605327154</v>
      </c>
      <c r="AH71" s="182">
        <f t="shared" si="26"/>
        <v>27</v>
      </c>
      <c r="AI71" s="574"/>
      <c r="AJ71" s="188">
        <v>12</v>
      </c>
      <c r="AK71" s="188">
        <v>3258.2100726392587</v>
      </c>
      <c r="AL71" s="185">
        <f t="shared" si="27"/>
        <v>271.51750605327157</v>
      </c>
      <c r="AM71" s="182">
        <f t="shared" si="28"/>
        <v>27</v>
      </c>
      <c r="AN71" s="574"/>
      <c r="AO71" s="188">
        <v>12</v>
      </c>
      <c r="AP71" s="188">
        <v>3256.7700726392591</v>
      </c>
      <c r="AQ71" s="185">
        <f t="shared" si="29"/>
        <v>271.39750605327157</v>
      </c>
      <c r="AR71" s="182">
        <f t="shared" si="30"/>
        <v>27</v>
      </c>
      <c r="AS71" s="574"/>
      <c r="AT71" s="188">
        <v>12</v>
      </c>
      <c r="AU71" s="188">
        <v>3256.7700726392591</v>
      </c>
      <c r="AV71" s="185">
        <f t="shared" si="31"/>
        <v>271.39750605327157</v>
      </c>
      <c r="AW71" s="182">
        <f t="shared" si="32"/>
        <v>29</v>
      </c>
      <c r="AX71" s="574"/>
    </row>
    <row r="72" spans="2:50">
      <c r="B72" s="575"/>
      <c r="C72" s="180">
        <v>28</v>
      </c>
      <c r="D72" s="183" t="s">
        <v>587</v>
      </c>
      <c r="E72" s="184">
        <v>13</v>
      </c>
      <c r="F72" s="180">
        <v>3600</v>
      </c>
      <c r="G72" s="185">
        <f t="shared" si="33"/>
        <v>276.92307692307691</v>
      </c>
      <c r="H72" s="576"/>
      <c r="I72" s="186">
        <f t="shared" si="20"/>
        <v>13</v>
      </c>
      <c r="J72" s="186">
        <f t="shared" si="20"/>
        <v>3253.8594069663673</v>
      </c>
      <c r="K72" s="187">
        <f t="shared" si="20"/>
        <v>250.29687745895131</v>
      </c>
      <c r="L72" s="577"/>
      <c r="M72" s="186">
        <f>RANK(K72, K$45:$K$77)</f>
        <v>32</v>
      </c>
      <c r="N72" s="588"/>
      <c r="O72" s="578"/>
      <c r="P72" s="188">
        <v>13</v>
      </c>
      <c r="Q72" s="188">
        <v>3254.8117154811634</v>
      </c>
      <c r="R72" s="185">
        <f t="shared" si="17"/>
        <v>250.37013196008951</v>
      </c>
      <c r="S72" s="182">
        <f t="shared" si="21"/>
        <v>30</v>
      </c>
      <c r="T72" s="574"/>
      <c r="U72" s="188">
        <v>13</v>
      </c>
      <c r="V72" s="188">
        <v>3254.9606888805674</v>
      </c>
      <c r="W72" s="185">
        <f t="shared" si="18"/>
        <v>250.38159145235133</v>
      </c>
      <c r="X72" s="182">
        <f t="shared" si="22"/>
        <v>30</v>
      </c>
      <c r="Y72" s="574"/>
      <c r="Z72" s="188">
        <v>13</v>
      </c>
      <c r="AA72" s="188">
        <v>3254.9606888805674</v>
      </c>
      <c r="AB72" s="185">
        <f t="shared" si="23"/>
        <v>250.38159145235133</v>
      </c>
      <c r="AC72" s="182">
        <f t="shared" si="24"/>
        <v>30</v>
      </c>
      <c r="AD72" s="574"/>
      <c r="AE72" s="188">
        <v>13</v>
      </c>
      <c r="AF72" s="188">
        <v>3253.5206888805678</v>
      </c>
      <c r="AG72" s="185">
        <f t="shared" si="25"/>
        <v>250.27082222158214</v>
      </c>
      <c r="AH72" s="182">
        <f t="shared" si="26"/>
        <v>30</v>
      </c>
      <c r="AI72" s="574"/>
      <c r="AJ72" s="188">
        <v>13</v>
      </c>
      <c r="AK72" s="188">
        <v>3252.8006888805676</v>
      </c>
      <c r="AL72" s="185">
        <f t="shared" si="27"/>
        <v>250.2154376061975</v>
      </c>
      <c r="AM72" s="182">
        <f t="shared" si="28"/>
        <v>30</v>
      </c>
      <c r="AN72" s="574"/>
      <c r="AO72" s="188">
        <v>13</v>
      </c>
      <c r="AP72" s="188">
        <v>3252.8006888805676</v>
      </c>
      <c r="AQ72" s="185">
        <f t="shared" si="29"/>
        <v>250.2154376061975</v>
      </c>
      <c r="AR72" s="182">
        <f t="shared" si="30"/>
        <v>30</v>
      </c>
      <c r="AS72" s="574"/>
      <c r="AT72" s="188">
        <v>13</v>
      </c>
      <c r="AU72" s="188">
        <v>3253.1606888805677</v>
      </c>
      <c r="AV72" s="185">
        <f t="shared" si="31"/>
        <v>250.24312991388982</v>
      </c>
      <c r="AW72" s="182">
        <f t="shared" si="32"/>
        <v>32</v>
      </c>
      <c r="AX72" s="574"/>
    </row>
    <row r="73" spans="2:50">
      <c r="B73" s="575"/>
      <c r="C73" s="180">
        <v>29</v>
      </c>
      <c r="D73" s="183" t="s">
        <v>347</v>
      </c>
      <c r="E73" s="184">
        <v>3</v>
      </c>
      <c r="F73" s="180">
        <v>3000</v>
      </c>
      <c r="G73" s="185">
        <f t="shared" si="33"/>
        <v>1000</v>
      </c>
      <c r="H73" s="576"/>
      <c r="I73" s="186">
        <f t="shared" si="20"/>
        <v>3</v>
      </c>
      <c r="J73" s="186">
        <f t="shared" si="20"/>
        <v>2701.4088382268119</v>
      </c>
      <c r="K73" s="187">
        <f t="shared" si="20"/>
        <v>900.46961274227067</v>
      </c>
      <c r="L73" s="577"/>
      <c r="M73" s="186">
        <f>RANK(K73, K$45:$K$77)</f>
        <v>10</v>
      </c>
      <c r="N73" s="588"/>
      <c r="O73" s="578"/>
      <c r="P73" s="188">
        <v>3</v>
      </c>
      <c r="Q73" s="188">
        <v>2699.941091765937</v>
      </c>
      <c r="R73" s="185">
        <f t="shared" si="17"/>
        <v>899.98036392197901</v>
      </c>
      <c r="S73" s="182">
        <f t="shared" si="21"/>
        <v>11</v>
      </c>
      <c r="T73" s="574"/>
      <c r="U73" s="188">
        <v>3</v>
      </c>
      <c r="V73" s="188">
        <v>2700.2449043247912</v>
      </c>
      <c r="W73" s="185">
        <f t="shared" si="18"/>
        <v>900.08163477493042</v>
      </c>
      <c r="X73" s="182">
        <f t="shared" si="22"/>
        <v>11</v>
      </c>
      <c r="Y73" s="574"/>
      <c r="Z73" s="188">
        <v>3</v>
      </c>
      <c r="AA73" s="188">
        <v>2700.6151742993907</v>
      </c>
      <c r="AB73" s="185">
        <f t="shared" si="23"/>
        <v>900.20505809979693</v>
      </c>
      <c r="AC73" s="182">
        <f t="shared" si="24"/>
        <v>11</v>
      </c>
      <c r="AD73" s="574"/>
      <c r="AE73" s="188">
        <v>3</v>
      </c>
      <c r="AF73" s="188">
        <v>2700.9151742993909</v>
      </c>
      <c r="AG73" s="185">
        <f t="shared" si="25"/>
        <v>900.30505809979695</v>
      </c>
      <c r="AH73" s="182">
        <f t="shared" si="26"/>
        <v>10</v>
      </c>
      <c r="AI73" s="574"/>
      <c r="AJ73" s="188">
        <v>3</v>
      </c>
      <c r="AK73" s="188">
        <v>2702.1151742993907</v>
      </c>
      <c r="AL73" s="185">
        <f t="shared" si="27"/>
        <v>900.70505809979693</v>
      </c>
      <c r="AM73" s="182">
        <f t="shared" si="28"/>
        <v>10</v>
      </c>
      <c r="AN73" s="574"/>
      <c r="AO73" s="188">
        <v>3</v>
      </c>
      <c r="AP73" s="188">
        <v>2703.3151742993905</v>
      </c>
      <c r="AQ73" s="185">
        <f t="shared" si="29"/>
        <v>901.10505809979679</v>
      </c>
      <c r="AR73" s="182">
        <f t="shared" si="30"/>
        <v>9</v>
      </c>
      <c r="AS73" s="574"/>
      <c r="AT73" s="188">
        <v>3</v>
      </c>
      <c r="AU73" s="188">
        <v>2702.715174299391</v>
      </c>
      <c r="AV73" s="185">
        <f t="shared" si="31"/>
        <v>900.90505809979697</v>
      </c>
      <c r="AW73" s="182">
        <f t="shared" si="32"/>
        <v>10</v>
      </c>
      <c r="AX73" s="574"/>
    </row>
    <row r="74" spans="2:50">
      <c r="B74" s="575"/>
      <c r="C74" s="180">
        <v>30</v>
      </c>
      <c r="D74" s="183" t="s">
        <v>471</v>
      </c>
      <c r="E74" s="184">
        <v>12</v>
      </c>
      <c r="F74" s="180">
        <v>3600</v>
      </c>
      <c r="G74" s="185">
        <f t="shared" si="33"/>
        <v>300</v>
      </c>
      <c r="H74" s="576"/>
      <c r="I74" s="186">
        <f t="shared" si="20"/>
        <v>12</v>
      </c>
      <c r="J74" s="186">
        <f t="shared" si="20"/>
        <v>3126.008562922219</v>
      </c>
      <c r="K74" s="187">
        <f t="shared" si="20"/>
        <v>260.50071357685158</v>
      </c>
      <c r="L74" s="577"/>
      <c r="M74" s="186">
        <f>RANK(K74, K$45:$K$77)</f>
        <v>30</v>
      </c>
      <c r="N74" s="588"/>
      <c r="O74" s="578"/>
      <c r="P74" s="188">
        <v>12</v>
      </c>
      <c r="Q74" s="188">
        <v>3123.913043478261</v>
      </c>
      <c r="R74" s="185">
        <f t="shared" si="17"/>
        <v>260.32608695652175</v>
      </c>
      <c r="S74" s="182">
        <f t="shared" si="21"/>
        <v>29</v>
      </c>
      <c r="T74" s="574"/>
      <c r="U74" s="188">
        <v>12</v>
      </c>
      <c r="V74" s="188">
        <v>3124.7378161628794</v>
      </c>
      <c r="W74" s="185">
        <f t="shared" si="18"/>
        <v>260.39481801357329</v>
      </c>
      <c r="X74" s="182">
        <f t="shared" si="22"/>
        <v>28</v>
      </c>
      <c r="Y74" s="574"/>
      <c r="Z74" s="188">
        <v>12</v>
      </c>
      <c r="AA74" s="188">
        <v>3126.5378161628787</v>
      </c>
      <c r="AB74" s="185">
        <f t="shared" si="23"/>
        <v>260.54481801357321</v>
      </c>
      <c r="AC74" s="182">
        <f t="shared" si="24"/>
        <v>28</v>
      </c>
      <c r="AD74" s="574"/>
      <c r="AE74" s="188">
        <v>12</v>
      </c>
      <c r="AF74" s="188">
        <v>3127.6178161628786</v>
      </c>
      <c r="AG74" s="185">
        <f t="shared" si="25"/>
        <v>260.63481801357324</v>
      </c>
      <c r="AH74" s="182">
        <f t="shared" si="26"/>
        <v>28</v>
      </c>
      <c r="AI74" s="574"/>
      <c r="AJ74" s="188">
        <v>12</v>
      </c>
      <c r="AK74" s="188">
        <v>3126.1778161628786</v>
      </c>
      <c r="AL74" s="185">
        <f t="shared" si="27"/>
        <v>260.51481801357323</v>
      </c>
      <c r="AM74" s="182">
        <f t="shared" si="28"/>
        <v>28</v>
      </c>
      <c r="AN74" s="574"/>
      <c r="AO74" s="188">
        <v>12</v>
      </c>
      <c r="AP74" s="188">
        <v>3125.8178161628794</v>
      </c>
      <c r="AQ74" s="185">
        <f t="shared" si="29"/>
        <v>260.48481801357326</v>
      </c>
      <c r="AR74" s="182">
        <f t="shared" si="30"/>
        <v>29</v>
      </c>
      <c r="AS74" s="574"/>
      <c r="AT74" s="188">
        <v>12</v>
      </c>
      <c r="AU74" s="188">
        <v>3127.257816162879</v>
      </c>
      <c r="AV74" s="185">
        <f t="shared" si="31"/>
        <v>260.60481801357327</v>
      </c>
      <c r="AW74" s="182">
        <f t="shared" si="32"/>
        <v>31</v>
      </c>
      <c r="AX74" s="574"/>
    </row>
    <row r="75" spans="2:50">
      <c r="B75" s="575"/>
      <c r="C75" s="180">
        <v>31</v>
      </c>
      <c r="D75" s="183" t="s">
        <v>674</v>
      </c>
      <c r="E75" s="180">
        <v>3</v>
      </c>
      <c r="F75" s="180">
        <v>3000</v>
      </c>
      <c r="G75" s="185">
        <f t="shared" si="33"/>
        <v>1000</v>
      </c>
      <c r="H75" s="576"/>
      <c r="I75" s="186">
        <f t="shared" si="20"/>
        <v>3</v>
      </c>
      <c r="J75" s="186">
        <f t="shared" si="20"/>
        <v>2557.0177426665805</v>
      </c>
      <c r="K75" s="187">
        <f t="shared" si="20"/>
        <v>852.33924755552687</v>
      </c>
      <c r="L75" s="577"/>
      <c r="M75" s="186">
        <f>RANK(K75, K$45:$K$77)</f>
        <v>13</v>
      </c>
      <c r="N75" s="588"/>
      <c r="O75" s="578"/>
      <c r="P75" s="188"/>
      <c r="Q75" s="188"/>
      <c r="R75" s="185"/>
      <c r="S75" s="182"/>
      <c r="T75" s="574"/>
      <c r="U75" s="188"/>
      <c r="V75" s="188"/>
      <c r="W75" s="185"/>
      <c r="X75" s="182"/>
      <c r="Y75" s="574"/>
      <c r="Z75" s="188"/>
      <c r="AA75" s="188"/>
      <c r="AB75" s="185"/>
      <c r="AC75" s="182"/>
      <c r="AD75" s="574"/>
      <c r="AE75" s="188"/>
      <c r="AF75" s="188"/>
      <c r="AG75" s="185"/>
      <c r="AH75" s="182"/>
      <c r="AI75" s="574"/>
      <c r="AJ75" s="188"/>
      <c r="AK75" s="188"/>
      <c r="AL75" s="185"/>
      <c r="AM75" s="182"/>
      <c r="AN75" s="574"/>
      <c r="AO75" s="188"/>
      <c r="AP75" s="188"/>
      <c r="AQ75" s="185"/>
      <c r="AR75" s="182"/>
      <c r="AS75" s="574"/>
      <c r="AT75" s="188">
        <v>3</v>
      </c>
      <c r="AU75" s="188">
        <v>2557.0177426665805</v>
      </c>
      <c r="AV75" s="185">
        <f t="shared" si="31"/>
        <v>852.33924755552687</v>
      </c>
      <c r="AW75" s="182">
        <f>RANK(AV75, AV$45:AV$77)</f>
        <v>13</v>
      </c>
      <c r="AX75" s="574"/>
    </row>
    <row r="76" spans="2:50">
      <c r="B76" s="575"/>
      <c r="C76" s="180">
        <v>32</v>
      </c>
      <c r="D76" s="183" t="s">
        <v>675</v>
      </c>
      <c r="E76" s="180">
        <v>3</v>
      </c>
      <c r="F76" s="180">
        <v>3300</v>
      </c>
      <c r="G76" s="185">
        <f t="shared" si="33"/>
        <v>1100</v>
      </c>
      <c r="H76" s="576"/>
      <c r="I76" s="186">
        <f t="shared" si="20"/>
        <v>3</v>
      </c>
      <c r="J76" s="186">
        <f t="shared" si="20"/>
        <v>2698.9614503592948</v>
      </c>
      <c r="K76" s="187">
        <f t="shared" si="20"/>
        <v>899.65381678643155</v>
      </c>
      <c r="L76" s="577"/>
      <c r="M76" s="186">
        <f>RANK(K76, K$45:$K$77)</f>
        <v>12</v>
      </c>
      <c r="N76" s="588"/>
      <c r="O76" s="578"/>
      <c r="P76" s="188"/>
      <c r="Q76" s="188"/>
      <c r="R76" s="185"/>
      <c r="S76" s="182"/>
      <c r="T76" s="574"/>
      <c r="U76" s="188"/>
      <c r="V76" s="188"/>
      <c r="W76" s="185"/>
      <c r="X76" s="182"/>
      <c r="Y76" s="574"/>
      <c r="Z76" s="188"/>
      <c r="AA76" s="188"/>
      <c r="AB76" s="185"/>
      <c r="AC76" s="182"/>
      <c r="AD76" s="574"/>
      <c r="AE76" s="188"/>
      <c r="AF76" s="188"/>
      <c r="AG76" s="185"/>
      <c r="AH76" s="182"/>
      <c r="AI76" s="574"/>
      <c r="AJ76" s="188"/>
      <c r="AK76" s="188"/>
      <c r="AL76" s="185"/>
      <c r="AM76" s="182"/>
      <c r="AN76" s="574"/>
      <c r="AO76" s="188"/>
      <c r="AP76" s="188"/>
      <c r="AQ76" s="185"/>
      <c r="AR76" s="182"/>
      <c r="AS76" s="574"/>
      <c r="AT76" s="188">
        <v>3</v>
      </c>
      <c r="AU76" s="188">
        <v>2698.9614503592948</v>
      </c>
      <c r="AV76" s="185">
        <f t="shared" si="31"/>
        <v>899.65381678643155</v>
      </c>
      <c r="AW76" s="182">
        <f t="shared" si="32"/>
        <v>12</v>
      </c>
      <c r="AX76" s="574"/>
    </row>
    <row r="77" spans="2:50">
      <c r="B77" s="575"/>
      <c r="C77" s="180">
        <v>33</v>
      </c>
      <c r="D77" s="183"/>
      <c r="E77" s="180"/>
      <c r="F77" s="180"/>
      <c r="G77" s="185"/>
      <c r="H77" s="576"/>
      <c r="I77" s="186"/>
      <c r="J77" s="186"/>
      <c r="K77" s="187"/>
      <c r="L77" s="577"/>
      <c r="M77" s="186"/>
      <c r="N77" s="588"/>
      <c r="O77" s="578"/>
      <c r="P77" s="188"/>
      <c r="Q77" s="188"/>
      <c r="R77" s="185"/>
      <c r="S77" s="182"/>
      <c r="T77" s="574"/>
      <c r="U77" s="188"/>
      <c r="V77" s="188"/>
      <c r="W77" s="185"/>
      <c r="X77" s="182"/>
      <c r="Y77" s="574"/>
      <c r="Z77" s="188"/>
      <c r="AA77" s="188"/>
      <c r="AB77" s="185"/>
      <c r="AC77" s="182"/>
      <c r="AD77" s="574"/>
      <c r="AE77" s="188"/>
      <c r="AF77" s="188"/>
      <c r="AG77" s="185"/>
      <c r="AH77" s="182"/>
      <c r="AI77" s="574"/>
      <c r="AJ77" s="188"/>
      <c r="AK77" s="188"/>
      <c r="AL77" s="185"/>
      <c r="AM77" s="182"/>
      <c r="AN77" s="574"/>
      <c r="AO77" s="188"/>
      <c r="AP77" s="188"/>
      <c r="AQ77" s="185"/>
      <c r="AR77" s="182"/>
      <c r="AS77" s="574"/>
      <c r="AT77" s="188"/>
      <c r="AU77" s="188"/>
      <c r="AV77" s="185"/>
      <c r="AW77" s="182"/>
      <c r="AX77" s="574"/>
    </row>
    <row r="78" spans="2:50" ht="14.25" customHeight="1">
      <c r="B78" s="589" t="s">
        <v>739</v>
      </c>
      <c r="C78" s="589"/>
      <c r="D78" s="589"/>
      <c r="E78" s="589"/>
      <c r="F78" s="589"/>
      <c r="G78" s="589"/>
      <c r="H78" s="589"/>
      <c r="I78" s="589"/>
      <c r="J78" s="589"/>
      <c r="K78" s="589"/>
      <c r="L78" s="589"/>
      <c r="M78" s="590"/>
      <c r="N78" s="593" t="s">
        <v>375</v>
      </c>
      <c r="O78" s="593" t="s">
        <v>105</v>
      </c>
      <c r="P78" s="595">
        <v>46126</v>
      </c>
      <c r="Q78" s="596"/>
      <c r="R78" s="596"/>
      <c r="S78" s="596"/>
      <c r="T78" s="596"/>
      <c r="U78" s="597">
        <v>46127</v>
      </c>
      <c r="V78" s="598"/>
      <c r="W78" s="598"/>
      <c r="X78" s="598"/>
      <c r="Y78" s="598"/>
      <c r="Z78" s="595">
        <v>46128</v>
      </c>
      <c r="AA78" s="596"/>
      <c r="AB78" s="596"/>
      <c r="AC78" s="596"/>
      <c r="AD78" s="596"/>
      <c r="AE78" s="597">
        <v>46129</v>
      </c>
      <c r="AF78" s="598"/>
      <c r="AG78" s="598"/>
      <c r="AH78" s="598"/>
      <c r="AI78" s="598"/>
      <c r="AJ78" s="580">
        <v>46130</v>
      </c>
      <c r="AK78" s="581"/>
      <c r="AL78" s="581"/>
      <c r="AM78" s="581"/>
      <c r="AN78" s="582"/>
      <c r="AO78" s="597">
        <v>46131</v>
      </c>
      <c r="AP78" s="598"/>
      <c r="AQ78" s="598"/>
      <c r="AR78" s="598"/>
      <c r="AS78" s="598"/>
      <c r="AT78" s="580">
        <v>46132</v>
      </c>
      <c r="AU78" s="581"/>
      <c r="AV78" s="581"/>
      <c r="AW78" s="581"/>
      <c r="AX78" s="582"/>
    </row>
    <row r="79" spans="2:50" ht="14.25" customHeight="1">
      <c r="B79" s="591"/>
      <c r="C79" s="591"/>
      <c r="D79" s="591"/>
      <c r="E79" s="591"/>
      <c r="F79" s="591"/>
      <c r="G79" s="591"/>
      <c r="H79" s="591"/>
      <c r="I79" s="591"/>
      <c r="J79" s="591"/>
      <c r="K79" s="591"/>
      <c r="L79" s="591"/>
      <c r="M79" s="592"/>
      <c r="N79" s="594"/>
      <c r="O79" s="594"/>
      <c r="P79" s="583">
        <v>46126</v>
      </c>
      <c r="Q79" s="583"/>
      <c r="R79" s="583"/>
      <c r="S79" s="583"/>
      <c r="T79" s="583"/>
      <c r="U79" s="584">
        <v>46127</v>
      </c>
      <c r="V79" s="584"/>
      <c r="W79" s="584"/>
      <c r="X79" s="584"/>
      <c r="Y79" s="584"/>
      <c r="Z79" s="583">
        <v>46128</v>
      </c>
      <c r="AA79" s="583"/>
      <c r="AB79" s="583"/>
      <c r="AC79" s="583"/>
      <c r="AD79" s="583"/>
      <c r="AE79" s="584">
        <v>46129</v>
      </c>
      <c r="AF79" s="584"/>
      <c r="AG79" s="584"/>
      <c r="AH79" s="584"/>
      <c r="AI79" s="584"/>
      <c r="AJ79" s="585">
        <v>46130</v>
      </c>
      <c r="AK79" s="586"/>
      <c r="AL79" s="586"/>
      <c r="AM79" s="586"/>
      <c r="AN79" s="587"/>
      <c r="AO79" s="584">
        <v>46131</v>
      </c>
      <c r="AP79" s="584"/>
      <c r="AQ79" s="584"/>
      <c r="AR79" s="584"/>
      <c r="AS79" s="584"/>
      <c r="AT79" s="585">
        <v>46132</v>
      </c>
      <c r="AU79" s="586"/>
      <c r="AV79" s="586"/>
      <c r="AW79" s="586"/>
      <c r="AX79" s="587"/>
    </row>
    <row r="80" spans="2:50" ht="14.25" customHeight="1">
      <c r="B80" s="575" t="s">
        <v>162</v>
      </c>
      <c r="C80" s="575" t="s">
        <v>157</v>
      </c>
      <c r="D80" s="575"/>
      <c r="E80" s="575" t="s">
        <v>158</v>
      </c>
      <c r="F80" s="575"/>
      <c r="G80" s="575"/>
      <c r="H80" s="575" t="s">
        <v>163</v>
      </c>
      <c r="I80" s="579" t="s">
        <v>376</v>
      </c>
      <c r="J80" s="579"/>
      <c r="K80" s="579"/>
      <c r="L80" s="579" t="s">
        <v>163</v>
      </c>
      <c r="M80" s="579" t="s">
        <v>165</v>
      </c>
      <c r="N80" s="588"/>
      <c r="O80" s="578" t="s">
        <v>164</v>
      </c>
      <c r="P80" s="578" t="s">
        <v>160</v>
      </c>
      <c r="Q80" s="578"/>
      <c r="R80" s="578"/>
      <c r="S80" s="578"/>
      <c r="T80" s="578" t="s">
        <v>163</v>
      </c>
      <c r="U80" s="578" t="s">
        <v>160</v>
      </c>
      <c r="V80" s="578"/>
      <c r="W80" s="578"/>
      <c r="X80" s="578"/>
      <c r="Y80" s="578" t="s">
        <v>163</v>
      </c>
      <c r="Z80" s="578" t="s">
        <v>160</v>
      </c>
      <c r="AA80" s="578"/>
      <c r="AB80" s="578"/>
      <c r="AC80" s="578"/>
      <c r="AD80" s="578" t="s">
        <v>163</v>
      </c>
      <c r="AE80" s="578" t="s">
        <v>160</v>
      </c>
      <c r="AF80" s="578"/>
      <c r="AG80" s="578"/>
      <c r="AH80" s="578"/>
      <c r="AI80" s="578" t="s">
        <v>163</v>
      </c>
      <c r="AJ80" s="578" t="s">
        <v>160</v>
      </c>
      <c r="AK80" s="578"/>
      <c r="AL80" s="578"/>
      <c r="AM80" s="578"/>
      <c r="AN80" s="578" t="s">
        <v>163</v>
      </c>
      <c r="AO80" s="578" t="s">
        <v>160</v>
      </c>
      <c r="AP80" s="578"/>
      <c r="AQ80" s="578"/>
      <c r="AR80" s="578"/>
      <c r="AS80" s="578" t="s">
        <v>163</v>
      </c>
      <c r="AT80" s="578" t="s">
        <v>160</v>
      </c>
      <c r="AU80" s="578"/>
      <c r="AV80" s="578"/>
      <c r="AW80" s="578"/>
      <c r="AX80" s="578" t="s">
        <v>163</v>
      </c>
    </row>
    <row r="81" spans="1:50" ht="14.25" customHeight="1">
      <c r="B81" s="575"/>
      <c r="C81" s="575"/>
      <c r="D81" s="575"/>
      <c r="E81" s="575" t="s">
        <v>377</v>
      </c>
      <c r="F81" s="575"/>
      <c r="G81" s="575"/>
      <c r="H81" s="575"/>
      <c r="I81" s="579" t="s">
        <v>377</v>
      </c>
      <c r="J81" s="579"/>
      <c r="K81" s="579"/>
      <c r="L81" s="579"/>
      <c r="M81" s="579"/>
      <c r="N81" s="588"/>
      <c r="O81" s="578"/>
      <c r="P81" s="578" t="s">
        <v>378</v>
      </c>
      <c r="Q81" s="578"/>
      <c r="R81" s="578"/>
      <c r="S81" s="578"/>
      <c r="T81" s="578"/>
      <c r="U81" s="578" t="s">
        <v>378</v>
      </c>
      <c r="V81" s="578"/>
      <c r="W81" s="578"/>
      <c r="X81" s="578"/>
      <c r="Y81" s="578"/>
      <c r="Z81" s="578" t="s">
        <v>378</v>
      </c>
      <c r="AA81" s="578"/>
      <c r="AB81" s="578"/>
      <c r="AC81" s="578"/>
      <c r="AD81" s="578"/>
      <c r="AE81" s="578" t="s">
        <v>378</v>
      </c>
      <c r="AF81" s="578"/>
      <c r="AG81" s="578"/>
      <c r="AH81" s="578"/>
      <c r="AI81" s="578"/>
      <c r="AJ81" s="578" t="s">
        <v>378</v>
      </c>
      <c r="AK81" s="578"/>
      <c r="AL81" s="578"/>
      <c r="AM81" s="578"/>
      <c r="AN81" s="578"/>
      <c r="AO81" s="578" t="s">
        <v>378</v>
      </c>
      <c r="AP81" s="578"/>
      <c r="AQ81" s="578"/>
      <c r="AR81" s="578"/>
      <c r="AS81" s="578"/>
      <c r="AT81" s="578" t="s">
        <v>378</v>
      </c>
      <c r="AU81" s="578"/>
      <c r="AV81" s="578"/>
      <c r="AW81" s="578"/>
      <c r="AX81" s="578"/>
    </row>
    <row r="82" spans="1:50" ht="14.25" customHeight="1">
      <c r="A82" s="177"/>
      <c r="B82" s="575"/>
      <c r="C82" s="575"/>
      <c r="D82" s="575"/>
      <c r="E82" s="180" t="s">
        <v>159</v>
      </c>
      <c r="F82" s="180" t="s">
        <v>379</v>
      </c>
      <c r="G82" s="180" t="s">
        <v>161</v>
      </c>
      <c r="H82" s="575"/>
      <c r="I82" s="181" t="s">
        <v>159</v>
      </c>
      <c r="J82" s="181" t="s">
        <v>379</v>
      </c>
      <c r="K82" s="181" t="s">
        <v>161</v>
      </c>
      <c r="L82" s="579"/>
      <c r="M82" s="579"/>
      <c r="N82" s="588"/>
      <c r="O82" s="578"/>
      <c r="P82" s="182" t="s">
        <v>159</v>
      </c>
      <c r="Q82" s="182" t="s">
        <v>379</v>
      </c>
      <c r="R82" s="182" t="s">
        <v>161</v>
      </c>
      <c r="S82" s="182" t="s">
        <v>165</v>
      </c>
      <c r="T82" s="578"/>
      <c r="U82" s="182" t="s">
        <v>159</v>
      </c>
      <c r="V82" s="182" t="s">
        <v>379</v>
      </c>
      <c r="W82" s="182" t="s">
        <v>161</v>
      </c>
      <c r="X82" s="182" t="s">
        <v>165</v>
      </c>
      <c r="Y82" s="578"/>
      <c r="Z82" s="182" t="s">
        <v>159</v>
      </c>
      <c r="AA82" s="182" t="s">
        <v>379</v>
      </c>
      <c r="AB82" s="182" t="s">
        <v>161</v>
      </c>
      <c r="AC82" s="182" t="s">
        <v>165</v>
      </c>
      <c r="AD82" s="578"/>
      <c r="AE82" s="182" t="s">
        <v>159</v>
      </c>
      <c r="AF82" s="182" t="s">
        <v>379</v>
      </c>
      <c r="AG82" s="182" t="s">
        <v>161</v>
      </c>
      <c r="AH82" s="182" t="s">
        <v>165</v>
      </c>
      <c r="AI82" s="578"/>
      <c r="AJ82" s="182" t="s">
        <v>159</v>
      </c>
      <c r="AK82" s="182" t="s">
        <v>379</v>
      </c>
      <c r="AL82" s="182" t="s">
        <v>161</v>
      </c>
      <c r="AM82" s="182" t="s">
        <v>165</v>
      </c>
      <c r="AN82" s="578"/>
      <c r="AO82" s="182" t="s">
        <v>159</v>
      </c>
      <c r="AP82" s="182" t="s">
        <v>379</v>
      </c>
      <c r="AQ82" s="182" t="s">
        <v>161</v>
      </c>
      <c r="AR82" s="182" t="s">
        <v>165</v>
      </c>
      <c r="AS82" s="578"/>
      <c r="AT82" s="182" t="s">
        <v>159</v>
      </c>
      <c r="AU82" s="182" t="s">
        <v>379</v>
      </c>
      <c r="AV82" s="182" t="s">
        <v>161</v>
      </c>
      <c r="AW82" s="182" t="s">
        <v>165</v>
      </c>
      <c r="AX82" s="578"/>
    </row>
    <row r="83" spans="1:50" ht="14.25" customHeight="1">
      <c r="B83" s="575" t="s">
        <v>380</v>
      </c>
      <c r="C83" s="180">
        <v>1</v>
      </c>
      <c r="D83" s="183" t="s">
        <v>405</v>
      </c>
      <c r="E83" s="184">
        <v>4</v>
      </c>
      <c r="F83" s="180">
        <v>3600</v>
      </c>
      <c r="G83" s="185">
        <f>F83/E83</f>
        <v>900</v>
      </c>
      <c r="H83" s="576">
        <f>AVERAGE(G83:G117)</f>
        <v>820.79185520361989</v>
      </c>
      <c r="I83" s="186">
        <f>AVERAGE(P83,U83,Z83,AE83,AJ83,AO83,AT83)</f>
        <v>4</v>
      </c>
      <c r="J83" s="186">
        <f>AVERAGE(Q83,V83,AA83,AF83,AK83,AP83,AU83)</f>
        <v>3175.7181236673796</v>
      </c>
      <c r="K83" s="187">
        <f>AVERAGE(R83,W83,AB83,AG83,AL83,AQ83,AV83)</f>
        <v>793.9295309168449</v>
      </c>
      <c r="L83" s="577">
        <f>IFERROR(AVERAGE(K83:K117),"-")</f>
        <v>728.27543199538923</v>
      </c>
      <c r="M83" s="186">
        <f>RANK(K83, K$83:$K$117)</f>
        <v>15</v>
      </c>
      <c r="N83" s="588"/>
      <c r="O83" s="578"/>
      <c r="P83" s="188">
        <v>4</v>
      </c>
      <c r="Q83" s="188">
        <v>3176.3866950959505</v>
      </c>
      <c r="R83" s="185">
        <f t="shared" ref="R83:R116" si="34">IFERROR(Q83/P83,"")</f>
        <v>794.09667377398762</v>
      </c>
      <c r="S83" s="182">
        <f>RANK(R83, R$83:R$117)</f>
        <v>15</v>
      </c>
      <c r="T83" s="574">
        <f>AVERAGE(R83:R117)</f>
        <v>725.37499062597669</v>
      </c>
      <c r="U83" s="188">
        <v>4</v>
      </c>
      <c r="V83" s="188">
        <v>3174.5866950959512</v>
      </c>
      <c r="W83" s="185">
        <f t="shared" ref="W83:W116" si="35">IFERROR(V83/U83,"")</f>
        <v>793.6466737739878</v>
      </c>
      <c r="X83" s="182">
        <f>RANK(W83, W$83:W$117)</f>
        <v>15</v>
      </c>
      <c r="Y83" s="574">
        <f>AVERAGE(W83:W117)</f>
        <v>726.54142066610041</v>
      </c>
      <c r="Z83" s="188">
        <v>4</v>
      </c>
      <c r="AA83" s="188">
        <v>3174.5866950959512</v>
      </c>
      <c r="AB83" s="185">
        <f>IFERROR(AA83/Z83,"")</f>
        <v>793.6466737739878</v>
      </c>
      <c r="AC83" s="182">
        <f>RANK(AB83, AB$83:AB$117)</f>
        <v>15</v>
      </c>
      <c r="AD83" s="574">
        <f>AVERAGE(AB83:AB117)</f>
        <v>727.82164029067599</v>
      </c>
      <c r="AE83" s="188">
        <v>4</v>
      </c>
      <c r="AF83" s="188">
        <v>3174.9466950959513</v>
      </c>
      <c r="AG83" s="185">
        <f>IFERROR(AF83/AE83,"")</f>
        <v>793.73667377398783</v>
      </c>
      <c r="AH83" s="182">
        <f>RANK(AG83, AG$83:AG$117)</f>
        <v>15</v>
      </c>
      <c r="AI83" s="574">
        <f>AVERAGE(AG83:AG117)</f>
        <v>729.23424447360992</v>
      </c>
      <c r="AJ83" s="188">
        <v>4</v>
      </c>
      <c r="AK83" s="188">
        <v>3176.0266950959517</v>
      </c>
      <c r="AL83" s="185">
        <f>IFERROR(AK83/AJ83,"")</f>
        <v>794.00667377398793</v>
      </c>
      <c r="AM83" s="182">
        <f>RANK(AL83, AL$83:AL$117)</f>
        <v>15</v>
      </c>
      <c r="AN83" s="574">
        <f>AVERAGE(AL83:AL117)</f>
        <v>729.65454961649959</v>
      </c>
      <c r="AO83" s="188">
        <v>4</v>
      </c>
      <c r="AP83" s="188">
        <v>3177.1066950959516</v>
      </c>
      <c r="AQ83" s="185">
        <f>IFERROR(AP83/AO83,"")</f>
        <v>794.27667377398791</v>
      </c>
      <c r="AR83" s="182">
        <f>RANK(AQ83, AQ$83:AQ$117)</f>
        <v>15</v>
      </c>
      <c r="AS83" s="574">
        <f>AVERAGE(AQ83:AQ117)</f>
        <v>729.66936581933021</v>
      </c>
      <c r="AT83" s="188">
        <v>4</v>
      </c>
      <c r="AU83" s="188">
        <v>3176.3866950959518</v>
      </c>
      <c r="AV83" s="185">
        <f>IFERROR(AU83/AT83,"")</f>
        <v>794.09667377398796</v>
      </c>
      <c r="AW83" s="182">
        <f>RANK(AV83, AV$83:AV$117)</f>
        <v>15</v>
      </c>
      <c r="AX83" s="574">
        <f>AVERAGE(AV83:AV117)</f>
        <v>729.63181247553098</v>
      </c>
    </row>
    <row r="84" spans="1:50" ht="14.25" customHeight="1">
      <c r="B84" s="575"/>
      <c r="C84" s="180">
        <v>2</v>
      </c>
      <c r="D84" s="183" t="s">
        <v>403</v>
      </c>
      <c r="E84" s="184">
        <v>3</v>
      </c>
      <c r="F84" s="180">
        <v>3600</v>
      </c>
      <c r="G84" s="185">
        <f t="shared" ref="G84:G103" si="36">F84/E84</f>
        <v>1200</v>
      </c>
      <c r="H84" s="576"/>
      <c r="I84" s="186">
        <f t="shared" ref="I84:K113" si="37">AVERAGE(P84,U84,Z84,AE84,AJ84,AO84,AT84)</f>
        <v>3</v>
      </c>
      <c r="J84" s="186">
        <f t="shared" si="37"/>
        <v>3174.8722029372489</v>
      </c>
      <c r="K84" s="187">
        <f t="shared" si="37"/>
        <v>1058.2907343124161</v>
      </c>
      <c r="L84" s="577"/>
      <c r="M84" s="186">
        <f>RANK(K84, K$83:$K$117)</f>
        <v>6</v>
      </c>
      <c r="N84" s="588"/>
      <c r="O84" s="578"/>
      <c r="P84" s="188">
        <v>3</v>
      </c>
      <c r="Q84" s="188">
        <v>3174.8722029372475</v>
      </c>
      <c r="R84" s="185">
        <f t="shared" si="34"/>
        <v>1058.2907343124159</v>
      </c>
      <c r="S84" s="182">
        <f t="shared" ref="S84:S116" si="38">RANK(R84, R$83:R$117)</f>
        <v>7</v>
      </c>
      <c r="T84" s="574"/>
      <c r="U84" s="188">
        <v>3</v>
      </c>
      <c r="V84" s="188">
        <v>3173.792202937248</v>
      </c>
      <c r="W84" s="185">
        <f t="shared" si="35"/>
        <v>1057.930734312416</v>
      </c>
      <c r="X84" s="182">
        <f t="shared" ref="X84:X116" si="39">RANK(W84, W$83:W$117)</f>
        <v>7</v>
      </c>
      <c r="Y84" s="574"/>
      <c r="Z84" s="188">
        <v>3</v>
      </c>
      <c r="AA84" s="188">
        <v>3175.2322029372481</v>
      </c>
      <c r="AB84" s="185">
        <f t="shared" ref="AB84:AB116" si="40">IFERROR(AA84/Z84,"")</f>
        <v>1058.410734312416</v>
      </c>
      <c r="AC84" s="182">
        <f t="shared" ref="AC84:AC116" si="41">RANK(AB84, AB$83:AB$117)</f>
        <v>6</v>
      </c>
      <c r="AD84" s="574"/>
      <c r="AE84" s="188">
        <v>3</v>
      </c>
      <c r="AF84" s="188">
        <v>3175.9522029372492</v>
      </c>
      <c r="AG84" s="185">
        <f t="shared" ref="AG84:AG116" si="42">IFERROR(AF84/AE84,"")</f>
        <v>1058.6507343124165</v>
      </c>
      <c r="AH84" s="182">
        <f t="shared" ref="AH84:AH116" si="43">RANK(AG84, AG$83:AG$117)</f>
        <v>6</v>
      </c>
      <c r="AI84" s="574"/>
      <c r="AJ84" s="188">
        <v>3</v>
      </c>
      <c r="AK84" s="188">
        <v>3175.232202937249</v>
      </c>
      <c r="AL84" s="185">
        <f t="shared" ref="AL84:AL116" si="44">IFERROR(AK84/AJ84,"")</f>
        <v>1058.4107343124163</v>
      </c>
      <c r="AM84" s="182">
        <f t="shared" ref="AM84:AM116" si="45">RANK(AL84, AL$83:AL$117)</f>
        <v>6</v>
      </c>
      <c r="AN84" s="574"/>
      <c r="AO84" s="188">
        <v>3</v>
      </c>
      <c r="AP84" s="188">
        <v>3174.8722029372498</v>
      </c>
      <c r="AQ84" s="185">
        <f t="shared" ref="AQ84:AQ116" si="46">IFERROR(AP84/AO84,"")</f>
        <v>1058.2907343124166</v>
      </c>
      <c r="AR84" s="182">
        <f t="shared" ref="AR84:AR116" si="47">RANK(AQ84, AQ$83:AQ$117)</f>
        <v>6</v>
      </c>
      <c r="AS84" s="574"/>
      <c r="AT84" s="188">
        <v>3</v>
      </c>
      <c r="AU84" s="188">
        <v>3174.15220293725</v>
      </c>
      <c r="AV84" s="185">
        <f t="shared" ref="AV84:AV116" si="48">IFERROR(AU84/AT84,"")</f>
        <v>1058.0507343124166</v>
      </c>
      <c r="AW84" s="182">
        <f t="shared" ref="AW84:AW116" si="49">RANK(AV84, AV$83:AV$117)</f>
        <v>7</v>
      </c>
      <c r="AX84" s="574"/>
    </row>
    <row r="85" spans="1:50" ht="14.25" customHeight="1">
      <c r="B85" s="575"/>
      <c r="C85" s="180">
        <v>3</v>
      </c>
      <c r="D85" s="183" t="s">
        <v>404</v>
      </c>
      <c r="E85" s="184">
        <v>5</v>
      </c>
      <c r="F85" s="180">
        <v>3600</v>
      </c>
      <c r="G85" s="185">
        <f t="shared" si="36"/>
        <v>720</v>
      </c>
      <c r="H85" s="576"/>
      <c r="I85" s="186">
        <f t="shared" si="37"/>
        <v>5</v>
      </c>
      <c r="J85" s="186">
        <f t="shared" si="37"/>
        <v>3169.143011731343</v>
      </c>
      <c r="K85" s="187">
        <f t="shared" si="37"/>
        <v>633.82860234626855</v>
      </c>
      <c r="L85" s="577"/>
      <c r="M85" s="186">
        <f>RANK(K85, K$83:$K$117)</f>
        <v>24</v>
      </c>
      <c r="N85" s="588"/>
      <c r="O85" s="578"/>
      <c r="P85" s="188">
        <v>5</v>
      </c>
      <c r="Q85" s="188">
        <v>3170.171583159914</v>
      </c>
      <c r="R85" s="185">
        <f t="shared" si="34"/>
        <v>634.03431663198285</v>
      </c>
      <c r="S85" s="182">
        <f t="shared" si="38"/>
        <v>24</v>
      </c>
      <c r="T85" s="574"/>
      <c r="U85" s="188">
        <v>5</v>
      </c>
      <c r="V85" s="188">
        <v>3169.4515831599142</v>
      </c>
      <c r="W85" s="185">
        <f t="shared" si="35"/>
        <v>633.89031663198284</v>
      </c>
      <c r="X85" s="182">
        <f t="shared" si="39"/>
        <v>23</v>
      </c>
      <c r="Y85" s="574"/>
      <c r="Z85" s="188">
        <v>5</v>
      </c>
      <c r="AA85" s="188">
        <v>3169.8115831599143</v>
      </c>
      <c r="AB85" s="185">
        <f t="shared" si="40"/>
        <v>633.96231663198284</v>
      </c>
      <c r="AC85" s="182">
        <f t="shared" si="41"/>
        <v>24</v>
      </c>
      <c r="AD85" s="574"/>
      <c r="AE85" s="188">
        <v>5</v>
      </c>
      <c r="AF85" s="188">
        <v>3168.3715831599138</v>
      </c>
      <c r="AG85" s="185">
        <f t="shared" si="42"/>
        <v>633.67431663198272</v>
      </c>
      <c r="AH85" s="182">
        <f t="shared" si="43"/>
        <v>24</v>
      </c>
      <c r="AI85" s="574"/>
      <c r="AJ85" s="188">
        <v>5</v>
      </c>
      <c r="AK85" s="188">
        <v>3168.3715831599138</v>
      </c>
      <c r="AL85" s="185">
        <f t="shared" si="44"/>
        <v>633.67431663198272</v>
      </c>
      <c r="AM85" s="182">
        <f t="shared" si="45"/>
        <v>26</v>
      </c>
      <c r="AN85" s="574"/>
      <c r="AO85" s="188">
        <v>5</v>
      </c>
      <c r="AP85" s="188">
        <v>3169.0915831599136</v>
      </c>
      <c r="AQ85" s="185">
        <f t="shared" si="46"/>
        <v>633.81831663198273</v>
      </c>
      <c r="AR85" s="182">
        <f t="shared" si="47"/>
        <v>26</v>
      </c>
      <c r="AS85" s="574"/>
      <c r="AT85" s="188">
        <v>5</v>
      </c>
      <c r="AU85" s="188">
        <v>3168.7315831599135</v>
      </c>
      <c r="AV85" s="185">
        <f t="shared" si="48"/>
        <v>633.74631663198272</v>
      </c>
      <c r="AW85" s="182">
        <f t="shared" si="49"/>
        <v>25</v>
      </c>
      <c r="AX85" s="574"/>
    </row>
    <row r="86" spans="1:50" ht="14.25" customHeight="1">
      <c r="B86" s="575"/>
      <c r="C86" s="180">
        <v>4</v>
      </c>
      <c r="D86" s="183" t="s">
        <v>229</v>
      </c>
      <c r="E86" s="184">
        <v>5</v>
      </c>
      <c r="F86" s="180">
        <v>3300</v>
      </c>
      <c r="G86" s="185">
        <f t="shared" si="36"/>
        <v>660</v>
      </c>
      <c r="H86" s="576"/>
      <c r="I86" s="186">
        <f t="shared" si="37"/>
        <v>5</v>
      </c>
      <c r="J86" s="186">
        <f t="shared" si="37"/>
        <v>2947.6080938699315</v>
      </c>
      <c r="K86" s="187">
        <f t="shared" si="37"/>
        <v>589.52161877398635</v>
      </c>
      <c r="L86" s="577"/>
      <c r="M86" s="186">
        <f>RANK(K86, K$83:$K$117)</f>
        <v>27</v>
      </c>
      <c r="N86" s="588"/>
      <c r="O86" s="578"/>
      <c r="P86" s="188">
        <v>5</v>
      </c>
      <c r="Q86" s="188">
        <v>2950.34814671814</v>
      </c>
      <c r="R86" s="185">
        <f t="shared" si="34"/>
        <v>590.06962934362798</v>
      </c>
      <c r="S86" s="182">
        <f t="shared" si="38"/>
        <v>25</v>
      </c>
      <c r="T86" s="574"/>
      <c r="U86" s="188">
        <v>5</v>
      </c>
      <c r="V86" s="188">
        <v>2950.6781467181399</v>
      </c>
      <c r="W86" s="185">
        <f t="shared" si="35"/>
        <v>590.13562934362801</v>
      </c>
      <c r="X86" s="182">
        <f t="shared" si="39"/>
        <v>27</v>
      </c>
      <c r="Y86" s="574"/>
      <c r="Z86" s="188">
        <v>5</v>
      </c>
      <c r="AA86" s="188">
        <v>2950.6781467181409</v>
      </c>
      <c r="AB86" s="185">
        <f t="shared" si="40"/>
        <v>590.13562934362812</v>
      </c>
      <c r="AC86" s="182">
        <f t="shared" si="41"/>
        <v>27</v>
      </c>
      <c r="AD86" s="574"/>
      <c r="AE86" s="188">
        <v>5</v>
      </c>
      <c r="AF86" s="188">
        <v>2952.3281467181409</v>
      </c>
      <c r="AG86" s="185">
        <f t="shared" si="42"/>
        <v>590.46562934362817</v>
      </c>
      <c r="AH86" s="182">
        <f t="shared" si="43"/>
        <v>27</v>
      </c>
      <c r="AI86" s="574"/>
      <c r="AJ86" s="188">
        <v>5</v>
      </c>
      <c r="AK86" s="188">
        <v>2944.2846900723198</v>
      </c>
      <c r="AL86" s="185">
        <f t="shared" si="44"/>
        <v>588.85693801446394</v>
      </c>
      <c r="AM86" s="182">
        <f t="shared" si="45"/>
        <v>27</v>
      </c>
      <c r="AN86" s="574"/>
      <c r="AO86" s="188">
        <v>5</v>
      </c>
      <c r="AP86" s="188">
        <v>2942.9646900723201</v>
      </c>
      <c r="AQ86" s="185">
        <f t="shared" si="46"/>
        <v>588.59293801446404</v>
      </c>
      <c r="AR86" s="182">
        <f t="shared" si="47"/>
        <v>28</v>
      </c>
      <c r="AS86" s="574"/>
      <c r="AT86" s="188">
        <v>5</v>
      </c>
      <c r="AU86" s="188">
        <v>2941.9746900723203</v>
      </c>
      <c r="AV86" s="185">
        <f t="shared" si="48"/>
        <v>588.39493801446406</v>
      </c>
      <c r="AW86" s="182">
        <f t="shared" si="49"/>
        <v>28</v>
      </c>
      <c r="AX86" s="574"/>
    </row>
    <row r="87" spans="1:50" ht="14.25" customHeight="1">
      <c r="B87" s="575"/>
      <c r="C87" s="180">
        <v>5</v>
      </c>
      <c r="D87" s="183" t="s">
        <v>400</v>
      </c>
      <c r="E87" s="184">
        <v>3</v>
      </c>
      <c r="F87" s="180">
        <v>3600</v>
      </c>
      <c r="G87" s="185">
        <f t="shared" si="36"/>
        <v>1200</v>
      </c>
      <c r="H87" s="576"/>
      <c r="I87" s="186">
        <f t="shared" si="37"/>
        <v>3</v>
      </c>
      <c r="J87" s="186">
        <f t="shared" si="37"/>
        <v>3173.6065909090889</v>
      </c>
      <c r="K87" s="187">
        <f t="shared" si="37"/>
        <v>1057.8688636363629</v>
      </c>
      <c r="L87" s="577"/>
      <c r="M87" s="186">
        <f>RANK(K87, K$83:$K$117)</f>
        <v>7</v>
      </c>
      <c r="N87" s="588"/>
      <c r="O87" s="578"/>
      <c r="P87" s="188">
        <v>3</v>
      </c>
      <c r="Q87" s="188">
        <v>3175.0465909090881</v>
      </c>
      <c r="R87" s="185">
        <f t="shared" si="34"/>
        <v>1058.3488636363627</v>
      </c>
      <c r="S87" s="182">
        <f t="shared" si="38"/>
        <v>6</v>
      </c>
      <c r="T87" s="574"/>
      <c r="U87" s="188">
        <v>3</v>
      </c>
      <c r="V87" s="188">
        <v>3174.3265909090883</v>
      </c>
      <c r="W87" s="185">
        <f t="shared" si="35"/>
        <v>1058.1088636363627</v>
      </c>
      <c r="X87" s="182">
        <f t="shared" si="39"/>
        <v>6</v>
      </c>
      <c r="Y87" s="574"/>
      <c r="Z87" s="188">
        <v>3</v>
      </c>
      <c r="AA87" s="188">
        <v>3172.8865909090887</v>
      </c>
      <c r="AB87" s="185">
        <f t="shared" si="40"/>
        <v>1057.6288636363629</v>
      </c>
      <c r="AC87" s="182">
        <f t="shared" si="41"/>
        <v>7</v>
      </c>
      <c r="AD87" s="574"/>
      <c r="AE87" s="188">
        <v>3</v>
      </c>
      <c r="AF87" s="188">
        <v>3172.1665909090884</v>
      </c>
      <c r="AG87" s="185">
        <f t="shared" si="42"/>
        <v>1057.3888636363629</v>
      </c>
      <c r="AH87" s="182">
        <f t="shared" si="43"/>
        <v>7</v>
      </c>
      <c r="AI87" s="574"/>
      <c r="AJ87" s="188">
        <v>3</v>
      </c>
      <c r="AK87" s="188">
        <v>3172.8865909090891</v>
      </c>
      <c r="AL87" s="185">
        <f t="shared" si="44"/>
        <v>1057.6288636363631</v>
      </c>
      <c r="AM87" s="182">
        <f t="shared" si="45"/>
        <v>7</v>
      </c>
      <c r="AN87" s="574"/>
      <c r="AO87" s="188">
        <v>3</v>
      </c>
      <c r="AP87" s="188">
        <v>3173.2465909090888</v>
      </c>
      <c r="AQ87" s="185">
        <f t="shared" si="46"/>
        <v>1057.748863636363</v>
      </c>
      <c r="AR87" s="182">
        <f t="shared" si="47"/>
        <v>7</v>
      </c>
      <c r="AS87" s="574"/>
      <c r="AT87" s="188">
        <v>3</v>
      </c>
      <c r="AU87" s="188">
        <v>3174.6865909090889</v>
      </c>
      <c r="AV87" s="185">
        <f t="shared" si="48"/>
        <v>1058.228863636363</v>
      </c>
      <c r="AW87" s="182">
        <f t="shared" si="49"/>
        <v>6</v>
      </c>
      <c r="AX87" s="574"/>
    </row>
    <row r="88" spans="1:50" ht="14.25" customHeight="1">
      <c r="B88" s="575"/>
      <c r="C88" s="180">
        <v>6</v>
      </c>
      <c r="D88" s="183" t="s">
        <v>341</v>
      </c>
      <c r="E88" s="184">
        <v>4</v>
      </c>
      <c r="F88" s="180">
        <v>3600</v>
      </c>
      <c r="G88" s="185">
        <f t="shared" si="36"/>
        <v>900</v>
      </c>
      <c r="H88" s="576"/>
      <c r="I88" s="186">
        <f t="shared" si="37"/>
        <v>4</v>
      </c>
      <c r="J88" s="186">
        <f t="shared" si="37"/>
        <v>3217.5634175849341</v>
      </c>
      <c r="K88" s="187">
        <f t="shared" si="37"/>
        <v>804.39085439623352</v>
      </c>
      <c r="L88" s="577"/>
      <c r="M88" s="186">
        <f>RANK(K88, K$83:$K$117)</f>
        <v>13</v>
      </c>
      <c r="N88" s="588"/>
      <c r="O88" s="578"/>
      <c r="P88" s="188">
        <v>4</v>
      </c>
      <c r="Q88" s="188">
        <v>3241.2359807736339</v>
      </c>
      <c r="R88" s="185">
        <f t="shared" si="34"/>
        <v>810.30899519340846</v>
      </c>
      <c r="S88" s="182">
        <f t="shared" si="38"/>
        <v>12</v>
      </c>
      <c r="T88" s="574"/>
      <c r="U88" s="188">
        <v>4</v>
      </c>
      <c r="V88" s="188">
        <v>3240.8759807736342</v>
      </c>
      <c r="W88" s="185">
        <f t="shared" si="35"/>
        <v>810.21899519340855</v>
      </c>
      <c r="X88" s="182">
        <f t="shared" si="39"/>
        <v>12</v>
      </c>
      <c r="Y88" s="574"/>
      <c r="Z88" s="188">
        <v>4</v>
      </c>
      <c r="AA88" s="188">
        <v>3241.2359807736348</v>
      </c>
      <c r="AB88" s="185">
        <f t="shared" si="40"/>
        <v>810.30899519340869</v>
      </c>
      <c r="AC88" s="182">
        <f t="shared" si="41"/>
        <v>12</v>
      </c>
      <c r="AD88" s="574"/>
      <c r="AE88" s="188">
        <v>4</v>
      </c>
      <c r="AF88" s="188">
        <v>3241.2359807736348</v>
      </c>
      <c r="AG88" s="185">
        <f t="shared" si="42"/>
        <v>810.30899519340869</v>
      </c>
      <c r="AH88" s="182">
        <f t="shared" si="43"/>
        <v>13</v>
      </c>
      <c r="AI88" s="574"/>
      <c r="AJ88" s="188">
        <v>4</v>
      </c>
      <c r="AK88" s="188">
        <v>3185.9999999999995</v>
      </c>
      <c r="AL88" s="185">
        <f t="shared" si="44"/>
        <v>796.49999999999989</v>
      </c>
      <c r="AM88" s="182">
        <f t="shared" si="45"/>
        <v>13</v>
      </c>
      <c r="AN88" s="574"/>
      <c r="AO88" s="188">
        <v>4</v>
      </c>
      <c r="AP88" s="188">
        <v>3185.64</v>
      </c>
      <c r="AQ88" s="185">
        <f t="shared" si="46"/>
        <v>796.41</v>
      </c>
      <c r="AR88" s="182">
        <f t="shared" si="47"/>
        <v>13</v>
      </c>
      <c r="AS88" s="574"/>
      <c r="AT88" s="188">
        <v>4</v>
      </c>
      <c r="AU88" s="188">
        <v>3186.72</v>
      </c>
      <c r="AV88" s="185">
        <f t="shared" si="48"/>
        <v>796.68</v>
      </c>
      <c r="AW88" s="182">
        <f t="shared" si="49"/>
        <v>13</v>
      </c>
      <c r="AX88" s="574"/>
    </row>
    <row r="89" spans="1:50" ht="14.25" customHeight="1">
      <c r="B89" s="575"/>
      <c r="C89" s="180">
        <v>7</v>
      </c>
      <c r="D89" s="183" t="s">
        <v>402</v>
      </c>
      <c r="E89" s="184">
        <v>3</v>
      </c>
      <c r="F89" s="180">
        <v>3600</v>
      </c>
      <c r="G89" s="185">
        <f t="shared" si="36"/>
        <v>1200</v>
      </c>
      <c r="H89" s="576"/>
      <c r="I89" s="186">
        <f t="shared" si="37"/>
        <v>3</v>
      </c>
      <c r="J89" s="186">
        <f t="shared" si="37"/>
        <v>3176.5846153846169</v>
      </c>
      <c r="K89" s="187">
        <f t="shared" si="37"/>
        <v>1058.8615384615391</v>
      </c>
      <c r="L89" s="577"/>
      <c r="M89" s="186">
        <f>RANK(K89, K$83:$K$117)</f>
        <v>5</v>
      </c>
      <c r="N89" s="588"/>
      <c r="O89" s="578"/>
      <c r="P89" s="188">
        <v>3</v>
      </c>
      <c r="Q89" s="188">
        <v>3176.7903296703307</v>
      </c>
      <c r="R89" s="185">
        <f t="shared" si="34"/>
        <v>1058.9301098901103</v>
      </c>
      <c r="S89" s="182">
        <f t="shared" si="38"/>
        <v>5</v>
      </c>
      <c r="T89" s="574"/>
      <c r="U89" s="188">
        <v>3</v>
      </c>
      <c r="V89" s="188">
        <v>3177.510329670331</v>
      </c>
      <c r="W89" s="185">
        <f t="shared" si="35"/>
        <v>1059.1701098901103</v>
      </c>
      <c r="X89" s="182">
        <f t="shared" si="39"/>
        <v>5</v>
      </c>
      <c r="Y89" s="574"/>
      <c r="Z89" s="188">
        <v>3</v>
      </c>
      <c r="AA89" s="188">
        <v>3176.430329670331</v>
      </c>
      <c r="AB89" s="185">
        <f t="shared" si="40"/>
        <v>1058.8101098901104</v>
      </c>
      <c r="AC89" s="182">
        <f t="shared" si="41"/>
        <v>5</v>
      </c>
      <c r="AD89" s="574"/>
      <c r="AE89" s="188">
        <v>3</v>
      </c>
      <c r="AF89" s="188">
        <v>3176.7903296703312</v>
      </c>
      <c r="AG89" s="185">
        <f t="shared" si="42"/>
        <v>1058.9301098901103</v>
      </c>
      <c r="AH89" s="182">
        <f t="shared" si="43"/>
        <v>4</v>
      </c>
      <c r="AI89" s="574"/>
      <c r="AJ89" s="188">
        <v>3</v>
      </c>
      <c r="AK89" s="188">
        <v>3175.7103296703312</v>
      </c>
      <c r="AL89" s="185">
        <f t="shared" si="44"/>
        <v>1058.5701098901104</v>
      </c>
      <c r="AM89" s="182">
        <f t="shared" si="45"/>
        <v>5</v>
      </c>
      <c r="AN89" s="574"/>
      <c r="AO89" s="188">
        <v>3</v>
      </c>
      <c r="AP89" s="188">
        <v>3175.7103296703312</v>
      </c>
      <c r="AQ89" s="185">
        <f t="shared" si="46"/>
        <v>1058.5701098901104</v>
      </c>
      <c r="AR89" s="182">
        <f t="shared" si="47"/>
        <v>5</v>
      </c>
      <c r="AS89" s="574"/>
      <c r="AT89" s="188">
        <v>3</v>
      </c>
      <c r="AU89" s="188">
        <v>3177.1503296703308</v>
      </c>
      <c r="AV89" s="185">
        <f t="shared" si="48"/>
        <v>1059.0501098901102</v>
      </c>
      <c r="AW89" s="182">
        <f t="shared" si="49"/>
        <v>4</v>
      </c>
      <c r="AX89" s="574"/>
    </row>
    <row r="90" spans="1:50" ht="14.25" customHeight="1">
      <c r="B90" s="575"/>
      <c r="C90" s="180">
        <v>8</v>
      </c>
      <c r="D90" s="183" t="s">
        <v>401</v>
      </c>
      <c r="E90" s="184">
        <v>5</v>
      </c>
      <c r="F90" s="180">
        <v>3600</v>
      </c>
      <c r="G90" s="185">
        <f t="shared" si="36"/>
        <v>720</v>
      </c>
      <c r="H90" s="576"/>
      <c r="I90" s="186">
        <f t="shared" si="37"/>
        <v>5</v>
      </c>
      <c r="J90" s="186">
        <f t="shared" si="37"/>
        <v>3216.68480390896</v>
      </c>
      <c r="K90" s="187">
        <f t="shared" si="37"/>
        <v>643.33696078179207</v>
      </c>
      <c r="L90" s="577"/>
      <c r="M90" s="186">
        <f>RANK(K90, K$83:$K$117)</f>
        <v>19</v>
      </c>
      <c r="N90" s="588"/>
      <c r="O90" s="578"/>
      <c r="P90" s="188">
        <v>5</v>
      </c>
      <c r="Q90" s="188">
        <v>3218.7933753375319</v>
      </c>
      <c r="R90" s="185">
        <f t="shared" si="34"/>
        <v>643.75867506750637</v>
      </c>
      <c r="S90" s="182">
        <f t="shared" si="38"/>
        <v>19</v>
      </c>
      <c r="T90" s="574"/>
      <c r="U90" s="188">
        <v>5</v>
      </c>
      <c r="V90" s="188">
        <v>3217.3533753375318</v>
      </c>
      <c r="W90" s="185">
        <f t="shared" si="35"/>
        <v>643.47067506750636</v>
      </c>
      <c r="X90" s="182">
        <f t="shared" si="39"/>
        <v>19</v>
      </c>
      <c r="Y90" s="574"/>
      <c r="Z90" s="188">
        <v>5</v>
      </c>
      <c r="AA90" s="188">
        <v>3216.633375337532</v>
      </c>
      <c r="AB90" s="185">
        <f t="shared" si="40"/>
        <v>643.32667506750636</v>
      </c>
      <c r="AC90" s="182">
        <f t="shared" si="41"/>
        <v>19</v>
      </c>
      <c r="AD90" s="574"/>
      <c r="AE90" s="188">
        <v>5</v>
      </c>
      <c r="AF90" s="188">
        <v>3216.2733753375319</v>
      </c>
      <c r="AG90" s="185">
        <f t="shared" si="42"/>
        <v>643.25467506750635</v>
      </c>
      <c r="AH90" s="182">
        <f t="shared" si="43"/>
        <v>19</v>
      </c>
      <c r="AI90" s="574"/>
      <c r="AJ90" s="188">
        <v>5</v>
      </c>
      <c r="AK90" s="188">
        <v>3215.9133753375318</v>
      </c>
      <c r="AL90" s="185">
        <f t="shared" si="44"/>
        <v>643.18267506750635</v>
      </c>
      <c r="AM90" s="182">
        <f t="shared" si="45"/>
        <v>19</v>
      </c>
      <c r="AN90" s="574"/>
      <c r="AO90" s="188">
        <v>5</v>
      </c>
      <c r="AP90" s="188">
        <v>3215.1933753375311</v>
      </c>
      <c r="AQ90" s="185">
        <f t="shared" si="46"/>
        <v>643.03867506750623</v>
      </c>
      <c r="AR90" s="182">
        <f t="shared" si="47"/>
        <v>19</v>
      </c>
      <c r="AS90" s="574"/>
      <c r="AT90" s="188">
        <v>5</v>
      </c>
      <c r="AU90" s="188">
        <v>3216.6333753375307</v>
      </c>
      <c r="AV90" s="185">
        <f t="shared" si="48"/>
        <v>643.32667506750613</v>
      </c>
      <c r="AW90" s="182">
        <f t="shared" si="49"/>
        <v>19</v>
      </c>
      <c r="AX90" s="574"/>
    </row>
    <row r="91" spans="1:50" ht="14.25" customHeight="1">
      <c r="B91" s="575"/>
      <c r="C91" s="180">
        <v>9</v>
      </c>
      <c r="D91" s="183" t="s">
        <v>399</v>
      </c>
      <c r="E91" s="184">
        <v>5</v>
      </c>
      <c r="F91" s="180">
        <v>3600</v>
      </c>
      <c r="G91" s="185">
        <f t="shared" si="36"/>
        <v>720</v>
      </c>
      <c r="H91" s="576"/>
      <c r="I91" s="186">
        <f t="shared" si="37"/>
        <v>5</v>
      </c>
      <c r="J91" s="186">
        <f t="shared" si="37"/>
        <v>3210.0123462704446</v>
      </c>
      <c r="K91" s="187">
        <f t="shared" si="37"/>
        <v>642.00246925408896</v>
      </c>
      <c r="L91" s="577"/>
      <c r="M91" s="186">
        <f>RANK(K91, K$83:$K$117)</f>
        <v>22</v>
      </c>
      <c r="N91" s="588"/>
      <c r="O91" s="578"/>
      <c r="P91" s="188">
        <v>5</v>
      </c>
      <c r="Q91" s="188">
        <v>3208.3152034133018</v>
      </c>
      <c r="R91" s="185">
        <f t="shared" si="34"/>
        <v>641.66304068266038</v>
      </c>
      <c r="S91" s="182">
        <f t="shared" si="38"/>
        <v>22</v>
      </c>
      <c r="T91" s="574"/>
      <c r="U91" s="188">
        <v>5</v>
      </c>
      <c r="V91" s="188">
        <v>3210.1152034133015</v>
      </c>
      <c r="W91" s="185">
        <f t="shared" si="35"/>
        <v>642.02304068266028</v>
      </c>
      <c r="X91" s="182">
        <f t="shared" si="39"/>
        <v>22</v>
      </c>
      <c r="Y91" s="574"/>
      <c r="Z91" s="188">
        <v>5</v>
      </c>
      <c r="AA91" s="188">
        <v>3209.3952034133017</v>
      </c>
      <c r="AB91" s="185">
        <f t="shared" si="40"/>
        <v>641.87904068266039</v>
      </c>
      <c r="AC91" s="182">
        <f t="shared" si="41"/>
        <v>22</v>
      </c>
      <c r="AD91" s="574"/>
      <c r="AE91" s="188">
        <v>5</v>
      </c>
      <c r="AF91" s="188">
        <v>3209.0352034133025</v>
      </c>
      <c r="AG91" s="185">
        <f t="shared" si="42"/>
        <v>641.8070406826605</v>
      </c>
      <c r="AH91" s="182">
        <f t="shared" si="43"/>
        <v>22</v>
      </c>
      <c r="AI91" s="574"/>
      <c r="AJ91" s="188">
        <v>5</v>
      </c>
      <c r="AK91" s="188">
        <v>3210.8352034133022</v>
      </c>
      <c r="AL91" s="185">
        <f t="shared" si="44"/>
        <v>642.1670406826604</v>
      </c>
      <c r="AM91" s="182">
        <f t="shared" si="45"/>
        <v>21</v>
      </c>
      <c r="AN91" s="574"/>
      <c r="AO91" s="188">
        <v>5</v>
      </c>
      <c r="AP91" s="188">
        <v>3211.9152034133017</v>
      </c>
      <c r="AQ91" s="185">
        <f t="shared" si="46"/>
        <v>642.38304068266029</v>
      </c>
      <c r="AR91" s="182">
        <f t="shared" si="47"/>
        <v>20</v>
      </c>
      <c r="AS91" s="574"/>
      <c r="AT91" s="188">
        <v>5</v>
      </c>
      <c r="AU91" s="188">
        <v>3210.4752034133012</v>
      </c>
      <c r="AV91" s="185">
        <f t="shared" si="48"/>
        <v>642.09504068266028</v>
      </c>
      <c r="AW91" s="182">
        <f t="shared" si="49"/>
        <v>21</v>
      </c>
      <c r="AX91" s="574"/>
    </row>
    <row r="92" spans="1:50" ht="14.25" customHeight="1">
      <c r="B92" s="575"/>
      <c r="C92" s="180">
        <v>10</v>
      </c>
      <c r="D92" s="183" t="s">
        <v>228</v>
      </c>
      <c r="E92" s="184">
        <v>3</v>
      </c>
      <c r="F92" s="180">
        <v>3000</v>
      </c>
      <c r="G92" s="185">
        <f t="shared" si="36"/>
        <v>1000</v>
      </c>
      <c r="H92" s="576"/>
      <c r="I92" s="186">
        <f t="shared" si="37"/>
        <v>3</v>
      </c>
      <c r="J92" s="186">
        <f t="shared" si="37"/>
        <v>2705.412987012985</v>
      </c>
      <c r="K92" s="187">
        <f t="shared" si="37"/>
        <v>901.80432900432857</v>
      </c>
      <c r="L92" s="577"/>
      <c r="M92" s="186">
        <f>RANK(K92, K$83:$K$117)</f>
        <v>10</v>
      </c>
      <c r="N92" s="588"/>
      <c r="O92" s="578"/>
      <c r="P92" s="188">
        <v>3</v>
      </c>
      <c r="Q92" s="188">
        <v>2703.3987012987013</v>
      </c>
      <c r="R92" s="185">
        <f t="shared" si="34"/>
        <v>901.13290043290044</v>
      </c>
      <c r="S92" s="182">
        <f t="shared" si="38"/>
        <v>10</v>
      </c>
      <c r="T92" s="574"/>
      <c r="U92" s="188">
        <v>3</v>
      </c>
      <c r="V92" s="188">
        <v>2704.2987012987005</v>
      </c>
      <c r="W92" s="185">
        <f t="shared" si="35"/>
        <v>901.43290043290017</v>
      </c>
      <c r="X92" s="182">
        <f t="shared" si="39"/>
        <v>10</v>
      </c>
      <c r="Y92" s="574"/>
      <c r="Z92" s="188">
        <v>3</v>
      </c>
      <c r="AA92" s="188">
        <v>2705.1987012986997</v>
      </c>
      <c r="AB92" s="185">
        <f t="shared" si="40"/>
        <v>901.7329004328999</v>
      </c>
      <c r="AC92" s="182">
        <f t="shared" si="41"/>
        <v>10</v>
      </c>
      <c r="AD92" s="574"/>
      <c r="AE92" s="188">
        <v>3</v>
      </c>
      <c r="AF92" s="188">
        <v>2705.7987012986991</v>
      </c>
      <c r="AG92" s="185">
        <f t="shared" si="42"/>
        <v>901.93290043289971</v>
      </c>
      <c r="AH92" s="182">
        <f t="shared" si="43"/>
        <v>10</v>
      </c>
      <c r="AI92" s="574"/>
      <c r="AJ92" s="188">
        <v>3</v>
      </c>
      <c r="AK92" s="188">
        <v>2706.3987012986991</v>
      </c>
      <c r="AL92" s="185">
        <f t="shared" si="44"/>
        <v>902.13290043289965</v>
      </c>
      <c r="AM92" s="182">
        <f t="shared" si="45"/>
        <v>10</v>
      </c>
      <c r="AN92" s="574"/>
      <c r="AO92" s="188">
        <v>3</v>
      </c>
      <c r="AP92" s="188">
        <v>2706.3987012986991</v>
      </c>
      <c r="AQ92" s="185">
        <f t="shared" si="46"/>
        <v>902.13290043289965</v>
      </c>
      <c r="AR92" s="182">
        <f t="shared" si="47"/>
        <v>10</v>
      </c>
      <c r="AS92" s="574"/>
      <c r="AT92" s="188">
        <v>3</v>
      </c>
      <c r="AU92" s="188">
        <v>2706.3987012986991</v>
      </c>
      <c r="AV92" s="185">
        <f t="shared" si="48"/>
        <v>902.13290043289965</v>
      </c>
      <c r="AW92" s="182">
        <f t="shared" si="49"/>
        <v>10</v>
      </c>
      <c r="AX92" s="574"/>
    </row>
    <row r="93" spans="1:50" ht="14.25" customHeight="1">
      <c r="B93" s="575"/>
      <c r="C93" s="180">
        <v>11</v>
      </c>
      <c r="D93" s="183" t="s">
        <v>474</v>
      </c>
      <c r="E93" s="184">
        <v>12</v>
      </c>
      <c r="F93" s="180">
        <v>3600</v>
      </c>
      <c r="G93" s="185">
        <f t="shared" si="36"/>
        <v>300</v>
      </c>
      <c r="H93" s="576"/>
      <c r="I93" s="186">
        <f t="shared" si="37"/>
        <v>12</v>
      </c>
      <c r="J93" s="186">
        <f t="shared" si="37"/>
        <v>3128.2037336326098</v>
      </c>
      <c r="K93" s="187">
        <f t="shared" si="37"/>
        <v>260.68364446938409</v>
      </c>
      <c r="L93" s="577"/>
      <c r="M93" s="186">
        <f>RANK(K93, K$83:$K$117)</f>
        <v>32</v>
      </c>
      <c r="N93" s="588"/>
      <c r="O93" s="578"/>
      <c r="P93" s="188">
        <v>12</v>
      </c>
      <c r="Q93" s="188">
        <v>3128.0885649615188</v>
      </c>
      <c r="R93" s="185">
        <f t="shared" si="34"/>
        <v>260.67404708012657</v>
      </c>
      <c r="S93" s="182">
        <f t="shared" si="38"/>
        <v>33</v>
      </c>
      <c r="T93" s="574"/>
      <c r="U93" s="188">
        <v>12</v>
      </c>
      <c r="V93" s="188">
        <v>3128.0885649615193</v>
      </c>
      <c r="W93" s="185">
        <f t="shared" si="35"/>
        <v>260.67404708012663</v>
      </c>
      <c r="X93" s="182">
        <f t="shared" si="39"/>
        <v>33</v>
      </c>
      <c r="Y93" s="574"/>
      <c r="Z93" s="188">
        <v>12</v>
      </c>
      <c r="AA93" s="188">
        <v>3129.5285649615198</v>
      </c>
      <c r="AB93" s="185">
        <f t="shared" si="40"/>
        <v>260.79404708012663</v>
      </c>
      <c r="AC93" s="182">
        <f t="shared" si="41"/>
        <v>32</v>
      </c>
      <c r="AD93" s="574"/>
      <c r="AE93" s="188">
        <v>12</v>
      </c>
      <c r="AF93" s="188">
        <v>3128.80856496152</v>
      </c>
      <c r="AG93" s="185">
        <f t="shared" si="42"/>
        <v>260.73404708012669</v>
      </c>
      <c r="AH93" s="182">
        <f t="shared" si="43"/>
        <v>32</v>
      </c>
      <c r="AI93" s="574"/>
      <c r="AJ93" s="188">
        <v>12</v>
      </c>
      <c r="AK93" s="188">
        <v>3128.0885649615202</v>
      </c>
      <c r="AL93" s="185">
        <f t="shared" si="44"/>
        <v>260.67404708012668</v>
      </c>
      <c r="AM93" s="182">
        <f t="shared" si="45"/>
        <v>32</v>
      </c>
      <c r="AN93" s="574"/>
      <c r="AO93" s="188">
        <v>12</v>
      </c>
      <c r="AP93" s="188">
        <v>3128.80856496152</v>
      </c>
      <c r="AQ93" s="185">
        <f t="shared" si="46"/>
        <v>260.73404708012669</v>
      </c>
      <c r="AR93" s="182">
        <f t="shared" si="47"/>
        <v>32</v>
      </c>
      <c r="AS93" s="574"/>
      <c r="AT93" s="188">
        <v>12</v>
      </c>
      <c r="AU93" s="188">
        <v>3126.014745659148</v>
      </c>
      <c r="AV93" s="185">
        <f t="shared" si="48"/>
        <v>260.50122880492899</v>
      </c>
      <c r="AW93" s="182">
        <f t="shared" si="49"/>
        <v>33</v>
      </c>
      <c r="AX93" s="574"/>
    </row>
    <row r="94" spans="1:50" ht="14.25" customHeight="1">
      <c r="B94" s="575"/>
      <c r="C94" s="180">
        <v>12</v>
      </c>
      <c r="D94" s="183" t="s">
        <v>502</v>
      </c>
      <c r="E94" s="184">
        <v>3</v>
      </c>
      <c r="F94" s="180">
        <v>3300</v>
      </c>
      <c r="G94" s="185">
        <f t="shared" si="36"/>
        <v>1100</v>
      </c>
      <c r="H94" s="576"/>
      <c r="I94" s="186">
        <f t="shared" si="37"/>
        <v>3</v>
      </c>
      <c r="J94" s="186">
        <f t="shared" si="37"/>
        <v>2974.4595413696957</v>
      </c>
      <c r="K94" s="187">
        <f t="shared" si="37"/>
        <v>991.48651378989859</v>
      </c>
      <c r="L94" s="577"/>
      <c r="M94" s="186">
        <f>RANK(K94, K$83:$K$117)</f>
        <v>8</v>
      </c>
      <c r="N94" s="588"/>
      <c r="O94" s="578"/>
      <c r="P94" s="188">
        <v>3</v>
      </c>
      <c r="Q94" s="188">
        <v>2971.6781127982672</v>
      </c>
      <c r="R94" s="185">
        <f t="shared" si="34"/>
        <v>990.55937093275577</v>
      </c>
      <c r="S94" s="182">
        <f t="shared" si="38"/>
        <v>8</v>
      </c>
      <c r="T94" s="574"/>
      <c r="U94" s="188">
        <v>3</v>
      </c>
      <c r="V94" s="188">
        <v>2972.3381127982675</v>
      </c>
      <c r="W94" s="185">
        <f t="shared" si="35"/>
        <v>990.7793709327558</v>
      </c>
      <c r="X94" s="182">
        <f t="shared" si="39"/>
        <v>8</v>
      </c>
      <c r="Y94" s="574"/>
      <c r="Z94" s="188">
        <v>3</v>
      </c>
      <c r="AA94" s="188">
        <v>2973.6581127982672</v>
      </c>
      <c r="AB94" s="185">
        <f t="shared" si="40"/>
        <v>991.21937093275574</v>
      </c>
      <c r="AC94" s="182">
        <f t="shared" si="41"/>
        <v>8</v>
      </c>
      <c r="AD94" s="574"/>
      <c r="AE94" s="188">
        <v>3</v>
      </c>
      <c r="AF94" s="188">
        <v>2974.9781127982669</v>
      </c>
      <c r="AG94" s="185">
        <f t="shared" si="42"/>
        <v>991.65937093275568</v>
      </c>
      <c r="AH94" s="182">
        <f t="shared" si="43"/>
        <v>8</v>
      </c>
      <c r="AI94" s="574"/>
      <c r="AJ94" s="188">
        <v>3</v>
      </c>
      <c r="AK94" s="188">
        <v>2975.9681127982672</v>
      </c>
      <c r="AL94" s="185">
        <f t="shared" si="44"/>
        <v>991.98937093275572</v>
      </c>
      <c r="AM94" s="182">
        <f t="shared" si="45"/>
        <v>9</v>
      </c>
      <c r="AN94" s="574"/>
      <c r="AO94" s="188">
        <v>3</v>
      </c>
      <c r="AP94" s="188">
        <v>2975.6381127982672</v>
      </c>
      <c r="AQ94" s="185">
        <f t="shared" si="46"/>
        <v>991.87937093275571</v>
      </c>
      <c r="AR94" s="182">
        <f t="shared" si="47"/>
        <v>9</v>
      </c>
      <c r="AS94" s="574"/>
      <c r="AT94" s="188">
        <v>3</v>
      </c>
      <c r="AU94" s="188">
        <v>2976.9581127982669</v>
      </c>
      <c r="AV94" s="185">
        <f t="shared" si="48"/>
        <v>992.31937093275565</v>
      </c>
      <c r="AW94" s="182">
        <f t="shared" si="49"/>
        <v>9</v>
      </c>
      <c r="AX94" s="574"/>
    </row>
    <row r="95" spans="1:50" ht="14.25" customHeight="1">
      <c r="B95" s="575"/>
      <c r="C95" s="180">
        <v>13</v>
      </c>
      <c r="D95" s="183" t="s">
        <v>737</v>
      </c>
      <c r="E95" s="184">
        <v>5</v>
      </c>
      <c r="F95" s="180">
        <v>3600</v>
      </c>
      <c r="G95" s="185">
        <f t="shared" si="36"/>
        <v>720</v>
      </c>
      <c r="H95" s="576"/>
      <c r="I95" s="186">
        <f t="shared" si="37"/>
        <v>5</v>
      </c>
      <c r="J95" s="186">
        <f t="shared" si="37"/>
        <v>3096.1209236268428</v>
      </c>
      <c r="K95" s="187">
        <f t="shared" si="37"/>
        <v>619.22418472536845</v>
      </c>
      <c r="L95" s="577"/>
      <c r="M95" s="186">
        <f>RANK(K95, K$83:$K$117)</f>
        <v>26</v>
      </c>
      <c r="N95" s="588"/>
      <c r="O95" s="578"/>
      <c r="P95" s="188">
        <v>5</v>
      </c>
      <c r="Q95" s="188">
        <v>2942.9434491528591</v>
      </c>
      <c r="R95" s="185">
        <f t="shared" si="34"/>
        <v>588.58868983057187</v>
      </c>
      <c r="S95" s="182">
        <f t="shared" si="38"/>
        <v>28</v>
      </c>
      <c r="T95" s="574"/>
      <c r="U95" s="188">
        <v>5</v>
      </c>
      <c r="V95" s="188">
        <v>2998.3871244674383</v>
      </c>
      <c r="W95" s="185">
        <f t="shared" si="35"/>
        <v>599.67742489348768</v>
      </c>
      <c r="X95" s="182">
        <f t="shared" si="39"/>
        <v>25</v>
      </c>
      <c r="Y95" s="574"/>
      <c r="Z95" s="188">
        <v>5</v>
      </c>
      <c r="AA95" s="188">
        <v>3054.009744</v>
      </c>
      <c r="AB95" s="185">
        <f t="shared" si="40"/>
        <v>610.80194879999999</v>
      </c>
      <c r="AC95" s="182">
        <f t="shared" si="41"/>
        <v>26</v>
      </c>
      <c r="AD95" s="574"/>
      <c r="AE95" s="188">
        <v>5</v>
      </c>
      <c r="AF95" s="188">
        <v>3131.0979876000001</v>
      </c>
      <c r="AG95" s="185">
        <f t="shared" si="42"/>
        <v>626.21959751999998</v>
      </c>
      <c r="AH95" s="182">
        <f t="shared" si="43"/>
        <v>25</v>
      </c>
      <c r="AI95" s="574"/>
      <c r="AJ95" s="188">
        <v>5</v>
      </c>
      <c r="AK95" s="188">
        <v>3182.4960533891995</v>
      </c>
      <c r="AL95" s="185">
        <f t="shared" si="44"/>
        <v>636.49921067783987</v>
      </c>
      <c r="AM95" s="182">
        <f t="shared" si="45"/>
        <v>24</v>
      </c>
      <c r="AN95" s="574"/>
      <c r="AO95" s="188">
        <v>5</v>
      </c>
      <c r="AP95" s="188">
        <v>3181.0560533891994</v>
      </c>
      <c r="AQ95" s="185">
        <f t="shared" si="46"/>
        <v>636.21121067783986</v>
      </c>
      <c r="AR95" s="182">
        <f t="shared" si="47"/>
        <v>24</v>
      </c>
      <c r="AS95" s="574"/>
      <c r="AT95" s="188">
        <v>5</v>
      </c>
      <c r="AU95" s="188">
        <v>3182.8560533891996</v>
      </c>
      <c r="AV95" s="185">
        <f t="shared" si="48"/>
        <v>636.57121067783987</v>
      </c>
      <c r="AW95" s="182">
        <f t="shared" si="49"/>
        <v>23</v>
      </c>
      <c r="AX95" s="574"/>
    </row>
    <row r="96" spans="1:50" ht="14.25" customHeight="1">
      <c r="B96" s="575"/>
      <c r="C96" s="180">
        <v>14</v>
      </c>
      <c r="D96" s="183" t="s">
        <v>738</v>
      </c>
      <c r="E96" s="184">
        <v>5</v>
      </c>
      <c r="F96" s="180">
        <v>3600</v>
      </c>
      <c r="G96" s="185">
        <f t="shared" si="36"/>
        <v>720</v>
      </c>
      <c r="H96" s="576"/>
      <c r="I96" s="186">
        <f t="shared" si="37"/>
        <v>5</v>
      </c>
      <c r="J96" s="186">
        <f t="shared" si="37"/>
        <v>3096.6010186081066</v>
      </c>
      <c r="K96" s="187">
        <f t="shared" si="37"/>
        <v>619.32020372162128</v>
      </c>
      <c r="L96" s="577"/>
      <c r="M96" s="186">
        <f>RANK(K96, K$83:$K$117)</f>
        <v>25</v>
      </c>
      <c r="N96" s="588"/>
      <c r="O96" s="578"/>
      <c r="P96" s="188">
        <v>5</v>
      </c>
      <c r="Q96" s="188">
        <v>2946.0340708929557</v>
      </c>
      <c r="R96" s="185">
        <f t="shared" si="34"/>
        <v>589.20681417859112</v>
      </c>
      <c r="S96" s="182">
        <f t="shared" si="38"/>
        <v>26</v>
      </c>
      <c r="T96" s="574"/>
      <c r="U96" s="188">
        <v>5</v>
      </c>
      <c r="V96" s="188">
        <v>2995.5046335327615</v>
      </c>
      <c r="W96" s="185">
        <f t="shared" si="35"/>
        <v>599.10092670655229</v>
      </c>
      <c r="X96" s="182">
        <f t="shared" si="39"/>
        <v>26</v>
      </c>
      <c r="Y96" s="574"/>
      <c r="Z96" s="188">
        <v>5</v>
      </c>
      <c r="AA96" s="188">
        <v>3060.3380642085076</v>
      </c>
      <c r="AB96" s="185">
        <f t="shared" si="40"/>
        <v>612.06761284170148</v>
      </c>
      <c r="AC96" s="182">
        <f t="shared" si="41"/>
        <v>25</v>
      </c>
      <c r="AD96" s="574"/>
      <c r="AE96" s="188">
        <v>5</v>
      </c>
      <c r="AF96" s="188">
        <v>3128.1012647999996</v>
      </c>
      <c r="AG96" s="185">
        <f t="shared" si="42"/>
        <v>625.6202529599999</v>
      </c>
      <c r="AH96" s="182">
        <f t="shared" si="43"/>
        <v>26</v>
      </c>
      <c r="AI96" s="574"/>
      <c r="AJ96" s="188">
        <v>5</v>
      </c>
      <c r="AK96" s="188">
        <v>3187.5351888311993</v>
      </c>
      <c r="AL96" s="185">
        <f t="shared" si="44"/>
        <v>637.50703776623982</v>
      </c>
      <c r="AM96" s="182">
        <f t="shared" si="45"/>
        <v>23</v>
      </c>
      <c r="AN96" s="574"/>
      <c r="AO96" s="188">
        <v>5</v>
      </c>
      <c r="AP96" s="188">
        <v>3182.0763656075069</v>
      </c>
      <c r="AQ96" s="185">
        <f t="shared" si="46"/>
        <v>636.4152731215014</v>
      </c>
      <c r="AR96" s="182">
        <f t="shared" si="47"/>
        <v>23</v>
      </c>
      <c r="AS96" s="574"/>
      <c r="AT96" s="188">
        <v>5</v>
      </c>
      <c r="AU96" s="188">
        <v>3176.617542383814</v>
      </c>
      <c r="AV96" s="185">
        <f t="shared" si="48"/>
        <v>635.32350847676275</v>
      </c>
      <c r="AW96" s="182">
        <f t="shared" si="49"/>
        <v>24</v>
      </c>
      <c r="AX96" s="574"/>
    </row>
    <row r="97" spans="2:50" ht="14.25" customHeight="1">
      <c r="B97" s="575"/>
      <c r="C97" s="180">
        <v>15</v>
      </c>
      <c r="D97" s="183" t="s">
        <v>413</v>
      </c>
      <c r="E97" s="184">
        <v>5</v>
      </c>
      <c r="F97" s="180">
        <v>3600</v>
      </c>
      <c r="G97" s="185">
        <f t="shared" si="36"/>
        <v>720</v>
      </c>
      <c r="H97" s="576"/>
      <c r="I97" s="186">
        <f t="shared" si="37"/>
        <v>5</v>
      </c>
      <c r="J97" s="186">
        <f t="shared" si="37"/>
        <v>3169.7945300961537</v>
      </c>
      <c r="K97" s="187">
        <f t="shared" si="37"/>
        <v>633.95890601923077</v>
      </c>
      <c r="L97" s="577"/>
      <c r="M97" s="186">
        <f>RANK(K97, K$83:$K$117)</f>
        <v>23</v>
      </c>
      <c r="N97" s="588"/>
      <c r="O97" s="578"/>
      <c r="P97" s="188">
        <v>5</v>
      </c>
      <c r="Q97" s="188">
        <v>3170.8231015247247</v>
      </c>
      <c r="R97" s="185">
        <f t="shared" si="34"/>
        <v>634.16462030494495</v>
      </c>
      <c r="S97" s="182">
        <f t="shared" si="38"/>
        <v>23</v>
      </c>
      <c r="T97" s="574"/>
      <c r="U97" s="188">
        <v>5</v>
      </c>
      <c r="V97" s="188">
        <v>3169.0231015247255</v>
      </c>
      <c r="W97" s="185">
        <f t="shared" si="35"/>
        <v>633.80462030494505</v>
      </c>
      <c r="X97" s="182">
        <f t="shared" si="39"/>
        <v>24</v>
      </c>
      <c r="Y97" s="574"/>
      <c r="Z97" s="188">
        <v>5</v>
      </c>
      <c r="AA97" s="188">
        <v>3170.4631015247251</v>
      </c>
      <c r="AB97" s="185">
        <f t="shared" si="40"/>
        <v>634.09262030494506</v>
      </c>
      <c r="AC97" s="182">
        <f t="shared" si="41"/>
        <v>23</v>
      </c>
      <c r="AD97" s="574"/>
      <c r="AE97" s="188">
        <v>5</v>
      </c>
      <c r="AF97" s="188">
        <v>3171.1831015247253</v>
      </c>
      <c r="AG97" s="185">
        <f t="shared" si="42"/>
        <v>634.23662030494506</v>
      </c>
      <c r="AH97" s="182">
        <f t="shared" si="43"/>
        <v>23</v>
      </c>
      <c r="AI97" s="574"/>
      <c r="AJ97" s="188">
        <v>5</v>
      </c>
      <c r="AK97" s="188">
        <v>3169.7431015247257</v>
      </c>
      <c r="AL97" s="185">
        <f t="shared" si="44"/>
        <v>633.94862030494517</v>
      </c>
      <c r="AM97" s="182">
        <f t="shared" si="45"/>
        <v>25</v>
      </c>
      <c r="AN97" s="574"/>
      <c r="AO97" s="188">
        <v>5</v>
      </c>
      <c r="AP97" s="188">
        <v>3169.3831015247256</v>
      </c>
      <c r="AQ97" s="185">
        <f t="shared" si="46"/>
        <v>633.87662030494516</v>
      </c>
      <c r="AR97" s="182">
        <f t="shared" si="47"/>
        <v>25</v>
      </c>
      <c r="AS97" s="574"/>
      <c r="AT97" s="188">
        <v>5</v>
      </c>
      <c r="AU97" s="188">
        <v>3167.9431015247255</v>
      </c>
      <c r="AV97" s="185">
        <f t="shared" si="48"/>
        <v>633.58862030494515</v>
      </c>
      <c r="AW97" s="182">
        <f t="shared" si="49"/>
        <v>26</v>
      </c>
      <c r="AX97" s="574"/>
    </row>
    <row r="98" spans="2:50" ht="14.25" customHeight="1">
      <c r="B98" s="575"/>
      <c r="C98" s="180">
        <v>16</v>
      </c>
      <c r="D98" s="183" t="s">
        <v>412</v>
      </c>
      <c r="E98" s="184">
        <v>3</v>
      </c>
      <c r="F98" s="180">
        <v>3600</v>
      </c>
      <c r="G98" s="185">
        <f t="shared" si="36"/>
        <v>1200</v>
      </c>
      <c r="H98" s="576"/>
      <c r="I98" s="186">
        <f t="shared" si="37"/>
        <v>3</v>
      </c>
      <c r="J98" s="186">
        <f t="shared" si="37"/>
        <v>3182.284062288426</v>
      </c>
      <c r="K98" s="187">
        <f t="shared" si="37"/>
        <v>1060.761354096142</v>
      </c>
      <c r="L98" s="577"/>
      <c r="M98" s="186">
        <f>RANK(K98, K$83:$K$117)</f>
        <v>1</v>
      </c>
      <c r="N98" s="588"/>
      <c r="O98" s="578"/>
      <c r="P98" s="188">
        <v>3</v>
      </c>
      <c r="Q98" s="188">
        <v>3179.5069194312837</v>
      </c>
      <c r="R98" s="185">
        <f t="shared" si="34"/>
        <v>1059.8356398104279</v>
      </c>
      <c r="S98" s="182">
        <f t="shared" si="38"/>
        <v>3</v>
      </c>
      <c r="T98" s="574"/>
      <c r="U98" s="188">
        <v>3</v>
      </c>
      <c r="V98" s="188">
        <v>3181.3069194312829</v>
      </c>
      <c r="W98" s="185">
        <f t="shared" si="35"/>
        <v>1060.4356398104276</v>
      </c>
      <c r="X98" s="182">
        <f t="shared" si="39"/>
        <v>1</v>
      </c>
      <c r="Y98" s="574"/>
      <c r="Z98" s="188">
        <v>3</v>
      </c>
      <c r="AA98" s="188">
        <v>3182.7469194312835</v>
      </c>
      <c r="AB98" s="185">
        <f t="shared" si="40"/>
        <v>1060.9156398104278</v>
      </c>
      <c r="AC98" s="182">
        <f t="shared" si="41"/>
        <v>1</v>
      </c>
      <c r="AD98" s="574"/>
      <c r="AE98" s="188">
        <v>3</v>
      </c>
      <c r="AF98" s="188">
        <v>3184.5469194312827</v>
      </c>
      <c r="AG98" s="185">
        <f t="shared" si="42"/>
        <v>1061.5156398104275</v>
      </c>
      <c r="AH98" s="182">
        <f t="shared" si="43"/>
        <v>1</v>
      </c>
      <c r="AI98" s="574"/>
      <c r="AJ98" s="188">
        <v>3</v>
      </c>
      <c r="AK98" s="188">
        <v>3183.1069194312836</v>
      </c>
      <c r="AL98" s="185">
        <f t="shared" si="44"/>
        <v>1061.0356398104279</v>
      </c>
      <c r="AM98" s="182">
        <f t="shared" si="45"/>
        <v>1</v>
      </c>
      <c r="AN98" s="574"/>
      <c r="AO98" s="188">
        <v>3</v>
      </c>
      <c r="AP98" s="188">
        <v>3183.1069194312836</v>
      </c>
      <c r="AQ98" s="185">
        <f t="shared" si="46"/>
        <v>1061.0356398104279</v>
      </c>
      <c r="AR98" s="182">
        <f t="shared" si="47"/>
        <v>1</v>
      </c>
      <c r="AS98" s="574"/>
      <c r="AT98" s="188">
        <v>3</v>
      </c>
      <c r="AU98" s="188">
        <v>3181.6669194312835</v>
      </c>
      <c r="AV98" s="185">
        <f t="shared" si="48"/>
        <v>1060.5556398104279</v>
      </c>
      <c r="AW98" s="182">
        <f t="shared" si="49"/>
        <v>1</v>
      </c>
      <c r="AX98" s="574"/>
    </row>
    <row r="99" spans="2:50" ht="14.25" customHeight="1">
      <c r="B99" s="575"/>
      <c r="C99" s="180">
        <v>17</v>
      </c>
      <c r="D99" s="183" t="s">
        <v>414</v>
      </c>
      <c r="E99" s="184">
        <v>4</v>
      </c>
      <c r="F99" s="180">
        <v>3600</v>
      </c>
      <c r="G99" s="185">
        <f t="shared" si="36"/>
        <v>900</v>
      </c>
      <c r="H99" s="576"/>
      <c r="I99" s="186">
        <f t="shared" si="37"/>
        <v>4</v>
      </c>
      <c r="J99" s="186">
        <f t="shared" si="37"/>
        <v>3180.0684723369218</v>
      </c>
      <c r="K99" s="187">
        <f t="shared" si="37"/>
        <v>795.01711808423045</v>
      </c>
      <c r="L99" s="577"/>
      <c r="M99" s="186">
        <f>RANK(K99, K$83:$K$117)</f>
        <v>14</v>
      </c>
      <c r="N99" s="588"/>
      <c r="O99" s="578"/>
      <c r="P99" s="188">
        <v>4</v>
      </c>
      <c r="Q99" s="188">
        <v>3179.8113294797777</v>
      </c>
      <c r="R99" s="185">
        <f t="shared" si="34"/>
        <v>794.95283236994442</v>
      </c>
      <c r="S99" s="182">
        <f t="shared" si="38"/>
        <v>14</v>
      </c>
      <c r="T99" s="574"/>
      <c r="U99" s="188">
        <v>4</v>
      </c>
      <c r="V99" s="188">
        <v>3179.8113294797781</v>
      </c>
      <c r="W99" s="185">
        <f t="shared" si="35"/>
        <v>794.95283236994453</v>
      </c>
      <c r="X99" s="182">
        <f t="shared" si="39"/>
        <v>14</v>
      </c>
      <c r="Y99" s="574"/>
      <c r="Z99" s="188">
        <v>4</v>
      </c>
      <c r="AA99" s="188">
        <v>3178.371329479779</v>
      </c>
      <c r="AB99" s="185">
        <f t="shared" si="40"/>
        <v>794.59283236994474</v>
      </c>
      <c r="AC99" s="182">
        <f t="shared" si="41"/>
        <v>14</v>
      </c>
      <c r="AD99" s="574"/>
      <c r="AE99" s="188">
        <v>4</v>
      </c>
      <c r="AF99" s="188">
        <v>3179.8113294797786</v>
      </c>
      <c r="AG99" s="185">
        <f t="shared" si="42"/>
        <v>794.95283236994464</v>
      </c>
      <c r="AH99" s="182">
        <f t="shared" si="43"/>
        <v>14</v>
      </c>
      <c r="AI99" s="574"/>
      <c r="AJ99" s="188">
        <v>4</v>
      </c>
      <c r="AK99" s="188">
        <v>3180.1713294797783</v>
      </c>
      <c r="AL99" s="185">
        <f t="shared" si="44"/>
        <v>795.04283236994456</v>
      </c>
      <c r="AM99" s="182">
        <f t="shared" si="45"/>
        <v>14</v>
      </c>
      <c r="AN99" s="574"/>
      <c r="AO99" s="188">
        <v>4</v>
      </c>
      <c r="AP99" s="188">
        <v>3181.2513294797782</v>
      </c>
      <c r="AQ99" s="185">
        <f t="shared" si="46"/>
        <v>795.31283236994454</v>
      </c>
      <c r="AR99" s="182">
        <f t="shared" si="47"/>
        <v>14</v>
      </c>
      <c r="AS99" s="574"/>
      <c r="AT99" s="188">
        <v>4</v>
      </c>
      <c r="AU99" s="188">
        <v>3181.2513294797782</v>
      </c>
      <c r="AV99" s="185">
        <f t="shared" si="48"/>
        <v>795.31283236994454</v>
      </c>
      <c r="AW99" s="182">
        <f t="shared" si="49"/>
        <v>14</v>
      </c>
      <c r="AX99" s="574"/>
    </row>
    <row r="100" spans="2:50" ht="14.25" customHeight="1">
      <c r="B100" s="575"/>
      <c r="C100" s="180">
        <v>18</v>
      </c>
      <c r="D100" s="183" t="s">
        <v>346</v>
      </c>
      <c r="E100" s="184">
        <v>5</v>
      </c>
      <c r="F100" s="180">
        <v>3300</v>
      </c>
      <c r="G100" s="185">
        <f t="shared" si="36"/>
        <v>660</v>
      </c>
      <c r="H100" s="576"/>
      <c r="I100" s="186">
        <f t="shared" si="37"/>
        <v>5</v>
      </c>
      <c r="J100" s="186">
        <f t="shared" si="37"/>
        <v>2943.9945378151283</v>
      </c>
      <c r="K100" s="187">
        <f t="shared" si="37"/>
        <v>588.79890756302564</v>
      </c>
      <c r="L100" s="577"/>
      <c r="M100" s="186">
        <f>RANK(K100, K$83:$K$117)</f>
        <v>28</v>
      </c>
      <c r="N100" s="588"/>
      <c r="O100" s="578"/>
      <c r="P100" s="188">
        <v>5</v>
      </c>
      <c r="Q100" s="188">
        <v>2945.7388235294138</v>
      </c>
      <c r="R100" s="185">
        <f t="shared" si="34"/>
        <v>589.14776470588276</v>
      </c>
      <c r="S100" s="182">
        <f t="shared" si="38"/>
        <v>27</v>
      </c>
      <c r="T100" s="574"/>
      <c r="U100" s="188">
        <v>5</v>
      </c>
      <c r="V100" s="188">
        <v>2944.0888235294142</v>
      </c>
      <c r="W100" s="185">
        <f t="shared" si="35"/>
        <v>588.81776470588284</v>
      </c>
      <c r="X100" s="182">
        <f t="shared" si="39"/>
        <v>28</v>
      </c>
      <c r="Y100" s="574"/>
      <c r="Z100" s="188">
        <v>5</v>
      </c>
      <c r="AA100" s="188">
        <v>2943.4288235294139</v>
      </c>
      <c r="AB100" s="185">
        <f t="shared" si="40"/>
        <v>588.68576470588278</v>
      </c>
      <c r="AC100" s="182">
        <f t="shared" si="41"/>
        <v>28</v>
      </c>
      <c r="AD100" s="574"/>
      <c r="AE100" s="188">
        <v>5</v>
      </c>
      <c r="AF100" s="188">
        <v>2942.4388235294145</v>
      </c>
      <c r="AG100" s="185">
        <f t="shared" si="42"/>
        <v>588.48776470588291</v>
      </c>
      <c r="AH100" s="182">
        <f t="shared" si="43"/>
        <v>28</v>
      </c>
      <c r="AI100" s="574"/>
      <c r="AJ100" s="188">
        <v>5</v>
      </c>
      <c r="AK100" s="188">
        <v>2943.7588235294143</v>
      </c>
      <c r="AL100" s="185">
        <f t="shared" si="44"/>
        <v>588.75176470588281</v>
      </c>
      <c r="AM100" s="182">
        <f t="shared" si="45"/>
        <v>28</v>
      </c>
      <c r="AN100" s="574"/>
      <c r="AO100" s="188">
        <v>5</v>
      </c>
      <c r="AP100" s="188">
        <v>2943.7588235294138</v>
      </c>
      <c r="AQ100" s="185">
        <f t="shared" si="46"/>
        <v>588.75176470588281</v>
      </c>
      <c r="AR100" s="182">
        <f t="shared" si="47"/>
        <v>27</v>
      </c>
      <c r="AS100" s="574"/>
      <c r="AT100" s="188">
        <v>5</v>
      </c>
      <c r="AU100" s="188">
        <v>2944.748823529414</v>
      </c>
      <c r="AV100" s="185">
        <f t="shared" si="48"/>
        <v>588.94976470588279</v>
      </c>
      <c r="AW100" s="182">
        <f t="shared" si="49"/>
        <v>27</v>
      </c>
      <c r="AX100" s="574"/>
    </row>
    <row r="101" spans="2:50" ht="14.25" customHeight="1">
      <c r="B101" s="575"/>
      <c r="C101" s="180">
        <v>19</v>
      </c>
      <c r="D101" s="183" t="s">
        <v>407</v>
      </c>
      <c r="E101" s="184">
        <v>3</v>
      </c>
      <c r="F101" s="180">
        <v>3600</v>
      </c>
      <c r="G101" s="185">
        <f t="shared" si="36"/>
        <v>1200</v>
      </c>
      <c r="H101" s="576"/>
      <c r="I101" s="186">
        <f t="shared" si="37"/>
        <v>3</v>
      </c>
      <c r="J101" s="186">
        <f t="shared" si="37"/>
        <v>3177.6335756551148</v>
      </c>
      <c r="K101" s="187">
        <f t="shared" si="37"/>
        <v>1059.2111918850383</v>
      </c>
      <c r="L101" s="577"/>
      <c r="M101" s="186">
        <f>RANK(K101, K$83:$K$117)</f>
        <v>4</v>
      </c>
      <c r="N101" s="588"/>
      <c r="O101" s="578"/>
      <c r="P101" s="188">
        <v>3</v>
      </c>
      <c r="Q101" s="188">
        <v>3177.1707185122577</v>
      </c>
      <c r="R101" s="185">
        <f t="shared" si="34"/>
        <v>1059.0569061707527</v>
      </c>
      <c r="S101" s="182">
        <f t="shared" si="38"/>
        <v>4</v>
      </c>
      <c r="T101" s="574"/>
      <c r="U101" s="188">
        <v>3</v>
      </c>
      <c r="V101" s="188">
        <v>3178.970718512257</v>
      </c>
      <c r="W101" s="185">
        <f t="shared" si="35"/>
        <v>1059.6569061707523</v>
      </c>
      <c r="X101" s="182">
        <f t="shared" si="39"/>
        <v>3</v>
      </c>
      <c r="Y101" s="574"/>
      <c r="Z101" s="188">
        <v>3</v>
      </c>
      <c r="AA101" s="188">
        <v>3177.530718512257</v>
      </c>
      <c r="AB101" s="185">
        <f t="shared" si="40"/>
        <v>1059.1769061707523</v>
      </c>
      <c r="AC101" s="182">
        <f t="shared" si="41"/>
        <v>4</v>
      </c>
      <c r="AD101" s="574"/>
      <c r="AE101" s="188">
        <v>3</v>
      </c>
      <c r="AF101" s="188">
        <v>3176.450718512257</v>
      </c>
      <c r="AG101" s="185">
        <f t="shared" si="42"/>
        <v>1058.8169061707524</v>
      </c>
      <c r="AH101" s="182">
        <f t="shared" si="43"/>
        <v>5</v>
      </c>
      <c r="AI101" s="574"/>
      <c r="AJ101" s="188">
        <v>3</v>
      </c>
      <c r="AK101" s="188">
        <v>3177.1707185122573</v>
      </c>
      <c r="AL101" s="185">
        <f t="shared" si="44"/>
        <v>1059.0569061707524</v>
      </c>
      <c r="AM101" s="182">
        <f t="shared" si="45"/>
        <v>3</v>
      </c>
      <c r="AN101" s="574"/>
      <c r="AO101" s="188">
        <v>3</v>
      </c>
      <c r="AP101" s="188">
        <v>3177.890718512258</v>
      </c>
      <c r="AQ101" s="185">
        <f t="shared" si="46"/>
        <v>1059.2969061707527</v>
      </c>
      <c r="AR101" s="182">
        <f t="shared" si="47"/>
        <v>3</v>
      </c>
      <c r="AS101" s="574"/>
      <c r="AT101" s="188">
        <v>3</v>
      </c>
      <c r="AU101" s="188">
        <v>3178.2507185122586</v>
      </c>
      <c r="AV101" s="185">
        <f t="shared" si="48"/>
        <v>1059.4169061707528</v>
      </c>
      <c r="AW101" s="182">
        <f t="shared" si="49"/>
        <v>3</v>
      </c>
      <c r="AX101" s="574"/>
    </row>
    <row r="102" spans="2:50" ht="14.25" customHeight="1">
      <c r="B102" s="575"/>
      <c r="C102" s="180">
        <v>20</v>
      </c>
      <c r="D102" s="183" t="s">
        <v>674</v>
      </c>
      <c r="E102" s="184">
        <v>4</v>
      </c>
      <c r="F102" s="180">
        <v>3600</v>
      </c>
      <c r="G102" s="185">
        <f t="shared" si="36"/>
        <v>900</v>
      </c>
      <c r="H102" s="576"/>
      <c r="I102" s="186">
        <f t="shared" si="37"/>
        <v>4</v>
      </c>
      <c r="J102" s="186">
        <f t="shared" si="37"/>
        <v>3217.9748461563618</v>
      </c>
      <c r="K102" s="187">
        <f t="shared" si="37"/>
        <v>804.49371153909044</v>
      </c>
      <c r="L102" s="577"/>
      <c r="M102" s="186">
        <f>RANK(K102, K$83:$K$117)</f>
        <v>12</v>
      </c>
      <c r="N102" s="588"/>
      <c r="O102" s="578"/>
      <c r="P102" s="188">
        <v>4</v>
      </c>
      <c r="Q102" s="188">
        <v>3241.2359807736339</v>
      </c>
      <c r="R102" s="185">
        <f t="shared" si="34"/>
        <v>810.30899519340846</v>
      </c>
      <c r="S102" s="182">
        <f t="shared" si="38"/>
        <v>12</v>
      </c>
      <c r="T102" s="574"/>
      <c r="U102" s="188">
        <v>4</v>
      </c>
      <c r="V102" s="188">
        <v>3239.4359807736337</v>
      </c>
      <c r="W102" s="185">
        <f t="shared" si="35"/>
        <v>809.85899519340842</v>
      </c>
      <c r="X102" s="182">
        <f t="shared" si="39"/>
        <v>13</v>
      </c>
      <c r="Y102" s="574"/>
      <c r="Z102" s="188">
        <v>4</v>
      </c>
      <c r="AA102" s="188">
        <v>3241.2359807736339</v>
      </c>
      <c r="AB102" s="185">
        <f t="shared" si="40"/>
        <v>810.30899519340846</v>
      </c>
      <c r="AC102" s="182">
        <f t="shared" si="41"/>
        <v>13</v>
      </c>
      <c r="AD102" s="574"/>
      <c r="AE102" s="188">
        <v>4</v>
      </c>
      <c r="AF102" s="188">
        <v>3241.9559807736332</v>
      </c>
      <c r="AG102" s="185">
        <f t="shared" si="42"/>
        <v>810.4889951934083</v>
      </c>
      <c r="AH102" s="182">
        <f t="shared" si="43"/>
        <v>12</v>
      </c>
      <c r="AI102" s="574"/>
      <c r="AJ102" s="188">
        <v>4</v>
      </c>
      <c r="AK102" s="188">
        <v>3186</v>
      </c>
      <c r="AL102" s="185">
        <f t="shared" si="44"/>
        <v>796.5</v>
      </c>
      <c r="AM102" s="182">
        <f t="shared" si="45"/>
        <v>12</v>
      </c>
      <c r="AN102" s="574"/>
      <c r="AO102" s="188">
        <v>4</v>
      </c>
      <c r="AP102" s="188">
        <v>3187.4399999999996</v>
      </c>
      <c r="AQ102" s="185">
        <f t="shared" si="46"/>
        <v>796.8599999999999</v>
      </c>
      <c r="AR102" s="182">
        <f t="shared" si="47"/>
        <v>12</v>
      </c>
      <c r="AS102" s="574"/>
      <c r="AT102" s="188">
        <v>4</v>
      </c>
      <c r="AU102" s="188">
        <v>3188.5199999999995</v>
      </c>
      <c r="AV102" s="185">
        <f t="shared" si="48"/>
        <v>797.12999999999988</v>
      </c>
      <c r="AW102" s="182">
        <f t="shared" si="49"/>
        <v>12</v>
      </c>
      <c r="AX102" s="574"/>
    </row>
    <row r="103" spans="2:50" ht="14.25" customHeight="1">
      <c r="B103" s="575"/>
      <c r="C103" s="180">
        <v>21</v>
      </c>
      <c r="D103" s="183" t="s">
        <v>411</v>
      </c>
      <c r="E103" s="184">
        <v>3</v>
      </c>
      <c r="F103" s="180">
        <v>3600</v>
      </c>
      <c r="G103" s="185">
        <f t="shared" si="36"/>
        <v>1200</v>
      </c>
      <c r="H103" s="576"/>
      <c r="I103" s="186">
        <f t="shared" si="37"/>
        <v>3</v>
      </c>
      <c r="J103" s="186">
        <f t="shared" si="37"/>
        <v>3179.7403161348161</v>
      </c>
      <c r="K103" s="187">
        <f t="shared" si="37"/>
        <v>1059.9134387116057</v>
      </c>
      <c r="L103" s="577"/>
      <c r="M103" s="186">
        <f>RANK(K103, K$83:$K$117)</f>
        <v>2</v>
      </c>
      <c r="N103" s="588"/>
      <c r="O103" s="578"/>
      <c r="P103" s="188">
        <v>3</v>
      </c>
      <c r="Q103" s="188">
        <v>3180.2031732776732</v>
      </c>
      <c r="R103" s="185">
        <f t="shared" si="34"/>
        <v>1060.0677244258911</v>
      </c>
      <c r="S103" s="182">
        <f t="shared" si="38"/>
        <v>2</v>
      </c>
      <c r="T103" s="574"/>
      <c r="U103" s="188">
        <v>3</v>
      </c>
      <c r="V103" s="188">
        <v>3178.4031732776734</v>
      </c>
      <c r="W103" s="185">
        <f t="shared" si="35"/>
        <v>1059.4677244258912</v>
      </c>
      <c r="X103" s="182">
        <f t="shared" si="39"/>
        <v>4</v>
      </c>
      <c r="Y103" s="574"/>
      <c r="Z103" s="188">
        <v>3</v>
      </c>
      <c r="AA103" s="188">
        <v>3180.2031732776732</v>
      </c>
      <c r="AB103" s="185">
        <f t="shared" si="40"/>
        <v>1060.0677244258911</v>
      </c>
      <c r="AC103" s="182">
        <f t="shared" si="41"/>
        <v>2</v>
      </c>
      <c r="AD103" s="574"/>
      <c r="AE103" s="188">
        <v>3</v>
      </c>
      <c r="AF103" s="188">
        <v>3179.8431732776735</v>
      </c>
      <c r="AG103" s="185">
        <f t="shared" si="42"/>
        <v>1059.9477244258912</v>
      </c>
      <c r="AH103" s="182">
        <f t="shared" si="43"/>
        <v>2</v>
      </c>
      <c r="AI103" s="574"/>
      <c r="AJ103" s="188">
        <v>3</v>
      </c>
      <c r="AK103" s="188">
        <v>3179.4831732776743</v>
      </c>
      <c r="AL103" s="185">
        <f t="shared" si="44"/>
        <v>1059.8277244258913</v>
      </c>
      <c r="AM103" s="182">
        <f t="shared" si="45"/>
        <v>2</v>
      </c>
      <c r="AN103" s="574"/>
      <c r="AO103" s="188">
        <v>3</v>
      </c>
      <c r="AP103" s="188">
        <v>3180.5631732776737</v>
      </c>
      <c r="AQ103" s="185">
        <f t="shared" si="46"/>
        <v>1060.1877244258912</v>
      </c>
      <c r="AR103" s="182">
        <f t="shared" si="47"/>
        <v>2</v>
      </c>
      <c r="AS103" s="574"/>
      <c r="AT103" s="188">
        <v>3</v>
      </c>
      <c r="AU103" s="188">
        <v>3179.4831732776738</v>
      </c>
      <c r="AV103" s="185">
        <f t="shared" si="48"/>
        <v>1059.8277244258913</v>
      </c>
      <c r="AW103" s="182">
        <f t="shared" si="49"/>
        <v>2</v>
      </c>
      <c r="AX103" s="574"/>
    </row>
    <row r="104" spans="2:50" ht="14.25" customHeight="1">
      <c r="B104" s="575"/>
      <c r="C104" s="180">
        <v>22</v>
      </c>
      <c r="D104" s="183" t="s">
        <v>410</v>
      </c>
      <c r="E104" s="184">
        <v>5</v>
      </c>
      <c r="F104" s="180">
        <v>3600</v>
      </c>
      <c r="G104" s="185">
        <f>F104/E104</f>
        <v>720</v>
      </c>
      <c r="H104" s="576"/>
      <c r="I104" s="186">
        <f t="shared" si="37"/>
        <v>5</v>
      </c>
      <c r="J104" s="186">
        <f t="shared" si="37"/>
        <v>3211.6712545706819</v>
      </c>
      <c r="K104" s="187">
        <f t="shared" si="37"/>
        <v>642.33425091413642</v>
      </c>
      <c r="L104" s="577"/>
      <c r="M104" s="186">
        <f>RANK(K104, K$83:$K$117)</f>
        <v>21</v>
      </c>
      <c r="N104" s="588"/>
      <c r="O104" s="578"/>
      <c r="P104" s="188">
        <v>5</v>
      </c>
      <c r="Q104" s="188">
        <v>3212.8026831421103</v>
      </c>
      <c r="R104" s="185">
        <f t="shared" si="34"/>
        <v>642.56053662842203</v>
      </c>
      <c r="S104" s="182">
        <f t="shared" si="38"/>
        <v>20</v>
      </c>
      <c r="T104" s="574"/>
      <c r="U104" s="188">
        <v>5</v>
      </c>
      <c r="V104" s="188">
        <v>3214.6026831421095</v>
      </c>
      <c r="W104" s="185">
        <f t="shared" si="35"/>
        <v>642.92053662842193</v>
      </c>
      <c r="X104" s="182">
        <f t="shared" si="39"/>
        <v>20</v>
      </c>
      <c r="Y104" s="574"/>
      <c r="Z104" s="188">
        <v>5</v>
      </c>
      <c r="AA104" s="188">
        <v>3213.1626831421108</v>
      </c>
      <c r="AB104" s="185">
        <f t="shared" si="40"/>
        <v>642.63253662842214</v>
      </c>
      <c r="AC104" s="182">
        <f t="shared" si="41"/>
        <v>20</v>
      </c>
      <c r="AD104" s="574"/>
      <c r="AE104" s="188">
        <v>5</v>
      </c>
      <c r="AF104" s="188">
        <v>3211.3626831421107</v>
      </c>
      <c r="AG104" s="185">
        <f t="shared" si="42"/>
        <v>642.27253662842213</v>
      </c>
      <c r="AH104" s="182">
        <f t="shared" si="43"/>
        <v>21</v>
      </c>
      <c r="AI104" s="574"/>
      <c r="AJ104" s="188">
        <v>5</v>
      </c>
      <c r="AK104" s="188">
        <v>3210.6426831421109</v>
      </c>
      <c r="AL104" s="185">
        <f t="shared" si="44"/>
        <v>642.12853662842213</v>
      </c>
      <c r="AM104" s="182">
        <f t="shared" si="45"/>
        <v>22</v>
      </c>
      <c r="AN104" s="574"/>
      <c r="AO104" s="188">
        <v>5</v>
      </c>
      <c r="AP104" s="188">
        <v>3209.9226831421106</v>
      </c>
      <c r="AQ104" s="185">
        <f t="shared" si="46"/>
        <v>641.98453662842212</v>
      </c>
      <c r="AR104" s="182">
        <f t="shared" si="47"/>
        <v>22</v>
      </c>
      <c r="AS104" s="574"/>
      <c r="AT104" s="188">
        <v>5</v>
      </c>
      <c r="AU104" s="188">
        <v>3209.2026831421108</v>
      </c>
      <c r="AV104" s="185">
        <f t="shared" si="48"/>
        <v>641.84053662842211</v>
      </c>
      <c r="AW104" s="182">
        <f t="shared" si="49"/>
        <v>22</v>
      </c>
      <c r="AX104" s="574"/>
    </row>
    <row r="105" spans="2:50" ht="14.25" customHeight="1">
      <c r="B105" s="575"/>
      <c r="C105" s="180">
        <v>23</v>
      </c>
      <c r="D105" s="183" t="s">
        <v>406</v>
      </c>
      <c r="E105" s="184">
        <v>5</v>
      </c>
      <c r="F105" s="180">
        <v>3600</v>
      </c>
      <c r="G105" s="185">
        <f t="shared" ref="G105:G116" si="50">F105/E105</f>
        <v>720</v>
      </c>
      <c r="H105" s="576"/>
      <c r="I105" s="186">
        <f t="shared" si="37"/>
        <v>5</v>
      </c>
      <c r="J105" s="186">
        <f t="shared" si="37"/>
        <v>3212.4603481624731</v>
      </c>
      <c r="K105" s="187">
        <f t="shared" si="37"/>
        <v>642.49206963249469</v>
      </c>
      <c r="L105" s="577"/>
      <c r="M105" s="186">
        <f>RANK(K105, K$83:$K$117)</f>
        <v>20</v>
      </c>
      <c r="N105" s="588"/>
      <c r="O105" s="578"/>
      <c r="P105" s="188">
        <v>5</v>
      </c>
      <c r="Q105" s="188">
        <v>3212.1517767339019</v>
      </c>
      <c r="R105" s="185">
        <f t="shared" si="34"/>
        <v>642.4303553467804</v>
      </c>
      <c r="S105" s="182">
        <f t="shared" si="38"/>
        <v>21</v>
      </c>
      <c r="T105" s="574"/>
      <c r="U105" s="188">
        <v>5</v>
      </c>
      <c r="V105" s="188">
        <v>3212.5117767339025</v>
      </c>
      <c r="W105" s="185">
        <f t="shared" si="35"/>
        <v>642.50235534678052</v>
      </c>
      <c r="X105" s="182">
        <f t="shared" si="39"/>
        <v>21</v>
      </c>
      <c r="Y105" s="574"/>
      <c r="Z105" s="188">
        <v>5</v>
      </c>
      <c r="AA105" s="188">
        <v>3212.511776733902</v>
      </c>
      <c r="AB105" s="185">
        <f t="shared" si="40"/>
        <v>642.5023553467804</v>
      </c>
      <c r="AC105" s="182">
        <f t="shared" si="41"/>
        <v>21</v>
      </c>
      <c r="AD105" s="574"/>
      <c r="AE105" s="188">
        <v>5</v>
      </c>
      <c r="AF105" s="188">
        <v>3213.591776733902</v>
      </c>
      <c r="AG105" s="185">
        <f t="shared" si="42"/>
        <v>642.71835534678041</v>
      </c>
      <c r="AH105" s="182">
        <f t="shared" si="43"/>
        <v>20</v>
      </c>
      <c r="AI105" s="574"/>
      <c r="AJ105" s="188">
        <v>5</v>
      </c>
      <c r="AK105" s="188">
        <v>3213.5917767339024</v>
      </c>
      <c r="AL105" s="185">
        <f t="shared" si="44"/>
        <v>642.71835534678053</v>
      </c>
      <c r="AM105" s="182">
        <f t="shared" si="45"/>
        <v>20</v>
      </c>
      <c r="AN105" s="574"/>
      <c r="AO105" s="188">
        <v>5</v>
      </c>
      <c r="AP105" s="188">
        <v>3211.7917767339022</v>
      </c>
      <c r="AQ105" s="185">
        <f t="shared" si="46"/>
        <v>642.3583553467804</v>
      </c>
      <c r="AR105" s="182">
        <f t="shared" si="47"/>
        <v>21</v>
      </c>
      <c r="AS105" s="574"/>
      <c r="AT105" s="188">
        <v>5</v>
      </c>
      <c r="AU105" s="188">
        <v>3211.071776733902</v>
      </c>
      <c r="AV105" s="185">
        <f t="shared" si="48"/>
        <v>642.21435534678039</v>
      </c>
      <c r="AW105" s="182">
        <f t="shared" si="49"/>
        <v>20</v>
      </c>
      <c r="AX105" s="574"/>
    </row>
    <row r="106" spans="2:50" ht="14.25" customHeight="1">
      <c r="B106" s="575"/>
      <c r="C106" s="180">
        <v>24</v>
      </c>
      <c r="D106" s="183" t="s">
        <v>409</v>
      </c>
      <c r="E106" s="184">
        <v>4</v>
      </c>
      <c r="F106" s="180">
        <v>3000</v>
      </c>
      <c r="G106" s="185">
        <f t="shared" si="50"/>
        <v>750</v>
      </c>
      <c r="H106" s="576"/>
      <c r="I106" s="186">
        <f t="shared" si="37"/>
        <v>4</v>
      </c>
      <c r="J106" s="186">
        <f t="shared" si="37"/>
        <v>2699.1176757931207</v>
      </c>
      <c r="K106" s="187">
        <f t="shared" si="37"/>
        <v>674.77941894828018</v>
      </c>
      <c r="L106" s="577"/>
      <c r="M106" s="186">
        <f>RANK(K106, K$83:$K$117)</f>
        <v>16</v>
      </c>
      <c r="N106" s="588"/>
      <c r="O106" s="578"/>
      <c r="P106" s="188">
        <v>4</v>
      </c>
      <c r="Q106" s="188">
        <v>2699.2452961672479</v>
      </c>
      <c r="R106" s="185">
        <f t="shared" si="34"/>
        <v>674.81132404181199</v>
      </c>
      <c r="S106" s="182">
        <f t="shared" si="38"/>
        <v>16</v>
      </c>
      <c r="T106" s="574"/>
      <c r="U106" s="188">
        <v>4</v>
      </c>
      <c r="V106" s="188">
        <v>2698.6452961672476</v>
      </c>
      <c r="W106" s="185">
        <f t="shared" si="35"/>
        <v>674.66132404181189</v>
      </c>
      <c r="X106" s="182">
        <f t="shared" si="39"/>
        <v>16</v>
      </c>
      <c r="Y106" s="574"/>
      <c r="Z106" s="188">
        <v>4</v>
      </c>
      <c r="AA106" s="188">
        <v>2699.5452961672477</v>
      </c>
      <c r="AB106" s="185">
        <f t="shared" si="40"/>
        <v>674.88632404181192</v>
      </c>
      <c r="AC106" s="182">
        <f t="shared" si="41"/>
        <v>16</v>
      </c>
      <c r="AD106" s="574"/>
      <c r="AE106" s="188">
        <v>4</v>
      </c>
      <c r="AF106" s="188">
        <v>2698.645296167248</v>
      </c>
      <c r="AG106" s="185">
        <f t="shared" si="42"/>
        <v>674.66132404181201</v>
      </c>
      <c r="AH106" s="182">
        <f t="shared" si="43"/>
        <v>16</v>
      </c>
      <c r="AI106" s="574"/>
      <c r="AJ106" s="188">
        <v>4</v>
      </c>
      <c r="AK106" s="188">
        <v>2699.4333933668163</v>
      </c>
      <c r="AL106" s="185">
        <f t="shared" si="44"/>
        <v>674.85834834170407</v>
      </c>
      <c r="AM106" s="182">
        <f t="shared" si="45"/>
        <v>16</v>
      </c>
      <c r="AN106" s="574"/>
      <c r="AO106" s="188">
        <v>4</v>
      </c>
      <c r="AP106" s="188">
        <v>2699.4545762580183</v>
      </c>
      <c r="AQ106" s="185">
        <f t="shared" si="46"/>
        <v>674.86364406450457</v>
      </c>
      <c r="AR106" s="182">
        <f t="shared" si="47"/>
        <v>16</v>
      </c>
      <c r="AS106" s="574"/>
      <c r="AT106" s="188">
        <v>4</v>
      </c>
      <c r="AU106" s="188">
        <v>2698.8545762580188</v>
      </c>
      <c r="AV106" s="185">
        <f t="shared" si="48"/>
        <v>674.71364406450471</v>
      </c>
      <c r="AW106" s="182">
        <f t="shared" si="49"/>
        <v>16</v>
      </c>
      <c r="AX106" s="574"/>
    </row>
    <row r="107" spans="2:50" ht="14.25" customHeight="1">
      <c r="B107" s="575"/>
      <c r="C107" s="180">
        <v>25</v>
      </c>
      <c r="D107" s="183" t="s">
        <v>466</v>
      </c>
      <c r="E107" s="184">
        <v>3</v>
      </c>
      <c r="F107" s="180">
        <v>3600</v>
      </c>
      <c r="G107" s="185">
        <f t="shared" si="50"/>
        <v>1200</v>
      </c>
      <c r="H107" s="576"/>
      <c r="I107" s="186">
        <f t="shared" si="37"/>
        <v>3</v>
      </c>
      <c r="J107" s="186">
        <f t="shared" si="37"/>
        <v>3178.0810714285703</v>
      </c>
      <c r="K107" s="187">
        <f t="shared" si="37"/>
        <v>1059.3603571428571</v>
      </c>
      <c r="L107" s="577"/>
      <c r="M107" s="186">
        <f>RANK(K107, K$83:$K$117)</f>
        <v>3</v>
      </c>
      <c r="N107" s="588"/>
      <c r="O107" s="578"/>
      <c r="P107" s="188">
        <v>3</v>
      </c>
      <c r="Q107" s="188">
        <v>3180.2924999999996</v>
      </c>
      <c r="R107" s="185">
        <f t="shared" si="34"/>
        <v>1060.0974999999999</v>
      </c>
      <c r="S107" s="182">
        <f t="shared" si="38"/>
        <v>1</v>
      </c>
      <c r="T107" s="574"/>
      <c r="U107" s="188">
        <v>3</v>
      </c>
      <c r="V107" s="188">
        <v>3179.932499999999</v>
      </c>
      <c r="W107" s="185">
        <f t="shared" si="35"/>
        <v>1059.9774999999997</v>
      </c>
      <c r="X107" s="182">
        <f t="shared" si="39"/>
        <v>2</v>
      </c>
      <c r="Y107" s="574"/>
      <c r="Z107" s="188">
        <v>3</v>
      </c>
      <c r="AA107" s="188">
        <v>3179.2124999999996</v>
      </c>
      <c r="AB107" s="185">
        <f t="shared" si="40"/>
        <v>1059.7375</v>
      </c>
      <c r="AC107" s="182">
        <f t="shared" si="41"/>
        <v>3</v>
      </c>
      <c r="AD107" s="574"/>
      <c r="AE107" s="188">
        <v>3</v>
      </c>
      <c r="AF107" s="188">
        <v>3178.4924999999994</v>
      </c>
      <c r="AG107" s="185">
        <f t="shared" si="42"/>
        <v>1059.4974999999997</v>
      </c>
      <c r="AH107" s="182">
        <f t="shared" si="43"/>
        <v>3</v>
      </c>
      <c r="AI107" s="574"/>
      <c r="AJ107" s="188">
        <v>3</v>
      </c>
      <c r="AK107" s="188">
        <v>3176.6924999999992</v>
      </c>
      <c r="AL107" s="185">
        <f t="shared" si="44"/>
        <v>1058.8974999999998</v>
      </c>
      <c r="AM107" s="182">
        <f t="shared" si="45"/>
        <v>4</v>
      </c>
      <c r="AN107" s="574"/>
      <c r="AO107" s="188">
        <v>3</v>
      </c>
      <c r="AP107" s="188">
        <v>3176.6924999999997</v>
      </c>
      <c r="AQ107" s="185">
        <f t="shared" si="46"/>
        <v>1058.8974999999998</v>
      </c>
      <c r="AR107" s="182">
        <f t="shared" si="47"/>
        <v>4</v>
      </c>
      <c r="AS107" s="574"/>
      <c r="AT107" s="188">
        <v>3</v>
      </c>
      <c r="AU107" s="188">
        <v>3175.2524999999996</v>
      </c>
      <c r="AV107" s="185">
        <f t="shared" si="48"/>
        <v>1058.4174999999998</v>
      </c>
      <c r="AW107" s="182">
        <f t="shared" si="49"/>
        <v>5</v>
      </c>
      <c r="AX107" s="574"/>
    </row>
    <row r="108" spans="2:50" ht="14.25" customHeight="1">
      <c r="B108" s="575"/>
      <c r="C108" s="180">
        <v>26</v>
      </c>
      <c r="D108" s="183" t="s">
        <v>475</v>
      </c>
      <c r="E108" s="184">
        <v>4</v>
      </c>
      <c r="F108" s="180">
        <v>3000</v>
      </c>
      <c r="G108" s="185">
        <f t="shared" si="50"/>
        <v>750</v>
      </c>
      <c r="H108" s="576"/>
      <c r="I108" s="186">
        <f t="shared" si="37"/>
        <v>4</v>
      </c>
      <c r="J108" s="186">
        <f t="shared" si="37"/>
        <v>2684.767664972795</v>
      </c>
      <c r="K108" s="187">
        <f t="shared" si="37"/>
        <v>671.19191624319876</v>
      </c>
      <c r="L108" s="577"/>
      <c r="M108" s="186">
        <f>RANK(K108, K$83:$K$117)</f>
        <v>18</v>
      </c>
      <c r="N108" s="588"/>
      <c r="O108" s="578"/>
      <c r="P108" s="188">
        <v>4</v>
      </c>
      <c r="Q108" s="188">
        <v>2684.7248078299381</v>
      </c>
      <c r="R108" s="185">
        <f t="shared" si="34"/>
        <v>671.18120195748452</v>
      </c>
      <c r="S108" s="182">
        <f t="shared" si="38"/>
        <v>18</v>
      </c>
      <c r="T108" s="574"/>
      <c r="U108" s="188">
        <v>4</v>
      </c>
      <c r="V108" s="188">
        <v>2685.324807829938</v>
      </c>
      <c r="W108" s="185">
        <f t="shared" si="35"/>
        <v>671.3312019574845</v>
      </c>
      <c r="X108" s="182">
        <f t="shared" si="39"/>
        <v>18</v>
      </c>
      <c r="Y108" s="574"/>
      <c r="Z108" s="188">
        <v>4</v>
      </c>
      <c r="AA108" s="188">
        <v>2684.4248078299379</v>
      </c>
      <c r="AB108" s="185">
        <f t="shared" si="40"/>
        <v>671.10620195748447</v>
      </c>
      <c r="AC108" s="182">
        <f t="shared" si="41"/>
        <v>18</v>
      </c>
      <c r="AD108" s="574"/>
      <c r="AE108" s="188">
        <v>4</v>
      </c>
      <c r="AF108" s="188">
        <v>2683.8248078299375</v>
      </c>
      <c r="AG108" s="185">
        <f t="shared" si="42"/>
        <v>670.95620195748438</v>
      </c>
      <c r="AH108" s="182">
        <f t="shared" si="43"/>
        <v>18</v>
      </c>
      <c r="AI108" s="574"/>
      <c r="AJ108" s="188">
        <v>4</v>
      </c>
      <c r="AK108" s="188">
        <v>2683.8248078299375</v>
      </c>
      <c r="AL108" s="185">
        <f t="shared" si="44"/>
        <v>670.95620195748438</v>
      </c>
      <c r="AM108" s="182">
        <f t="shared" si="45"/>
        <v>18</v>
      </c>
      <c r="AN108" s="574"/>
      <c r="AO108" s="188">
        <v>4</v>
      </c>
      <c r="AP108" s="188">
        <v>2685.3248078299375</v>
      </c>
      <c r="AQ108" s="185">
        <f t="shared" si="46"/>
        <v>671.33120195748438</v>
      </c>
      <c r="AR108" s="182">
        <f t="shared" si="47"/>
        <v>18</v>
      </c>
      <c r="AS108" s="574"/>
      <c r="AT108" s="188">
        <v>4</v>
      </c>
      <c r="AU108" s="188">
        <v>2685.9248078299374</v>
      </c>
      <c r="AV108" s="185">
        <f t="shared" si="48"/>
        <v>671.48120195748436</v>
      </c>
      <c r="AW108" s="182">
        <f t="shared" si="49"/>
        <v>17</v>
      </c>
      <c r="AX108" s="574"/>
    </row>
    <row r="109" spans="2:50" ht="14.25" customHeight="1">
      <c r="B109" s="575"/>
      <c r="C109" s="180">
        <v>27</v>
      </c>
      <c r="D109" s="183" t="s">
        <v>495</v>
      </c>
      <c r="E109" s="184">
        <v>5</v>
      </c>
      <c r="F109" s="180">
        <v>3000</v>
      </c>
      <c r="G109" s="185">
        <f t="shared" si="50"/>
        <v>600</v>
      </c>
      <c r="H109" s="576"/>
      <c r="I109" s="186">
        <f t="shared" si="37"/>
        <v>5</v>
      </c>
      <c r="J109" s="186">
        <f t="shared" si="37"/>
        <v>2686.1817574676325</v>
      </c>
      <c r="K109" s="187">
        <f t="shared" si="37"/>
        <v>537.23635149352651</v>
      </c>
      <c r="L109" s="577"/>
      <c r="M109" s="186">
        <f>RANK(K109, K$83:$K$117)</f>
        <v>29</v>
      </c>
      <c r="N109" s="588"/>
      <c r="O109" s="578"/>
      <c r="P109" s="188">
        <v>5</v>
      </c>
      <c r="Q109" s="188">
        <v>2684.9817574676322</v>
      </c>
      <c r="R109" s="185">
        <f t="shared" si="34"/>
        <v>536.99635149352639</v>
      </c>
      <c r="S109" s="182">
        <f t="shared" si="38"/>
        <v>29</v>
      </c>
      <c r="T109" s="574"/>
      <c r="U109" s="188">
        <v>5</v>
      </c>
      <c r="V109" s="188">
        <v>2686.1817574676325</v>
      </c>
      <c r="W109" s="185">
        <f t="shared" si="35"/>
        <v>537.23635149352651</v>
      </c>
      <c r="X109" s="182">
        <f t="shared" si="39"/>
        <v>29</v>
      </c>
      <c r="Y109" s="574"/>
      <c r="Z109" s="188">
        <v>5</v>
      </c>
      <c r="AA109" s="188">
        <v>2686.4817574676326</v>
      </c>
      <c r="AB109" s="185">
        <f t="shared" si="40"/>
        <v>537.29635149352657</v>
      </c>
      <c r="AC109" s="182">
        <f t="shared" si="41"/>
        <v>29</v>
      </c>
      <c r="AD109" s="574"/>
      <c r="AE109" s="188">
        <v>5</v>
      </c>
      <c r="AF109" s="188">
        <v>2686.7817574676328</v>
      </c>
      <c r="AG109" s="185">
        <f t="shared" si="42"/>
        <v>537.35635149352652</v>
      </c>
      <c r="AH109" s="182">
        <f t="shared" si="43"/>
        <v>29</v>
      </c>
      <c r="AI109" s="574"/>
      <c r="AJ109" s="188">
        <v>5</v>
      </c>
      <c r="AK109" s="188">
        <v>2685.581757467633</v>
      </c>
      <c r="AL109" s="185">
        <f t="shared" si="44"/>
        <v>537.11635149352662</v>
      </c>
      <c r="AM109" s="182">
        <f t="shared" si="45"/>
        <v>29</v>
      </c>
      <c r="AN109" s="574"/>
      <c r="AO109" s="188">
        <v>5</v>
      </c>
      <c r="AP109" s="188">
        <v>2685.8817574676327</v>
      </c>
      <c r="AQ109" s="185">
        <f t="shared" si="46"/>
        <v>537.17635149352657</v>
      </c>
      <c r="AR109" s="182">
        <f t="shared" si="47"/>
        <v>29</v>
      </c>
      <c r="AS109" s="574"/>
      <c r="AT109" s="188">
        <v>5</v>
      </c>
      <c r="AU109" s="188">
        <v>2687.3817574676323</v>
      </c>
      <c r="AV109" s="185">
        <f t="shared" si="48"/>
        <v>537.47635149352641</v>
      </c>
      <c r="AW109" s="182">
        <f t="shared" si="49"/>
        <v>29</v>
      </c>
      <c r="AX109" s="574"/>
    </row>
    <row r="110" spans="2:50" ht="14.25" customHeight="1">
      <c r="B110" s="575"/>
      <c r="C110" s="180">
        <v>28</v>
      </c>
      <c r="D110" s="183" t="s">
        <v>533</v>
      </c>
      <c r="E110" s="184">
        <v>4</v>
      </c>
      <c r="F110" s="180">
        <v>3000</v>
      </c>
      <c r="G110" s="185">
        <f t="shared" si="50"/>
        <v>750</v>
      </c>
      <c r="H110" s="576"/>
      <c r="I110" s="186">
        <f t="shared" si="37"/>
        <v>4</v>
      </c>
      <c r="J110" s="186">
        <f t="shared" si="37"/>
        <v>2686.3910738647464</v>
      </c>
      <c r="K110" s="187">
        <f t="shared" si="37"/>
        <v>671.59776846618661</v>
      </c>
      <c r="L110" s="577"/>
      <c r="M110" s="186">
        <f>RANK(K110, K$83:$K$117)</f>
        <v>17</v>
      </c>
      <c r="N110" s="588"/>
      <c r="O110" s="578"/>
      <c r="P110" s="188">
        <v>4</v>
      </c>
      <c r="Q110" s="188">
        <v>2686.8196452933175</v>
      </c>
      <c r="R110" s="185">
        <f t="shared" si="34"/>
        <v>671.70491132332938</v>
      </c>
      <c r="S110" s="182">
        <f t="shared" si="38"/>
        <v>17</v>
      </c>
      <c r="T110" s="574"/>
      <c r="U110" s="188">
        <v>4</v>
      </c>
      <c r="V110" s="188">
        <v>2687.4196452933174</v>
      </c>
      <c r="W110" s="185">
        <f t="shared" si="35"/>
        <v>671.85491132332936</v>
      </c>
      <c r="X110" s="182">
        <f t="shared" si="39"/>
        <v>17</v>
      </c>
      <c r="Y110" s="574"/>
      <c r="Z110" s="188">
        <v>4</v>
      </c>
      <c r="AA110" s="188">
        <v>2686.2196452933176</v>
      </c>
      <c r="AB110" s="185">
        <f t="shared" si="40"/>
        <v>671.55491132332941</v>
      </c>
      <c r="AC110" s="182">
        <f t="shared" si="41"/>
        <v>17</v>
      </c>
      <c r="AD110" s="574"/>
      <c r="AE110" s="188">
        <v>4</v>
      </c>
      <c r="AF110" s="188">
        <v>2686.8196452933175</v>
      </c>
      <c r="AG110" s="185">
        <f t="shared" si="42"/>
        <v>671.70491132332938</v>
      </c>
      <c r="AH110" s="182">
        <f t="shared" si="43"/>
        <v>17</v>
      </c>
      <c r="AI110" s="574"/>
      <c r="AJ110" s="188">
        <v>4</v>
      </c>
      <c r="AK110" s="188">
        <v>2685.319645293318</v>
      </c>
      <c r="AL110" s="185">
        <f t="shared" si="44"/>
        <v>671.3299113233295</v>
      </c>
      <c r="AM110" s="182">
        <f t="shared" si="45"/>
        <v>17</v>
      </c>
      <c r="AN110" s="574"/>
      <c r="AO110" s="188">
        <v>4</v>
      </c>
      <c r="AP110" s="188">
        <v>2686.2196452933181</v>
      </c>
      <c r="AQ110" s="185">
        <f t="shared" si="46"/>
        <v>671.55491132332952</v>
      </c>
      <c r="AR110" s="182">
        <f t="shared" si="47"/>
        <v>17</v>
      </c>
      <c r="AS110" s="574"/>
      <c r="AT110" s="188">
        <v>4</v>
      </c>
      <c r="AU110" s="188">
        <v>2685.9196452933179</v>
      </c>
      <c r="AV110" s="185">
        <f t="shared" si="48"/>
        <v>671.47991132332947</v>
      </c>
      <c r="AW110" s="182">
        <f t="shared" si="49"/>
        <v>18</v>
      </c>
      <c r="AX110" s="574"/>
    </row>
    <row r="111" spans="2:50" ht="14.25" customHeight="1">
      <c r="B111" s="575"/>
      <c r="C111" s="180">
        <v>29</v>
      </c>
      <c r="D111" s="183" t="s">
        <v>640</v>
      </c>
      <c r="E111" s="184">
        <v>5</v>
      </c>
      <c r="F111" s="180">
        <v>3000</v>
      </c>
      <c r="G111" s="185">
        <f t="shared" si="50"/>
        <v>600</v>
      </c>
      <c r="H111" s="576"/>
      <c r="I111" s="186">
        <f t="shared" si="37"/>
        <v>5</v>
      </c>
      <c r="J111" s="186">
        <f t="shared" si="37"/>
        <v>2683.4571428571421</v>
      </c>
      <c r="K111" s="187">
        <f t="shared" si="37"/>
        <v>536.69142857142833</v>
      </c>
      <c r="L111" s="577"/>
      <c r="M111" s="186">
        <f>RANK(K111, K$83:$K$117)</f>
        <v>30</v>
      </c>
      <c r="N111" s="588"/>
      <c r="O111" s="578"/>
      <c r="P111" s="188">
        <v>5</v>
      </c>
      <c r="Q111" s="188">
        <v>2683.4999999999995</v>
      </c>
      <c r="R111" s="185">
        <f t="shared" si="34"/>
        <v>536.69999999999993</v>
      </c>
      <c r="S111" s="182">
        <f t="shared" si="38"/>
        <v>30</v>
      </c>
      <c r="T111" s="574"/>
      <c r="U111" s="188">
        <v>5</v>
      </c>
      <c r="V111" s="188">
        <v>2682.8999999999996</v>
      </c>
      <c r="W111" s="185">
        <f t="shared" si="35"/>
        <v>536.57999999999993</v>
      </c>
      <c r="X111" s="182">
        <f t="shared" si="39"/>
        <v>30</v>
      </c>
      <c r="Y111" s="574"/>
      <c r="Z111" s="188">
        <v>5</v>
      </c>
      <c r="AA111" s="188">
        <v>2681.9999999999991</v>
      </c>
      <c r="AB111" s="185">
        <f t="shared" si="40"/>
        <v>536.39999999999986</v>
      </c>
      <c r="AC111" s="182">
        <f t="shared" si="41"/>
        <v>30</v>
      </c>
      <c r="AD111" s="574"/>
      <c r="AE111" s="188">
        <v>5</v>
      </c>
      <c r="AF111" s="188">
        <v>2682.2999999999993</v>
      </c>
      <c r="AG111" s="185">
        <f t="shared" si="42"/>
        <v>536.45999999999981</v>
      </c>
      <c r="AH111" s="182">
        <f t="shared" si="43"/>
        <v>30</v>
      </c>
      <c r="AI111" s="574"/>
      <c r="AJ111" s="188">
        <v>5</v>
      </c>
      <c r="AK111" s="188">
        <v>2683.1999999999989</v>
      </c>
      <c r="AL111" s="185">
        <f t="shared" si="44"/>
        <v>536.63999999999976</v>
      </c>
      <c r="AM111" s="182">
        <f t="shared" si="45"/>
        <v>30</v>
      </c>
      <c r="AN111" s="574"/>
      <c r="AO111" s="188">
        <v>5</v>
      </c>
      <c r="AP111" s="188">
        <v>2684.3999999999987</v>
      </c>
      <c r="AQ111" s="185">
        <f t="shared" si="46"/>
        <v>536.87999999999977</v>
      </c>
      <c r="AR111" s="182">
        <f t="shared" si="47"/>
        <v>30</v>
      </c>
      <c r="AS111" s="574"/>
      <c r="AT111" s="188">
        <v>5</v>
      </c>
      <c r="AU111" s="188">
        <v>2685.8999999999983</v>
      </c>
      <c r="AV111" s="185">
        <f t="shared" si="48"/>
        <v>537.17999999999961</v>
      </c>
      <c r="AW111" s="182">
        <f t="shared" si="49"/>
        <v>30</v>
      </c>
      <c r="AX111" s="574"/>
    </row>
    <row r="112" spans="2:50" ht="14.25" customHeight="1">
      <c r="B112" s="575"/>
      <c r="C112" s="180">
        <v>30</v>
      </c>
      <c r="D112" s="183" t="s">
        <v>675</v>
      </c>
      <c r="E112" s="184">
        <v>3</v>
      </c>
      <c r="F112" s="180">
        <v>3300</v>
      </c>
      <c r="G112" s="185">
        <f t="shared" si="50"/>
        <v>1100</v>
      </c>
      <c r="H112" s="576"/>
      <c r="I112" s="186">
        <f t="shared" si="37"/>
        <v>3</v>
      </c>
      <c r="J112" s="186">
        <f t="shared" si="37"/>
        <v>2895.3540335557614</v>
      </c>
      <c r="K112" s="187">
        <f t="shared" si="37"/>
        <v>965.11801118525375</v>
      </c>
      <c r="L112" s="577"/>
      <c r="M112" s="186">
        <f>RANK(K112, K$83:$K$117)</f>
        <v>9</v>
      </c>
      <c r="N112" s="588"/>
      <c r="O112" s="578"/>
      <c r="P112" s="188">
        <v>3</v>
      </c>
      <c r="Q112" s="188">
        <v>2746.2124060459028</v>
      </c>
      <c r="R112" s="185">
        <f t="shared" si="34"/>
        <v>915.40413534863421</v>
      </c>
      <c r="S112" s="182">
        <f t="shared" si="38"/>
        <v>9</v>
      </c>
      <c r="T112" s="574"/>
      <c r="U112" s="188">
        <v>3</v>
      </c>
      <c r="V112" s="188">
        <v>2803.377881212044</v>
      </c>
      <c r="W112" s="185">
        <f t="shared" si="35"/>
        <v>934.45929373734805</v>
      </c>
      <c r="X112" s="182">
        <f t="shared" si="39"/>
        <v>9</v>
      </c>
      <c r="Y112" s="574"/>
      <c r="Z112" s="188">
        <v>3</v>
      </c>
      <c r="AA112" s="188">
        <v>2860.224498947643</v>
      </c>
      <c r="AB112" s="185">
        <f t="shared" si="40"/>
        <v>953.40816631588098</v>
      </c>
      <c r="AC112" s="182">
        <f t="shared" si="41"/>
        <v>9</v>
      </c>
      <c r="AD112" s="574"/>
      <c r="AE112" s="188">
        <v>3</v>
      </c>
      <c r="AF112" s="188">
        <v>2915.3119513996799</v>
      </c>
      <c r="AG112" s="185">
        <f t="shared" si="42"/>
        <v>971.77065046655991</v>
      </c>
      <c r="AH112" s="182">
        <f t="shared" si="43"/>
        <v>9</v>
      </c>
      <c r="AI112" s="574"/>
      <c r="AJ112" s="188">
        <v>3</v>
      </c>
      <c r="AK112" s="188">
        <v>2980.7978543304725</v>
      </c>
      <c r="AL112" s="185">
        <f t="shared" si="44"/>
        <v>993.59928477682422</v>
      </c>
      <c r="AM112" s="182">
        <f t="shared" si="45"/>
        <v>8</v>
      </c>
      <c r="AN112" s="574"/>
      <c r="AO112" s="188">
        <v>3</v>
      </c>
      <c r="AP112" s="188">
        <v>2981.1068214772936</v>
      </c>
      <c r="AQ112" s="185">
        <f t="shared" si="46"/>
        <v>993.70227382576456</v>
      </c>
      <c r="AR112" s="182">
        <f t="shared" si="47"/>
        <v>8</v>
      </c>
      <c r="AS112" s="574"/>
      <c r="AT112" s="188">
        <v>3</v>
      </c>
      <c r="AU112" s="188">
        <v>2980.4468214772942</v>
      </c>
      <c r="AV112" s="185">
        <f t="shared" si="48"/>
        <v>993.48227382576476</v>
      </c>
      <c r="AW112" s="182">
        <f t="shared" si="49"/>
        <v>8</v>
      </c>
      <c r="AX112" s="574"/>
    </row>
    <row r="113" spans="2:50" ht="14.25" customHeight="1">
      <c r="B113" s="575"/>
      <c r="C113" s="180">
        <v>31</v>
      </c>
      <c r="D113" s="183" t="s">
        <v>554</v>
      </c>
      <c r="E113" s="180">
        <v>12</v>
      </c>
      <c r="F113" s="180">
        <v>3600</v>
      </c>
      <c r="G113" s="185">
        <f t="shared" si="50"/>
        <v>300</v>
      </c>
      <c r="H113" s="576"/>
      <c r="I113" s="186">
        <f t="shared" si="37"/>
        <v>12</v>
      </c>
      <c r="J113" s="186">
        <f t="shared" si="37"/>
        <v>3254.9700726392598</v>
      </c>
      <c r="K113" s="187">
        <f t="shared" si="37"/>
        <v>271.24750605327165</v>
      </c>
      <c r="L113" s="577"/>
      <c r="M113" s="186">
        <f>RANK(K113, K$83:$K$117)</f>
        <v>31</v>
      </c>
      <c r="N113" s="588"/>
      <c r="O113" s="578"/>
      <c r="P113" s="188">
        <v>12</v>
      </c>
      <c r="Q113" s="188">
        <v>3257.1300726392597</v>
      </c>
      <c r="R113" s="185">
        <f t="shared" si="34"/>
        <v>271.42750605327166</v>
      </c>
      <c r="S113" s="182">
        <f t="shared" si="38"/>
        <v>31</v>
      </c>
      <c r="T113" s="574"/>
      <c r="U113" s="188">
        <v>12</v>
      </c>
      <c r="V113" s="188">
        <v>3257.1300726392597</v>
      </c>
      <c r="W113" s="185">
        <f t="shared" si="35"/>
        <v>271.42750605327166</v>
      </c>
      <c r="X113" s="182">
        <f t="shared" si="39"/>
        <v>31</v>
      </c>
      <c r="Y113" s="574"/>
      <c r="Z113" s="188">
        <v>12</v>
      </c>
      <c r="AA113" s="188">
        <v>3255.6900726392596</v>
      </c>
      <c r="AB113" s="185">
        <f t="shared" si="40"/>
        <v>271.30750605327165</v>
      </c>
      <c r="AC113" s="182">
        <f t="shared" si="41"/>
        <v>31</v>
      </c>
      <c r="AD113" s="574"/>
      <c r="AE113" s="188">
        <v>12</v>
      </c>
      <c r="AF113" s="188">
        <v>3253.8900726392603</v>
      </c>
      <c r="AG113" s="185">
        <f t="shared" si="42"/>
        <v>271.15750605327167</v>
      </c>
      <c r="AH113" s="182">
        <f t="shared" si="43"/>
        <v>31</v>
      </c>
      <c r="AI113" s="574"/>
      <c r="AJ113" s="188">
        <v>12</v>
      </c>
      <c r="AK113" s="188">
        <v>3254.6100726392601</v>
      </c>
      <c r="AL113" s="185">
        <f t="shared" si="44"/>
        <v>271.21750605327168</v>
      </c>
      <c r="AM113" s="182">
        <f t="shared" si="45"/>
        <v>31</v>
      </c>
      <c r="AN113" s="574"/>
      <c r="AO113" s="188">
        <v>12</v>
      </c>
      <c r="AP113" s="188">
        <v>3252.8100726392604</v>
      </c>
      <c r="AQ113" s="185">
        <f t="shared" si="46"/>
        <v>271.0675060532717</v>
      </c>
      <c r="AR113" s="182">
        <f t="shared" si="47"/>
        <v>31</v>
      </c>
      <c r="AS113" s="574"/>
      <c r="AT113" s="188">
        <v>12</v>
      </c>
      <c r="AU113" s="188">
        <v>3253.5300726392602</v>
      </c>
      <c r="AV113" s="185">
        <f t="shared" si="48"/>
        <v>271.1275060532717</v>
      </c>
      <c r="AW113" s="182">
        <f t="shared" si="49"/>
        <v>31</v>
      </c>
      <c r="AX113" s="574"/>
    </row>
    <row r="114" spans="2:50" ht="14.25" customHeight="1">
      <c r="B114" s="575"/>
      <c r="C114" s="180">
        <v>32</v>
      </c>
      <c r="D114" s="183" t="s">
        <v>587</v>
      </c>
      <c r="E114" s="180">
        <v>13</v>
      </c>
      <c r="F114" s="180">
        <v>3600</v>
      </c>
      <c r="G114" s="185">
        <f t="shared" si="50"/>
        <v>276.92307692307691</v>
      </c>
      <c r="H114" s="576"/>
      <c r="I114" s="186">
        <f t="shared" ref="I114:K116" si="51">AVERAGE(P114,U114,Z114,AE114,AJ114,AO114,AT114)</f>
        <v>13</v>
      </c>
      <c r="J114" s="186">
        <f t="shared" si="51"/>
        <v>3258.8165928223689</v>
      </c>
      <c r="K114" s="187">
        <f t="shared" si="51"/>
        <v>250.67819944787453</v>
      </c>
      <c r="L114" s="577"/>
      <c r="M114" s="186">
        <f>RANK(K114, K$83:$K$117)</f>
        <v>34</v>
      </c>
      <c r="N114" s="588"/>
      <c r="O114" s="578"/>
      <c r="P114" s="188">
        <v>13</v>
      </c>
      <c r="Q114" s="188">
        <v>3258.3023071080825</v>
      </c>
      <c r="R114" s="185">
        <f t="shared" si="34"/>
        <v>250.63863900831404</v>
      </c>
      <c r="S114" s="182">
        <f t="shared" si="38"/>
        <v>34</v>
      </c>
      <c r="T114" s="574"/>
      <c r="U114" s="188">
        <v>13</v>
      </c>
      <c r="V114" s="188">
        <v>3257.5823071080827</v>
      </c>
      <c r="W114" s="185">
        <f t="shared" si="35"/>
        <v>250.58325439292943</v>
      </c>
      <c r="X114" s="182">
        <f t="shared" si="39"/>
        <v>34</v>
      </c>
      <c r="Y114" s="574"/>
      <c r="Z114" s="188">
        <v>13</v>
      </c>
      <c r="AA114" s="188">
        <v>3258.3023071080829</v>
      </c>
      <c r="AB114" s="185">
        <f t="shared" si="40"/>
        <v>250.63863900831407</v>
      </c>
      <c r="AC114" s="182">
        <f t="shared" si="41"/>
        <v>34</v>
      </c>
      <c r="AD114" s="574"/>
      <c r="AE114" s="188">
        <v>13</v>
      </c>
      <c r="AF114" s="188">
        <v>3259.7423071080834</v>
      </c>
      <c r="AG114" s="185">
        <f t="shared" si="42"/>
        <v>250.74940823908335</v>
      </c>
      <c r="AH114" s="182">
        <f t="shared" si="43"/>
        <v>34</v>
      </c>
      <c r="AI114" s="574"/>
      <c r="AJ114" s="188">
        <v>13</v>
      </c>
      <c r="AK114" s="188">
        <v>3259.7423071080843</v>
      </c>
      <c r="AL114" s="185">
        <f t="shared" si="44"/>
        <v>250.74940823908341</v>
      </c>
      <c r="AM114" s="182">
        <f t="shared" si="45"/>
        <v>34</v>
      </c>
      <c r="AN114" s="574"/>
      <c r="AO114" s="188">
        <v>13</v>
      </c>
      <c r="AP114" s="188">
        <v>3258.3023071080843</v>
      </c>
      <c r="AQ114" s="185">
        <f t="shared" si="46"/>
        <v>250.63863900831419</v>
      </c>
      <c r="AR114" s="182">
        <f t="shared" si="47"/>
        <v>34</v>
      </c>
      <c r="AS114" s="574"/>
      <c r="AT114" s="188">
        <v>13</v>
      </c>
      <c r="AU114" s="188">
        <v>3259.7423071080843</v>
      </c>
      <c r="AV114" s="185">
        <f t="shared" si="48"/>
        <v>250.74940823908341</v>
      </c>
      <c r="AW114" s="182">
        <f t="shared" si="49"/>
        <v>34</v>
      </c>
      <c r="AX114" s="574"/>
    </row>
    <row r="115" spans="2:50" ht="14.25" customHeight="1">
      <c r="B115" s="575"/>
      <c r="C115" s="180">
        <v>33</v>
      </c>
      <c r="D115" s="183" t="s">
        <v>347</v>
      </c>
      <c r="E115" s="180">
        <v>3</v>
      </c>
      <c r="F115" s="180">
        <v>3000</v>
      </c>
      <c r="G115" s="185">
        <f t="shared" si="50"/>
        <v>1000</v>
      </c>
      <c r="H115" s="576"/>
      <c r="I115" s="186">
        <f t="shared" si="51"/>
        <v>3</v>
      </c>
      <c r="J115" s="186">
        <f t="shared" si="51"/>
        <v>2703.8294600136755</v>
      </c>
      <c r="K115" s="187">
        <f t="shared" si="51"/>
        <v>901.27648667122514</v>
      </c>
      <c r="L115" s="577"/>
      <c r="M115" s="186">
        <f>RANK(K115, K$83:$K$117)</f>
        <v>11</v>
      </c>
      <c r="N115" s="588"/>
      <c r="O115" s="578"/>
      <c r="P115" s="188">
        <v>3</v>
      </c>
      <c r="Q115" s="188">
        <v>2702.7151742993906</v>
      </c>
      <c r="R115" s="185">
        <f t="shared" si="34"/>
        <v>900.90505809979686</v>
      </c>
      <c r="S115" s="182">
        <f t="shared" si="38"/>
        <v>11</v>
      </c>
      <c r="T115" s="574"/>
      <c r="U115" s="188">
        <v>3</v>
      </c>
      <c r="V115" s="188">
        <v>2702.4151742993899</v>
      </c>
      <c r="W115" s="185">
        <f t="shared" si="35"/>
        <v>900.80505809979661</v>
      </c>
      <c r="X115" s="182">
        <f t="shared" si="39"/>
        <v>11</v>
      </c>
      <c r="Y115" s="574"/>
      <c r="Z115" s="188">
        <v>3</v>
      </c>
      <c r="AA115" s="188">
        <v>2703.6151742993902</v>
      </c>
      <c r="AB115" s="185">
        <f t="shared" si="40"/>
        <v>901.2050580997967</v>
      </c>
      <c r="AC115" s="182">
        <f t="shared" si="41"/>
        <v>11</v>
      </c>
      <c r="AD115" s="574"/>
      <c r="AE115" s="188">
        <v>3</v>
      </c>
      <c r="AF115" s="188">
        <v>2703.3151742993896</v>
      </c>
      <c r="AG115" s="185">
        <f t="shared" si="42"/>
        <v>901.10505809979657</v>
      </c>
      <c r="AH115" s="182">
        <f t="shared" si="43"/>
        <v>11</v>
      </c>
      <c r="AI115" s="574"/>
      <c r="AJ115" s="188">
        <v>3</v>
      </c>
      <c r="AK115" s="188">
        <v>2704.5151742993894</v>
      </c>
      <c r="AL115" s="185">
        <f t="shared" si="44"/>
        <v>901.50505809979643</v>
      </c>
      <c r="AM115" s="182">
        <f t="shared" si="45"/>
        <v>11</v>
      </c>
      <c r="AN115" s="574"/>
      <c r="AO115" s="188">
        <v>3</v>
      </c>
      <c r="AP115" s="188">
        <v>2705.7151742993892</v>
      </c>
      <c r="AQ115" s="185">
        <f t="shared" si="46"/>
        <v>901.90505809979641</v>
      </c>
      <c r="AR115" s="182">
        <f t="shared" si="47"/>
        <v>11</v>
      </c>
      <c r="AS115" s="574"/>
      <c r="AT115" s="188">
        <v>3</v>
      </c>
      <c r="AU115" s="188">
        <v>2704.5151742993894</v>
      </c>
      <c r="AV115" s="185">
        <f t="shared" si="48"/>
        <v>901.50505809979643</v>
      </c>
      <c r="AW115" s="182">
        <f t="shared" si="49"/>
        <v>11</v>
      </c>
      <c r="AX115" s="574"/>
    </row>
    <row r="116" spans="2:50" ht="14.25" customHeight="1">
      <c r="B116" s="575"/>
      <c r="C116" s="180">
        <v>34</v>
      </c>
      <c r="D116" s="183" t="s">
        <v>471</v>
      </c>
      <c r="E116" s="180">
        <v>12</v>
      </c>
      <c r="F116" s="180">
        <v>3600</v>
      </c>
      <c r="G116" s="185">
        <f t="shared" si="50"/>
        <v>300</v>
      </c>
      <c r="H116" s="576"/>
      <c r="I116" s="186">
        <f t="shared" si="51"/>
        <v>12</v>
      </c>
      <c r="J116" s="186">
        <f t="shared" si="51"/>
        <v>3127.8749590200227</v>
      </c>
      <c r="K116" s="187">
        <f t="shared" si="51"/>
        <v>260.6562465850019</v>
      </c>
      <c r="L116" s="577"/>
      <c r="M116" s="186">
        <f>RANK(K116, K$83:$K$117)</f>
        <v>33</v>
      </c>
      <c r="N116" s="588"/>
      <c r="O116" s="578"/>
      <c r="P116" s="188">
        <v>12</v>
      </c>
      <c r="Q116" s="188">
        <v>3128.3378161628798</v>
      </c>
      <c r="R116" s="185">
        <f t="shared" si="34"/>
        <v>260.6948180135733</v>
      </c>
      <c r="S116" s="182">
        <f t="shared" si="38"/>
        <v>32</v>
      </c>
      <c r="T116" s="574"/>
      <c r="U116" s="188">
        <v>12</v>
      </c>
      <c r="V116" s="188">
        <v>3129.7778161628794</v>
      </c>
      <c r="W116" s="185">
        <f t="shared" si="35"/>
        <v>260.8148180135733</v>
      </c>
      <c r="X116" s="182">
        <f t="shared" si="39"/>
        <v>32</v>
      </c>
      <c r="Y116" s="574"/>
      <c r="Z116" s="188">
        <v>12</v>
      </c>
      <c r="AA116" s="188">
        <v>3128.3378161628798</v>
      </c>
      <c r="AB116" s="185">
        <f t="shared" si="40"/>
        <v>260.6948180135733</v>
      </c>
      <c r="AC116" s="182">
        <f t="shared" si="41"/>
        <v>33</v>
      </c>
      <c r="AD116" s="574"/>
      <c r="AE116" s="188">
        <v>12</v>
      </c>
      <c r="AF116" s="188">
        <v>3128.6978161628795</v>
      </c>
      <c r="AG116" s="185">
        <f t="shared" si="42"/>
        <v>260.72481801357327</v>
      </c>
      <c r="AH116" s="182">
        <f t="shared" si="43"/>
        <v>33</v>
      </c>
      <c r="AI116" s="574"/>
      <c r="AJ116" s="188">
        <v>12</v>
      </c>
      <c r="AK116" s="188">
        <v>3126.8978161628793</v>
      </c>
      <c r="AL116" s="185">
        <f t="shared" si="44"/>
        <v>260.57481801357329</v>
      </c>
      <c r="AM116" s="182">
        <f t="shared" si="45"/>
        <v>33</v>
      </c>
      <c r="AN116" s="574"/>
      <c r="AO116" s="188">
        <v>12</v>
      </c>
      <c r="AP116" s="188">
        <v>3126.8978161628797</v>
      </c>
      <c r="AQ116" s="185">
        <f t="shared" si="46"/>
        <v>260.57481801357329</v>
      </c>
      <c r="AR116" s="182">
        <f t="shared" si="47"/>
        <v>33</v>
      </c>
      <c r="AS116" s="574"/>
      <c r="AT116" s="188">
        <v>12</v>
      </c>
      <c r="AU116" s="188">
        <v>3126.1778161628795</v>
      </c>
      <c r="AV116" s="185">
        <f t="shared" si="48"/>
        <v>260.51481801357329</v>
      </c>
      <c r="AW116" s="182">
        <f t="shared" si="49"/>
        <v>32</v>
      </c>
      <c r="AX116" s="574"/>
    </row>
    <row r="117" spans="2:50" ht="14.25" customHeight="1">
      <c r="B117" s="575"/>
      <c r="C117" s="180">
        <v>35</v>
      </c>
      <c r="D117" s="183"/>
      <c r="E117" s="180"/>
      <c r="F117" s="180"/>
      <c r="G117" s="185"/>
      <c r="H117" s="576"/>
      <c r="I117" s="186"/>
      <c r="J117" s="186"/>
      <c r="K117" s="187"/>
      <c r="L117" s="577"/>
      <c r="M117" s="186"/>
      <c r="N117" s="588"/>
      <c r="O117" s="578"/>
      <c r="P117" s="188"/>
      <c r="Q117" s="188"/>
      <c r="R117" s="185"/>
      <c r="S117" s="182"/>
      <c r="T117" s="574"/>
      <c r="U117" s="188"/>
      <c r="V117" s="188"/>
      <c r="W117" s="185"/>
      <c r="X117" s="182"/>
      <c r="Y117" s="574"/>
      <c r="Z117" s="188"/>
      <c r="AA117" s="188"/>
      <c r="AB117" s="185"/>
      <c r="AC117" s="182"/>
      <c r="AD117" s="574"/>
      <c r="AE117" s="188"/>
      <c r="AF117" s="188"/>
      <c r="AG117" s="185"/>
      <c r="AH117" s="182"/>
      <c r="AI117" s="574"/>
      <c r="AJ117" s="188"/>
      <c r="AK117" s="188"/>
      <c r="AL117" s="185"/>
      <c r="AM117" s="182"/>
      <c r="AN117" s="574"/>
      <c r="AO117" s="188"/>
      <c r="AP117" s="188"/>
      <c r="AQ117" s="185"/>
      <c r="AR117" s="182"/>
      <c r="AS117" s="574"/>
      <c r="AT117" s="188"/>
      <c r="AU117" s="188"/>
      <c r="AV117" s="185"/>
      <c r="AW117" s="182"/>
      <c r="AX117" s="574"/>
    </row>
  </sheetData>
  <mergeCells count="177">
    <mergeCell ref="AX45:AX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  <mergeCell ref="AI42:AI44"/>
    <mergeCell ref="AJ42:AM42"/>
    <mergeCell ref="AN42:AN44"/>
    <mergeCell ref="AO42:AR42"/>
    <mergeCell ref="AS42:AS44"/>
    <mergeCell ref="AT42:AW42"/>
    <mergeCell ref="AX42:AX44"/>
    <mergeCell ref="E43:G43"/>
    <mergeCell ref="I43:K43"/>
    <mergeCell ref="P43:S43"/>
    <mergeCell ref="U43:X43"/>
    <mergeCell ref="Z43:AC43"/>
    <mergeCell ref="AE43:AH43"/>
    <mergeCell ref="AJ43:AM43"/>
    <mergeCell ref="AO43:AR43"/>
    <mergeCell ref="AT43:AW43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P42:S42"/>
    <mergeCell ref="T42:T44"/>
    <mergeCell ref="U42:X42"/>
    <mergeCell ref="Y42:Y44"/>
    <mergeCell ref="Z42:AC42"/>
    <mergeCell ref="AD42:AD44"/>
    <mergeCell ref="AE42:AH42"/>
    <mergeCell ref="B40:M41"/>
    <mergeCell ref="N40:N41"/>
    <mergeCell ref="O40:O41"/>
    <mergeCell ref="P40:T40"/>
    <mergeCell ref="U40:Y40"/>
    <mergeCell ref="Z40:AD40"/>
    <mergeCell ref="AE40:AI40"/>
    <mergeCell ref="AJ40:AN40"/>
    <mergeCell ref="AO40:AS40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39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B78:M79"/>
    <mergeCell ref="N78:N79"/>
    <mergeCell ref="O78:O79"/>
    <mergeCell ref="P78:T78"/>
    <mergeCell ref="U78:Y78"/>
    <mergeCell ref="Z78:AD78"/>
    <mergeCell ref="AE78:AI78"/>
    <mergeCell ref="AJ78:AN78"/>
    <mergeCell ref="AO78:AS78"/>
    <mergeCell ref="AT78:AX78"/>
    <mergeCell ref="P79:T79"/>
    <mergeCell ref="U79:Y79"/>
    <mergeCell ref="Z79:AD79"/>
    <mergeCell ref="AE79:AI79"/>
    <mergeCell ref="AJ79:AN79"/>
    <mergeCell ref="AO79:AS79"/>
    <mergeCell ref="AT79:AX79"/>
    <mergeCell ref="B80:B82"/>
    <mergeCell ref="C80:D82"/>
    <mergeCell ref="E80:G80"/>
    <mergeCell ref="H80:H82"/>
    <mergeCell ref="I80:K80"/>
    <mergeCell ref="L80:L82"/>
    <mergeCell ref="M80:M82"/>
    <mergeCell ref="N80:N117"/>
    <mergeCell ref="O80:O117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J80:AM80"/>
    <mergeCell ref="AN80:AN82"/>
    <mergeCell ref="AO80:AR80"/>
    <mergeCell ref="AS80:AS82"/>
    <mergeCell ref="AT80:AW80"/>
    <mergeCell ref="AX80:AX82"/>
    <mergeCell ref="E81:G81"/>
    <mergeCell ref="I81:K81"/>
    <mergeCell ref="P81:S81"/>
    <mergeCell ref="U81:X81"/>
    <mergeCell ref="Z81:AC81"/>
    <mergeCell ref="AE81:AH81"/>
    <mergeCell ref="AJ81:AM81"/>
    <mergeCell ref="AO81:AR81"/>
    <mergeCell ref="AT81:AW81"/>
    <mergeCell ref="AX83:AX117"/>
    <mergeCell ref="B83:B117"/>
    <mergeCell ref="H83:H117"/>
    <mergeCell ref="L83:L117"/>
    <mergeCell ref="T83:T117"/>
    <mergeCell ref="Y83:Y117"/>
    <mergeCell ref="AD83:AD117"/>
    <mergeCell ref="AI83:AI117"/>
    <mergeCell ref="AN83:AN117"/>
    <mergeCell ref="AS83:AS117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"/>
  <sheetViews>
    <sheetView workbookViewId="0"/>
  </sheetViews>
  <sheetFormatPr defaultRowHeight="12.75"/>
  <sheetData/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61"/>
  <sheetViews>
    <sheetView zoomScaleNormal="100" workbookViewId="0">
      <pane xSplit="13" ySplit="1" topLeftCell="N32" activePane="bottomRight" state="frozen"/>
      <selection activeCell="E31" sqref="E31"/>
      <selection pane="topRight" activeCell="E31" sqref="E31"/>
      <selection pane="bottomLeft" activeCell="E31" sqref="E31"/>
      <selection pane="bottomRight" activeCell="B42" sqref="B42:M4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AVERAGE(L7,L27,L47)</f>
        <v>321.22080863589929</v>
      </c>
    </row>
    <row r="2" spans="1:50" ht="14.25" customHeight="1" collapsed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602" t="s">
        <v>375</v>
      </c>
      <c r="O2" s="602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604"/>
      <c r="O3" s="604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376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377</v>
      </c>
      <c r="F5" s="575"/>
      <c r="G5" s="575"/>
      <c r="H5" s="575"/>
      <c r="I5" s="579" t="s">
        <v>377</v>
      </c>
      <c r="J5" s="579"/>
      <c r="K5" s="579"/>
      <c r="L5" s="579"/>
      <c r="M5" s="579"/>
      <c r="N5" s="575"/>
      <c r="O5" s="575"/>
      <c r="P5" s="575" t="s">
        <v>378</v>
      </c>
      <c r="Q5" s="575"/>
      <c r="R5" s="575"/>
      <c r="S5" s="575"/>
      <c r="T5" s="575"/>
      <c r="U5" s="575" t="s">
        <v>378</v>
      </c>
      <c r="V5" s="575"/>
      <c r="W5" s="575"/>
      <c r="X5" s="575"/>
      <c r="Y5" s="575"/>
      <c r="Z5" s="575" t="s">
        <v>378</v>
      </c>
      <c r="AA5" s="575"/>
      <c r="AB5" s="575"/>
      <c r="AC5" s="575"/>
      <c r="AD5" s="575"/>
      <c r="AE5" s="575" t="s">
        <v>378</v>
      </c>
      <c r="AF5" s="575"/>
      <c r="AG5" s="575"/>
      <c r="AH5" s="575"/>
      <c r="AI5" s="575"/>
      <c r="AJ5" s="575" t="s">
        <v>378</v>
      </c>
      <c r="AK5" s="575"/>
      <c r="AL5" s="575"/>
      <c r="AM5" s="575"/>
      <c r="AN5" s="575"/>
      <c r="AO5" s="575" t="s">
        <v>378</v>
      </c>
      <c r="AP5" s="575"/>
      <c r="AQ5" s="575"/>
      <c r="AR5" s="575"/>
      <c r="AS5" s="575"/>
      <c r="AT5" s="575" t="s">
        <v>378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379</v>
      </c>
      <c r="G6" s="180" t="s">
        <v>161</v>
      </c>
      <c r="H6" s="575"/>
      <c r="I6" s="181" t="s">
        <v>159</v>
      </c>
      <c r="J6" s="181" t="s">
        <v>379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379</v>
      </c>
      <c r="R6" s="180" t="s">
        <v>161</v>
      </c>
      <c r="S6" s="182" t="s">
        <v>165</v>
      </c>
      <c r="T6" s="575"/>
      <c r="U6" s="180" t="s">
        <v>159</v>
      </c>
      <c r="V6" s="180" t="s">
        <v>379</v>
      </c>
      <c r="W6" s="180" t="s">
        <v>161</v>
      </c>
      <c r="X6" s="182" t="s">
        <v>165</v>
      </c>
      <c r="Y6" s="575"/>
      <c r="Z6" s="180" t="s">
        <v>159</v>
      </c>
      <c r="AA6" s="180" t="s">
        <v>379</v>
      </c>
      <c r="AB6" s="180" t="s">
        <v>161</v>
      </c>
      <c r="AC6" s="182" t="s">
        <v>165</v>
      </c>
      <c r="AD6" s="575"/>
      <c r="AE6" s="180" t="s">
        <v>159</v>
      </c>
      <c r="AF6" s="180" t="s">
        <v>379</v>
      </c>
      <c r="AG6" s="180" t="s">
        <v>161</v>
      </c>
      <c r="AH6" s="182" t="s">
        <v>165</v>
      </c>
      <c r="AI6" s="575"/>
      <c r="AJ6" s="180" t="s">
        <v>159</v>
      </c>
      <c r="AK6" s="180" t="s">
        <v>379</v>
      </c>
      <c r="AL6" s="180" t="s">
        <v>161</v>
      </c>
      <c r="AM6" s="182" t="s">
        <v>165</v>
      </c>
      <c r="AN6" s="575"/>
      <c r="AO6" s="180" t="s">
        <v>159</v>
      </c>
      <c r="AP6" s="180" t="s">
        <v>379</v>
      </c>
      <c r="AQ6" s="180" t="s">
        <v>161</v>
      </c>
      <c r="AR6" s="182" t="s">
        <v>165</v>
      </c>
      <c r="AS6" s="575"/>
      <c r="AT6" s="180" t="s">
        <v>159</v>
      </c>
      <c r="AU6" s="180" t="s">
        <v>379</v>
      </c>
      <c r="AV6" s="180" t="s">
        <v>161</v>
      </c>
      <c r="AW6" s="182" t="s">
        <v>165</v>
      </c>
      <c r="AX6" s="575"/>
    </row>
    <row r="7" spans="1:50" ht="14.25" customHeight="1">
      <c r="B7" s="575" t="s">
        <v>381</v>
      </c>
      <c r="C7" s="180">
        <v>1</v>
      </c>
      <c r="D7" s="183" t="s">
        <v>349</v>
      </c>
      <c r="E7" s="180">
        <v>12</v>
      </c>
      <c r="F7" s="180">
        <v>3600</v>
      </c>
      <c r="G7" s="185">
        <f t="shared" ref="G7:G16" si="10">F7/E7</f>
        <v>300</v>
      </c>
      <c r="H7" s="576">
        <f>AVERAGE(G7:G21)</f>
        <v>355.45454545454538</v>
      </c>
      <c r="I7" s="186">
        <f>AVERAGE(P7,U7,Z7,AE7,AJ7,AO7,AT7)</f>
        <v>12</v>
      </c>
      <c r="J7" s="186">
        <f>AVERAGE(Q7,V7,AA7,AF7,AK7,AP7,AU7)</f>
        <v>3147.1343289887091</v>
      </c>
      <c r="K7" s="187">
        <f>AVERAGE(R7,W7,AB7,AG7,AL7,AQ7,AV7)</f>
        <v>262.26119408239236</v>
      </c>
      <c r="L7" s="577">
        <f>IFERROR(AVERAGE(K7:K21),"-")</f>
        <v>316.08100089952649</v>
      </c>
      <c r="M7" s="186">
        <f>RANK(K7, K$7:$K$21)</f>
        <v>8</v>
      </c>
      <c r="N7" s="575"/>
      <c r="O7" s="575"/>
      <c r="P7" s="188">
        <v>12</v>
      </c>
      <c r="Q7" s="188">
        <v>3146.9436675988813</v>
      </c>
      <c r="R7" s="185">
        <f>IFERROR(Q7/P7,"")</f>
        <v>262.24530563324009</v>
      </c>
      <c r="S7" s="182">
        <f>RANK(R7, R$7:R$21)</f>
        <v>9</v>
      </c>
      <c r="T7" s="576">
        <f>AVERAGE(R7:R21)</f>
        <v>316.06276712305277</v>
      </c>
      <c r="U7" s="188">
        <v>12</v>
      </c>
      <c r="V7" s="188">
        <v>3146.9140782573613</v>
      </c>
      <c r="W7" s="185">
        <f t="shared" ref="W7:W16" si="11">IFERROR(V7/U7,"")</f>
        <v>262.24283985478013</v>
      </c>
      <c r="X7" s="182">
        <f>RANK(W7, W$7:W$21)</f>
        <v>9</v>
      </c>
      <c r="Y7" s="576">
        <f>AVERAGE(W7:W21)</f>
        <v>316.02878876362627</v>
      </c>
      <c r="Z7" s="188">
        <v>12</v>
      </c>
      <c r="AA7" s="188">
        <v>3147.216494845361</v>
      </c>
      <c r="AB7" s="185">
        <f t="shared" ref="AB7:AB16" si="12">IFERROR(AA7/Z7,"")</f>
        <v>262.26804123711344</v>
      </c>
      <c r="AC7" s="182">
        <f>RANK(AB7, AB$7:AB$21)</f>
        <v>7</v>
      </c>
      <c r="AD7" s="576">
        <f>AVERAGE(AB7:AB21)</f>
        <v>316.03087004427135</v>
      </c>
      <c r="AE7" s="188">
        <v>12</v>
      </c>
      <c r="AF7" s="188">
        <v>3146.694648478493</v>
      </c>
      <c r="AG7" s="185">
        <f>IFERROR(AF7/AE7,"")</f>
        <v>262.22455403987442</v>
      </c>
      <c r="AH7" s="182">
        <f>RANK(AG7, AG$7:AG$21)</f>
        <v>8</v>
      </c>
      <c r="AI7" s="576">
        <f>AVERAGE(AG7:AG21)</f>
        <v>316.08141589602019</v>
      </c>
      <c r="AJ7" s="188">
        <v>12</v>
      </c>
      <c r="AK7" s="188">
        <v>3147.3515248796157</v>
      </c>
      <c r="AL7" s="185">
        <f t="shared" ref="AL7:AL16" si="13">IFERROR(AK7/AJ7,"")</f>
        <v>262.27929373996795</v>
      </c>
      <c r="AM7" s="182">
        <f>RANK(AL7, AL$7:AL$21)</f>
        <v>8</v>
      </c>
      <c r="AN7" s="576">
        <f>AVERAGE(AL7:AL21)</f>
        <v>316.12612017537691</v>
      </c>
      <c r="AO7" s="188">
        <v>12</v>
      </c>
      <c r="AP7" s="188">
        <v>3147.4392136575243</v>
      </c>
      <c r="AQ7" s="185">
        <f t="shared" ref="AQ7:AQ16" si="14">IFERROR(AP7/AO7,"")</f>
        <v>262.28660113812703</v>
      </c>
      <c r="AR7" s="182">
        <f>RANK(AQ7, AQ$7:AQ$21)</f>
        <v>7</v>
      </c>
      <c r="AS7" s="576">
        <f>AVERAGE(AQ7:AQ21)</f>
        <v>316.11160717936946</v>
      </c>
      <c r="AT7" s="188">
        <v>12</v>
      </c>
      <c r="AU7" s="188">
        <v>3147.3806752037253</v>
      </c>
      <c r="AV7" s="185">
        <f t="shared" ref="AV7:AV16" si="15">IFERROR(AU7/AT7,"")</f>
        <v>262.28172293364378</v>
      </c>
      <c r="AW7" s="182">
        <f>RANK(AV7, AV$7:AV$21)</f>
        <v>8</v>
      </c>
      <c r="AX7" s="576">
        <f>AVERAGE(AV7:AV21)</f>
        <v>329.59966139328651</v>
      </c>
    </row>
    <row r="8" spans="1:50" ht="14.25" customHeight="1">
      <c r="B8" s="575"/>
      <c r="C8" s="180">
        <v>2</v>
      </c>
      <c r="D8" s="183" t="s">
        <v>350</v>
      </c>
      <c r="E8" s="180">
        <v>12</v>
      </c>
      <c r="F8" s="180">
        <v>3600</v>
      </c>
      <c r="G8" s="185">
        <f t="shared" si="10"/>
        <v>300</v>
      </c>
      <c r="H8" s="576"/>
      <c r="I8" s="186">
        <f t="shared" ref="I8:K16" si="16">AVERAGE(P8,U8,Z8,AE8,AJ8,AO8,AT8)</f>
        <v>12</v>
      </c>
      <c r="J8" s="186">
        <f t="shared" si="16"/>
        <v>3147.3181783382001</v>
      </c>
      <c r="K8" s="187">
        <f t="shared" si="16"/>
        <v>262.27651486151672</v>
      </c>
      <c r="L8" s="577"/>
      <c r="M8" s="186">
        <f>RANK(K8, K$7:$K$21)</f>
        <v>7</v>
      </c>
      <c r="N8" s="575"/>
      <c r="O8" s="575"/>
      <c r="P8" s="188">
        <v>12</v>
      </c>
      <c r="Q8" s="188">
        <v>3147.8107032286644</v>
      </c>
      <c r="R8" s="185">
        <f t="shared" ref="R8:R16" si="17">IFERROR(Q8/P8,"")</f>
        <v>262.31755860238871</v>
      </c>
      <c r="S8" s="182">
        <f t="shared" ref="S8:S16" si="18">RANK(R8, R$7:R$21)</f>
        <v>7</v>
      </c>
      <c r="T8" s="576"/>
      <c r="U8" s="188">
        <v>12</v>
      </c>
      <c r="V8" s="188">
        <v>3147.1900089206038</v>
      </c>
      <c r="W8" s="185">
        <f t="shared" si="11"/>
        <v>262.265834076717</v>
      </c>
      <c r="X8" s="182">
        <f t="shared" ref="X8:X16" si="19">RANK(W8, W$7:W$21)</f>
        <v>8</v>
      </c>
      <c r="Y8" s="576"/>
      <c r="Z8" s="188">
        <v>12</v>
      </c>
      <c r="AA8" s="188">
        <v>3146.6967814793898</v>
      </c>
      <c r="AB8" s="185">
        <f t="shared" si="12"/>
        <v>262.22473178994915</v>
      </c>
      <c r="AC8" s="182">
        <f t="shared" ref="AC8:AC16" si="20">RANK(AB8, AB$7:AB$21)</f>
        <v>9</v>
      </c>
      <c r="AD8" s="576"/>
      <c r="AE8" s="188">
        <v>12</v>
      </c>
      <c r="AF8" s="188">
        <v>3147.1698113207549</v>
      </c>
      <c r="AG8" s="185">
        <f t="shared" ref="AG8:AG16" si="21">IFERROR(AF8/AE8,"")</f>
        <v>262.26415094339626</v>
      </c>
      <c r="AH8" s="182">
        <f t="shared" ref="AH8:AH16" si="22">RANK(AG8, AG$7:AG$21)</f>
        <v>7</v>
      </c>
      <c r="AI8" s="576"/>
      <c r="AJ8" s="188">
        <v>12</v>
      </c>
      <c r="AK8" s="188">
        <v>3147.4633596392323</v>
      </c>
      <c r="AL8" s="185">
        <f t="shared" si="13"/>
        <v>262.28861330326936</v>
      </c>
      <c r="AM8" s="182">
        <f t="shared" ref="AM8:AM16" si="23">RANK(AL8, AL$7:AL$21)</f>
        <v>7</v>
      </c>
      <c r="AN8" s="576"/>
      <c r="AO8" s="188">
        <v>12</v>
      </c>
      <c r="AP8" s="188">
        <v>3147.032967032967</v>
      </c>
      <c r="AQ8" s="185">
        <f t="shared" si="14"/>
        <v>262.25274725274727</v>
      </c>
      <c r="AR8" s="182">
        <f t="shared" ref="AR8:AR16" si="24">RANK(AQ8, AQ$7:AQ$21)</f>
        <v>10</v>
      </c>
      <c r="AS8" s="576"/>
      <c r="AT8" s="188">
        <v>12</v>
      </c>
      <c r="AU8" s="188">
        <v>3147.8636167457935</v>
      </c>
      <c r="AV8" s="185">
        <f t="shared" si="15"/>
        <v>262.32196806214944</v>
      </c>
      <c r="AW8" s="182">
        <f t="shared" ref="AW8:AW16" si="25">RANK(AV8, AV$7:AV$21)</f>
        <v>7</v>
      </c>
      <c r="AX8" s="576"/>
    </row>
    <row r="9" spans="1:50" ht="14.25" customHeight="1">
      <c r="B9" s="575"/>
      <c r="C9" s="180">
        <v>3</v>
      </c>
      <c r="D9" s="183" t="s">
        <v>348</v>
      </c>
      <c r="E9" s="180">
        <v>11</v>
      </c>
      <c r="F9" s="180">
        <v>3600</v>
      </c>
      <c r="G9" s="185">
        <f t="shared" si="10"/>
        <v>327.27272727272725</v>
      </c>
      <c r="H9" s="576"/>
      <c r="I9" s="186">
        <f t="shared" si="16"/>
        <v>11</v>
      </c>
      <c r="J9" s="186">
        <f t="shared" si="16"/>
        <v>3182.7206885116507</v>
      </c>
      <c r="K9" s="187">
        <f t="shared" si="16"/>
        <v>289.33824441015003</v>
      </c>
      <c r="L9" s="577"/>
      <c r="M9" s="186">
        <f>RANK(K9, K$7:$K$21)</f>
        <v>6</v>
      </c>
      <c r="N9" s="575"/>
      <c r="O9" s="575"/>
      <c r="P9" s="188">
        <v>11</v>
      </c>
      <c r="Q9" s="188">
        <v>3182.8151498021452</v>
      </c>
      <c r="R9" s="185">
        <f t="shared" si="17"/>
        <v>289.34683180019505</v>
      </c>
      <c r="S9" s="182">
        <f t="shared" si="18"/>
        <v>6</v>
      </c>
      <c r="T9" s="576"/>
      <c r="U9" s="188">
        <v>11</v>
      </c>
      <c r="V9" s="188">
        <v>3182.0638820638846</v>
      </c>
      <c r="W9" s="185">
        <f t="shared" si="11"/>
        <v>289.27853473308045</v>
      </c>
      <c r="X9" s="182">
        <f t="shared" si="19"/>
        <v>6</v>
      </c>
      <c r="Y9" s="576"/>
      <c r="Z9" s="188">
        <v>11</v>
      </c>
      <c r="AA9" s="188">
        <v>3182.7721221613242</v>
      </c>
      <c r="AB9" s="185">
        <f t="shared" si="12"/>
        <v>289.34292019648404</v>
      </c>
      <c r="AC9" s="182">
        <f t="shared" si="20"/>
        <v>6</v>
      </c>
      <c r="AD9" s="576"/>
      <c r="AE9" s="188">
        <v>11</v>
      </c>
      <c r="AF9" s="188">
        <v>3183.8318512530359</v>
      </c>
      <c r="AG9" s="185">
        <f t="shared" si="21"/>
        <v>289.43925920482144</v>
      </c>
      <c r="AH9" s="182">
        <f t="shared" si="22"/>
        <v>5</v>
      </c>
      <c r="AI9" s="576"/>
      <c r="AJ9" s="188">
        <v>11</v>
      </c>
      <c r="AK9" s="188">
        <v>3182.0840950639808</v>
      </c>
      <c r="AL9" s="185">
        <f t="shared" si="13"/>
        <v>289.28037227854372</v>
      </c>
      <c r="AM9" s="182">
        <f t="shared" si="23"/>
        <v>6</v>
      </c>
      <c r="AN9" s="576"/>
      <c r="AO9" s="188">
        <v>11</v>
      </c>
      <c r="AP9" s="188">
        <v>3182.4742268041246</v>
      </c>
      <c r="AQ9" s="185">
        <f t="shared" si="14"/>
        <v>289.31583880037493</v>
      </c>
      <c r="AR9" s="182">
        <f t="shared" si="24"/>
        <v>6</v>
      </c>
      <c r="AS9" s="576"/>
      <c r="AT9" s="188">
        <v>11</v>
      </c>
      <c r="AU9" s="188">
        <v>3183.0034924330557</v>
      </c>
      <c r="AV9" s="185">
        <f t="shared" si="15"/>
        <v>289.36395385755054</v>
      </c>
      <c r="AW9" s="182">
        <f t="shared" si="25"/>
        <v>6</v>
      </c>
      <c r="AX9" s="576"/>
    </row>
    <row r="10" spans="1:50" ht="14.25" customHeight="1">
      <c r="B10" s="575"/>
      <c r="C10" s="180">
        <v>4</v>
      </c>
      <c r="D10" s="183" t="s">
        <v>467</v>
      </c>
      <c r="E10" s="180">
        <v>6</v>
      </c>
      <c r="F10" s="180">
        <v>2600</v>
      </c>
      <c r="G10" s="185">
        <f t="shared" si="10"/>
        <v>433.33333333333331</v>
      </c>
      <c r="H10" s="576"/>
      <c r="I10" s="186">
        <f t="shared" si="16"/>
        <v>6</v>
      </c>
      <c r="J10" s="186">
        <f t="shared" si="16"/>
        <v>2340.3482577837344</v>
      </c>
      <c r="K10" s="187">
        <f t="shared" si="16"/>
        <v>390.05804296395581</v>
      </c>
      <c r="L10" s="577"/>
      <c r="M10" s="186">
        <f>RANK(K10, K$7:$K$21)</f>
        <v>2</v>
      </c>
      <c r="N10" s="575"/>
      <c r="O10" s="575"/>
      <c r="P10" s="188">
        <v>6</v>
      </c>
      <c r="Q10" s="188">
        <v>2340.3123192596895</v>
      </c>
      <c r="R10" s="185">
        <f t="shared" si="17"/>
        <v>390.05205320994827</v>
      </c>
      <c r="S10" s="182">
        <f t="shared" si="18"/>
        <v>2</v>
      </c>
      <c r="T10" s="576"/>
      <c r="U10" s="188">
        <v>6</v>
      </c>
      <c r="V10" s="188">
        <v>2340.2135231316734</v>
      </c>
      <c r="W10" s="185">
        <f t="shared" si="11"/>
        <v>390.03558718861223</v>
      </c>
      <c r="X10" s="182">
        <f t="shared" si="19"/>
        <v>1</v>
      </c>
      <c r="Y10" s="576"/>
      <c r="Z10" s="188">
        <v>6</v>
      </c>
      <c r="AA10" s="188">
        <v>2340.9015025041699</v>
      </c>
      <c r="AB10" s="185">
        <f t="shared" si="12"/>
        <v>390.15025041736163</v>
      </c>
      <c r="AC10" s="182">
        <f t="shared" si="20"/>
        <v>1</v>
      </c>
      <c r="AD10" s="576"/>
      <c r="AE10" s="188">
        <v>6</v>
      </c>
      <c r="AF10" s="188">
        <v>2340.4958677686004</v>
      </c>
      <c r="AG10" s="185">
        <f t="shared" si="21"/>
        <v>390.08264462810007</v>
      </c>
      <c r="AH10" s="182">
        <f t="shared" si="22"/>
        <v>1</v>
      </c>
      <c r="AI10" s="576"/>
      <c r="AJ10" s="188">
        <v>6</v>
      </c>
      <c r="AK10" s="188">
        <v>2340.9045226130638</v>
      </c>
      <c r="AL10" s="185">
        <f t="shared" si="13"/>
        <v>390.15075376884397</v>
      </c>
      <c r="AM10" s="182">
        <f t="shared" si="23"/>
        <v>2</v>
      </c>
      <c r="AN10" s="576"/>
      <c r="AO10" s="188">
        <v>6</v>
      </c>
      <c r="AP10" s="188">
        <v>2339.8359161349194</v>
      </c>
      <c r="AQ10" s="185">
        <f t="shared" si="14"/>
        <v>389.97265268915322</v>
      </c>
      <c r="AR10" s="182">
        <f t="shared" si="24"/>
        <v>2</v>
      </c>
      <c r="AS10" s="576"/>
      <c r="AT10" s="188">
        <v>6</v>
      </c>
      <c r="AU10" s="188">
        <v>2339.7741530740254</v>
      </c>
      <c r="AV10" s="185">
        <f t="shared" si="15"/>
        <v>389.96235884567091</v>
      </c>
      <c r="AW10" s="182">
        <f t="shared" si="25"/>
        <v>2</v>
      </c>
      <c r="AX10" s="576"/>
    </row>
    <row r="11" spans="1:50" ht="14.25" customHeight="1">
      <c r="B11" s="575"/>
      <c r="C11" s="180">
        <v>5</v>
      </c>
      <c r="D11" s="183" t="s">
        <v>470</v>
      </c>
      <c r="E11" s="180">
        <v>6</v>
      </c>
      <c r="F11" s="180">
        <v>2600</v>
      </c>
      <c r="G11" s="185">
        <f t="shared" si="10"/>
        <v>433.33333333333331</v>
      </c>
      <c r="H11" s="576"/>
      <c r="I11" s="186">
        <f t="shared" si="16"/>
        <v>6</v>
      </c>
      <c r="J11" s="186">
        <f t="shared" si="16"/>
        <v>2340.6250136555805</v>
      </c>
      <c r="K11" s="187">
        <f t="shared" si="16"/>
        <v>390.10416894259663</v>
      </c>
      <c r="L11" s="577"/>
      <c r="M11" s="186">
        <f>RANK(K11, K$7:$K$21)</f>
        <v>1</v>
      </c>
      <c r="N11" s="575"/>
      <c r="O11" s="575"/>
      <c r="P11" s="188">
        <v>6</v>
      </c>
      <c r="Q11" s="188">
        <v>2340.9574468085157</v>
      </c>
      <c r="R11" s="185">
        <f t="shared" si="17"/>
        <v>390.15957446808596</v>
      </c>
      <c r="S11" s="182">
        <f t="shared" si="18"/>
        <v>1</v>
      </c>
      <c r="T11" s="576"/>
      <c r="U11" s="188">
        <v>6</v>
      </c>
      <c r="V11" s="188">
        <v>2340.1301518438172</v>
      </c>
      <c r="W11" s="185">
        <f t="shared" si="11"/>
        <v>390.02169197396955</v>
      </c>
      <c r="X11" s="182">
        <f t="shared" si="19"/>
        <v>2</v>
      </c>
      <c r="Y11" s="576"/>
      <c r="Z11" s="188">
        <v>6</v>
      </c>
      <c r="AA11" s="188">
        <v>2340.6976744186086</v>
      </c>
      <c r="AB11" s="185">
        <f t="shared" si="12"/>
        <v>390.1162790697681</v>
      </c>
      <c r="AC11" s="182">
        <f t="shared" si="20"/>
        <v>2</v>
      </c>
      <c r="AD11" s="576"/>
      <c r="AE11" s="188">
        <v>6</v>
      </c>
      <c r="AF11" s="188">
        <v>2339.4072447859576</v>
      </c>
      <c r="AG11" s="185">
        <f t="shared" si="21"/>
        <v>389.90120746432626</v>
      </c>
      <c r="AH11" s="182">
        <f t="shared" si="22"/>
        <v>2</v>
      </c>
      <c r="AI11" s="576"/>
      <c r="AJ11" s="188">
        <v>6</v>
      </c>
      <c r="AK11" s="188">
        <v>2341.2887828162338</v>
      </c>
      <c r="AL11" s="185">
        <f t="shared" si="13"/>
        <v>390.21479713603895</v>
      </c>
      <c r="AM11" s="182">
        <f t="shared" si="23"/>
        <v>1</v>
      </c>
      <c r="AN11" s="576"/>
      <c r="AO11" s="188">
        <v>6</v>
      </c>
      <c r="AP11" s="188">
        <v>2340.7258064516132</v>
      </c>
      <c r="AQ11" s="185">
        <f t="shared" si="14"/>
        <v>390.12096774193554</v>
      </c>
      <c r="AR11" s="182">
        <f t="shared" si="24"/>
        <v>1</v>
      </c>
      <c r="AS11" s="576"/>
      <c r="AT11" s="188">
        <v>6</v>
      </c>
      <c r="AU11" s="188">
        <v>2341.1679884643149</v>
      </c>
      <c r="AV11" s="185">
        <f t="shared" si="15"/>
        <v>390.19466474405249</v>
      </c>
      <c r="AW11" s="182">
        <f t="shared" si="25"/>
        <v>1</v>
      </c>
      <c r="AX11" s="576"/>
    </row>
    <row r="12" spans="1:50" ht="14.25" customHeight="1">
      <c r="B12" s="575"/>
      <c r="C12" s="180">
        <v>6</v>
      </c>
      <c r="D12" s="183" t="s">
        <v>541</v>
      </c>
      <c r="E12" s="180">
        <v>6</v>
      </c>
      <c r="F12" s="180">
        <v>2500</v>
      </c>
      <c r="G12" s="185">
        <f t="shared" si="10"/>
        <v>416.66666666666669</v>
      </c>
      <c r="H12" s="576"/>
      <c r="I12" s="186">
        <f t="shared" si="16"/>
        <v>6</v>
      </c>
      <c r="J12" s="186">
        <f t="shared" si="16"/>
        <v>2258.8431108831473</v>
      </c>
      <c r="K12" s="187">
        <f t="shared" si="16"/>
        <v>376.47385181385789</v>
      </c>
      <c r="L12" s="577"/>
      <c r="M12" s="186">
        <f>RANK(K12, K$7:$K$21)</f>
        <v>3</v>
      </c>
      <c r="N12" s="575"/>
      <c r="O12" s="575"/>
      <c r="P12" s="188">
        <v>6</v>
      </c>
      <c r="Q12" s="188">
        <v>2258.4362139917685</v>
      </c>
      <c r="R12" s="185">
        <f t="shared" si="17"/>
        <v>376.40603566529472</v>
      </c>
      <c r="S12" s="182">
        <f t="shared" si="18"/>
        <v>3</v>
      </c>
      <c r="T12" s="576"/>
      <c r="U12" s="188">
        <v>6</v>
      </c>
      <c r="V12" s="188">
        <v>2258.4172661870502</v>
      </c>
      <c r="W12" s="185">
        <f t="shared" si="11"/>
        <v>376.40287769784169</v>
      </c>
      <c r="X12" s="182">
        <f t="shared" si="19"/>
        <v>3</v>
      </c>
      <c r="Y12" s="576"/>
      <c r="Z12" s="188">
        <v>6</v>
      </c>
      <c r="AA12" s="188">
        <v>2256.5488565488563</v>
      </c>
      <c r="AB12" s="185">
        <f t="shared" si="12"/>
        <v>376.09147609147607</v>
      </c>
      <c r="AC12" s="182">
        <f t="shared" si="20"/>
        <v>4</v>
      </c>
      <c r="AD12" s="576"/>
      <c r="AE12" s="188">
        <v>6</v>
      </c>
      <c r="AF12" s="188">
        <v>2259.0909090909113</v>
      </c>
      <c r="AG12" s="185">
        <f t="shared" si="21"/>
        <v>376.5151515151519</v>
      </c>
      <c r="AH12" s="182">
        <f t="shared" si="22"/>
        <v>4</v>
      </c>
      <c r="AI12" s="576"/>
      <c r="AJ12" s="188">
        <v>6</v>
      </c>
      <c r="AK12" s="188">
        <v>2259.520451339924</v>
      </c>
      <c r="AL12" s="185">
        <f t="shared" si="13"/>
        <v>376.58674188998731</v>
      </c>
      <c r="AM12" s="182">
        <f t="shared" si="23"/>
        <v>4</v>
      </c>
      <c r="AN12" s="576"/>
      <c r="AO12" s="188">
        <v>6</v>
      </c>
      <c r="AP12" s="188">
        <v>2259.8202824133496</v>
      </c>
      <c r="AQ12" s="185">
        <f t="shared" si="14"/>
        <v>376.63671373555826</v>
      </c>
      <c r="AR12" s="182">
        <f t="shared" si="24"/>
        <v>3</v>
      </c>
      <c r="AS12" s="576"/>
      <c r="AT12" s="188">
        <v>6</v>
      </c>
      <c r="AU12" s="188">
        <v>2260.0677966101712</v>
      </c>
      <c r="AV12" s="185">
        <f t="shared" si="15"/>
        <v>376.67796610169518</v>
      </c>
      <c r="AW12" s="182">
        <f t="shared" si="25"/>
        <v>3</v>
      </c>
      <c r="AX12" s="576"/>
    </row>
    <row r="13" spans="1:50" ht="14.25" customHeight="1">
      <c r="B13" s="575"/>
      <c r="C13" s="180">
        <v>7</v>
      </c>
      <c r="D13" s="183" t="s">
        <v>582</v>
      </c>
      <c r="E13" s="180">
        <v>6</v>
      </c>
      <c r="F13" s="180">
        <v>2500</v>
      </c>
      <c r="G13" s="185">
        <f t="shared" si="10"/>
        <v>416.66666666666669</v>
      </c>
      <c r="H13" s="576"/>
      <c r="I13" s="186">
        <f t="shared" si="16"/>
        <v>6</v>
      </c>
      <c r="J13" s="186">
        <f t="shared" si="16"/>
        <v>2258.6161131123072</v>
      </c>
      <c r="K13" s="187">
        <f t="shared" si="16"/>
        <v>376.43601885205123</v>
      </c>
      <c r="L13" s="577"/>
      <c r="M13" s="186">
        <f>RANK(K13, K$7:$K$21)</f>
        <v>4</v>
      </c>
      <c r="N13" s="575"/>
      <c r="O13" s="575"/>
      <c r="P13" s="188">
        <v>6</v>
      </c>
      <c r="Q13" s="188">
        <v>2257.6957695769574</v>
      </c>
      <c r="R13" s="185">
        <f t="shared" si="17"/>
        <v>376.28262826282622</v>
      </c>
      <c r="S13" s="182">
        <f t="shared" si="18"/>
        <v>4</v>
      </c>
      <c r="T13" s="576"/>
      <c r="U13" s="188">
        <v>6</v>
      </c>
      <c r="V13" s="188">
        <v>2257.6271186440663</v>
      </c>
      <c r="W13" s="185">
        <f t="shared" si="11"/>
        <v>376.2711864406777</v>
      </c>
      <c r="X13" s="182">
        <f t="shared" si="19"/>
        <v>4</v>
      </c>
      <c r="Y13" s="576"/>
      <c r="Z13" s="188">
        <v>6</v>
      </c>
      <c r="AA13" s="188">
        <v>2257.5684766938998</v>
      </c>
      <c r="AB13" s="185">
        <f t="shared" si="12"/>
        <v>376.26141278231665</v>
      </c>
      <c r="AC13" s="182">
        <f t="shared" si="20"/>
        <v>3</v>
      </c>
      <c r="AD13" s="576"/>
      <c r="AE13" s="188">
        <v>6</v>
      </c>
      <c r="AF13" s="188">
        <v>2259.3238822246449</v>
      </c>
      <c r="AG13" s="185">
        <f t="shared" si="21"/>
        <v>376.55398037077413</v>
      </c>
      <c r="AH13" s="182">
        <f t="shared" si="22"/>
        <v>3</v>
      </c>
      <c r="AI13" s="576"/>
      <c r="AJ13" s="188">
        <v>6</v>
      </c>
      <c r="AK13" s="188">
        <v>2259.5294117647054</v>
      </c>
      <c r="AL13" s="185">
        <f t="shared" si="13"/>
        <v>376.58823529411757</v>
      </c>
      <c r="AM13" s="182">
        <f t="shared" si="23"/>
        <v>3</v>
      </c>
      <c r="AN13" s="576"/>
      <c r="AO13" s="188">
        <v>6</v>
      </c>
      <c r="AP13" s="188">
        <v>2259.3381940549607</v>
      </c>
      <c r="AQ13" s="185">
        <f t="shared" si="14"/>
        <v>376.55636567582678</v>
      </c>
      <c r="AR13" s="182">
        <f t="shared" si="24"/>
        <v>4</v>
      </c>
      <c r="AS13" s="576"/>
      <c r="AT13" s="188">
        <v>6</v>
      </c>
      <c r="AU13" s="188">
        <v>2259.2299388269166</v>
      </c>
      <c r="AV13" s="185">
        <f t="shared" si="15"/>
        <v>376.53832313781942</v>
      </c>
      <c r="AW13" s="182">
        <f t="shared" si="25"/>
        <v>4</v>
      </c>
      <c r="AX13" s="576"/>
    </row>
    <row r="14" spans="1:50" ht="14.25" customHeight="1">
      <c r="B14" s="575"/>
      <c r="C14" s="180">
        <v>8</v>
      </c>
      <c r="D14" s="183" t="s">
        <v>352</v>
      </c>
      <c r="E14" s="180">
        <v>12</v>
      </c>
      <c r="F14" s="180">
        <v>3600</v>
      </c>
      <c r="G14" s="185">
        <f t="shared" si="10"/>
        <v>300</v>
      </c>
      <c r="H14" s="576"/>
      <c r="I14" s="186">
        <f t="shared" si="16"/>
        <v>12</v>
      </c>
      <c r="J14" s="186">
        <f t="shared" si="16"/>
        <v>3146.4360593420611</v>
      </c>
      <c r="K14" s="187">
        <f t="shared" si="16"/>
        <v>262.20300494517176</v>
      </c>
      <c r="L14" s="577"/>
      <c r="M14" s="186">
        <f>RANK(K14, K$7:$K$21)</f>
        <v>10</v>
      </c>
      <c r="N14" s="575"/>
      <c r="O14" s="575"/>
      <c r="P14" s="188">
        <v>12</v>
      </c>
      <c r="Q14" s="188">
        <v>3145.2948557089089</v>
      </c>
      <c r="R14" s="185">
        <f t="shared" si="17"/>
        <v>262.1079046424091</v>
      </c>
      <c r="S14" s="182">
        <f t="shared" si="18"/>
        <v>10</v>
      </c>
      <c r="T14" s="576"/>
      <c r="U14" s="188">
        <v>12</v>
      </c>
      <c r="V14" s="188">
        <v>3145.7103949160296</v>
      </c>
      <c r="W14" s="185">
        <f t="shared" si="11"/>
        <v>262.14253290966911</v>
      </c>
      <c r="X14" s="182">
        <f t="shared" si="19"/>
        <v>10</v>
      </c>
      <c r="Y14" s="576"/>
      <c r="Z14" s="188">
        <v>12</v>
      </c>
      <c r="AA14" s="188">
        <v>3146.6524973432465</v>
      </c>
      <c r="AB14" s="185">
        <f t="shared" si="12"/>
        <v>262.22104144527054</v>
      </c>
      <c r="AC14" s="182">
        <f t="shared" si="20"/>
        <v>10</v>
      </c>
      <c r="AD14" s="576"/>
      <c r="AE14" s="188">
        <v>12</v>
      </c>
      <c r="AF14" s="188">
        <v>3146.6092572658781</v>
      </c>
      <c r="AG14" s="185">
        <f t="shared" si="21"/>
        <v>262.21743810548986</v>
      </c>
      <c r="AH14" s="182">
        <f t="shared" si="22"/>
        <v>9</v>
      </c>
      <c r="AI14" s="576"/>
      <c r="AJ14" s="188">
        <v>12</v>
      </c>
      <c r="AK14" s="188">
        <v>3147.3053892215466</v>
      </c>
      <c r="AL14" s="185">
        <f t="shared" si="13"/>
        <v>262.27544910179557</v>
      </c>
      <c r="AM14" s="182">
        <f t="shared" si="23"/>
        <v>9</v>
      </c>
      <c r="AN14" s="576"/>
      <c r="AO14" s="188">
        <v>12</v>
      </c>
      <c r="AP14" s="188">
        <v>3147.0439615967571</v>
      </c>
      <c r="AQ14" s="185">
        <f t="shared" si="14"/>
        <v>262.2536634663964</v>
      </c>
      <c r="AR14" s="182">
        <f t="shared" si="24"/>
        <v>9</v>
      </c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 t="s">
        <v>353</v>
      </c>
      <c r="E15" s="180">
        <v>12</v>
      </c>
      <c r="F15" s="180">
        <v>3600</v>
      </c>
      <c r="G15" s="185">
        <f t="shared" si="10"/>
        <v>300</v>
      </c>
      <c r="H15" s="576"/>
      <c r="I15" s="186">
        <f t="shared" si="16"/>
        <v>12</v>
      </c>
      <c r="J15" s="186">
        <f t="shared" si="16"/>
        <v>3147.0489006986536</v>
      </c>
      <c r="K15" s="187">
        <f t="shared" si="16"/>
        <v>262.25407505822119</v>
      </c>
      <c r="L15" s="577"/>
      <c r="M15" s="186">
        <f>RANK(K15, K$7:$K$21)</f>
        <v>9</v>
      </c>
      <c r="N15" s="575"/>
      <c r="O15" s="575"/>
      <c r="P15" s="188">
        <v>12</v>
      </c>
      <c r="Q15" s="188">
        <v>3147.2099202834352</v>
      </c>
      <c r="R15" s="185">
        <f t="shared" si="17"/>
        <v>262.26749335695291</v>
      </c>
      <c r="S15" s="182">
        <f t="shared" si="18"/>
        <v>8</v>
      </c>
      <c r="T15" s="576"/>
      <c r="U15" s="188">
        <v>12</v>
      </c>
      <c r="V15" s="188">
        <v>3147.6529160739633</v>
      </c>
      <c r="W15" s="185">
        <f t="shared" si="11"/>
        <v>262.30440967283027</v>
      </c>
      <c r="X15" s="182">
        <f t="shared" si="19"/>
        <v>7</v>
      </c>
      <c r="Y15" s="576"/>
      <c r="Z15" s="188">
        <v>12</v>
      </c>
      <c r="AA15" s="188">
        <v>3147.0842332613415</v>
      </c>
      <c r="AB15" s="185">
        <f t="shared" si="12"/>
        <v>262.25701943844513</v>
      </c>
      <c r="AC15" s="182">
        <f t="shared" si="20"/>
        <v>8</v>
      </c>
      <c r="AD15" s="576"/>
      <c r="AE15" s="188">
        <v>12</v>
      </c>
      <c r="AF15" s="188">
        <v>3146.2520821765684</v>
      </c>
      <c r="AG15" s="185">
        <f t="shared" si="21"/>
        <v>262.18767351471405</v>
      </c>
      <c r="AH15" s="182">
        <f t="shared" si="22"/>
        <v>10</v>
      </c>
      <c r="AI15" s="576"/>
      <c r="AJ15" s="188">
        <v>12</v>
      </c>
      <c r="AK15" s="188">
        <v>3147.0483005366664</v>
      </c>
      <c r="AL15" s="185">
        <f t="shared" si="13"/>
        <v>262.2540250447222</v>
      </c>
      <c r="AM15" s="182">
        <f t="shared" si="23"/>
        <v>10</v>
      </c>
      <c r="AN15" s="576"/>
      <c r="AO15" s="188">
        <v>12</v>
      </c>
      <c r="AP15" s="188">
        <v>3147.0459518599491</v>
      </c>
      <c r="AQ15" s="185">
        <f t="shared" si="14"/>
        <v>262.25382932166241</v>
      </c>
      <c r="AR15" s="182">
        <f t="shared" si="24"/>
        <v>8</v>
      </c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 t="s">
        <v>351</v>
      </c>
      <c r="E16" s="180">
        <v>11</v>
      </c>
      <c r="F16" s="180">
        <v>3600</v>
      </c>
      <c r="G16" s="185">
        <f t="shared" si="10"/>
        <v>327.27272727272725</v>
      </c>
      <c r="H16" s="576"/>
      <c r="I16" s="186">
        <f t="shared" si="16"/>
        <v>11</v>
      </c>
      <c r="J16" s="186">
        <f t="shared" si="16"/>
        <v>3183.4538237188617</v>
      </c>
      <c r="K16" s="187">
        <f t="shared" si="16"/>
        <v>289.40489306535113</v>
      </c>
      <c r="L16" s="577"/>
      <c r="M16" s="186">
        <f>RANK(K16, K$7:$K$21)</f>
        <v>5</v>
      </c>
      <c r="N16" s="575"/>
      <c r="O16" s="575"/>
      <c r="P16" s="188">
        <v>11</v>
      </c>
      <c r="Q16" s="188">
        <v>3183.8651414810465</v>
      </c>
      <c r="R16" s="185">
        <f t="shared" si="17"/>
        <v>289.44228558918604</v>
      </c>
      <c r="S16" s="182">
        <f t="shared" si="18"/>
        <v>5</v>
      </c>
      <c r="T16" s="576"/>
      <c r="U16" s="188">
        <v>11</v>
      </c>
      <c r="V16" s="188">
        <v>3182.5463239689257</v>
      </c>
      <c r="W16" s="185">
        <f t="shared" si="11"/>
        <v>289.32239308808414</v>
      </c>
      <c r="X16" s="182">
        <f t="shared" si="19"/>
        <v>5</v>
      </c>
      <c r="Y16" s="576"/>
      <c r="Z16" s="188">
        <v>11</v>
      </c>
      <c r="AA16" s="188">
        <v>3183.1308077198114</v>
      </c>
      <c r="AB16" s="185">
        <f t="shared" si="12"/>
        <v>289.37552797452832</v>
      </c>
      <c r="AC16" s="182">
        <f t="shared" si="20"/>
        <v>5</v>
      </c>
      <c r="AD16" s="576"/>
      <c r="AE16" s="188">
        <v>11</v>
      </c>
      <c r="AF16" s="188">
        <v>3183.7090909090894</v>
      </c>
      <c r="AG16" s="185">
        <f t="shared" si="21"/>
        <v>289.42809917355356</v>
      </c>
      <c r="AH16" s="182">
        <f t="shared" si="22"/>
        <v>6</v>
      </c>
      <c r="AI16" s="576"/>
      <c r="AJ16" s="188">
        <v>11</v>
      </c>
      <c r="AK16" s="188">
        <v>3182.7721221613119</v>
      </c>
      <c r="AL16" s="185">
        <f t="shared" si="13"/>
        <v>289.34292019648291</v>
      </c>
      <c r="AM16" s="182">
        <f t="shared" si="23"/>
        <v>5</v>
      </c>
      <c r="AN16" s="576"/>
      <c r="AO16" s="188">
        <v>11</v>
      </c>
      <c r="AP16" s="188">
        <v>3184.1336116910352</v>
      </c>
      <c r="AQ16" s="185">
        <f t="shared" si="14"/>
        <v>289.46669197191227</v>
      </c>
      <c r="AR16" s="182">
        <f t="shared" si="24"/>
        <v>5</v>
      </c>
      <c r="AS16" s="576"/>
      <c r="AT16" s="188">
        <v>11</v>
      </c>
      <c r="AU16" s="188">
        <v>3184.0196681008142</v>
      </c>
      <c r="AV16" s="185">
        <f t="shared" si="15"/>
        <v>289.45633346371039</v>
      </c>
      <c r="AW16" s="182">
        <f t="shared" si="25"/>
        <v>5</v>
      </c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381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4" si="26">F27/E27</f>
        <v>327.27272727272725</v>
      </c>
      <c r="H27" s="576">
        <f>AVERAGE(G27:G41)</f>
        <v>369.31818181818176</v>
      </c>
      <c r="I27" s="186">
        <f>AVERAGE(P27,U27,Z27,AE27,AJ27,AO27,AT27)</f>
        <v>11</v>
      </c>
      <c r="J27" s="186">
        <f>AVERAGE(Q27,V27,AA27,AF27,AK27,AP27,AU27)</f>
        <v>3183.0783101723177</v>
      </c>
      <c r="K27" s="187">
        <f>AVERAGE(R27,W27,AB27,AG27,AL27,AQ27,AV27)</f>
        <v>289.37075547021067</v>
      </c>
      <c r="L27" s="577">
        <f>IFERROR(AVERAGE(K27:K41),"-")</f>
        <v>328.5787466992781</v>
      </c>
      <c r="M27" s="186">
        <f>RANK(K27, K$27:$K$41)</f>
        <v>5</v>
      </c>
      <c r="N27" s="575"/>
      <c r="O27" s="575"/>
      <c r="P27" s="188">
        <v>11</v>
      </c>
      <c r="Q27" s="188">
        <v>3182.1011673151825</v>
      </c>
      <c r="R27" s="185">
        <f>IFERROR(Q27/P27,"")</f>
        <v>289.28192430138023</v>
      </c>
      <c r="S27" s="182">
        <f>RANK(R27, R$27:R$41)</f>
        <v>6</v>
      </c>
      <c r="T27" s="576">
        <f>AVERAGE(R27:R41)</f>
        <v>325.89333541271043</v>
      </c>
      <c r="U27" s="188">
        <v>11</v>
      </c>
      <c r="V27" s="188">
        <v>3182.1011673151729</v>
      </c>
      <c r="W27" s="185">
        <f t="shared" ref="W27:W34" si="27">IFERROR(V27/U27,"")</f>
        <v>289.28192430137938</v>
      </c>
      <c r="X27" s="182">
        <f>RANK(W27, W$27:W$41)</f>
        <v>6</v>
      </c>
      <c r="Y27" s="576">
        <f>AVERAGE(W27:W41)</f>
        <v>327.14090609042961</v>
      </c>
      <c r="Z27" s="188">
        <v>11</v>
      </c>
      <c r="AA27" s="188">
        <v>3182.8211673151732</v>
      </c>
      <c r="AB27" s="185">
        <f t="shared" ref="AB27:AB34" si="28">IFERROR(AA27/Z27,"")</f>
        <v>289.34737884683392</v>
      </c>
      <c r="AC27" s="182">
        <f>RANK(AB27, AB$27:AB$41)</f>
        <v>5</v>
      </c>
      <c r="AD27" s="576">
        <f>AVERAGE(AB27:AB41)</f>
        <v>328.3594497365246</v>
      </c>
      <c r="AE27" s="188">
        <v>11</v>
      </c>
      <c r="AF27" s="188">
        <v>3182.4611673151735</v>
      </c>
      <c r="AG27" s="185">
        <f>IFERROR(AF27/AE27,"")</f>
        <v>289.31465157410668</v>
      </c>
      <c r="AH27" s="182">
        <f>RANK(AG27, AG$27:AG$41)</f>
        <v>5</v>
      </c>
      <c r="AI27" s="576">
        <f>AVERAGE(AG27:AG41)</f>
        <v>329.64159001311725</v>
      </c>
      <c r="AJ27" s="188">
        <v>11</v>
      </c>
      <c r="AK27" s="188">
        <v>3182.8211673151736</v>
      </c>
      <c r="AL27" s="185">
        <f t="shared" ref="AL27:AL34" si="29">IFERROR(AK27/AJ27,"")</f>
        <v>289.34737884683398</v>
      </c>
      <c r="AM27" s="182">
        <f>RANK(AL27, AL$27:AL$41)</f>
        <v>5</v>
      </c>
      <c r="AN27" s="576">
        <f>AVERAGE(AL27:AL41)</f>
        <v>329.64212530616749</v>
      </c>
      <c r="AO27" s="188">
        <v>11</v>
      </c>
      <c r="AP27" s="188">
        <v>3184.6211673151743</v>
      </c>
      <c r="AQ27" s="185">
        <f t="shared" ref="AQ27:AQ34" si="30">IFERROR(AP27/AO27,"")</f>
        <v>289.51101521047036</v>
      </c>
      <c r="AR27" s="182">
        <f>RANK(AQ27, AQ$27:AQ$41)</f>
        <v>5</v>
      </c>
      <c r="AS27" s="576">
        <f>AVERAGE(AQ27:AQ41)</f>
        <v>329.68293970010689</v>
      </c>
      <c r="AT27" s="188">
        <v>11</v>
      </c>
      <c r="AU27" s="188">
        <v>3184.6211673151743</v>
      </c>
      <c r="AV27" s="185">
        <f t="shared" ref="AV27:AV33" si="31">IFERROR(AU27/AT27,"")</f>
        <v>289.51101521047036</v>
      </c>
      <c r="AW27" s="182">
        <f>RANK(AV27, AV$27:AV$41)</f>
        <v>5</v>
      </c>
      <c r="AX27" s="576">
        <f>AVERAGE(AV27:AV41)</f>
        <v>335.45762181104038</v>
      </c>
    </row>
    <row r="28" spans="2:50" ht="14.25" customHeight="1">
      <c r="B28" s="575"/>
      <c r="C28" s="180">
        <v>2</v>
      </c>
      <c r="D28" s="183" t="s">
        <v>467</v>
      </c>
      <c r="E28" s="180">
        <v>6</v>
      </c>
      <c r="F28" s="180">
        <v>2600</v>
      </c>
      <c r="G28" s="185">
        <f t="shared" si="26"/>
        <v>433.33333333333331</v>
      </c>
      <c r="H28" s="576"/>
      <c r="I28" s="186">
        <f t="shared" ref="I28:K34" si="32">AVERAGE(P28,U28,Z28,AE28,AJ28,AO28,AT28)</f>
        <v>6</v>
      </c>
      <c r="J28" s="186">
        <f t="shared" si="32"/>
        <v>2340.1058081467359</v>
      </c>
      <c r="K28" s="187">
        <f t="shared" si="32"/>
        <v>390.01763469112262</v>
      </c>
      <c r="L28" s="577"/>
      <c r="M28" s="186">
        <f>RANK(K28, K$27:$K$41)</f>
        <v>1</v>
      </c>
      <c r="N28" s="575"/>
      <c r="O28" s="575"/>
      <c r="P28" s="188">
        <v>6</v>
      </c>
      <c r="Q28" s="188">
        <v>2340.121375590023</v>
      </c>
      <c r="R28" s="185">
        <f t="shared" ref="R28:R34" si="33">IFERROR(Q28/P28,"")</f>
        <v>390.02022926500382</v>
      </c>
      <c r="S28" s="182">
        <f t="shared" ref="S28:S34" si="34">RANK(R28, R$27:R$41)</f>
        <v>1</v>
      </c>
      <c r="T28" s="576"/>
      <c r="U28" s="188">
        <v>6</v>
      </c>
      <c r="V28" s="188">
        <v>2340.1197604790418</v>
      </c>
      <c r="W28" s="185">
        <f t="shared" si="27"/>
        <v>390.0199600798403</v>
      </c>
      <c r="X28" s="182">
        <f t="shared" ref="X28:X34" si="35">RANK(W28, W$27:W$41)</f>
        <v>2</v>
      </c>
      <c r="Y28" s="576"/>
      <c r="Z28" s="188">
        <v>6</v>
      </c>
      <c r="AA28" s="188">
        <v>2339.3397604790421</v>
      </c>
      <c r="AB28" s="185">
        <f t="shared" si="28"/>
        <v>389.88996007984036</v>
      </c>
      <c r="AC28" s="182">
        <f t="shared" ref="AC28:AC34" si="36">RANK(AB28, AB$27:AB$41)</f>
        <v>1</v>
      </c>
      <c r="AD28" s="576"/>
      <c r="AE28" s="188">
        <v>6</v>
      </c>
      <c r="AF28" s="188">
        <v>2339.3397604790421</v>
      </c>
      <c r="AG28" s="185">
        <f t="shared" ref="AG28:AG34" si="37">IFERROR(AF28/AE28,"")</f>
        <v>389.88996007984036</v>
      </c>
      <c r="AH28" s="182">
        <f t="shared" ref="AH28:AH34" si="38">RANK(AG28, AG$27:AG$41)</f>
        <v>2</v>
      </c>
      <c r="AI28" s="576"/>
      <c r="AJ28" s="188">
        <v>6</v>
      </c>
      <c r="AK28" s="188">
        <v>2340</v>
      </c>
      <c r="AL28" s="185">
        <f t="shared" si="29"/>
        <v>390</v>
      </c>
      <c r="AM28" s="182">
        <f t="shared" ref="AM28:AM34" si="39">RANK(AL28, AL$27:AL$41)</f>
        <v>1</v>
      </c>
      <c r="AN28" s="576"/>
      <c r="AO28" s="188">
        <v>6</v>
      </c>
      <c r="AP28" s="188">
        <v>2341.04</v>
      </c>
      <c r="AQ28" s="185">
        <f t="shared" si="30"/>
        <v>390.17333333333335</v>
      </c>
      <c r="AR28" s="182">
        <f t="shared" ref="AR28:AR34" si="40">RANK(AQ28, AQ$27:AQ$41)</f>
        <v>1</v>
      </c>
      <c r="AS28" s="576"/>
      <c r="AT28" s="188">
        <v>6</v>
      </c>
      <c r="AU28" s="188">
        <v>2340.7800000000002</v>
      </c>
      <c r="AV28" s="185">
        <f t="shared" si="31"/>
        <v>390.13000000000005</v>
      </c>
      <c r="AW28" s="182">
        <f t="shared" ref="AW28:AW33" si="41">RANK(AV28, AV$27:AV$41)</f>
        <v>1</v>
      </c>
      <c r="AX28" s="576"/>
    </row>
    <row r="29" spans="2:50" ht="14.25" customHeight="1">
      <c r="B29" s="575"/>
      <c r="C29" s="180">
        <v>3</v>
      </c>
      <c r="D29" s="183" t="s">
        <v>470</v>
      </c>
      <c r="E29" s="180">
        <v>6</v>
      </c>
      <c r="F29" s="180">
        <v>2600</v>
      </c>
      <c r="G29" s="185">
        <f t="shared" si="26"/>
        <v>433.33333333333331</v>
      </c>
      <c r="H29" s="576"/>
      <c r="I29" s="186">
        <f t="shared" si="32"/>
        <v>6</v>
      </c>
      <c r="J29" s="186">
        <f t="shared" si="32"/>
        <v>2339.6700246290989</v>
      </c>
      <c r="K29" s="187">
        <f t="shared" si="32"/>
        <v>389.94500410484972</v>
      </c>
      <c r="L29" s="577"/>
      <c r="M29" s="186">
        <f>RANK(K29, K$27:$K$41)</f>
        <v>2</v>
      </c>
      <c r="N29" s="575"/>
      <c r="O29" s="575"/>
      <c r="P29" s="188">
        <v>6</v>
      </c>
      <c r="Q29" s="188">
        <v>2339.5683453237339</v>
      </c>
      <c r="R29" s="185">
        <f t="shared" si="33"/>
        <v>389.92805755395563</v>
      </c>
      <c r="S29" s="182">
        <f t="shared" si="34"/>
        <v>2</v>
      </c>
      <c r="T29" s="576"/>
      <c r="U29" s="188">
        <v>6</v>
      </c>
      <c r="V29" s="188">
        <v>2340.2936378466593</v>
      </c>
      <c r="W29" s="185">
        <f t="shared" si="27"/>
        <v>390.04893964110988</v>
      </c>
      <c r="X29" s="182">
        <f t="shared" si="35"/>
        <v>1</v>
      </c>
      <c r="Y29" s="576"/>
      <c r="Z29" s="188">
        <v>6</v>
      </c>
      <c r="AA29" s="188">
        <v>2339.2536378466593</v>
      </c>
      <c r="AB29" s="185">
        <f t="shared" si="28"/>
        <v>389.87560630777654</v>
      </c>
      <c r="AC29" s="182">
        <f t="shared" si="36"/>
        <v>2</v>
      </c>
      <c r="AD29" s="576"/>
      <c r="AE29" s="188">
        <v>6</v>
      </c>
      <c r="AF29" s="188">
        <v>2340.0336378466591</v>
      </c>
      <c r="AG29" s="185">
        <f t="shared" si="37"/>
        <v>390.00560630777653</v>
      </c>
      <c r="AH29" s="182">
        <f t="shared" si="38"/>
        <v>1</v>
      </c>
      <c r="AI29" s="576"/>
      <c r="AJ29" s="188">
        <v>6</v>
      </c>
      <c r="AK29" s="188">
        <v>2339.5136378466591</v>
      </c>
      <c r="AL29" s="185">
        <f t="shared" si="29"/>
        <v>389.91893964110983</v>
      </c>
      <c r="AM29" s="182">
        <f t="shared" si="39"/>
        <v>2</v>
      </c>
      <c r="AN29" s="576"/>
      <c r="AO29" s="188">
        <v>6</v>
      </c>
      <c r="AP29" s="188">
        <v>2339.5136378466591</v>
      </c>
      <c r="AQ29" s="185">
        <f t="shared" si="30"/>
        <v>389.91893964110983</v>
      </c>
      <c r="AR29" s="182">
        <f t="shared" si="40"/>
        <v>2</v>
      </c>
      <c r="AS29" s="576"/>
      <c r="AT29" s="188">
        <v>6</v>
      </c>
      <c r="AU29" s="188">
        <v>2339.5136378466591</v>
      </c>
      <c r="AV29" s="185">
        <f t="shared" si="31"/>
        <v>389.91893964110983</v>
      </c>
      <c r="AW29" s="182">
        <f t="shared" si="41"/>
        <v>2</v>
      </c>
      <c r="AX29" s="576"/>
    </row>
    <row r="30" spans="2:50" ht="14.25" customHeight="1">
      <c r="B30" s="575"/>
      <c r="C30" s="180">
        <v>4</v>
      </c>
      <c r="D30" s="183" t="s">
        <v>541</v>
      </c>
      <c r="E30" s="180">
        <v>6</v>
      </c>
      <c r="F30" s="180">
        <v>2500</v>
      </c>
      <c r="G30" s="185">
        <f t="shared" si="26"/>
        <v>416.66666666666669</v>
      </c>
      <c r="H30" s="576"/>
      <c r="I30" s="186">
        <f t="shared" si="32"/>
        <v>6</v>
      </c>
      <c r="J30" s="186">
        <f t="shared" si="32"/>
        <v>2259.6392489555301</v>
      </c>
      <c r="K30" s="187">
        <f t="shared" si="32"/>
        <v>376.60654149258829</v>
      </c>
      <c r="L30" s="577"/>
      <c r="M30" s="186">
        <f>RANK(K30, K$27:$K$41)</f>
        <v>4</v>
      </c>
      <c r="N30" s="575"/>
      <c r="O30" s="575"/>
      <c r="P30" s="188">
        <v>6</v>
      </c>
      <c r="Q30" s="188">
        <v>2259.9856836077292</v>
      </c>
      <c r="R30" s="185">
        <f t="shared" si="33"/>
        <v>376.66428060128823</v>
      </c>
      <c r="S30" s="182">
        <f t="shared" si="34"/>
        <v>3</v>
      </c>
      <c r="T30" s="576"/>
      <c r="U30" s="188">
        <v>6</v>
      </c>
      <c r="V30" s="188">
        <v>2260.8315098468297</v>
      </c>
      <c r="W30" s="185">
        <f t="shared" si="27"/>
        <v>376.80525164113828</v>
      </c>
      <c r="X30" s="182">
        <f t="shared" si="35"/>
        <v>3</v>
      </c>
      <c r="Y30" s="576"/>
      <c r="Z30" s="188">
        <v>6</v>
      </c>
      <c r="AA30" s="188">
        <v>2260.5815098468297</v>
      </c>
      <c r="AB30" s="185">
        <f t="shared" si="28"/>
        <v>376.7635849744716</v>
      </c>
      <c r="AC30" s="182">
        <f t="shared" si="36"/>
        <v>3</v>
      </c>
      <c r="AD30" s="576"/>
      <c r="AE30" s="188">
        <v>6</v>
      </c>
      <c r="AF30" s="188">
        <v>2259.8315098468297</v>
      </c>
      <c r="AG30" s="185">
        <f t="shared" si="37"/>
        <v>376.6385849744716</v>
      </c>
      <c r="AH30" s="182">
        <f t="shared" si="38"/>
        <v>4</v>
      </c>
      <c r="AI30" s="576"/>
      <c r="AJ30" s="188">
        <v>6</v>
      </c>
      <c r="AK30" s="188">
        <v>2258.8315098468302</v>
      </c>
      <c r="AL30" s="185">
        <f t="shared" si="29"/>
        <v>376.47191830780503</v>
      </c>
      <c r="AM30" s="182">
        <f t="shared" si="39"/>
        <v>4</v>
      </c>
      <c r="AN30" s="576"/>
      <c r="AO30" s="188">
        <v>6</v>
      </c>
      <c r="AP30" s="188">
        <v>2259.0815098468297</v>
      </c>
      <c r="AQ30" s="185">
        <f t="shared" si="30"/>
        <v>376.5135849744716</v>
      </c>
      <c r="AR30" s="182">
        <f t="shared" si="40"/>
        <v>4</v>
      </c>
      <c r="AS30" s="576"/>
      <c r="AT30" s="188">
        <v>6</v>
      </c>
      <c r="AU30" s="188">
        <v>2258.3315098468302</v>
      </c>
      <c r="AV30" s="185">
        <f t="shared" si="31"/>
        <v>376.38858497447171</v>
      </c>
      <c r="AW30" s="182">
        <f t="shared" si="41"/>
        <v>4</v>
      </c>
      <c r="AX30" s="576"/>
    </row>
    <row r="31" spans="2:50" ht="14.25" customHeight="1">
      <c r="B31" s="575"/>
      <c r="C31" s="180">
        <v>5</v>
      </c>
      <c r="D31" s="183" t="s">
        <v>582</v>
      </c>
      <c r="E31" s="180">
        <v>6</v>
      </c>
      <c r="F31" s="180">
        <v>2500</v>
      </c>
      <c r="G31" s="185">
        <f t="shared" si="26"/>
        <v>416.66666666666669</v>
      </c>
      <c r="H31" s="576"/>
      <c r="I31" s="186">
        <f t="shared" si="32"/>
        <v>6</v>
      </c>
      <c r="J31" s="186">
        <f t="shared" si="32"/>
        <v>2260.2733959398965</v>
      </c>
      <c r="K31" s="187">
        <f t="shared" si="32"/>
        <v>376.71223265664946</v>
      </c>
      <c r="L31" s="577"/>
      <c r="M31" s="186">
        <f>RANK(K31, K$27:$K$41)</f>
        <v>3</v>
      </c>
      <c r="N31" s="575"/>
      <c r="O31" s="575"/>
      <c r="P31" s="188">
        <v>6</v>
      </c>
      <c r="Q31" s="188">
        <v>2259.055982436882</v>
      </c>
      <c r="R31" s="185">
        <f t="shared" si="33"/>
        <v>376.509330406147</v>
      </c>
      <c r="S31" s="182">
        <f t="shared" si="34"/>
        <v>4</v>
      </c>
      <c r="T31" s="576"/>
      <c r="U31" s="188">
        <v>6</v>
      </c>
      <c r="V31" s="188">
        <v>2258.8512981904005</v>
      </c>
      <c r="W31" s="185">
        <f t="shared" si="27"/>
        <v>376.47521636506673</v>
      </c>
      <c r="X31" s="182">
        <f t="shared" si="35"/>
        <v>4</v>
      </c>
      <c r="Y31" s="576"/>
      <c r="Z31" s="188">
        <v>6</v>
      </c>
      <c r="AA31" s="188">
        <v>2260.1012981903996</v>
      </c>
      <c r="AB31" s="185">
        <f t="shared" si="28"/>
        <v>376.68354969839993</v>
      </c>
      <c r="AC31" s="182">
        <f t="shared" si="36"/>
        <v>4</v>
      </c>
      <c r="AD31" s="576"/>
      <c r="AE31" s="188">
        <v>6</v>
      </c>
      <c r="AF31" s="188">
        <v>2260.6012981903991</v>
      </c>
      <c r="AG31" s="185">
        <f t="shared" si="37"/>
        <v>376.76688303173319</v>
      </c>
      <c r="AH31" s="182">
        <f t="shared" si="38"/>
        <v>3</v>
      </c>
      <c r="AI31" s="576"/>
      <c r="AJ31" s="188">
        <v>6</v>
      </c>
      <c r="AK31" s="188">
        <v>2261.6012981903982</v>
      </c>
      <c r="AL31" s="185">
        <f t="shared" si="29"/>
        <v>376.9335496983997</v>
      </c>
      <c r="AM31" s="182">
        <f t="shared" si="39"/>
        <v>3</v>
      </c>
      <c r="AN31" s="576"/>
      <c r="AO31" s="188">
        <v>6</v>
      </c>
      <c r="AP31" s="188">
        <v>2260.6012981903982</v>
      </c>
      <c r="AQ31" s="185">
        <f t="shared" si="30"/>
        <v>376.76688303173302</v>
      </c>
      <c r="AR31" s="182">
        <f t="shared" si="40"/>
        <v>3</v>
      </c>
      <c r="AS31" s="576"/>
      <c r="AT31" s="188">
        <v>6</v>
      </c>
      <c r="AU31" s="188">
        <v>2261.1012981903982</v>
      </c>
      <c r="AV31" s="185">
        <f t="shared" si="31"/>
        <v>376.85021636506639</v>
      </c>
      <c r="AW31" s="182">
        <f t="shared" si="41"/>
        <v>3</v>
      </c>
      <c r="AX31" s="576"/>
    </row>
    <row r="32" spans="2:50" ht="14.25" customHeight="1">
      <c r="B32" s="575"/>
      <c r="C32" s="180">
        <v>6</v>
      </c>
      <c r="D32" s="183" t="s">
        <v>677</v>
      </c>
      <c r="E32" s="180">
        <v>12</v>
      </c>
      <c r="F32" s="180">
        <v>3600</v>
      </c>
      <c r="G32" s="185">
        <f t="shared" si="26"/>
        <v>300</v>
      </c>
      <c r="H32" s="576"/>
      <c r="I32" s="186">
        <f t="shared" si="32"/>
        <v>12</v>
      </c>
      <c r="J32" s="186">
        <f t="shared" si="32"/>
        <v>3100.0297565262649</v>
      </c>
      <c r="K32" s="187">
        <f t="shared" si="32"/>
        <v>258.33581304385541</v>
      </c>
      <c r="L32" s="577"/>
      <c r="M32" s="186">
        <f>RANK(K32, K$27:$K$41)</f>
        <v>7</v>
      </c>
      <c r="N32" s="575"/>
      <c r="O32" s="575"/>
      <c r="P32" s="188">
        <v>12</v>
      </c>
      <c r="Q32" s="188">
        <v>2972.0388349514578</v>
      </c>
      <c r="R32" s="185">
        <f t="shared" si="33"/>
        <v>247.6699029126215</v>
      </c>
      <c r="S32" s="182">
        <f t="shared" si="34"/>
        <v>8</v>
      </c>
      <c r="T32" s="576"/>
      <c r="U32" s="188">
        <v>12</v>
      </c>
      <c r="V32" s="188">
        <v>3030.0845070422529</v>
      </c>
      <c r="W32" s="185">
        <f t="shared" si="27"/>
        <v>252.50704225352106</v>
      </c>
      <c r="X32" s="182">
        <f t="shared" si="35"/>
        <v>8</v>
      </c>
      <c r="Y32" s="576"/>
      <c r="Z32" s="188">
        <v>12</v>
      </c>
      <c r="AA32" s="188">
        <v>3089.5845971830981</v>
      </c>
      <c r="AB32" s="185">
        <f t="shared" si="28"/>
        <v>257.46538309859153</v>
      </c>
      <c r="AC32" s="182">
        <f t="shared" si="36"/>
        <v>8</v>
      </c>
      <c r="AD32" s="576"/>
      <c r="AE32" s="188">
        <v>12</v>
      </c>
      <c r="AF32" s="188">
        <v>3152.8450891267603</v>
      </c>
      <c r="AG32" s="185">
        <f t="shared" si="37"/>
        <v>262.73709076056338</v>
      </c>
      <c r="AH32" s="182">
        <f t="shared" si="38"/>
        <v>7</v>
      </c>
      <c r="AI32" s="576"/>
      <c r="AJ32" s="188">
        <v>12</v>
      </c>
      <c r="AK32" s="188">
        <v>3151.0450891267615</v>
      </c>
      <c r="AL32" s="185">
        <f t="shared" si="29"/>
        <v>262.58709076056346</v>
      </c>
      <c r="AM32" s="182">
        <f t="shared" si="39"/>
        <v>7</v>
      </c>
      <c r="AN32" s="576"/>
      <c r="AO32" s="188">
        <v>12</v>
      </c>
      <c r="AP32" s="188">
        <v>3152.1250891267614</v>
      </c>
      <c r="AQ32" s="185">
        <f t="shared" si="30"/>
        <v>262.67709076056343</v>
      </c>
      <c r="AR32" s="182">
        <f t="shared" si="40"/>
        <v>7</v>
      </c>
      <c r="AS32" s="576"/>
      <c r="AT32" s="188">
        <v>12</v>
      </c>
      <c r="AU32" s="188">
        <v>3152.4850891267611</v>
      </c>
      <c r="AV32" s="185">
        <f t="shared" si="31"/>
        <v>262.7070907605634</v>
      </c>
      <c r="AW32" s="182">
        <f t="shared" si="41"/>
        <v>6</v>
      </c>
      <c r="AX32" s="576"/>
    </row>
    <row r="33" spans="2:50" ht="14.25" customHeight="1">
      <c r="B33" s="575"/>
      <c r="C33" s="180">
        <v>7</v>
      </c>
      <c r="D33" s="183" t="s">
        <v>678</v>
      </c>
      <c r="E33" s="180">
        <v>12</v>
      </c>
      <c r="F33" s="180">
        <v>3600</v>
      </c>
      <c r="G33" s="185">
        <f t="shared" si="26"/>
        <v>300</v>
      </c>
      <c r="H33" s="576"/>
      <c r="I33" s="186">
        <f t="shared" si="32"/>
        <v>12</v>
      </c>
      <c r="J33" s="186">
        <f t="shared" si="32"/>
        <v>3099.8195967013266</v>
      </c>
      <c r="K33" s="187">
        <f t="shared" si="32"/>
        <v>258.31829972511053</v>
      </c>
      <c r="L33" s="577"/>
      <c r="M33" s="186">
        <f>RANK(K33, K$27:$K$41)</f>
        <v>8</v>
      </c>
      <c r="N33" s="575"/>
      <c r="O33" s="575"/>
      <c r="P33" s="188">
        <v>12</v>
      </c>
      <c r="Q33" s="188">
        <v>2972.6213592233003</v>
      </c>
      <c r="R33" s="185">
        <f t="shared" si="33"/>
        <v>247.71844660194168</v>
      </c>
      <c r="S33" s="182">
        <f t="shared" si="34"/>
        <v>7</v>
      </c>
      <c r="T33" s="576"/>
      <c r="U33" s="188">
        <v>12</v>
      </c>
      <c r="V33" s="188">
        <v>3030.7213578500682</v>
      </c>
      <c r="W33" s="185">
        <f t="shared" si="27"/>
        <v>252.56011315417234</v>
      </c>
      <c r="X33" s="182">
        <f t="shared" si="35"/>
        <v>7</v>
      </c>
      <c r="Y33" s="576"/>
      <c r="Z33" s="188">
        <v>12</v>
      </c>
      <c r="AA33" s="188">
        <v>3090.2341850070693</v>
      </c>
      <c r="AB33" s="185">
        <f t="shared" si="28"/>
        <v>257.51951541725577</v>
      </c>
      <c r="AC33" s="182">
        <f t="shared" si="36"/>
        <v>7</v>
      </c>
      <c r="AD33" s="576"/>
      <c r="AE33" s="188">
        <v>12</v>
      </c>
      <c r="AF33" s="188">
        <v>3150.5700687072112</v>
      </c>
      <c r="AG33" s="185">
        <f t="shared" si="37"/>
        <v>262.54750572560096</v>
      </c>
      <c r="AH33" s="182">
        <f t="shared" si="38"/>
        <v>8</v>
      </c>
      <c r="AI33" s="576"/>
      <c r="AJ33" s="188">
        <v>12</v>
      </c>
      <c r="AK33" s="188">
        <v>3150.5700687072117</v>
      </c>
      <c r="AL33" s="185">
        <f t="shared" si="29"/>
        <v>262.54750572560096</v>
      </c>
      <c r="AM33" s="182">
        <f t="shared" si="39"/>
        <v>8</v>
      </c>
      <c r="AN33" s="576"/>
      <c r="AO33" s="188">
        <v>12</v>
      </c>
      <c r="AP33" s="188">
        <v>3151.6500687072121</v>
      </c>
      <c r="AQ33" s="185">
        <f t="shared" si="30"/>
        <v>262.63750572560099</v>
      </c>
      <c r="AR33" s="182">
        <f t="shared" si="40"/>
        <v>8</v>
      </c>
      <c r="AS33" s="576"/>
      <c r="AT33" s="188">
        <v>12</v>
      </c>
      <c r="AU33" s="188">
        <v>3152.3700687072114</v>
      </c>
      <c r="AV33" s="185">
        <f t="shared" si="31"/>
        <v>262.69750572560093</v>
      </c>
      <c r="AW33" s="182">
        <f t="shared" si="41"/>
        <v>7</v>
      </c>
      <c r="AX33" s="576"/>
    </row>
    <row r="34" spans="2:50" ht="14.25" customHeight="1">
      <c r="B34" s="575"/>
      <c r="C34" s="180">
        <v>8</v>
      </c>
      <c r="D34" s="183" t="s">
        <v>351</v>
      </c>
      <c r="E34" s="180">
        <v>11</v>
      </c>
      <c r="F34" s="180">
        <v>3600</v>
      </c>
      <c r="G34" s="185">
        <f t="shared" si="26"/>
        <v>327.27272727272725</v>
      </c>
      <c r="H34" s="576"/>
      <c r="I34" s="186">
        <f t="shared" si="32"/>
        <v>11</v>
      </c>
      <c r="J34" s="186">
        <f t="shared" si="32"/>
        <v>3182.5606165082158</v>
      </c>
      <c r="K34" s="187">
        <f t="shared" si="32"/>
        <v>289.3236924098378</v>
      </c>
      <c r="L34" s="577"/>
      <c r="M34" s="186">
        <f>RANK(K34, K$27:$K$41)</f>
        <v>6</v>
      </c>
      <c r="N34" s="575"/>
      <c r="O34" s="575"/>
      <c r="P34" s="188">
        <v>11</v>
      </c>
      <c r="Q34" s="188">
        <v>3182.899628252801</v>
      </c>
      <c r="R34" s="185">
        <f t="shared" si="33"/>
        <v>289.35451165934552</v>
      </c>
      <c r="S34" s="182">
        <f t="shared" si="34"/>
        <v>5</v>
      </c>
      <c r="T34" s="576"/>
      <c r="U34" s="188">
        <v>11</v>
      </c>
      <c r="V34" s="188">
        <v>3183.7168141592988</v>
      </c>
      <c r="W34" s="185">
        <f t="shared" si="27"/>
        <v>289.42880128720896</v>
      </c>
      <c r="X34" s="182">
        <f t="shared" si="35"/>
        <v>5</v>
      </c>
      <c r="Y34" s="576"/>
      <c r="Z34" s="188">
        <v>11</v>
      </c>
      <c r="AA34" s="188">
        <v>3182.6368141592989</v>
      </c>
      <c r="AB34" s="185">
        <f t="shared" si="28"/>
        <v>289.33061946902717</v>
      </c>
      <c r="AC34" s="182">
        <f t="shared" si="36"/>
        <v>6</v>
      </c>
      <c r="AD34" s="576"/>
      <c r="AE34" s="188">
        <v>11</v>
      </c>
      <c r="AF34" s="188">
        <v>3181.5568141592994</v>
      </c>
      <c r="AG34" s="185">
        <f t="shared" si="37"/>
        <v>289.23243765084538</v>
      </c>
      <c r="AH34" s="182">
        <f t="shared" si="38"/>
        <v>6</v>
      </c>
      <c r="AI34" s="576"/>
      <c r="AJ34" s="188">
        <v>11</v>
      </c>
      <c r="AK34" s="188">
        <v>3182.6368141592993</v>
      </c>
      <c r="AL34" s="185">
        <f t="shared" si="29"/>
        <v>289.33061946902723</v>
      </c>
      <c r="AM34" s="182">
        <f t="shared" si="39"/>
        <v>6</v>
      </c>
      <c r="AN34" s="576"/>
      <c r="AO34" s="188">
        <v>11</v>
      </c>
      <c r="AP34" s="188">
        <v>3181.9168141592991</v>
      </c>
      <c r="AQ34" s="185">
        <f t="shared" si="30"/>
        <v>289.26516492357263</v>
      </c>
      <c r="AR34" s="182">
        <f t="shared" si="40"/>
        <v>6</v>
      </c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3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381</v>
      </c>
      <c r="C47" s="180">
        <v>1</v>
      </c>
      <c r="D47" s="183" t="s">
        <v>348</v>
      </c>
      <c r="E47" s="180">
        <v>11</v>
      </c>
      <c r="F47" s="180">
        <v>3600</v>
      </c>
      <c r="G47" s="185">
        <f t="shared" ref="G47:G51" si="42">F47/E47</f>
        <v>327.27272727272725</v>
      </c>
      <c r="H47" s="576">
        <f>AVERAGE(G47:G61)</f>
        <v>358.78787878787875</v>
      </c>
      <c r="I47" s="186">
        <f>AVERAGE(P47,U47,Z47,AE47,AJ47,AO47,AT47)</f>
        <v>11</v>
      </c>
      <c r="J47" s="186">
        <f>AVERAGE(Q47,V47,AA47,AF47,AK47,AP47,AU47)</f>
        <v>3183.4383101723179</v>
      </c>
      <c r="K47" s="187">
        <f>AVERAGE(R47,W47,AB47,AG47,AL47,AQ47,AV47)</f>
        <v>289.40348274293802</v>
      </c>
      <c r="L47" s="577">
        <f>IFERROR(AVERAGE(K47:K61),"-")</f>
        <v>319.00267830889322</v>
      </c>
      <c r="M47" s="186">
        <f>RANK(K47, K$47:$K$61)</f>
        <v>3</v>
      </c>
      <c r="N47" s="575"/>
      <c r="O47" s="575"/>
      <c r="P47" s="188">
        <v>11</v>
      </c>
      <c r="Q47" s="188">
        <v>3185.7011673151742</v>
      </c>
      <c r="R47" s="185">
        <f>IFERROR(Q47/P47,"")</f>
        <v>289.6091970286522</v>
      </c>
      <c r="S47" s="182">
        <f>RANK(R47, R$47:R$61)</f>
        <v>3</v>
      </c>
      <c r="T47" s="576">
        <f>AVERAGE(R47:R61)</f>
        <v>318.94582116603607</v>
      </c>
      <c r="U47" s="188">
        <v>11</v>
      </c>
      <c r="V47" s="188">
        <v>3184.261167315175</v>
      </c>
      <c r="W47" s="185">
        <f t="shared" ref="W47:W51" si="43">IFERROR(V47/U47,"")</f>
        <v>289.47828793774318</v>
      </c>
      <c r="X47" s="182">
        <f>RANK(W47, W$47:W$61)</f>
        <v>3</v>
      </c>
      <c r="Y47" s="576">
        <f>AVERAGE(W47:W61)</f>
        <v>318.9589726811875</v>
      </c>
      <c r="Z47" s="188">
        <v>11</v>
      </c>
      <c r="AA47" s="188">
        <v>3182.8211673151754</v>
      </c>
      <c r="AB47" s="185">
        <f t="shared" ref="AB47:AB51" si="44">IFERROR(AA47/Z47,"")</f>
        <v>289.34737884683415</v>
      </c>
      <c r="AC47" s="182">
        <f>RANK(AB47, AB$47:AB$61)</f>
        <v>3</v>
      </c>
      <c r="AD47" s="605">
        <f>AVERAGE(AB47:AB61)</f>
        <v>319.00879086300574</v>
      </c>
      <c r="AE47" s="188">
        <v>11</v>
      </c>
      <c r="AF47" s="188">
        <v>3184.6211673151756</v>
      </c>
      <c r="AG47" s="185">
        <f>IFERROR(AF47/AE47,"")</f>
        <v>289.51101521047053</v>
      </c>
      <c r="AH47" s="182">
        <f>RANK(AG47, AG$47:AG$61)</f>
        <v>3</v>
      </c>
      <c r="AI47" s="576">
        <f>AVERAGE(AG47:AG61)</f>
        <v>319.03485146906644</v>
      </c>
      <c r="AJ47" s="188">
        <v>11</v>
      </c>
      <c r="AK47" s="188">
        <v>3183.181167315176</v>
      </c>
      <c r="AL47" s="185">
        <f t="shared" ref="AL47:AL51" si="45">IFERROR(AK47/AJ47,"")</f>
        <v>289.38010611956145</v>
      </c>
      <c r="AM47" s="182">
        <f>RANK(AL47, AL$47:AL$61)</f>
        <v>3</v>
      </c>
      <c r="AN47" s="576">
        <f>AVERAGE(AL47:AL61)</f>
        <v>319.01933631755116</v>
      </c>
      <c r="AO47" s="188">
        <v>11</v>
      </c>
      <c r="AP47" s="188">
        <v>3182.4611673151758</v>
      </c>
      <c r="AQ47" s="185">
        <f t="shared" ref="AQ47:AQ51" si="46">IFERROR(AP47/AO47,"")</f>
        <v>289.3146515741069</v>
      </c>
      <c r="AR47" s="182">
        <f>RANK(AQ47, AQ$47:AQ$61)</f>
        <v>3</v>
      </c>
      <c r="AS47" s="576">
        <f>AVERAGE(AQ47:AQ61)</f>
        <v>319.03291207512694</v>
      </c>
      <c r="AT47" s="188">
        <v>11</v>
      </c>
      <c r="AU47" s="188">
        <v>3181.0211673151762</v>
      </c>
      <c r="AV47" s="185">
        <f t="shared" ref="AV47:AV51" si="47">IFERROR(AU47/AT47,"")</f>
        <v>289.18374248319782</v>
      </c>
      <c r="AW47" s="182">
        <f>RANK(AV47, AV$47:AV$61)</f>
        <v>3</v>
      </c>
      <c r="AX47" s="576">
        <f>AVERAGE(AV47:AV61)</f>
        <v>319.01806359027853</v>
      </c>
    </row>
    <row r="48" spans="2:50" ht="14.25" customHeight="1">
      <c r="B48" s="575"/>
      <c r="C48" s="180">
        <v>2</v>
      </c>
      <c r="D48" s="183" t="s">
        <v>467</v>
      </c>
      <c r="E48" s="180">
        <v>6</v>
      </c>
      <c r="F48" s="180">
        <v>2600</v>
      </c>
      <c r="G48" s="185">
        <f t="shared" si="42"/>
        <v>433.33333333333331</v>
      </c>
      <c r="H48" s="576"/>
      <c r="I48" s="186">
        <f t="shared" ref="I48:K51" si="48">AVERAGE(P48,U48,Z48,AE48,AJ48,AO48,AT48)</f>
        <v>6</v>
      </c>
      <c r="J48" s="186">
        <f t="shared" si="48"/>
        <v>2340.0610931883798</v>
      </c>
      <c r="K48" s="187">
        <f t="shared" si="48"/>
        <v>390.01018219806326</v>
      </c>
      <c r="L48" s="577"/>
      <c r="M48" s="186">
        <f>RANK(K48, K$47:$K$61)</f>
        <v>2</v>
      </c>
      <c r="N48" s="575"/>
      <c r="O48" s="575"/>
      <c r="P48" s="188">
        <v>6</v>
      </c>
      <c r="Q48" s="188">
        <v>2339.5782360455228</v>
      </c>
      <c r="R48" s="185">
        <f t="shared" ref="R48:R51" si="49">IFERROR(Q48/P48,"")</f>
        <v>389.92970600758713</v>
      </c>
      <c r="S48" s="182">
        <f t="shared" ref="S48:S51" si="50">RANK(R48, R$47:R$61)</f>
        <v>1</v>
      </c>
      <c r="T48" s="576"/>
      <c r="U48" s="188">
        <v>6</v>
      </c>
      <c r="V48" s="188">
        <v>2339.5782360455228</v>
      </c>
      <c r="W48" s="185">
        <f t="shared" si="43"/>
        <v>389.92970600758713</v>
      </c>
      <c r="X48" s="182">
        <f t="shared" ref="X48:X51" si="51">RANK(W48, W$47:W$61)</f>
        <v>1</v>
      </c>
      <c r="Y48" s="576"/>
      <c r="Z48" s="188">
        <v>6</v>
      </c>
      <c r="AA48" s="188">
        <v>2340.3582360455225</v>
      </c>
      <c r="AB48" s="185">
        <f t="shared" si="44"/>
        <v>390.05970600758707</v>
      </c>
      <c r="AC48" s="182">
        <f t="shared" ref="AC48:AC51" si="52">RANK(AB48, AB$47:AB$61)</f>
        <v>1</v>
      </c>
      <c r="AD48" s="606"/>
      <c r="AE48" s="188">
        <v>6</v>
      </c>
      <c r="AF48" s="188">
        <v>2339.5782360455223</v>
      </c>
      <c r="AG48" s="185">
        <f t="shared" ref="AG48:AG51" si="53">IFERROR(AF48/AE48,"")</f>
        <v>389.92970600758707</v>
      </c>
      <c r="AH48" s="182">
        <f t="shared" ref="AH48:AH51" si="54">RANK(AG48, AG$47:AG$61)</f>
        <v>2</v>
      </c>
      <c r="AI48" s="576"/>
      <c r="AJ48" s="188">
        <v>6</v>
      </c>
      <c r="AK48" s="188">
        <v>2340.0982360455218</v>
      </c>
      <c r="AL48" s="185">
        <f t="shared" si="45"/>
        <v>390.01637267425366</v>
      </c>
      <c r="AM48" s="182">
        <f t="shared" ref="AM48:AM51" si="55">RANK(AL48, AL$47:AL$61)</f>
        <v>2</v>
      </c>
      <c r="AN48" s="576"/>
      <c r="AO48" s="188">
        <v>6</v>
      </c>
      <c r="AP48" s="188">
        <v>2340.3582360455221</v>
      </c>
      <c r="AQ48" s="185">
        <f t="shared" si="46"/>
        <v>390.05970600758701</v>
      </c>
      <c r="AR48" s="182">
        <f t="shared" ref="AR48:AR51" si="56">RANK(AQ48, AQ$47:AQ$61)</f>
        <v>2</v>
      </c>
      <c r="AS48" s="576"/>
      <c r="AT48" s="188">
        <v>6</v>
      </c>
      <c r="AU48" s="188">
        <v>2340.8782360455225</v>
      </c>
      <c r="AV48" s="185">
        <f t="shared" si="47"/>
        <v>390.14637267425377</v>
      </c>
      <c r="AW48" s="182">
        <f t="shared" ref="AW48:AW51" si="57">RANK(AV48, AV$47:AV$61)</f>
        <v>2</v>
      </c>
      <c r="AX48" s="576"/>
    </row>
    <row r="49" spans="2:50" ht="14.25" customHeight="1">
      <c r="B49" s="575"/>
      <c r="C49" s="180">
        <v>3</v>
      </c>
      <c r="D49" s="183" t="s">
        <v>470</v>
      </c>
      <c r="E49" s="180">
        <v>6</v>
      </c>
      <c r="F49" s="180">
        <v>2600</v>
      </c>
      <c r="G49" s="185">
        <f t="shared" si="42"/>
        <v>433.33333333333331</v>
      </c>
      <c r="H49" s="576"/>
      <c r="I49" s="186">
        <f t="shared" si="48"/>
        <v>6</v>
      </c>
      <c r="J49" s="186">
        <f t="shared" si="48"/>
        <v>2340.5536378466591</v>
      </c>
      <c r="K49" s="187">
        <f t="shared" si="48"/>
        <v>390.09227297444323</v>
      </c>
      <c r="L49" s="577"/>
      <c r="M49" s="186">
        <f>RANK(K49, K$47:$K$61)</f>
        <v>1</v>
      </c>
      <c r="N49" s="575"/>
      <c r="O49" s="575"/>
      <c r="P49" s="188">
        <v>6</v>
      </c>
      <c r="Q49" s="188">
        <v>2339.2536378466584</v>
      </c>
      <c r="R49" s="185">
        <f t="shared" si="49"/>
        <v>389.87560630777642</v>
      </c>
      <c r="S49" s="182">
        <f t="shared" si="50"/>
        <v>2</v>
      </c>
      <c r="T49" s="576"/>
      <c r="U49" s="188">
        <v>6</v>
      </c>
      <c r="V49" s="188">
        <v>2338.9936378466587</v>
      </c>
      <c r="W49" s="185">
        <f t="shared" si="43"/>
        <v>389.83227297444313</v>
      </c>
      <c r="X49" s="182">
        <f t="shared" si="51"/>
        <v>2</v>
      </c>
      <c r="Y49" s="576"/>
      <c r="Z49" s="188">
        <v>6</v>
      </c>
      <c r="AA49" s="188">
        <v>2339.7736378466593</v>
      </c>
      <c r="AB49" s="185">
        <f t="shared" si="44"/>
        <v>389.96227297444324</v>
      </c>
      <c r="AC49" s="182">
        <f t="shared" si="52"/>
        <v>2</v>
      </c>
      <c r="AD49" s="606"/>
      <c r="AE49" s="188">
        <v>6</v>
      </c>
      <c r="AF49" s="188">
        <v>2341.0736378466595</v>
      </c>
      <c r="AG49" s="185">
        <f t="shared" si="53"/>
        <v>390.17893964110993</v>
      </c>
      <c r="AH49" s="182">
        <f t="shared" si="54"/>
        <v>1</v>
      </c>
      <c r="AI49" s="576"/>
      <c r="AJ49" s="188">
        <v>6</v>
      </c>
      <c r="AK49" s="188">
        <v>2341.5936378466599</v>
      </c>
      <c r="AL49" s="185">
        <f t="shared" si="45"/>
        <v>390.26560630777664</v>
      </c>
      <c r="AM49" s="182">
        <f t="shared" si="55"/>
        <v>1</v>
      </c>
      <c r="AN49" s="576"/>
      <c r="AO49" s="188">
        <v>6</v>
      </c>
      <c r="AP49" s="188">
        <v>2341.5936378466599</v>
      </c>
      <c r="AQ49" s="185">
        <f t="shared" si="46"/>
        <v>390.26560630777664</v>
      </c>
      <c r="AR49" s="182">
        <f t="shared" si="56"/>
        <v>1</v>
      </c>
      <c r="AS49" s="576"/>
      <c r="AT49" s="188">
        <v>6</v>
      </c>
      <c r="AU49" s="188">
        <v>2341.5936378466599</v>
      </c>
      <c r="AV49" s="185">
        <f t="shared" si="47"/>
        <v>390.26560630777664</v>
      </c>
      <c r="AW49" s="182">
        <f t="shared" si="57"/>
        <v>1</v>
      </c>
      <c r="AX49" s="576"/>
    </row>
    <row r="50" spans="2:50" ht="14.25" customHeight="1">
      <c r="B50" s="575"/>
      <c r="C50" s="180">
        <v>4</v>
      </c>
      <c r="D50" s="183" t="s">
        <v>677</v>
      </c>
      <c r="E50" s="180">
        <v>12</v>
      </c>
      <c r="F50" s="180">
        <v>3600</v>
      </c>
      <c r="G50" s="185">
        <f t="shared" si="42"/>
        <v>300</v>
      </c>
      <c r="H50" s="576"/>
      <c r="I50" s="186">
        <f t="shared" si="48"/>
        <v>12</v>
      </c>
      <c r="J50" s="186">
        <f t="shared" si="48"/>
        <v>3152.7422319839038</v>
      </c>
      <c r="K50" s="187">
        <f t="shared" si="48"/>
        <v>262.728519331992</v>
      </c>
      <c r="L50" s="577"/>
      <c r="M50" s="186">
        <f>RANK(K50, K$47:$K$61)</f>
        <v>5</v>
      </c>
      <c r="N50" s="575"/>
      <c r="O50" s="575"/>
      <c r="P50" s="188">
        <v>12</v>
      </c>
      <c r="Q50" s="188">
        <v>3152.1250891267605</v>
      </c>
      <c r="R50" s="185">
        <f t="shared" si="49"/>
        <v>262.67709076056337</v>
      </c>
      <c r="S50" s="182">
        <f t="shared" si="50"/>
        <v>4</v>
      </c>
      <c r="T50" s="576"/>
      <c r="U50" s="188">
        <v>12</v>
      </c>
      <c r="V50" s="188">
        <v>3153.9250891267607</v>
      </c>
      <c r="W50" s="185">
        <f t="shared" si="43"/>
        <v>262.82709076056341</v>
      </c>
      <c r="X50" s="182">
        <f t="shared" si="51"/>
        <v>4</v>
      </c>
      <c r="Y50" s="576"/>
      <c r="Z50" s="188">
        <v>12</v>
      </c>
      <c r="AA50" s="188">
        <v>3153.9250891267611</v>
      </c>
      <c r="AB50" s="185">
        <f t="shared" si="44"/>
        <v>262.82709076056341</v>
      </c>
      <c r="AC50" s="182">
        <f t="shared" si="52"/>
        <v>5</v>
      </c>
      <c r="AD50" s="606"/>
      <c r="AE50" s="188">
        <v>12</v>
      </c>
      <c r="AF50" s="188">
        <v>3152.1250891267609</v>
      </c>
      <c r="AG50" s="185">
        <f t="shared" si="53"/>
        <v>262.67709076056343</v>
      </c>
      <c r="AH50" s="182">
        <f t="shared" si="54"/>
        <v>5</v>
      </c>
      <c r="AI50" s="576"/>
      <c r="AJ50" s="188">
        <v>12</v>
      </c>
      <c r="AK50" s="188">
        <v>3151.045089126761</v>
      </c>
      <c r="AL50" s="185">
        <f t="shared" si="45"/>
        <v>262.5870907605634</v>
      </c>
      <c r="AM50" s="182">
        <f t="shared" si="55"/>
        <v>5</v>
      </c>
      <c r="AN50" s="576"/>
      <c r="AO50" s="188">
        <v>12</v>
      </c>
      <c r="AP50" s="188">
        <v>3152.4850891267606</v>
      </c>
      <c r="AQ50" s="185">
        <f t="shared" si="46"/>
        <v>262.7070907605634</v>
      </c>
      <c r="AR50" s="182">
        <f t="shared" si="56"/>
        <v>5</v>
      </c>
      <c r="AS50" s="576"/>
      <c r="AT50" s="188">
        <v>12</v>
      </c>
      <c r="AU50" s="188">
        <v>3153.5650891267601</v>
      </c>
      <c r="AV50" s="185">
        <f t="shared" si="47"/>
        <v>262.79709076056332</v>
      </c>
      <c r="AW50" s="182">
        <f t="shared" si="57"/>
        <v>4</v>
      </c>
      <c r="AX50" s="576"/>
    </row>
    <row r="51" spans="2:50" ht="14.25" customHeight="1">
      <c r="B51" s="575"/>
      <c r="C51" s="180">
        <v>5</v>
      </c>
      <c r="D51" s="183" t="s">
        <v>678</v>
      </c>
      <c r="E51" s="180">
        <v>12</v>
      </c>
      <c r="F51" s="180">
        <v>3600</v>
      </c>
      <c r="G51" s="185">
        <f t="shared" si="42"/>
        <v>300</v>
      </c>
      <c r="H51" s="576"/>
      <c r="I51" s="186">
        <f t="shared" si="48"/>
        <v>12</v>
      </c>
      <c r="J51" s="186">
        <f t="shared" si="48"/>
        <v>3153.3472115643535</v>
      </c>
      <c r="K51" s="187">
        <f t="shared" si="48"/>
        <v>262.77893429702948</v>
      </c>
      <c r="L51" s="577"/>
      <c r="M51" s="186">
        <f>RANK(K51, K$47:$K$61)</f>
        <v>4</v>
      </c>
      <c r="N51" s="575"/>
      <c r="O51" s="575"/>
      <c r="P51" s="188">
        <v>12</v>
      </c>
      <c r="Q51" s="188">
        <v>3151.6500687072112</v>
      </c>
      <c r="R51" s="185">
        <f t="shared" si="49"/>
        <v>262.63750572560093</v>
      </c>
      <c r="S51" s="182">
        <f t="shared" si="50"/>
        <v>5</v>
      </c>
      <c r="T51" s="576"/>
      <c r="U51" s="188">
        <v>12</v>
      </c>
      <c r="V51" s="188">
        <v>3152.7300687072111</v>
      </c>
      <c r="W51" s="185">
        <f t="shared" si="43"/>
        <v>262.72750572560091</v>
      </c>
      <c r="X51" s="182">
        <f t="shared" si="51"/>
        <v>5</v>
      </c>
      <c r="Y51" s="576"/>
      <c r="Z51" s="188">
        <v>12</v>
      </c>
      <c r="AA51" s="188">
        <v>3154.1700687072107</v>
      </c>
      <c r="AB51" s="185">
        <f t="shared" si="44"/>
        <v>262.84750572560091</v>
      </c>
      <c r="AC51" s="182">
        <f t="shared" si="52"/>
        <v>4</v>
      </c>
      <c r="AD51" s="606"/>
      <c r="AE51" s="188">
        <v>12</v>
      </c>
      <c r="AF51" s="188">
        <v>3154.5300687072113</v>
      </c>
      <c r="AG51" s="185">
        <f t="shared" si="53"/>
        <v>262.87750572560094</v>
      </c>
      <c r="AH51" s="182">
        <f t="shared" si="54"/>
        <v>4</v>
      </c>
      <c r="AI51" s="576"/>
      <c r="AJ51" s="188">
        <v>12</v>
      </c>
      <c r="AK51" s="188">
        <v>3154.1700687072112</v>
      </c>
      <c r="AL51" s="185">
        <f t="shared" si="45"/>
        <v>262.84750572560091</v>
      </c>
      <c r="AM51" s="182">
        <f t="shared" si="55"/>
        <v>4</v>
      </c>
      <c r="AN51" s="576"/>
      <c r="AO51" s="188">
        <v>12</v>
      </c>
      <c r="AP51" s="188">
        <v>3153.8100687072106</v>
      </c>
      <c r="AQ51" s="185">
        <f t="shared" si="46"/>
        <v>262.81750572560088</v>
      </c>
      <c r="AR51" s="182">
        <f t="shared" si="56"/>
        <v>4</v>
      </c>
      <c r="AS51" s="576"/>
      <c r="AT51" s="188">
        <v>12</v>
      </c>
      <c r="AU51" s="188">
        <v>3152.3700687072105</v>
      </c>
      <c r="AV51" s="185">
        <f t="shared" si="47"/>
        <v>262.69750572560088</v>
      </c>
      <c r="AW51" s="182">
        <f t="shared" si="57"/>
        <v>5</v>
      </c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60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60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60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60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60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60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60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60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60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607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61"/>
  <sheetViews>
    <sheetView zoomScaleNormal="100" workbookViewId="0">
      <pane xSplit="13" ySplit="1" topLeftCell="N32" activePane="bottomRight" state="frozen"/>
      <selection activeCell="L95" sqref="L95"/>
      <selection pane="topRight" activeCell="L95" sqref="L95"/>
      <selection pane="bottomLeft" activeCell="L95" sqref="L95"/>
      <selection pane="bottomRight" activeCell="M47" sqref="M4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AVERAGE(L7,L27,L47)</f>
        <v>331.22035538951383</v>
      </c>
    </row>
    <row r="2" spans="1:50" ht="14.25" customHeight="1" collapsed="1">
      <c r="B2" s="636" t="s">
        <v>542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44"/>
      <c r="N2" s="602" t="s">
        <v>375</v>
      </c>
      <c r="O2" s="602" t="s">
        <v>105</v>
      </c>
      <c r="P2" s="647" t="e">
        <f>#REF!+1</f>
        <v>#REF!</v>
      </c>
      <c r="Q2" s="648"/>
      <c r="R2" s="648"/>
      <c r="S2" s="648"/>
      <c r="T2" s="649"/>
      <c r="U2" s="660" t="e">
        <f>P2+1</f>
        <v>#REF!</v>
      </c>
      <c r="V2" s="661"/>
      <c r="W2" s="661"/>
      <c r="X2" s="661"/>
      <c r="Y2" s="662"/>
      <c r="Z2" s="647" t="e">
        <f t="shared" ref="Z2" si="0">U2+1</f>
        <v>#REF!</v>
      </c>
      <c r="AA2" s="648"/>
      <c r="AB2" s="648"/>
      <c r="AC2" s="648"/>
      <c r="AD2" s="649"/>
      <c r="AE2" s="660" t="e">
        <f t="shared" ref="AE2" si="1">Z2+1</f>
        <v>#REF!</v>
      </c>
      <c r="AF2" s="661"/>
      <c r="AG2" s="661"/>
      <c r="AH2" s="661"/>
      <c r="AI2" s="662"/>
      <c r="AJ2" s="647" t="e">
        <f t="shared" ref="AJ2" si="2">AE2+1</f>
        <v>#REF!</v>
      </c>
      <c r="AK2" s="648"/>
      <c r="AL2" s="648"/>
      <c r="AM2" s="648"/>
      <c r="AN2" s="649"/>
      <c r="AO2" s="660" t="e">
        <f t="shared" ref="AO2" si="3">AJ2+1</f>
        <v>#REF!</v>
      </c>
      <c r="AP2" s="661"/>
      <c r="AQ2" s="661"/>
      <c r="AR2" s="661"/>
      <c r="AS2" s="662"/>
      <c r="AT2" s="647" t="e">
        <f t="shared" ref="AT2" si="4">AO2+1</f>
        <v>#REF!</v>
      </c>
      <c r="AU2" s="648"/>
      <c r="AV2" s="648"/>
      <c r="AW2" s="648"/>
      <c r="AX2" s="649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04"/>
      <c r="O3" s="604"/>
      <c r="P3" s="652" t="e">
        <f>P2</f>
        <v>#REF!</v>
      </c>
      <c r="Q3" s="653"/>
      <c r="R3" s="653"/>
      <c r="S3" s="653"/>
      <c r="T3" s="654"/>
      <c r="U3" s="663" t="e">
        <f>U2</f>
        <v>#REF!</v>
      </c>
      <c r="V3" s="664"/>
      <c r="W3" s="664"/>
      <c r="X3" s="664"/>
      <c r="Y3" s="665"/>
      <c r="Z3" s="652" t="e">
        <f t="shared" ref="Z3" si="5">Z2</f>
        <v>#REF!</v>
      </c>
      <c r="AA3" s="653"/>
      <c r="AB3" s="653"/>
      <c r="AC3" s="653"/>
      <c r="AD3" s="654"/>
      <c r="AE3" s="663" t="e">
        <f t="shared" ref="AE3" si="6">AE2</f>
        <v>#REF!</v>
      </c>
      <c r="AF3" s="664"/>
      <c r="AG3" s="664"/>
      <c r="AH3" s="664"/>
      <c r="AI3" s="665"/>
      <c r="AJ3" s="652" t="e">
        <f t="shared" ref="AJ3" si="7">AJ2</f>
        <v>#REF!</v>
      </c>
      <c r="AK3" s="653"/>
      <c r="AL3" s="653"/>
      <c r="AM3" s="653"/>
      <c r="AN3" s="654"/>
      <c r="AO3" s="663" t="e">
        <f t="shared" ref="AO3" si="8">AO2</f>
        <v>#REF!</v>
      </c>
      <c r="AP3" s="664"/>
      <c r="AQ3" s="664"/>
      <c r="AR3" s="664"/>
      <c r="AS3" s="665"/>
      <c r="AT3" s="652" t="e">
        <f t="shared" ref="AT3" si="9">AT2</f>
        <v>#REF!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615" t="s">
        <v>158</v>
      </c>
      <c r="F4" s="616"/>
      <c r="G4" s="617"/>
      <c r="H4" s="575" t="s">
        <v>163</v>
      </c>
      <c r="I4" s="618" t="s">
        <v>376</v>
      </c>
      <c r="J4" s="619"/>
      <c r="K4" s="620"/>
      <c r="L4" s="579" t="s">
        <v>163</v>
      </c>
      <c r="M4" s="579" t="s">
        <v>165</v>
      </c>
      <c r="N4" s="575"/>
      <c r="O4" s="575" t="s">
        <v>164</v>
      </c>
      <c r="P4" s="615" t="s">
        <v>160</v>
      </c>
      <c r="Q4" s="616"/>
      <c r="R4" s="616"/>
      <c r="S4" s="617"/>
      <c r="T4" s="575" t="s">
        <v>163</v>
      </c>
      <c r="U4" s="615" t="s">
        <v>160</v>
      </c>
      <c r="V4" s="616"/>
      <c r="W4" s="616"/>
      <c r="X4" s="617"/>
      <c r="Y4" s="575" t="s">
        <v>163</v>
      </c>
      <c r="Z4" s="615" t="s">
        <v>160</v>
      </c>
      <c r="AA4" s="616"/>
      <c r="AB4" s="616"/>
      <c r="AC4" s="617"/>
      <c r="AD4" s="575" t="s">
        <v>163</v>
      </c>
      <c r="AE4" s="615" t="s">
        <v>160</v>
      </c>
      <c r="AF4" s="616"/>
      <c r="AG4" s="616"/>
      <c r="AH4" s="617"/>
      <c r="AI4" s="575" t="s">
        <v>163</v>
      </c>
      <c r="AJ4" s="615" t="s">
        <v>160</v>
      </c>
      <c r="AK4" s="616"/>
      <c r="AL4" s="616"/>
      <c r="AM4" s="617"/>
      <c r="AN4" s="575" t="s">
        <v>163</v>
      </c>
      <c r="AO4" s="615" t="s">
        <v>160</v>
      </c>
      <c r="AP4" s="616"/>
      <c r="AQ4" s="616"/>
      <c r="AR4" s="617"/>
      <c r="AS4" s="575" t="s">
        <v>163</v>
      </c>
      <c r="AT4" s="615" t="s">
        <v>160</v>
      </c>
      <c r="AU4" s="616"/>
      <c r="AV4" s="616"/>
      <c r="AW4" s="617"/>
      <c r="AX4" s="575" t="s">
        <v>163</v>
      </c>
    </row>
    <row r="5" spans="1:50" ht="14.25" customHeight="1">
      <c r="B5" s="575"/>
      <c r="C5" s="575"/>
      <c r="D5" s="575"/>
      <c r="E5" s="575" t="s">
        <v>377</v>
      </c>
      <c r="F5" s="575"/>
      <c r="G5" s="575"/>
      <c r="H5" s="575"/>
      <c r="I5" s="579" t="s">
        <v>377</v>
      </c>
      <c r="J5" s="579"/>
      <c r="K5" s="579"/>
      <c r="L5" s="579"/>
      <c r="M5" s="579"/>
      <c r="N5" s="575"/>
      <c r="O5" s="575"/>
      <c r="P5" s="575" t="s">
        <v>378</v>
      </c>
      <c r="Q5" s="575"/>
      <c r="R5" s="575"/>
      <c r="S5" s="575"/>
      <c r="T5" s="575"/>
      <c r="U5" s="575" t="s">
        <v>378</v>
      </c>
      <c r="V5" s="575"/>
      <c r="W5" s="575"/>
      <c r="X5" s="575"/>
      <c r="Y5" s="575"/>
      <c r="Z5" s="575" t="s">
        <v>378</v>
      </c>
      <c r="AA5" s="575"/>
      <c r="AB5" s="575"/>
      <c r="AC5" s="575"/>
      <c r="AD5" s="575"/>
      <c r="AE5" s="575" t="s">
        <v>378</v>
      </c>
      <c r="AF5" s="575"/>
      <c r="AG5" s="575"/>
      <c r="AH5" s="575"/>
      <c r="AI5" s="575"/>
      <c r="AJ5" s="575" t="s">
        <v>378</v>
      </c>
      <c r="AK5" s="575"/>
      <c r="AL5" s="575"/>
      <c r="AM5" s="575"/>
      <c r="AN5" s="575"/>
      <c r="AO5" s="575" t="s">
        <v>378</v>
      </c>
      <c r="AP5" s="575"/>
      <c r="AQ5" s="575"/>
      <c r="AR5" s="575"/>
      <c r="AS5" s="575"/>
      <c r="AT5" s="575" t="s">
        <v>378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379</v>
      </c>
      <c r="G6" s="180" t="s">
        <v>161</v>
      </c>
      <c r="H6" s="575"/>
      <c r="I6" s="181" t="s">
        <v>159</v>
      </c>
      <c r="J6" s="181" t="s">
        <v>379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379</v>
      </c>
      <c r="R6" s="180" t="s">
        <v>161</v>
      </c>
      <c r="S6" s="182" t="s">
        <v>165</v>
      </c>
      <c r="T6" s="575"/>
      <c r="U6" s="180" t="s">
        <v>159</v>
      </c>
      <c r="V6" s="180" t="s">
        <v>379</v>
      </c>
      <c r="W6" s="180" t="s">
        <v>161</v>
      </c>
      <c r="X6" s="182" t="s">
        <v>165</v>
      </c>
      <c r="Y6" s="575"/>
      <c r="Z6" s="180" t="s">
        <v>159</v>
      </c>
      <c r="AA6" s="180" t="s">
        <v>379</v>
      </c>
      <c r="AB6" s="180" t="s">
        <v>161</v>
      </c>
      <c r="AC6" s="182" t="s">
        <v>165</v>
      </c>
      <c r="AD6" s="575"/>
      <c r="AE6" s="180" t="s">
        <v>159</v>
      </c>
      <c r="AF6" s="180" t="s">
        <v>379</v>
      </c>
      <c r="AG6" s="180" t="s">
        <v>161</v>
      </c>
      <c r="AH6" s="182" t="s">
        <v>165</v>
      </c>
      <c r="AI6" s="575"/>
      <c r="AJ6" s="180" t="s">
        <v>159</v>
      </c>
      <c r="AK6" s="180" t="s">
        <v>379</v>
      </c>
      <c r="AL6" s="180" t="s">
        <v>161</v>
      </c>
      <c r="AM6" s="182" t="s">
        <v>165</v>
      </c>
      <c r="AN6" s="575"/>
      <c r="AO6" s="180" t="s">
        <v>159</v>
      </c>
      <c r="AP6" s="180" t="s">
        <v>379</v>
      </c>
      <c r="AQ6" s="180" t="s">
        <v>161</v>
      </c>
      <c r="AR6" s="182" t="s">
        <v>165</v>
      </c>
      <c r="AS6" s="575"/>
      <c r="AT6" s="180" t="s">
        <v>159</v>
      </c>
      <c r="AU6" s="180" t="s">
        <v>379</v>
      </c>
      <c r="AV6" s="180" t="s">
        <v>161</v>
      </c>
      <c r="AW6" s="182" t="s">
        <v>165</v>
      </c>
      <c r="AX6" s="575"/>
    </row>
    <row r="7" spans="1:50" ht="14.25" customHeight="1">
      <c r="B7" s="659" t="s">
        <v>453</v>
      </c>
      <c r="C7" s="180">
        <v>1</v>
      </c>
      <c r="D7" s="183" t="s">
        <v>354</v>
      </c>
      <c r="E7" s="180">
        <v>21</v>
      </c>
      <c r="F7" s="180">
        <v>2790</v>
      </c>
      <c r="G7" s="185">
        <f t="shared" ref="G7:G8" si="10">F7/E7</f>
        <v>132.85714285714286</v>
      </c>
      <c r="H7" s="576">
        <f>AVERAGE(G7:G21)</f>
        <v>366.42857142857144</v>
      </c>
      <c r="I7" s="186">
        <f>AVERAGE(P7,U7,Z7,AE7,AJ7,AO7,AT7)</f>
        <v>21</v>
      </c>
      <c r="J7" s="186">
        <f>AVERAGE(Q7,V7,AA7,AF7,AK7,AP7,AU7)</f>
        <v>2482.5941384975408</v>
      </c>
      <c r="K7" s="187">
        <f>AVERAGE(R7,W7,AB7,AG7,AL7,AQ7,AV7)</f>
        <v>118.21876849988291</v>
      </c>
      <c r="L7" s="577">
        <f>IFERROR(AVERAGE(K7:K21),"-")</f>
        <v>331.18525128733052</v>
      </c>
      <c r="M7" s="186">
        <f>RANK(K7, K$7:$K$21)</f>
        <v>2</v>
      </c>
      <c r="N7" s="575"/>
      <c r="O7" s="575"/>
      <c r="P7" s="188">
        <v>21</v>
      </c>
      <c r="Q7" s="188">
        <v>2482.1694915254257</v>
      </c>
      <c r="R7" s="185">
        <f>IFERROR(Q7/P7,"")</f>
        <v>118.19854721549646</v>
      </c>
      <c r="S7" s="182">
        <f>RANK(R7, R$7:R$21)</f>
        <v>2</v>
      </c>
      <c r="T7" s="576">
        <f>AVERAGE(R7:R21)</f>
        <v>331.00562812279838</v>
      </c>
      <c r="U7" s="188">
        <v>21</v>
      </c>
      <c r="V7" s="188">
        <v>2482.1052631578964</v>
      </c>
      <c r="W7" s="185">
        <f t="shared" ref="W7:W8" si="11">IFERROR(V7/U7,"")</f>
        <v>118.19548872180459</v>
      </c>
      <c r="X7" s="182">
        <f>RANK(W7, W$7:W$21)</f>
        <v>2</v>
      </c>
      <c r="Y7" s="576">
        <f>AVERAGE(W7:W21)</f>
        <v>331.08380707867224</v>
      </c>
      <c r="Z7" s="188">
        <v>21</v>
      </c>
      <c r="AA7" s="188">
        <v>2482.1206383554204</v>
      </c>
      <c r="AB7" s="185">
        <f t="shared" ref="AB7:AB8" si="12">IFERROR(AA7/Z7,"")</f>
        <v>118.19622087406763</v>
      </c>
      <c r="AC7" s="182">
        <f>RANK(AB7, AB$7:AB$21)</f>
        <v>2</v>
      </c>
      <c r="AD7" s="576">
        <f>AVERAGE(AB7:AB21)</f>
        <v>331.12781340733142</v>
      </c>
      <c r="AE7" s="188">
        <v>21</v>
      </c>
      <c r="AF7" s="188">
        <v>2482.6822516148891</v>
      </c>
      <c r="AG7" s="185">
        <f>IFERROR(AF7/AE7,"")</f>
        <v>118.22296436261377</v>
      </c>
      <c r="AH7" s="182">
        <f>RANK(AG7, AG$7:AG$21)</f>
        <v>2</v>
      </c>
      <c r="AI7" s="576">
        <f>AVERAGE(AG7:AG21)</f>
        <v>331.20450543712099</v>
      </c>
      <c r="AJ7" s="188">
        <v>21</v>
      </c>
      <c r="AK7" s="188">
        <v>2482.6786864133951</v>
      </c>
      <c r="AL7" s="185">
        <f t="shared" ref="AL7:AL8" si="13">IFERROR(AK7/AJ7,"")</f>
        <v>118.22279459111405</v>
      </c>
      <c r="AM7" s="182">
        <f>RANK(AL7, AL$7:AL$21)</f>
        <v>2</v>
      </c>
      <c r="AN7" s="576">
        <f>AVERAGE(AL7:AL21)</f>
        <v>331.31123613520236</v>
      </c>
      <c r="AO7" s="188">
        <v>21</v>
      </c>
      <c r="AP7" s="188">
        <v>2483.0258302583024</v>
      </c>
      <c r="AQ7" s="185">
        <f t="shared" ref="AQ7:AQ8" si="14">IFERROR(AP7/AO7,"")</f>
        <v>118.23932525039535</v>
      </c>
      <c r="AR7" s="182">
        <f>RANK(AQ7, AQ$7:AQ$21)</f>
        <v>2</v>
      </c>
      <c r="AS7" s="576">
        <f>AVERAGE(AQ7:AQ21)</f>
        <v>331.32245982799532</v>
      </c>
      <c r="AT7" s="188">
        <v>21</v>
      </c>
      <c r="AU7" s="188">
        <v>2483.3768081574576</v>
      </c>
      <c r="AV7" s="185">
        <f t="shared" ref="AV7:AV8" si="15">IFERROR(AU7/AT7,"")</f>
        <v>118.25603848368846</v>
      </c>
      <c r="AW7" s="182">
        <f>RANK(AV7, AV$7:AV$21)</f>
        <v>2</v>
      </c>
      <c r="AX7" s="576">
        <f>AVERAGE(AV7:AV21)</f>
        <v>331.24130900219296</v>
      </c>
    </row>
    <row r="8" spans="1:50" ht="14.25" customHeight="1">
      <c r="B8" s="575"/>
      <c r="C8" s="180">
        <v>2</v>
      </c>
      <c r="D8" s="183" t="s">
        <v>534</v>
      </c>
      <c r="E8" s="180">
        <v>6</v>
      </c>
      <c r="F8" s="180">
        <v>3600</v>
      </c>
      <c r="G8" s="185">
        <f t="shared" si="10"/>
        <v>600</v>
      </c>
      <c r="H8" s="576"/>
      <c r="I8" s="186">
        <f t="shared" ref="I8:K8" si="16">AVERAGE(P8,U8,Z8,AE8,AJ8,AO8,AT8)</f>
        <v>6</v>
      </c>
      <c r="J8" s="186">
        <f t="shared" si="16"/>
        <v>3264.9104044486689</v>
      </c>
      <c r="K8" s="187">
        <f t="shared" si="16"/>
        <v>544.15173407477812</v>
      </c>
      <c r="L8" s="577"/>
      <c r="M8" s="186">
        <f>RANK(K8, K$7:$K$21)</f>
        <v>1</v>
      </c>
      <c r="N8" s="575"/>
      <c r="O8" s="575"/>
      <c r="P8" s="188">
        <v>6</v>
      </c>
      <c r="Q8" s="188">
        <v>3262.8762541806018</v>
      </c>
      <c r="R8" s="185">
        <f t="shared" ref="R8" si="17">IFERROR(Q8/P8,"")</f>
        <v>543.81270903010034</v>
      </c>
      <c r="S8" s="182">
        <f>RANK(R8, R$7:R$21)</f>
        <v>1</v>
      </c>
      <c r="T8" s="576"/>
      <c r="U8" s="188">
        <v>6</v>
      </c>
      <c r="V8" s="188">
        <v>3263.8327526132393</v>
      </c>
      <c r="W8" s="185">
        <f t="shared" si="11"/>
        <v>543.97212543553985</v>
      </c>
      <c r="X8" s="182">
        <f>RANK(W8, W$7:W$21)</f>
        <v>1</v>
      </c>
      <c r="Y8" s="576"/>
      <c r="Z8" s="188">
        <v>6</v>
      </c>
      <c r="AA8" s="188">
        <v>3264.3564356435709</v>
      </c>
      <c r="AB8" s="185">
        <f t="shared" si="12"/>
        <v>544.05940594059518</v>
      </c>
      <c r="AC8" s="182">
        <f>RANK(AB8, AB$7:AB$21)</f>
        <v>1</v>
      </c>
      <c r="AD8" s="576"/>
      <c r="AE8" s="188">
        <v>6</v>
      </c>
      <c r="AF8" s="188">
        <v>3265.1162790697695</v>
      </c>
      <c r="AG8" s="185">
        <f t="shared" ref="AG8" si="18">IFERROR(AF8/AE8,"")</f>
        <v>544.18604651162821</v>
      </c>
      <c r="AH8" s="182">
        <f>RANK(AG8, AG$7:AG$21)</f>
        <v>1</v>
      </c>
      <c r="AI8" s="576"/>
      <c r="AJ8" s="188">
        <v>6</v>
      </c>
      <c r="AK8" s="188">
        <v>3266.3980660757438</v>
      </c>
      <c r="AL8" s="185">
        <f t="shared" si="13"/>
        <v>544.39967767929068</v>
      </c>
      <c r="AM8" s="182">
        <f>RANK(AL8, AL$7:AL$21)</f>
        <v>1</v>
      </c>
      <c r="AN8" s="576"/>
      <c r="AO8" s="188">
        <v>6</v>
      </c>
      <c r="AP8" s="188">
        <v>3266.4335664335717</v>
      </c>
      <c r="AQ8" s="185">
        <f t="shared" si="14"/>
        <v>544.40559440559525</v>
      </c>
      <c r="AR8" s="182">
        <f>RANK(AQ8, AQ$7:AQ$21)</f>
        <v>1</v>
      </c>
      <c r="AS8" s="576"/>
      <c r="AT8" s="188">
        <v>6</v>
      </c>
      <c r="AU8" s="188">
        <v>3265.3594771241847</v>
      </c>
      <c r="AV8" s="185">
        <f t="shared" si="15"/>
        <v>544.22657952069744</v>
      </c>
      <c r="AW8" s="182">
        <f>RANK(AV8, AV$7:AV$21)</f>
        <v>1</v>
      </c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659" t="s">
        <v>453</v>
      </c>
      <c r="C27" s="180">
        <v>1</v>
      </c>
      <c r="D27" s="183" t="s">
        <v>354</v>
      </c>
      <c r="E27" s="180">
        <v>21</v>
      </c>
      <c r="F27" s="180">
        <v>2790</v>
      </c>
      <c r="G27" s="185">
        <f t="shared" ref="G27:G28" si="19">F27/E27</f>
        <v>132.85714285714286</v>
      </c>
      <c r="H27" s="576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2484.0059699484254</v>
      </c>
      <c r="K27" s="187">
        <f>AVERAGE(R27,W27,AB27,AG27,AL27,AQ27,AV27)</f>
        <v>118.28599856897263</v>
      </c>
      <c r="L27" s="577">
        <f>IFERROR(AVERAGE(K27:K41),"-")</f>
        <v>331.22235073871883</v>
      </c>
      <c r="M27" s="186">
        <f>RANK(K27, K$27:$K$41)</f>
        <v>2</v>
      </c>
      <c r="N27" s="575"/>
      <c r="O27" s="575"/>
      <c r="P27" s="188">
        <v>21</v>
      </c>
      <c r="Q27" s="188">
        <v>2483.3882830332241</v>
      </c>
      <c r="R27" s="185">
        <f>IFERROR(Q27/P27,"")</f>
        <v>118.256584906344</v>
      </c>
      <c r="S27" s="182">
        <f>RANK(R27, R$27:R$41)</f>
        <v>2</v>
      </c>
      <c r="T27" s="576">
        <f>AVERAGE(R27:R41)</f>
        <v>331.15626448114307</v>
      </c>
      <c r="U27" s="188">
        <v>21</v>
      </c>
      <c r="V27" s="188">
        <v>2483.7881219903697</v>
      </c>
      <c r="W27" s="185">
        <f t="shared" ref="W27:W28" si="20">IFERROR(V27/U27,"")</f>
        <v>118.27562485668427</v>
      </c>
      <c r="X27" s="182">
        <f>RANK(W27, W$27:W$41)</f>
        <v>2</v>
      </c>
      <c r="Y27" s="576">
        <f>AVERAGE(W27:W41)</f>
        <v>331.17572712028499</v>
      </c>
      <c r="Z27" s="188">
        <v>21</v>
      </c>
      <c r="AA27" s="188">
        <v>2484.1730769230767</v>
      </c>
      <c r="AB27" s="185">
        <f t="shared" ref="AB27:AB28" si="21">IFERROR(AA27/Z27,"")</f>
        <v>118.29395604395603</v>
      </c>
      <c r="AC27" s="182">
        <f>RANK(AB27, AB$27:AB$41)</f>
        <v>2</v>
      </c>
      <c r="AD27" s="576">
        <f>AVERAGE(AB27:AB41)</f>
        <v>331.24489271392076</v>
      </c>
      <c r="AE27" s="188">
        <v>21</v>
      </c>
      <c r="AF27" s="188">
        <v>2484.1730769230762</v>
      </c>
      <c r="AG27" s="185">
        <f>IFERROR(AF27/AE27,"")</f>
        <v>118.29395604395602</v>
      </c>
      <c r="AH27" s="182">
        <f>RANK(AG27, AG$27:AG$41)</f>
        <v>2</v>
      </c>
      <c r="AI27" s="576">
        <f>AVERAGE(AG27:AG41)</f>
        <v>331.1848927139207</v>
      </c>
      <c r="AJ27" s="188">
        <v>21</v>
      </c>
      <c r="AK27" s="188">
        <v>2484.1730769230767</v>
      </c>
      <c r="AL27" s="185">
        <f t="shared" ref="AL27:AL28" si="22">IFERROR(AK27/AJ27,"")</f>
        <v>118.29395604395603</v>
      </c>
      <c r="AM27" s="182">
        <f>RANK(AL27, AL$27:AL$41)</f>
        <v>2</v>
      </c>
      <c r="AN27" s="576">
        <f>AVERAGE(AL27:AL41)</f>
        <v>331.21489271392068</v>
      </c>
      <c r="AO27" s="188">
        <v>21</v>
      </c>
      <c r="AP27" s="188">
        <v>2484.1730769230771</v>
      </c>
      <c r="AQ27" s="185">
        <f t="shared" ref="AQ27:AQ28" si="23">IFERROR(AP27/AO27,"")</f>
        <v>118.29395604395606</v>
      </c>
      <c r="AR27" s="182">
        <f>RANK(AQ27, AQ$27:AQ$41)</f>
        <v>2</v>
      </c>
      <c r="AS27" s="576">
        <f>AVERAGE(AQ27:AQ41)</f>
        <v>331.27489271392074</v>
      </c>
      <c r="AT27" s="188">
        <v>21</v>
      </c>
      <c r="AU27" s="188">
        <v>2484.1730769230762</v>
      </c>
      <c r="AV27" s="185">
        <f t="shared" ref="AV27:AV28" si="24">IFERROR(AU27/AT27,"")</f>
        <v>118.29395604395602</v>
      </c>
      <c r="AW27" s="182">
        <f>RANK(AV27, AV$27:AV$41)</f>
        <v>2</v>
      </c>
      <c r="AX27" s="576">
        <f>AVERAGE(AV27:AV41)</f>
        <v>331.30489271392071</v>
      </c>
    </row>
    <row r="28" spans="2:50" ht="14.25" customHeight="1">
      <c r="B28" s="575"/>
      <c r="C28" s="180">
        <v>2</v>
      </c>
      <c r="D28" s="183" t="s">
        <v>534</v>
      </c>
      <c r="E28" s="180">
        <v>6</v>
      </c>
      <c r="F28" s="180">
        <v>3600</v>
      </c>
      <c r="G28" s="185">
        <f t="shared" si="19"/>
        <v>600</v>
      </c>
      <c r="H28" s="576"/>
      <c r="I28" s="186">
        <f t="shared" ref="I28:K28" si="25">AVERAGE(P28,U28,Z28,AE28,AJ28,AO28,AT28)</f>
        <v>6</v>
      </c>
      <c r="J28" s="186">
        <f t="shared" si="25"/>
        <v>3264.9522174507902</v>
      </c>
      <c r="K28" s="187">
        <f t="shared" si="25"/>
        <v>544.15870290846499</v>
      </c>
      <c r="L28" s="577"/>
      <c r="M28" s="186">
        <f>RANK(K28, K$27:$K$41)</f>
        <v>1</v>
      </c>
      <c r="N28" s="575"/>
      <c r="O28" s="575"/>
      <c r="P28" s="188">
        <v>6</v>
      </c>
      <c r="Q28" s="188">
        <v>3264.3356643356528</v>
      </c>
      <c r="R28" s="185">
        <f t="shared" ref="R28" si="26">IFERROR(Q28/P28,"")</f>
        <v>544.05594405594218</v>
      </c>
      <c r="S28" s="182">
        <f>RANK(R28, R$27:R$41)</f>
        <v>1</v>
      </c>
      <c r="T28" s="576"/>
      <c r="U28" s="188">
        <v>6</v>
      </c>
      <c r="V28" s="188">
        <v>3264.4549763033137</v>
      </c>
      <c r="W28" s="185">
        <f t="shared" si="20"/>
        <v>544.07582938388566</v>
      </c>
      <c r="X28" s="182">
        <f>RANK(W28, W$27:W$41)</f>
        <v>1</v>
      </c>
      <c r="Y28" s="576"/>
      <c r="Z28" s="188">
        <v>6</v>
      </c>
      <c r="AA28" s="188">
        <v>3265.1749763033135</v>
      </c>
      <c r="AB28" s="185">
        <f t="shared" si="21"/>
        <v>544.19582938388555</v>
      </c>
      <c r="AC28" s="182">
        <f>RANK(AB28, AB$27:AB$41)</f>
        <v>1</v>
      </c>
      <c r="AD28" s="576"/>
      <c r="AE28" s="188">
        <v>6</v>
      </c>
      <c r="AF28" s="188">
        <v>3264.4549763033128</v>
      </c>
      <c r="AG28" s="185">
        <f t="shared" ref="AG28" si="27">IFERROR(AF28/AE28,"")</f>
        <v>544.07582938388543</v>
      </c>
      <c r="AH28" s="182">
        <f>RANK(AG28, AG$27:AG$41)</f>
        <v>1</v>
      </c>
      <c r="AI28" s="576"/>
      <c r="AJ28" s="188">
        <v>6</v>
      </c>
      <c r="AK28" s="188">
        <v>3264.8149763033121</v>
      </c>
      <c r="AL28" s="185">
        <f t="shared" si="22"/>
        <v>544.13582938388538</v>
      </c>
      <c r="AM28" s="182">
        <f>RANK(AL28, AL$27:AL$41)</f>
        <v>1</v>
      </c>
      <c r="AN28" s="576"/>
      <c r="AO28" s="188">
        <v>6</v>
      </c>
      <c r="AP28" s="188">
        <v>3265.5349763033123</v>
      </c>
      <c r="AQ28" s="185">
        <f t="shared" si="23"/>
        <v>544.25582938388538</v>
      </c>
      <c r="AR28" s="182">
        <f>RANK(AQ28, AQ$27:AQ$41)</f>
        <v>1</v>
      </c>
      <c r="AS28" s="576"/>
      <c r="AT28" s="188">
        <v>6</v>
      </c>
      <c r="AU28" s="188">
        <v>3265.8949763033124</v>
      </c>
      <c r="AV28" s="185">
        <f t="shared" si="24"/>
        <v>544.31582938388544</v>
      </c>
      <c r="AW28" s="182">
        <f>RANK(AV28, AV$27:AV$41)</f>
        <v>1</v>
      </c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3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659" t="s">
        <v>453</v>
      </c>
      <c r="C47" s="180">
        <v>1</v>
      </c>
      <c r="D47" s="183" t="s">
        <v>354</v>
      </c>
      <c r="E47" s="180">
        <v>21</v>
      </c>
      <c r="F47" s="180">
        <v>2790</v>
      </c>
      <c r="G47" s="185">
        <f t="shared" ref="G47:G48" si="28">F47/E47</f>
        <v>132.85714285714286</v>
      </c>
      <c r="H47" s="576">
        <f>AVERAGE(G47:G61)</f>
        <v>366.42857142857144</v>
      </c>
      <c r="I47" s="186">
        <f>AVERAGE(P47,U47,Z47,AE47,AJ47,AO47,AT47)</f>
        <v>21</v>
      </c>
      <c r="J47" s="186">
        <f>AVERAGE(Q47,V47,AA47,AF47,AK47,AP47,AU47)</f>
        <v>2484.1730769230767</v>
      </c>
      <c r="K47" s="187">
        <f>AVERAGE(R47,W47,AB47,AG47,AL47,AQ47,AV47)</f>
        <v>118.29395604395602</v>
      </c>
      <c r="L47" s="577">
        <f>IFERROR(AVERAGE(K47:K61),"-")</f>
        <v>331.25346414249219</v>
      </c>
      <c r="M47" s="186">
        <f>RANK(K47, K$47:$K$61)</f>
        <v>2</v>
      </c>
      <c r="N47" s="575"/>
      <c r="O47" s="575"/>
      <c r="P47" s="188">
        <v>21</v>
      </c>
      <c r="Q47" s="188">
        <v>2484.1730769230767</v>
      </c>
      <c r="R47" s="185">
        <f>IFERROR(Q47/P47,"")</f>
        <v>118.29395604395603</v>
      </c>
      <c r="S47" s="182">
        <f>RANK(R47, R$47:R$61)</f>
        <v>2</v>
      </c>
      <c r="T47" s="576">
        <f>AVERAGE(R47:R61)</f>
        <v>331.27489271392074</v>
      </c>
      <c r="U47" s="188">
        <v>21</v>
      </c>
      <c r="V47" s="188">
        <v>2484.1730769230767</v>
      </c>
      <c r="W47" s="185">
        <f t="shared" ref="W47:W48" si="29">IFERROR(V47/U47,"")</f>
        <v>118.29395604395603</v>
      </c>
      <c r="X47" s="182">
        <f>RANK(W47, W$47:W$61)</f>
        <v>2</v>
      </c>
      <c r="Y47" s="576">
        <f>AVERAGE(W47:W61)</f>
        <v>331.30489271392071</v>
      </c>
      <c r="Z47" s="188">
        <v>21</v>
      </c>
      <c r="AA47" s="188">
        <v>2484.1730769230767</v>
      </c>
      <c r="AB47" s="185">
        <f t="shared" ref="AB47:AB48" si="30">IFERROR(AA47/Z47,"")</f>
        <v>118.29395604395603</v>
      </c>
      <c r="AC47" s="182">
        <f>RANK(AB47, AB$47:AB$61)</f>
        <v>2</v>
      </c>
      <c r="AD47" s="576">
        <f>AVERAGE(AB47:AB61)</f>
        <v>331.33489271392079</v>
      </c>
      <c r="AE47" s="188">
        <v>21</v>
      </c>
      <c r="AF47" s="188">
        <v>2484.1730769230767</v>
      </c>
      <c r="AG47" s="185">
        <f>IFERROR(AF47/AE47,"")</f>
        <v>118.29395604395603</v>
      </c>
      <c r="AH47" s="182">
        <f>RANK(AG47, AG$47:AG$61)</f>
        <v>2</v>
      </c>
      <c r="AI47" s="576">
        <f>AVERAGE(AG47:AG61)</f>
        <v>331.21489271392079</v>
      </c>
      <c r="AJ47" s="188">
        <v>21</v>
      </c>
      <c r="AK47" s="188">
        <v>2484.1730769230762</v>
      </c>
      <c r="AL47" s="185">
        <f t="shared" ref="AL47:AL48" si="31">IFERROR(AK47/AJ47,"")</f>
        <v>118.29395604395602</v>
      </c>
      <c r="AM47" s="182">
        <f>RANK(AL47, AL$47:AL$61)</f>
        <v>2</v>
      </c>
      <c r="AN47" s="576">
        <f>AVERAGE(AL47:AL61)</f>
        <v>331.24489271392082</v>
      </c>
      <c r="AO47" s="188">
        <v>21</v>
      </c>
      <c r="AP47" s="188">
        <v>2484.1730769230762</v>
      </c>
      <c r="AQ47" s="185">
        <f t="shared" ref="AQ47:AQ48" si="32">IFERROR(AP47/AO47,"")</f>
        <v>118.29395604395602</v>
      </c>
      <c r="AR47" s="182">
        <f>RANK(AQ47, AQ$47:AQ$61)</f>
        <v>2</v>
      </c>
      <c r="AS47" s="576">
        <f>AVERAGE(AQ47:AQ61)</f>
        <v>331.18489271392082</v>
      </c>
      <c r="AT47" s="188">
        <v>21</v>
      </c>
      <c r="AU47" s="188">
        <v>2484.1730769230767</v>
      </c>
      <c r="AV47" s="185">
        <f t="shared" ref="AV47:AV48" si="33">IFERROR(AU47/AT47,"")</f>
        <v>118.29395604395603</v>
      </c>
      <c r="AW47" s="182" t="e">
        <f>RANK(AV47, AV$7:AV$21)</f>
        <v>#N/A</v>
      </c>
      <c r="AX47" s="576">
        <f>AVERAGE(AV47:AV61)</f>
        <v>331.21489271392079</v>
      </c>
    </row>
    <row r="48" spans="2:50" ht="14.25" customHeight="1">
      <c r="B48" s="575"/>
      <c r="C48" s="180">
        <v>2</v>
      </c>
      <c r="D48" s="183" t="s">
        <v>534</v>
      </c>
      <c r="E48" s="180">
        <v>6</v>
      </c>
      <c r="F48" s="180">
        <v>3600</v>
      </c>
      <c r="G48" s="185">
        <f t="shared" si="28"/>
        <v>600</v>
      </c>
      <c r="H48" s="576"/>
      <c r="I48" s="186">
        <f t="shared" ref="I48:K48" si="34">AVERAGE(P48,U48,Z48,AE48,AJ48,AO48,AT48)</f>
        <v>6</v>
      </c>
      <c r="J48" s="186">
        <f t="shared" si="34"/>
        <v>3265.2778334461705</v>
      </c>
      <c r="K48" s="187">
        <f t="shared" si="34"/>
        <v>544.21297224102841</v>
      </c>
      <c r="L48" s="577"/>
      <c r="M48" s="186">
        <f>RANK(K48, K$47:$K$61)</f>
        <v>1</v>
      </c>
      <c r="N48" s="575"/>
      <c r="O48" s="575"/>
      <c r="P48" s="188">
        <v>6</v>
      </c>
      <c r="Q48" s="188">
        <v>3265.5349763033123</v>
      </c>
      <c r="R48" s="185">
        <f t="shared" ref="R48" si="35">IFERROR(Q48/P48,"")</f>
        <v>544.25582938388538</v>
      </c>
      <c r="S48" s="182">
        <f>RANK(R48, R$47:R$61)</f>
        <v>1</v>
      </c>
      <c r="T48" s="576"/>
      <c r="U48" s="188">
        <v>6</v>
      </c>
      <c r="V48" s="188">
        <v>3265.8949763033124</v>
      </c>
      <c r="W48" s="185">
        <f t="shared" si="29"/>
        <v>544.31582938388544</v>
      </c>
      <c r="X48" s="182">
        <f>RANK(W48, W$47:W$61)</f>
        <v>1</v>
      </c>
      <c r="Y48" s="576"/>
      <c r="Z48" s="188">
        <v>6</v>
      </c>
      <c r="AA48" s="188">
        <v>3266.254976303313</v>
      </c>
      <c r="AB48" s="185">
        <f t="shared" si="30"/>
        <v>544.3758293838855</v>
      </c>
      <c r="AC48" s="182">
        <f>RANK(AB48, AB$47:AB$61)</f>
        <v>1</v>
      </c>
      <c r="AD48" s="576"/>
      <c r="AE48" s="188">
        <v>6</v>
      </c>
      <c r="AF48" s="188">
        <v>3264.8149763033134</v>
      </c>
      <c r="AG48" s="185">
        <f t="shared" ref="AG48" si="36">IFERROR(AF48/AE48,"")</f>
        <v>544.13582938388561</v>
      </c>
      <c r="AH48" s="182">
        <f>RANK(AG48, AG$47:AG$61)</f>
        <v>1</v>
      </c>
      <c r="AI48" s="576"/>
      <c r="AJ48" s="188">
        <v>6</v>
      </c>
      <c r="AK48" s="188">
        <v>3265.174976303314</v>
      </c>
      <c r="AL48" s="185">
        <f t="shared" si="31"/>
        <v>544.19582938388567</v>
      </c>
      <c r="AM48" s="182">
        <f>RANK(AL48, AL$47:AL$61)</f>
        <v>1</v>
      </c>
      <c r="AN48" s="576"/>
      <c r="AO48" s="188">
        <v>6</v>
      </c>
      <c r="AP48" s="188">
        <v>3264.4549763033142</v>
      </c>
      <c r="AQ48" s="185">
        <f t="shared" si="32"/>
        <v>544.07582938388566</v>
      </c>
      <c r="AR48" s="182">
        <f>RANK(AQ48, AQ$47:AQ$61)</f>
        <v>1</v>
      </c>
      <c r="AS48" s="576"/>
      <c r="AT48" s="188">
        <v>6</v>
      </c>
      <c r="AU48" s="188">
        <v>3264.8149763033134</v>
      </c>
      <c r="AV48" s="185">
        <f t="shared" si="33"/>
        <v>544.13582938388561</v>
      </c>
      <c r="AW48" s="182" t="e">
        <f t="shared" ref="AW48" si="37">RANK(AV48, AV$7:AV$21)</f>
        <v>#N/A</v>
      </c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61"/>
  <sheetViews>
    <sheetView zoomScaleNormal="100" workbookViewId="0">
      <pane xSplit="13" ySplit="1" topLeftCell="N38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AVERAGE(L7,L27,L47)</f>
        <v>432.90880995704475</v>
      </c>
    </row>
    <row r="2" spans="1:50" ht="14.25" customHeight="1" collapsed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602" t="s">
        <v>375</v>
      </c>
      <c r="O2" s="602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604"/>
      <c r="O3" s="604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602" t="s">
        <v>162</v>
      </c>
      <c r="C4" s="624" t="s">
        <v>157</v>
      </c>
      <c r="D4" s="625"/>
      <c r="E4" s="615" t="s">
        <v>158</v>
      </c>
      <c r="F4" s="616"/>
      <c r="G4" s="617"/>
      <c r="H4" s="602" t="s">
        <v>163</v>
      </c>
      <c r="I4" s="618" t="s">
        <v>376</v>
      </c>
      <c r="J4" s="619"/>
      <c r="K4" s="620"/>
      <c r="L4" s="630" t="s">
        <v>163</v>
      </c>
      <c r="M4" s="630" t="s">
        <v>165</v>
      </c>
      <c r="N4" s="602"/>
      <c r="O4" s="602" t="s">
        <v>164</v>
      </c>
      <c r="P4" s="615" t="s">
        <v>160</v>
      </c>
      <c r="Q4" s="616"/>
      <c r="R4" s="616"/>
      <c r="S4" s="617"/>
      <c r="T4" s="602" t="s">
        <v>163</v>
      </c>
      <c r="U4" s="615" t="s">
        <v>160</v>
      </c>
      <c r="V4" s="616"/>
      <c r="W4" s="616"/>
      <c r="X4" s="617"/>
      <c r="Y4" s="602" t="s">
        <v>163</v>
      </c>
      <c r="Z4" s="615" t="s">
        <v>160</v>
      </c>
      <c r="AA4" s="616"/>
      <c r="AB4" s="616"/>
      <c r="AC4" s="617"/>
      <c r="AD4" s="602" t="s">
        <v>163</v>
      </c>
      <c r="AE4" s="615" t="s">
        <v>160</v>
      </c>
      <c r="AF4" s="616"/>
      <c r="AG4" s="616"/>
      <c r="AH4" s="617"/>
      <c r="AI4" s="602" t="s">
        <v>163</v>
      </c>
      <c r="AJ4" s="615" t="s">
        <v>160</v>
      </c>
      <c r="AK4" s="616"/>
      <c r="AL4" s="616"/>
      <c r="AM4" s="617"/>
      <c r="AN4" s="602" t="s">
        <v>163</v>
      </c>
      <c r="AO4" s="615" t="s">
        <v>160</v>
      </c>
      <c r="AP4" s="616"/>
      <c r="AQ4" s="616"/>
      <c r="AR4" s="617"/>
      <c r="AS4" s="602" t="s">
        <v>163</v>
      </c>
      <c r="AT4" s="615" t="s">
        <v>160</v>
      </c>
      <c r="AU4" s="616"/>
      <c r="AV4" s="616"/>
      <c r="AW4" s="617"/>
      <c r="AX4" s="602" t="s">
        <v>163</v>
      </c>
    </row>
    <row r="5" spans="1:50" ht="14.25" customHeight="1">
      <c r="B5" s="603"/>
      <c r="C5" s="626"/>
      <c r="D5" s="627"/>
      <c r="E5" s="615" t="s">
        <v>377</v>
      </c>
      <c r="F5" s="616"/>
      <c r="G5" s="617"/>
      <c r="H5" s="603"/>
      <c r="I5" s="618" t="s">
        <v>377</v>
      </c>
      <c r="J5" s="619"/>
      <c r="K5" s="620"/>
      <c r="L5" s="631"/>
      <c r="M5" s="631"/>
      <c r="N5" s="603"/>
      <c r="O5" s="603"/>
      <c r="P5" s="615" t="s">
        <v>378</v>
      </c>
      <c r="Q5" s="616"/>
      <c r="R5" s="616"/>
      <c r="S5" s="617"/>
      <c r="T5" s="603"/>
      <c r="U5" s="615" t="s">
        <v>378</v>
      </c>
      <c r="V5" s="616"/>
      <c r="W5" s="616"/>
      <c r="X5" s="617"/>
      <c r="Y5" s="603"/>
      <c r="Z5" s="615" t="s">
        <v>378</v>
      </c>
      <c r="AA5" s="616"/>
      <c r="AB5" s="616"/>
      <c r="AC5" s="617"/>
      <c r="AD5" s="603"/>
      <c r="AE5" s="615" t="s">
        <v>378</v>
      </c>
      <c r="AF5" s="616"/>
      <c r="AG5" s="616"/>
      <c r="AH5" s="617"/>
      <c r="AI5" s="603"/>
      <c r="AJ5" s="615" t="s">
        <v>378</v>
      </c>
      <c r="AK5" s="616"/>
      <c r="AL5" s="616"/>
      <c r="AM5" s="617"/>
      <c r="AN5" s="603"/>
      <c r="AO5" s="615" t="s">
        <v>378</v>
      </c>
      <c r="AP5" s="616"/>
      <c r="AQ5" s="616"/>
      <c r="AR5" s="617"/>
      <c r="AS5" s="603"/>
      <c r="AT5" s="615" t="s">
        <v>378</v>
      </c>
      <c r="AU5" s="616"/>
      <c r="AV5" s="616"/>
      <c r="AW5" s="617"/>
      <c r="AX5" s="603"/>
    </row>
    <row r="6" spans="1:50" ht="14.25" customHeight="1">
      <c r="B6" s="604"/>
      <c r="C6" s="628"/>
      <c r="D6" s="629"/>
      <c r="E6" s="180" t="s">
        <v>159</v>
      </c>
      <c r="F6" s="180" t="s">
        <v>379</v>
      </c>
      <c r="G6" s="180" t="s">
        <v>161</v>
      </c>
      <c r="H6" s="604"/>
      <c r="I6" s="181" t="s">
        <v>159</v>
      </c>
      <c r="J6" s="181" t="s">
        <v>379</v>
      </c>
      <c r="K6" s="181" t="s">
        <v>161</v>
      </c>
      <c r="L6" s="632"/>
      <c r="M6" s="632"/>
      <c r="N6" s="603"/>
      <c r="O6" s="603"/>
      <c r="P6" s="180" t="s">
        <v>159</v>
      </c>
      <c r="Q6" s="180" t="s">
        <v>379</v>
      </c>
      <c r="R6" s="180" t="s">
        <v>161</v>
      </c>
      <c r="S6" s="182" t="s">
        <v>165</v>
      </c>
      <c r="T6" s="604"/>
      <c r="U6" s="180" t="s">
        <v>159</v>
      </c>
      <c r="V6" s="180" t="s">
        <v>379</v>
      </c>
      <c r="W6" s="180" t="s">
        <v>161</v>
      </c>
      <c r="X6" s="182" t="s">
        <v>165</v>
      </c>
      <c r="Y6" s="604"/>
      <c r="Z6" s="180" t="s">
        <v>159</v>
      </c>
      <c r="AA6" s="180" t="s">
        <v>379</v>
      </c>
      <c r="AB6" s="180" t="s">
        <v>161</v>
      </c>
      <c r="AC6" s="182" t="s">
        <v>165</v>
      </c>
      <c r="AD6" s="604"/>
      <c r="AE6" s="180" t="s">
        <v>159</v>
      </c>
      <c r="AF6" s="180" t="s">
        <v>379</v>
      </c>
      <c r="AG6" s="180" t="s">
        <v>161</v>
      </c>
      <c r="AH6" s="182" t="s">
        <v>165</v>
      </c>
      <c r="AI6" s="604"/>
      <c r="AJ6" s="180" t="s">
        <v>159</v>
      </c>
      <c r="AK6" s="180" t="s">
        <v>379</v>
      </c>
      <c r="AL6" s="180" t="s">
        <v>161</v>
      </c>
      <c r="AM6" s="182" t="s">
        <v>165</v>
      </c>
      <c r="AN6" s="604"/>
      <c r="AO6" s="180" t="s">
        <v>159</v>
      </c>
      <c r="AP6" s="180" t="s">
        <v>379</v>
      </c>
      <c r="AQ6" s="180" t="s">
        <v>161</v>
      </c>
      <c r="AR6" s="182" t="s">
        <v>165</v>
      </c>
      <c r="AS6" s="604"/>
      <c r="AT6" s="180" t="s">
        <v>159</v>
      </c>
      <c r="AU6" s="180" t="s">
        <v>379</v>
      </c>
      <c r="AV6" s="180" t="s">
        <v>161</v>
      </c>
      <c r="AW6" s="182" t="s">
        <v>165</v>
      </c>
      <c r="AX6" s="604"/>
    </row>
    <row r="7" spans="1:50" ht="14.25" customHeight="1">
      <c r="B7" s="575" t="s">
        <v>382</v>
      </c>
      <c r="C7" s="180">
        <v>1</v>
      </c>
      <c r="D7" s="183" t="s">
        <v>511</v>
      </c>
      <c r="E7" s="180">
        <v>6</v>
      </c>
      <c r="F7" s="180">
        <v>3273</v>
      </c>
      <c r="G7" s="185">
        <f t="shared" ref="G7:G8" si="10">F7/E7</f>
        <v>545.5</v>
      </c>
      <c r="H7" s="576">
        <f>AVERAGE(G7:G21)</f>
        <v>545.5</v>
      </c>
      <c r="I7" s="186">
        <f>AVERAGE(P7,U7,Z7,AE7,AJ7,AO7,AT7)</f>
        <v>6</v>
      </c>
      <c r="J7" s="186">
        <f>AVERAGE(Q7,V7,AA7,AF7,AK7,AP7,AU7)</f>
        <v>2964.1246242900002</v>
      </c>
      <c r="K7" s="187">
        <f>AVERAGE(R7,W7,AB7,AG7,AL7,AQ7,AV7)</f>
        <v>494.02077071499991</v>
      </c>
      <c r="L7" s="577">
        <f>IFERROR(AVERAGE(K7:K21),"-")</f>
        <v>493.97915432640377</v>
      </c>
      <c r="M7" s="186">
        <f>RANK(K7, K$7:$K$21)</f>
        <v>1</v>
      </c>
      <c r="N7" s="603"/>
      <c r="O7" s="603"/>
      <c r="P7" s="188">
        <v>6</v>
      </c>
      <c r="Q7" s="188">
        <v>2960.8355091383755</v>
      </c>
      <c r="R7" s="185">
        <f>IFERROR(Q7/P7,"")</f>
        <v>493.47258485639594</v>
      </c>
      <c r="S7" s="182">
        <f>RANK(R7, R$7:R$21)</f>
        <v>2</v>
      </c>
      <c r="T7" s="576">
        <f>AVERAGE(R7:R21)</f>
        <v>493.51860916015107</v>
      </c>
      <c r="U7" s="188">
        <v>6</v>
      </c>
      <c r="V7" s="188">
        <v>2963.7209302325577</v>
      </c>
      <c r="W7" s="185">
        <f t="shared" ref="W7:W8" si="11">IFERROR(V7/U7,"")</f>
        <v>493.95348837209298</v>
      </c>
      <c r="X7" s="182">
        <f>RANK(W7, W$7:W$21)</f>
        <v>1</v>
      </c>
      <c r="Y7" s="576">
        <f>AVERAGE(W7:W21)</f>
        <v>493.80387766525882</v>
      </c>
      <c r="Z7" s="188">
        <v>6</v>
      </c>
      <c r="AA7" s="188">
        <v>2963.6942675159057</v>
      </c>
      <c r="AB7" s="185">
        <f t="shared" ref="AB7:AB8" si="12">IFERROR(AA7/Z7,"")</f>
        <v>493.94904458598427</v>
      </c>
      <c r="AC7" s="182">
        <f>RANK(AB7, AB$7:AB$21)</f>
        <v>1</v>
      </c>
      <c r="AD7" s="576">
        <f>AVERAGE(AB7:AB21)</f>
        <v>493.86227739503278</v>
      </c>
      <c r="AE7" s="188">
        <v>6</v>
      </c>
      <c r="AF7" s="188">
        <v>2965.0582362728569</v>
      </c>
      <c r="AG7" s="185">
        <f>IFERROR(AF7/AE7,"")</f>
        <v>494.17637271214284</v>
      </c>
      <c r="AH7" s="182">
        <f>RANK(AG7, AG$7:AG$21)</f>
        <v>1</v>
      </c>
      <c r="AI7" s="576">
        <f>AVERAGE(AG7:AG21)</f>
        <v>494.11704883484799</v>
      </c>
      <c r="AJ7" s="188">
        <v>6</v>
      </c>
      <c r="AK7" s="188">
        <v>2964.7058823529328</v>
      </c>
      <c r="AL7" s="185">
        <f t="shared" ref="AL7:AL8" si="13">IFERROR(AK7/AJ7,"")</f>
        <v>494.11764705882212</v>
      </c>
      <c r="AM7" s="182">
        <f>RANK(AL7, AL$7:AL$21)</f>
        <v>1</v>
      </c>
      <c r="AN7" s="576">
        <f>AVERAGE(AL7:AL21)</f>
        <v>494.04087899433767</v>
      </c>
      <c r="AO7" s="188">
        <v>6</v>
      </c>
      <c r="AP7" s="188">
        <v>2965.9090909091119</v>
      </c>
      <c r="AQ7" s="185">
        <f t="shared" ref="AQ7:AQ8" si="14">IFERROR(AP7/AO7,"")</f>
        <v>494.31818181818534</v>
      </c>
      <c r="AR7" s="182">
        <f>RANK(AQ7, AQ$7:AQ$21)</f>
        <v>1</v>
      </c>
      <c r="AS7" s="576">
        <f>AVERAGE(AQ7:AQ21)</f>
        <v>494.2763871317573</v>
      </c>
      <c r="AT7" s="188">
        <v>6</v>
      </c>
      <c r="AU7" s="188">
        <v>2964.9484536082564</v>
      </c>
      <c r="AV7" s="185">
        <f t="shared" ref="AV7:AV8" si="15">IFERROR(AU7/AT7,"")</f>
        <v>494.15807560137608</v>
      </c>
      <c r="AW7" s="182">
        <f>RANK(AV7, AV$7:AV$21)</f>
        <v>2</v>
      </c>
      <c r="AX7" s="576">
        <f>AVERAGE(AV7:AV21)</f>
        <v>494.23500110344088</v>
      </c>
    </row>
    <row r="8" spans="1:50" ht="14.25" customHeight="1">
      <c r="B8" s="575"/>
      <c r="C8" s="180">
        <v>2</v>
      </c>
      <c r="D8" s="183" t="s">
        <v>535</v>
      </c>
      <c r="E8" s="180">
        <v>6</v>
      </c>
      <c r="F8" s="180">
        <v>3273</v>
      </c>
      <c r="G8" s="185">
        <f t="shared" si="10"/>
        <v>545.5</v>
      </c>
      <c r="H8" s="576"/>
      <c r="I8" s="186">
        <f t="shared" ref="I8:K8" si="16">AVERAGE(P8,U8,Z8,AE8,AJ8,AO8,AT8)</f>
        <v>6</v>
      </c>
      <c r="J8" s="186">
        <f t="shared" si="16"/>
        <v>2963.6252276268456</v>
      </c>
      <c r="K8" s="187">
        <f t="shared" si="16"/>
        <v>493.93753793780758</v>
      </c>
      <c r="L8" s="577"/>
      <c r="M8" s="186">
        <f>RANK(K8, K$7:$K$21)</f>
        <v>2</v>
      </c>
      <c r="N8" s="603"/>
      <c r="O8" s="603"/>
      <c r="P8" s="188">
        <v>6</v>
      </c>
      <c r="Q8" s="188">
        <v>2961.3878007834369</v>
      </c>
      <c r="R8" s="185">
        <f t="shared" ref="R8" si="17">IFERROR(Q8/P8,"")</f>
        <v>493.56463346390615</v>
      </c>
      <c r="S8" s="182">
        <f>RANK(R8, R$7:R$21)</f>
        <v>1</v>
      </c>
      <c r="T8" s="576"/>
      <c r="U8" s="188">
        <v>6</v>
      </c>
      <c r="V8" s="188">
        <v>2961.9256017505477</v>
      </c>
      <c r="W8" s="185">
        <f t="shared" si="11"/>
        <v>493.65426695842461</v>
      </c>
      <c r="X8" s="182">
        <f>RANK(W8, W$7:W$21)</f>
        <v>2</v>
      </c>
      <c r="Y8" s="576"/>
      <c r="Z8" s="188">
        <v>6</v>
      </c>
      <c r="AA8" s="188">
        <v>2962.6530612244878</v>
      </c>
      <c r="AB8" s="185">
        <f t="shared" si="12"/>
        <v>493.77551020408129</v>
      </c>
      <c r="AC8" s="182">
        <f>RANK(AB8, AB$7:AB$21)</f>
        <v>2</v>
      </c>
      <c r="AD8" s="576"/>
      <c r="AE8" s="188">
        <v>6</v>
      </c>
      <c r="AF8" s="188">
        <v>2964.3463497453185</v>
      </c>
      <c r="AG8" s="185">
        <f t="shared" ref="AG8" si="18">IFERROR(AF8/AE8,"")</f>
        <v>494.05772495755309</v>
      </c>
      <c r="AH8" s="182">
        <f>RANK(AG8, AG$7:AG$21)</f>
        <v>2</v>
      </c>
      <c r="AI8" s="576"/>
      <c r="AJ8" s="188">
        <v>6</v>
      </c>
      <c r="AK8" s="188">
        <v>2963.7846655791195</v>
      </c>
      <c r="AL8" s="185">
        <f t="shared" si="13"/>
        <v>493.96411092985323</v>
      </c>
      <c r="AM8" s="182">
        <f>RANK(AL8, AL$7:AL$21)</f>
        <v>2</v>
      </c>
      <c r="AN8" s="576"/>
      <c r="AO8" s="188">
        <v>6</v>
      </c>
      <c r="AP8" s="188">
        <v>2965.4075546719755</v>
      </c>
      <c r="AQ8" s="185">
        <f t="shared" si="14"/>
        <v>494.23459244532927</v>
      </c>
      <c r="AR8" s="182">
        <f>RANK(AQ8, AQ$7:AQ$21)</f>
        <v>2</v>
      </c>
      <c r="AS8" s="576"/>
      <c r="AT8" s="188">
        <v>6</v>
      </c>
      <c r="AU8" s="188">
        <v>2965.8715596330339</v>
      </c>
      <c r="AV8" s="185">
        <f t="shared" si="15"/>
        <v>494.31192660550568</v>
      </c>
      <c r="AW8" s="182">
        <f>RANK(AV8, AV$7:AV$21)</f>
        <v>1</v>
      </c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603"/>
      <c r="O9" s="603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603"/>
      <c r="O10" s="603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603"/>
      <c r="O11" s="603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603"/>
      <c r="O12" s="603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603"/>
      <c r="O13" s="603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603"/>
      <c r="O14" s="603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603"/>
      <c r="O15" s="603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603"/>
      <c r="O16" s="603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603"/>
      <c r="O17" s="603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603"/>
      <c r="O18" s="603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603"/>
      <c r="O19" s="603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603"/>
      <c r="O20" s="603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604"/>
      <c r="O21" s="604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 collapsed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382</v>
      </c>
      <c r="C27" s="180">
        <v>1</v>
      </c>
      <c r="D27" s="183" t="s">
        <v>511</v>
      </c>
      <c r="E27" s="180">
        <v>6</v>
      </c>
      <c r="F27" s="180">
        <v>3273</v>
      </c>
      <c r="G27" s="185">
        <f t="shared" ref="G27:G29" si="19">F27/E27</f>
        <v>545.5</v>
      </c>
      <c r="H27" s="576">
        <f>AVERAGE(G27:G41)</f>
        <v>454.57575757575756</v>
      </c>
      <c r="I27" s="186">
        <f>AVERAGE(P27,U27,Z27,AE27,AJ27,AO27,AT27)</f>
        <v>6</v>
      </c>
      <c r="J27" s="186">
        <f>AVERAGE(Q27,V27,AA27,AF27,AK27,AP27,AU27)</f>
        <v>2964.6529653090147</v>
      </c>
      <c r="K27" s="187">
        <f>AVERAGE(R27,W27,AB27,AG27,AL27,AQ27,AV27)</f>
        <v>494.10882755150249</v>
      </c>
      <c r="L27" s="577">
        <f>IFERROR(AVERAGE(K27:K41),"-")</f>
        <v>407.51753331212581</v>
      </c>
      <c r="M27" s="186">
        <f>RANK(K27, K$27:$K$41)</f>
        <v>1</v>
      </c>
      <c r="N27" s="575"/>
      <c r="O27" s="575"/>
      <c r="P27" s="188">
        <v>6</v>
      </c>
      <c r="Q27" s="188">
        <v>2964.0718562874372</v>
      </c>
      <c r="R27" s="185">
        <f>IFERROR(Q27/P27,"")</f>
        <v>494.01197604790622</v>
      </c>
      <c r="S27" s="182">
        <f>RANK(R27, R$27:R$41)</f>
        <v>2</v>
      </c>
      <c r="T27" s="576">
        <f>AVERAGE(R27:R41)</f>
        <v>403.80896170473147</v>
      </c>
      <c r="U27" s="188">
        <v>6</v>
      </c>
      <c r="V27" s="188">
        <v>2963.2224168126108</v>
      </c>
      <c r="W27" s="185">
        <f t="shared" ref="W27:W29" si="20">IFERROR(V27/U27,"")</f>
        <v>493.87040280210181</v>
      </c>
      <c r="X27" s="182">
        <f>RANK(W27, W$27:W$41)</f>
        <v>1</v>
      </c>
      <c r="Y27" s="576">
        <f>AVERAGE(W27:W41)</f>
        <v>405.05823270304307</v>
      </c>
      <c r="Z27" s="188">
        <v>6</v>
      </c>
      <c r="AA27" s="188">
        <v>2964.8589168126109</v>
      </c>
      <c r="AB27" s="185">
        <f t="shared" ref="AB27:AB29" si="21">IFERROR(AA27/Z27,"")</f>
        <v>494.14315280210184</v>
      </c>
      <c r="AC27" s="182">
        <f>RANK(AB27, AB$27:AB$41)</f>
        <v>1</v>
      </c>
      <c r="AD27" s="576">
        <f>AVERAGE(AB27:AB41)</f>
        <v>406.56885965386988</v>
      </c>
      <c r="AE27" s="188">
        <v>6</v>
      </c>
      <c r="AF27" s="188">
        <v>2963.8770168126111</v>
      </c>
      <c r="AG27" s="185">
        <f>IFERROR(AF27/AE27,"")</f>
        <v>493.97950280210188</v>
      </c>
      <c r="AH27" s="182">
        <f>RANK(AG27, AG$27:AG$41)</f>
        <v>1</v>
      </c>
      <c r="AI27" s="576">
        <f>AVERAGE(AG27:AG41)</f>
        <v>408.09625255658119</v>
      </c>
      <c r="AJ27" s="188">
        <v>6</v>
      </c>
      <c r="AK27" s="188">
        <v>2964.8589168126109</v>
      </c>
      <c r="AL27" s="185">
        <f t="shared" ref="AL27:AL29" si="22">IFERROR(AK27/AJ27,"")</f>
        <v>494.14315280210184</v>
      </c>
      <c r="AM27" s="182">
        <f>RANK(AL27, AL$27:AL$41)</f>
        <v>1</v>
      </c>
      <c r="AN27" s="576">
        <f>AVERAGE(AL27:AL41)</f>
        <v>409.64831946161235</v>
      </c>
      <c r="AO27" s="188">
        <v>6</v>
      </c>
      <c r="AP27" s="188">
        <v>2966.1681168126106</v>
      </c>
      <c r="AQ27" s="185">
        <f t="shared" ref="AQ27:AQ29" si="23">IFERROR(AP27/AO27,"")</f>
        <v>494.36135280210175</v>
      </c>
      <c r="AR27" s="182">
        <f>RANK(AQ27, AQ$27:AQ$41)</f>
        <v>1</v>
      </c>
      <c r="AS27" s="576">
        <f>AVERAGE(AQ27:AQ41)</f>
        <v>409.74832703736985</v>
      </c>
      <c r="AT27" s="188">
        <v>6</v>
      </c>
      <c r="AU27" s="188">
        <v>2965.5135168126108</v>
      </c>
      <c r="AV27" s="185">
        <f t="shared" ref="AV27:AV29" si="24">IFERROR(AU27/AT27,"")</f>
        <v>494.25225280210179</v>
      </c>
      <c r="AW27" s="182">
        <f>RANK(AV27, AV$27:AV$41)</f>
        <v>1</v>
      </c>
      <c r="AX27" s="576">
        <f>AVERAGE(AV27:AV41)</f>
        <v>409.693780067673</v>
      </c>
    </row>
    <row r="28" spans="2:50" ht="14.25" customHeight="1">
      <c r="B28" s="575"/>
      <c r="C28" s="180">
        <v>2</v>
      </c>
      <c r="D28" s="183" t="s">
        <v>535</v>
      </c>
      <c r="E28" s="180">
        <v>6</v>
      </c>
      <c r="F28" s="180">
        <v>3273</v>
      </c>
      <c r="G28" s="185">
        <f t="shared" si="19"/>
        <v>545.5</v>
      </c>
      <c r="H28" s="576"/>
      <c r="I28" s="186">
        <f t="shared" ref="I28:K29" si="25">AVERAGE(P28,U28,Z28,AE28,AJ28,AO28,AT28)</f>
        <v>6</v>
      </c>
      <c r="J28" s="186">
        <f t="shared" si="25"/>
        <v>2962.6326621802014</v>
      </c>
      <c r="K28" s="187">
        <f t="shared" si="25"/>
        <v>493.77211036336683</v>
      </c>
      <c r="L28" s="577"/>
      <c r="M28" s="186">
        <f>RANK(K28, K$27:$K$41)</f>
        <v>2</v>
      </c>
      <c r="N28" s="575"/>
      <c r="O28" s="575"/>
      <c r="P28" s="188">
        <v>6</v>
      </c>
      <c r="Q28" s="188">
        <v>2965.8767772511815</v>
      </c>
      <c r="R28" s="185">
        <f t="shared" ref="R28:R29" si="26">IFERROR(Q28/P28,"")</f>
        <v>494.31279620853024</v>
      </c>
      <c r="S28" s="182">
        <f t="shared" ref="S28:S29" si="27">RANK(R28, R$27:R$41)</f>
        <v>1</v>
      </c>
      <c r="T28" s="576"/>
      <c r="U28" s="188">
        <v>6</v>
      </c>
      <c r="V28" s="188">
        <v>2962.692026335038</v>
      </c>
      <c r="W28" s="185">
        <f t="shared" si="20"/>
        <v>493.78200438917298</v>
      </c>
      <c r="X28" s="182">
        <f t="shared" ref="X28:X29" si="28">RANK(W28, W$27:W$41)</f>
        <v>2</v>
      </c>
      <c r="Y28" s="576"/>
      <c r="Z28" s="188">
        <v>6</v>
      </c>
      <c r="AA28" s="188">
        <v>2961.7101263350382</v>
      </c>
      <c r="AB28" s="185">
        <f t="shared" si="21"/>
        <v>493.61835438917302</v>
      </c>
      <c r="AC28" s="182">
        <f t="shared" ref="AC28:AC29" si="29">RANK(AB28, AB$27:AB$41)</f>
        <v>2</v>
      </c>
      <c r="AD28" s="576"/>
      <c r="AE28" s="188">
        <v>6</v>
      </c>
      <c r="AF28" s="188">
        <v>2963.0193263350375</v>
      </c>
      <c r="AG28" s="185">
        <f t="shared" ref="AG28:AG29" si="30">IFERROR(AF28/AE28,"")</f>
        <v>493.83655438917293</v>
      </c>
      <c r="AH28" s="182">
        <f t="shared" ref="AH28:AH29" si="31">RANK(AG28, AG$27:AG$41)</f>
        <v>2</v>
      </c>
      <c r="AI28" s="576"/>
      <c r="AJ28" s="188">
        <v>6</v>
      </c>
      <c r="AK28" s="188">
        <v>2961.3828263350379</v>
      </c>
      <c r="AL28" s="185">
        <f t="shared" si="22"/>
        <v>493.56380438917296</v>
      </c>
      <c r="AM28" s="182">
        <f t="shared" ref="AM28:AM29" si="32">RANK(AL28, AL$27:AL$41)</f>
        <v>2</v>
      </c>
      <c r="AN28" s="576"/>
      <c r="AO28" s="188">
        <v>6</v>
      </c>
      <c r="AP28" s="188">
        <v>2961.7101263350378</v>
      </c>
      <c r="AQ28" s="185">
        <f t="shared" si="23"/>
        <v>493.61835438917296</v>
      </c>
      <c r="AR28" s="182">
        <f t="shared" ref="AR28:AR29" si="33">RANK(AQ28, AQ$27:AQ$41)</f>
        <v>2</v>
      </c>
      <c r="AS28" s="576"/>
      <c r="AT28" s="188">
        <v>6</v>
      </c>
      <c r="AU28" s="188">
        <v>2962.0374263350377</v>
      </c>
      <c r="AV28" s="185">
        <f t="shared" si="24"/>
        <v>493.67290438917297</v>
      </c>
      <c r="AW28" s="182">
        <f t="shared" ref="AW28:AW29" si="34">RANK(AV28, AV$27:AV$41)</f>
        <v>2</v>
      </c>
      <c r="AX28" s="576"/>
    </row>
    <row r="29" spans="2:50" ht="14.25" customHeight="1">
      <c r="B29" s="575"/>
      <c r="C29" s="180">
        <v>3</v>
      </c>
      <c r="D29" s="183" t="s">
        <v>681</v>
      </c>
      <c r="E29" s="180">
        <v>11</v>
      </c>
      <c r="F29" s="180">
        <v>3000</v>
      </c>
      <c r="G29" s="185">
        <f t="shared" si="19"/>
        <v>272.72727272727275</v>
      </c>
      <c r="H29" s="576"/>
      <c r="I29" s="186">
        <f t="shared" si="25"/>
        <v>11</v>
      </c>
      <c r="J29" s="186">
        <f t="shared" si="25"/>
        <v>2581.3882822365895</v>
      </c>
      <c r="K29" s="187">
        <f t="shared" si="25"/>
        <v>234.67166202150818</v>
      </c>
      <c r="L29" s="577"/>
      <c r="M29" s="186">
        <f>RANK(K29, K$27:$K$41)</f>
        <v>3</v>
      </c>
      <c r="N29" s="575"/>
      <c r="O29" s="575"/>
      <c r="P29" s="188">
        <v>11</v>
      </c>
      <c r="Q29" s="188">
        <v>2454.1232414353371</v>
      </c>
      <c r="R29" s="185">
        <f t="shared" si="26"/>
        <v>223.10211285775793</v>
      </c>
      <c r="S29" s="182">
        <f t="shared" si="27"/>
        <v>3</v>
      </c>
      <c r="T29" s="576"/>
      <c r="U29" s="188">
        <v>11</v>
      </c>
      <c r="V29" s="188">
        <v>2502.7452000963995</v>
      </c>
      <c r="W29" s="185">
        <f t="shared" si="20"/>
        <v>227.52229091785449</v>
      </c>
      <c r="X29" s="182">
        <f t="shared" si="28"/>
        <v>3</v>
      </c>
      <c r="Y29" s="576"/>
      <c r="Z29" s="188">
        <v>11</v>
      </c>
      <c r="AA29" s="188">
        <v>2551.3957894736823</v>
      </c>
      <c r="AB29" s="185">
        <f t="shared" si="21"/>
        <v>231.94507177033475</v>
      </c>
      <c r="AC29" s="182">
        <f t="shared" si="29"/>
        <v>3</v>
      </c>
      <c r="AD29" s="576"/>
      <c r="AE29" s="188">
        <v>11</v>
      </c>
      <c r="AF29" s="188">
        <v>2601.1997052631559</v>
      </c>
      <c r="AG29" s="185">
        <f t="shared" si="30"/>
        <v>236.47270047846871</v>
      </c>
      <c r="AH29" s="182">
        <f t="shared" si="31"/>
        <v>3</v>
      </c>
      <c r="AI29" s="576"/>
      <c r="AJ29" s="188">
        <v>11</v>
      </c>
      <c r="AK29" s="188">
        <v>2653.6180131291849</v>
      </c>
      <c r="AL29" s="185">
        <f t="shared" si="22"/>
        <v>241.23800119356227</v>
      </c>
      <c r="AM29" s="182">
        <f t="shared" si="32"/>
        <v>3</v>
      </c>
      <c r="AN29" s="576"/>
      <c r="AO29" s="188">
        <v>11</v>
      </c>
      <c r="AP29" s="188">
        <v>2653.9180131291846</v>
      </c>
      <c r="AQ29" s="185">
        <f t="shared" si="23"/>
        <v>241.26527392083497</v>
      </c>
      <c r="AR29" s="182">
        <f t="shared" si="33"/>
        <v>3</v>
      </c>
      <c r="AS29" s="576"/>
      <c r="AT29" s="188">
        <v>11</v>
      </c>
      <c r="AU29" s="188">
        <v>2652.7180131291843</v>
      </c>
      <c r="AV29" s="185">
        <f t="shared" si="24"/>
        <v>241.15618301174402</v>
      </c>
      <c r="AW29" s="182">
        <f t="shared" si="34"/>
        <v>3</v>
      </c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 collapsed="1">
      <c r="B42" s="63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382</v>
      </c>
      <c r="C47" s="180">
        <v>1</v>
      </c>
      <c r="D47" s="183" t="s">
        <v>511</v>
      </c>
      <c r="E47" s="180">
        <v>6</v>
      </c>
      <c r="F47" s="180">
        <v>3273</v>
      </c>
      <c r="G47" s="185">
        <f t="shared" ref="G47:G50" si="35">F47/E47</f>
        <v>545.5</v>
      </c>
      <c r="H47" s="576">
        <f>AVERAGE(G47:G61)</f>
        <v>445.09848484848487</v>
      </c>
      <c r="I47" s="186">
        <f>AVERAGE(P47,U47,Z47,AE47,AJ47,AO47,AT47)</f>
        <v>6</v>
      </c>
      <c r="J47" s="186">
        <f>AVERAGE(Q47,V47,AA47,AF47,AK47,AP47,AU47)</f>
        <v>2966.2552183599291</v>
      </c>
      <c r="K47" s="187">
        <f>AVERAGE(R47,W47,AB47,AG47,AL47,AQ47,AV47)</f>
        <v>494.37586972665491</v>
      </c>
      <c r="L47" s="577">
        <f>IFERROR(AVERAGE(K47:K61),"-")</f>
        <v>397.22974223260462</v>
      </c>
      <c r="M47" s="186">
        <f>RANK(K47, K$47:$K$61)</f>
        <v>1</v>
      </c>
      <c r="N47" s="575"/>
      <c r="O47" s="575"/>
      <c r="P47" s="188">
        <v>6</v>
      </c>
      <c r="Q47" s="188">
        <v>2965.8408168126107</v>
      </c>
      <c r="R47" s="185">
        <f>IFERROR(Q47/P47,"")</f>
        <v>494.3068028021018</v>
      </c>
      <c r="S47" s="182">
        <f>RANK(R47, R$47:R$61)</f>
        <v>1</v>
      </c>
      <c r="T47" s="576">
        <f>AVERAGE(R47:R61)</f>
        <v>392.18018580833041</v>
      </c>
      <c r="U47" s="188">
        <v>6</v>
      </c>
      <c r="V47" s="188">
        <v>2964.5316168126105</v>
      </c>
      <c r="W47" s="185">
        <f t="shared" ref="W47:W50" si="36">IFERROR(V47/U47,"")</f>
        <v>494.08860280210178</v>
      </c>
      <c r="X47" s="182">
        <f>RANK(W47, W$47:W$61)</f>
        <v>1</v>
      </c>
      <c r="Y47" s="576">
        <f>AVERAGE(W47:W61)</f>
        <v>393.81714868711833</v>
      </c>
      <c r="Z47" s="188">
        <v>6</v>
      </c>
      <c r="AA47" s="188">
        <v>2965.1862168126104</v>
      </c>
      <c r="AB47" s="185">
        <f t="shared" ref="AB47:AB50" si="37">IFERROR(AA47/Z47,"")</f>
        <v>494.19770280210173</v>
      </c>
      <c r="AC47" s="182">
        <f>RANK(AB47, AB$47:AB$61)</f>
        <v>1</v>
      </c>
      <c r="AD47" s="576">
        <f>AVERAGE(AB47:AB61)</f>
        <v>395.59797255075466</v>
      </c>
      <c r="AE47" s="188">
        <v>6</v>
      </c>
      <c r="AF47" s="188">
        <v>2966.4954168126096</v>
      </c>
      <c r="AG47" s="185">
        <f>IFERROR(AF47/AE47,"")</f>
        <v>494.41590280210158</v>
      </c>
      <c r="AH47" s="182">
        <f>RANK(AG47, AG$47:AG$61)</f>
        <v>1</v>
      </c>
      <c r="AI47" s="576">
        <f>AVERAGE(AG47:AG61)</f>
        <v>397.43654468711821</v>
      </c>
      <c r="AJ47" s="188">
        <v>6</v>
      </c>
      <c r="AK47" s="188">
        <v>2966.5080229075265</v>
      </c>
      <c r="AL47" s="185">
        <f t="shared" ref="AL47:AL50" si="38">IFERROR(AK47/AJ47,"")</f>
        <v>494.41800381792109</v>
      </c>
      <c r="AM47" s="182">
        <f>RANK(AL47, AL$47:AL$61)</f>
        <v>1</v>
      </c>
      <c r="AN47" s="576">
        <f>AVERAGE(AL47:AL61)</f>
        <v>399.30094290652767</v>
      </c>
      <c r="AO47" s="188">
        <v>6</v>
      </c>
      <c r="AP47" s="188">
        <v>2966.9576191807687</v>
      </c>
      <c r="AQ47" s="185">
        <f t="shared" ref="AQ47:AQ50" si="39">IFERROR(AP47/AO47,"")</f>
        <v>494.49293653012813</v>
      </c>
      <c r="AR47" s="182">
        <f>RANK(AQ47, AQ$47:AQ$61)</f>
        <v>1</v>
      </c>
      <c r="AS47" s="576">
        <f>AVERAGE(AQ47:AQ61)</f>
        <v>401.12112644116127</v>
      </c>
      <c r="AT47" s="188">
        <v>6</v>
      </c>
      <c r="AU47" s="188">
        <v>2968.2668191807684</v>
      </c>
      <c r="AV47" s="185">
        <f t="shared" ref="AV47:AV50" si="40">IFERROR(AU47/AT47,"")</f>
        <v>494.71113653012804</v>
      </c>
      <c r="AW47" s="182">
        <f>RANK(AV47, AV$47:AV$61)</f>
        <v>1</v>
      </c>
      <c r="AX47" s="576">
        <f>AVERAGE(AV47:AV61)</f>
        <v>370.30260904434914</v>
      </c>
    </row>
    <row r="48" spans="2:50" ht="14.25" customHeight="1">
      <c r="B48" s="575"/>
      <c r="C48" s="180">
        <v>2</v>
      </c>
      <c r="D48" s="183" t="s">
        <v>535</v>
      </c>
      <c r="E48" s="180">
        <v>6</v>
      </c>
      <c r="F48" s="180">
        <v>3273</v>
      </c>
      <c r="G48" s="185">
        <f t="shared" si="35"/>
        <v>545.5</v>
      </c>
      <c r="H48" s="576"/>
      <c r="I48" s="186">
        <f t="shared" ref="I48:K50" si="41">AVERAGE(P48,U48,Z48,AE48,AJ48,AO48,AT48)</f>
        <v>6</v>
      </c>
      <c r="J48" s="186">
        <f t="shared" si="41"/>
        <v>2962.2556263350384</v>
      </c>
      <c r="K48" s="187">
        <f t="shared" si="41"/>
        <v>493.70927105583974</v>
      </c>
      <c r="L48" s="577"/>
      <c r="M48" s="186">
        <f>RANK(K48, K$47:$K$61)</f>
        <v>2</v>
      </c>
      <c r="N48" s="575"/>
      <c r="O48" s="575"/>
      <c r="P48" s="188">
        <v>6</v>
      </c>
      <c r="Q48" s="188">
        <v>2962.3647263350381</v>
      </c>
      <c r="R48" s="185">
        <f t="shared" ref="R48:R50" si="42">IFERROR(Q48/P48,"")</f>
        <v>493.72745438917303</v>
      </c>
      <c r="S48" s="182">
        <f t="shared" ref="S48:S50" si="43">RANK(R48, R$47:R$61)</f>
        <v>2</v>
      </c>
      <c r="T48" s="576"/>
      <c r="U48" s="188">
        <v>6</v>
      </c>
      <c r="V48" s="188">
        <v>2961.7101263350382</v>
      </c>
      <c r="W48" s="185">
        <f t="shared" si="36"/>
        <v>493.61835438917302</v>
      </c>
      <c r="X48" s="182">
        <f t="shared" ref="X48:X50" si="44">RANK(W48, W$47:W$61)</f>
        <v>2</v>
      </c>
      <c r="Y48" s="576"/>
      <c r="Z48" s="188">
        <v>6</v>
      </c>
      <c r="AA48" s="188">
        <v>2961.3828263350383</v>
      </c>
      <c r="AB48" s="185">
        <f t="shared" si="37"/>
        <v>493.56380438917307</v>
      </c>
      <c r="AC48" s="182">
        <f t="shared" ref="AC48:AC50" si="45">RANK(AB48, AB$47:AB$61)</f>
        <v>2</v>
      </c>
      <c r="AD48" s="576"/>
      <c r="AE48" s="188">
        <v>6</v>
      </c>
      <c r="AF48" s="188">
        <v>2962.3647263350385</v>
      </c>
      <c r="AG48" s="185">
        <f t="shared" ref="AG48:AG50" si="46">IFERROR(AF48/AE48,"")</f>
        <v>493.72745438917309</v>
      </c>
      <c r="AH48" s="182">
        <f t="shared" ref="AH48:AH50" si="47">RANK(AG48, AG$47:AG$61)</f>
        <v>2</v>
      </c>
      <c r="AI48" s="576"/>
      <c r="AJ48" s="188">
        <v>6</v>
      </c>
      <c r="AK48" s="188">
        <v>2963.3466263350388</v>
      </c>
      <c r="AL48" s="185">
        <f t="shared" si="38"/>
        <v>493.89110438917311</v>
      </c>
      <c r="AM48" s="182">
        <f t="shared" ref="AM48:AM50" si="48">RANK(AL48, AL$47:AL$61)</f>
        <v>2</v>
      </c>
      <c r="AN48" s="576"/>
      <c r="AO48" s="188">
        <v>6</v>
      </c>
      <c r="AP48" s="188">
        <v>2962.364726335039</v>
      </c>
      <c r="AQ48" s="185">
        <f t="shared" si="39"/>
        <v>493.72745438917315</v>
      </c>
      <c r="AR48" s="182">
        <f t="shared" ref="AR48:AR50" si="49">RANK(AQ48, AQ$47:AQ$61)</f>
        <v>2</v>
      </c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 t="s">
        <v>681</v>
      </c>
      <c r="E49" s="180">
        <v>11</v>
      </c>
      <c r="F49" s="180">
        <v>3000</v>
      </c>
      <c r="G49" s="185">
        <f t="shared" si="35"/>
        <v>272.72727272727275</v>
      </c>
      <c r="H49" s="576"/>
      <c r="I49" s="186">
        <f t="shared" si="41"/>
        <v>11</v>
      </c>
      <c r="J49" s="186">
        <f t="shared" si="41"/>
        <v>2652.203727414897</v>
      </c>
      <c r="K49" s="187">
        <f t="shared" si="41"/>
        <v>241.10942976499069</v>
      </c>
      <c r="L49" s="577"/>
      <c r="M49" s="186">
        <f>RANK(K49, K$47:$K$61)</f>
        <v>4</v>
      </c>
      <c r="N49" s="575"/>
      <c r="O49" s="575"/>
      <c r="P49" s="188">
        <v>11</v>
      </c>
      <c r="Q49" s="188">
        <v>2651.2180131291839</v>
      </c>
      <c r="R49" s="185">
        <f t="shared" si="42"/>
        <v>241.01981937538037</v>
      </c>
      <c r="S49" s="182">
        <f t="shared" si="43"/>
        <v>4</v>
      </c>
      <c r="T49" s="576"/>
      <c r="U49" s="188">
        <v>11</v>
      </c>
      <c r="V49" s="188">
        <v>2652.1180131291835</v>
      </c>
      <c r="W49" s="185">
        <f t="shared" si="36"/>
        <v>241.1016375571985</v>
      </c>
      <c r="X49" s="182">
        <f t="shared" si="44"/>
        <v>4</v>
      </c>
      <c r="Y49" s="576"/>
      <c r="Z49" s="188">
        <v>11</v>
      </c>
      <c r="AA49" s="188">
        <v>2652.718013129183</v>
      </c>
      <c r="AB49" s="185">
        <f t="shared" si="37"/>
        <v>241.15618301174391</v>
      </c>
      <c r="AC49" s="182">
        <f t="shared" si="45"/>
        <v>4</v>
      </c>
      <c r="AD49" s="576"/>
      <c r="AE49" s="188">
        <v>11</v>
      </c>
      <c r="AF49" s="188">
        <v>2652.1180131291831</v>
      </c>
      <c r="AG49" s="185">
        <f t="shared" si="46"/>
        <v>241.10163755719847</v>
      </c>
      <c r="AH49" s="182">
        <f t="shared" si="47"/>
        <v>4</v>
      </c>
      <c r="AI49" s="576"/>
      <c r="AJ49" s="188">
        <v>11</v>
      </c>
      <c r="AK49" s="188">
        <v>2653.0180131291827</v>
      </c>
      <c r="AL49" s="185">
        <f t="shared" si="38"/>
        <v>241.18345573901661</v>
      </c>
      <c r="AM49" s="182">
        <f t="shared" si="48"/>
        <v>4</v>
      </c>
      <c r="AN49" s="576"/>
      <c r="AO49" s="188">
        <v>11</v>
      </c>
      <c r="AP49" s="188">
        <v>2652.718013129183</v>
      </c>
      <c r="AQ49" s="185">
        <f t="shared" si="39"/>
        <v>241.15618301174391</v>
      </c>
      <c r="AR49" s="182">
        <f t="shared" si="49"/>
        <v>4</v>
      </c>
      <c r="AS49" s="576"/>
      <c r="AT49" s="188">
        <v>11</v>
      </c>
      <c r="AU49" s="188">
        <v>2651.5180131291831</v>
      </c>
      <c r="AV49" s="185">
        <f t="shared" si="40"/>
        <v>241.04709210265301</v>
      </c>
      <c r="AW49" s="182">
        <f t="shared" ref="AW49:AW50" si="50">RANK(AV49, AV$47:AV$61)</f>
        <v>3</v>
      </c>
      <c r="AX49" s="576"/>
    </row>
    <row r="50" spans="2:50" ht="14.25" customHeight="1">
      <c r="B50" s="575"/>
      <c r="C50" s="180">
        <v>4</v>
      </c>
      <c r="D50" s="183" t="s">
        <v>740</v>
      </c>
      <c r="E50" s="180">
        <v>6</v>
      </c>
      <c r="F50" s="180">
        <v>2500</v>
      </c>
      <c r="G50" s="185">
        <f t="shared" si="35"/>
        <v>416.66666666666669</v>
      </c>
      <c r="H50" s="576"/>
      <c r="I50" s="186">
        <f t="shared" si="41"/>
        <v>6</v>
      </c>
      <c r="J50" s="186">
        <f t="shared" si="41"/>
        <v>2158.3463902975996</v>
      </c>
      <c r="K50" s="187">
        <f t="shared" si="41"/>
        <v>359.7243983829332</v>
      </c>
      <c r="L50" s="577"/>
      <c r="M50" s="186">
        <f>RANK(K50, K$47:$K$61)</f>
        <v>3</v>
      </c>
      <c r="N50" s="575"/>
      <c r="O50" s="575"/>
      <c r="P50" s="188">
        <v>6</v>
      </c>
      <c r="Q50" s="188">
        <v>2037.9999999999998</v>
      </c>
      <c r="R50" s="185">
        <f t="shared" si="42"/>
        <v>339.66666666666663</v>
      </c>
      <c r="S50" s="182">
        <f t="shared" si="43"/>
        <v>3</v>
      </c>
      <c r="T50" s="576"/>
      <c r="U50" s="188">
        <v>6</v>
      </c>
      <c r="V50" s="188">
        <v>2078.7599999999998</v>
      </c>
      <c r="W50" s="185">
        <f t="shared" si="36"/>
        <v>346.46</v>
      </c>
      <c r="X50" s="182">
        <f t="shared" si="44"/>
        <v>3</v>
      </c>
      <c r="Y50" s="576"/>
      <c r="Z50" s="188">
        <v>6</v>
      </c>
      <c r="AA50" s="188">
        <v>2120.8451999999997</v>
      </c>
      <c r="AB50" s="185">
        <f t="shared" si="37"/>
        <v>353.47419999999994</v>
      </c>
      <c r="AC50" s="182">
        <f t="shared" si="45"/>
        <v>3</v>
      </c>
      <c r="AD50" s="576"/>
      <c r="AE50" s="188">
        <v>6</v>
      </c>
      <c r="AF50" s="188">
        <v>2163.0071039999989</v>
      </c>
      <c r="AG50" s="185">
        <f t="shared" si="46"/>
        <v>360.5011839999998</v>
      </c>
      <c r="AH50" s="182">
        <f t="shared" si="47"/>
        <v>3</v>
      </c>
      <c r="AI50" s="576"/>
      <c r="AJ50" s="188">
        <v>6</v>
      </c>
      <c r="AK50" s="188">
        <v>2206.2672460799995</v>
      </c>
      <c r="AL50" s="185">
        <f t="shared" si="38"/>
        <v>367.71120767999992</v>
      </c>
      <c r="AM50" s="182">
        <f t="shared" si="48"/>
        <v>3</v>
      </c>
      <c r="AN50" s="576"/>
      <c r="AO50" s="188">
        <v>6</v>
      </c>
      <c r="AP50" s="188">
        <v>2250.6475910015997</v>
      </c>
      <c r="AQ50" s="185">
        <f t="shared" si="39"/>
        <v>375.10793183359993</v>
      </c>
      <c r="AR50" s="182">
        <f t="shared" si="49"/>
        <v>3</v>
      </c>
      <c r="AS50" s="576"/>
      <c r="AT50" s="188">
        <v>6</v>
      </c>
      <c r="AU50" s="188">
        <v>2250.8975910015988</v>
      </c>
      <c r="AV50" s="185">
        <f t="shared" si="40"/>
        <v>375.14959850026645</v>
      </c>
      <c r="AW50" s="182">
        <f t="shared" si="50"/>
        <v>2</v>
      </c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61"/>
  <sheetViews>
    <sheetView zoomScaleNormal="100" workbookViewId="0">
      <pane xSplit="13" ySplit="1" topLeftCell="AJ38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AVERAGE(L7,L27,L47)</f>
        <v>81.701028999636705</v>
      </c>
    </row>
    <row r="2" spans="1:50" ht="14.25" customHeight="1" collapsed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602" t="s">
        <v>375</v>
      </c>
      <c r="O2" s="602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604"/>
      <c r="O3" s="604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376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377</v>
      </c>
      <c r="F5" s="575"/>
      <c r="G5" s="575"/>
      <c r="H5" s="575"/>
      <c r="I5" s="579" t="s">
        <v>377</v>
      </c>
      <c r="J5" s="579"/>
      <c r="K5" s="579"/>
      <c r="L5" s="579"/>
      <c r="M5" s="579"/>
      <c r="N5" s="575"/>
      <c r="O5" s="575"/>
      <c r="P5" s="575" t="s">
        <v>378</v>
      </c>
      <c r="Q5" s="575"/>
      <c r="R5" s="575"/>
      <c r="S5" s="575"/>
      <c r="T5" s="575"/>
      <c r="U5" s="575" t="s">
        <v>378</v>
      </c>
      <c r="V5" s="575"/>
      <c r="W5" s="575"/>
      <c r="X5" s="575"/>
      <c r="Y5" s="575"/>
      <c r="Z5" s="575" t="s">
        <v>378</v>
      </c>
      <c r="AA5" s="575"/>
      <c r="AB5" s="575"/>
      <c r="AC5" s="575"/>
      <c r="AD5" s="575"/>
      <c r="AE5" s="575" t="s">
        <v>378</v>
      </c>
      <c r="AF5" s="575"/>
      <c r="AG5" s="575"/>
      <c r="AH5" s="575"/>
      <c r="AI5" s="575"/>
      <c r="AJ5" s="575" t="s">
        <v>378</v>
      </c>
      <c r="AK5" s="575"/>
      <c r="AL5" s="575"/>
      <c r="AM5" s="575"/>
      <c r="AN5" s="575"/>
      <c r="AO5" s="575" t="s">
        <v>378</v>
      </c>
      <c r="AP5" s="575"/>
      <c r="AQ5" s="575"/>
      <c r="AR5" s="575"/>
      <c r="AS5" s="575"/>
      <c r="AT5" s="575" t="s">
        <v>378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379</v>
      </c>
      <c r="G6" s="180" t="s">
        <v>161</v>
      </c>
      <c r="H6" s="575"/>
      <c r="I6" s="181" t="s">
        <v>159</v>
      </c>
      <c r="J6" s="181" t="s">
        <v>379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379</v>
      </c>
      <c r="R6" s="180" t="s">
        <v>161</v>
      </c>
      <c r="S6" s="182" t="s">
        <v>165</v>
      </c>
      <c r="T6" s="575"/>
      <c r="U6" s="180" t="s">
        <v>159</v>
      </c>
      <c r="V6" s="180" t="s">
        <v>379</v>
      </c>
      <c r="W6" s="180" t="s">
        <v>161</v>
      </c>
      <c r="X6" s="182" t="s">
        <v>165</v>
      </c>
      <c r="Y6" s="575"/>
      <c r="Z6" s="180" t="s">
        <v>159</v>
      </c>
      <c r="AA6" s="180" t="s">
        <v>379</v>
      </c>
      <c r="AB6" s="180" t="s">
        <v>161</v>
      </c>
      <c r="AC6" s="182" t="s">
        <v>165</v>
      </c>
      <c r="AD6" s="575"/>
      <c r="AE6" s="180" t="s">
        <v>159</v>
      </c>
      <c r="AF6" s="180" t="s">
        <v>379</v>
      </c>
      <c r="AG6" s="180" t="s">
        <v>161</v>
      </c>
      <c r="AH6" s="182" t="s">
        <v>165</v>
      </c>
      <c r="AI6" s="575"/>
      <c r="AJ6" s="180" t="s">
        <v>159</v>
      </c>
      <c r="AK6" s="180" t="s">
        <v>379</v>
      </c>
      <c r="AL6" s="180" t="s">
        <v>161</v>
      </c>
      <c r="AM6" s="182" t="s">
        <v>165</v>
      </c>
      <c r="AN6" s="575"/>
      <c r="AO6" s="180" t="s">
        <v>159</v>
      </c>
      <c r="AP6" s="180" t="s">
        <v>379</v>
      </c>
      <c r="AQ6" s="180" t="s">
        <v>161</v>
      </c>
      <c r="AR6" s="182" t="s">
        <v>165</v>
      </c>
      <c r="AS6" s="575"/>
      <c r="AT6" s="180" t="s">
        <v>159</v>
      </c>
      <c r="AU6" s="180" t="s">
        <v>379</v>
      </c>
      <c r="AV6" s="180" t="s">
        <v>161</v>
      </c>
      <c r="AW6" s="182" t="s">
        <v>165</v>
      </c>
      <c r="AX6" s="575"/>
    </row>
    <row r="7" spans="1:50" ht="14.25" customHeight="1">
      <c r="B7" s="575" t="s">
        <v>355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10">F7/E7</f>
        <v>83.333333333333329</v>
      </c>
      <c r="H7" s="576">
        <f>AVERAGE(G7:G21)</f>
        <v>91.239648033126286</v>
      </c>
      <c r="I7" s="186">
        <f>AVERAGE(P7,U7,Z7,AE7,AJ7,AO7,AT7)</f>
        <v>24</v>
      </c>
      <c r="J7" s="186">
        <f>AVERAGE(Q7,V7,AA7,AF7,AK7,AP7,AU7)</f>
        <v>1785.5616371524959</v>
      </c>
      <c r="K7" s="187">
        <f>AVERAGE(R7,W7,AB7,AG7,AL7,AQ7,AV7)</f>
        <v>74.398401548020658</v>
      </c>
      <c r="L7" s="577">
        <f>IFERROR(AVERAGE(K7:K21),"-")</f>
        <v>80.926905816289917</v>
      </c>
      <c r="M7" s="186">
        <f>RANK(K7, K$7:$K$21)</f>
        <v>8</v>
      </c>
      <c r="N7" s="575"/>
      <c r="O7" s="575"/>
      <c r="P7" s="188">
        <v>24</v>
      </c>
      <c r="Q7" s="188">
        <v>1785.2952993169945</v>
      </c>
      <c r="R7" s="185">
        <f>IFERROR(Q7/P7,"")</f>
        <v>74.387304138208108</v>
      </c>
      <c r="S7" s="182">
        <f>RANK(R7, R$7:R$21)</f>
        <v>8</v>
      </c>
      <c r="T7" s="576">
        <f>AVERAGE(R7:R21)</f>
        <v>80.910463248378548</v>
      </c>
      <c r="U7" s="188">
        <v>24</v>
      </c>
      <c r="V7" s="188">
        <v>1785.4522847373339</v>
      </c>
      <c r="W7" s="185">
        <f t="shared" ref="W7:W14" si="11">IFERROR(V7/U7,"")</f>
        <v>74.393845197388913</v>
      </c>
      <c r="X7" s="182">
        <f>RANK(W7, W$7:W$21)</f>
        <v>8</v>
      </c>
      <c r="Y7" s="576">
        <f>AVERAGE(W7:W21)</f>
        <v>80.912277897667664</v>
      </c>
      <c r="Z7" s="188">
        <v>24</v>
      </c>
      <c r="AA7" s="188">
        <v>1785.6349757113126</v>
      </c>
      <c r="AB7" s="185">
        <f t="shared" ref="AB7:AB14" si="12">IFERROR(AA7/Z7,"")</f>
        <v>74.40145732130469</v>
      </c>
      <c r="AC7" s="182">
        <f>RANK(AB7, AB$7:AB$21)</f>
        <v>8</v>
      </c>
      <c r="AD7" s="576">
        <f>AVERAGE(AB7:AB21)</f>
        <v>80.920721067550318</v>
      </c>
      <c r="AE7" s="188">
        <v>24</v>
      </c>
      <c r="AF7" s="188">
        <v>1785.5852785823827</v>
      </c>
      <c r="AG7" s="185">
        <f>IFERROR(AF7/AE7,"")</f>
        <v>74.399386607599283</v>
      </c>
      <c r="AH7" s="182">
        <f>RANK(AG7, AG$7:AG$21)</f>
        <v>8</v>
      </c>
      <c r="AI7" s="576">
        <f>AVERAGE(AG7:AG21)</f>
        <v>80.92790132274061</v>
      </c>
      <c r="AJ7" s="188">
        <v>24</v>
      </c>
      <c r="AK7" s="188">
        <v>1785.5819067064554</v>
      </c>
      <c r="AL7" s="185">
        <f t="shared" ref="AL7:AL14" si="13">IFERROR(AK7/AJ7,"")</f>
        <v>74.399246112768978</v>
      </c>
      <c r="AM7" s="182">
        <f>RANK(AL7, AL$7:AL$21)</f>
        <v>8</v>
      </c>
      <c r="AN7" s="576">
        <f>AVERAGE(AL7:AL21)</f>
        <v>80.934874402526887</v>
      </c>
      <c r="AO7" s="188">
        <v>24</v>
      </c>
      <c r="AP7" s="188">
        <v>1785.6880733944952</v>
      </c>
      <c r="AQ7" s="185">
        <f t="shared" ref="AQ7:AQ14" si="14">IFERROR(AP7/AO7,"")</f>
        <v>74.403669724770637</v>
      </c>
      <c r="AR7" s="182">
        <f>RANK(AQ7, AQ$7:AQ$21)</f>
        <v>8</v>
      </c>
      <c r="AS7" s="576">
        <f>AVERAGE(AQ7:AQ21)</f>
        <v>80.937870915160943</v>
      </c>
      <c r="AT7" s="188">
        <v>24</v>
      </c>
      <c r="AU7" s="188">
        <v>1785.6936416184974</v>
      </c>
      <c r="AV7" s="185">
        <f t="shared" ref="AV7:AV14" si="15">IFERROR(AU7/AT7,"")</f>
        <v>74.403901734104053</v>
      </c>
      <c r="AW7" s="182">
        <f>RANK(AV7, AV$7:AV$21)</f>
        <v>8</v>
      </c>
      <c r="AX7" s="576">
        <f>AVERAGE(AV7:AV21)</f>
        <v>80.944231860004493</v>
      </c>
    </row>
    <row r="8" spans="1:50" ht="14.25" customHeight="1">
      <c r="B8" s="575"/>
      <c r="C8" s="180">
        <v>2</v>
      </c>
      <c r="D8" s="183" t="s">
        <v>343</v>
      </c>
      <c r="E8" s="180">
        <v>23</v>
      </c>
      <c r="F8" s="180">
        <v>2000</v>
      </c>
      <c r="G8" s="185">
        <f t="shared" si="10"/>
        <v>86.956521739130437</v>
      </c>
      <c r="H8" s="576"/>
      <c r="I8" s="186">
        <f t="shared" ref="I8:K14" si="16">AVERAGE(P8,U8,Z8,AE8,AJ8,AO8,AT8)</f>
        <v>23</v>
      </c>
      <c r="J8" s="186">
        <f t="shared" si="16"/>
        <v>1787.7124237029086</v>
      </c>
      <c r="K8" s="187">
        <f t="shared" si="16"/>
        <v>77.726627117517751</v>
      </c>
      <c r="L8" s="577"/>
      <c r="M8" s="186">
        <f>RANK(K8, K$7:$K$21)</f>
        <v>5</v>
      </c>
      <c r="N8" s="575"/>
      <c r="O8" s="575"/>
      <c r="P8" s="188">
        <v>23</v>
      </c>
      <c r="Q8" s="188">
        <v>1787.2899926953985</v>
      </c>
      <c r="R8" s="185">
        <f t="shared" ref="R8:R14" si="17">IFERROR(Q8/P8,"")</f>
        <v>77.708260551973851</v>
      </c>
      <c r="S8" s="182">
        <f t="shared" ref="S8:S14" si="18">RANK(R8, R$7:R$21)</f>
        <v>5</v>
      </c>
      <c r="T8" s="576"/>
      <c r="U8" s="188">
        <v>23</v>
      </c>
      <c r="V8" s="188">
        <v>1787.2967167842908</v>
      </c>
      <c r="W8" s="185">
        <f t="shared" si="11"/>
        <v>77.70855290366481</v>
      </c>
      <c r="X8" s="182">
        <f t="shared" ref="X8:X14" si="19">RANK(W8, W$7:W$21)</f>
        <v>5</v>
      </c>
      <c r="Y8" s="576"/>
      <c r="Z8" s="188">
        <v>23</v>
      </c>
      <c r="AA8" s="188">
        <v>1787.6712328767107</v>
      </c>
      <c r="AB8" s="185">
        <f t="shared" si="12"/>
        <v>77.724836212030908</v>
      </c>
      <c r="AC8" s="182">
        <f t="shared" ref="AC8:AC14" si="20">RANK(AB8, AB$7:AB$21)</f>
        <v>5</v>
      </c>
      <c r="AD8" s="576"/>
      <c r="AE8" s="188">
        <v>23</v>
      </c>
      <c r="AF8" s="188">
        <v>1787.8414096916326</v>
      </c>
      <c r="AG8" s="185">
        <f t="shared" ref="AG8:AG14" si="21">IFERROR(AF8/AE8,"")</f>
        <v>77.732235203984033</v>
      </c>
      <c r="AH8" s="182">
        <f t="shared" ref="AH8:AH14" si="22">RANK(AG8, AG$7:AG$21)</f>
        <v>6</v>
      </c>
      <c r="AI8" s="576"/>
      <c r="AJ8" s="188">
        <v>23</v>
      </c>
      <c r="AK8" s="188">
        <v>1787.7171215880901</v>
      </c>
      <c r="AL8" s="185">
        <f t="shared" si="13"/>
        <v>77.726831373395228</v>
      </c>
      <c r="AM8" s="182">
        <f t="shared" ref="AM8:AM14" si="23">RANK(AL8, AL$7:AL$21)</f>
        <v>6</v>
      </c>
      <c r="AN8" s="576"/>
      <c r="AO8" s="188">
        <v>23</v>
      </c>
      <c r="AP8" s="188">
        <v>1787.9970363052594</v>
      </c>
      <c r="AQ8" s="185">
        <f t="shared" si="14"/>
        <v>77.739001578489535</v>
      </c>
      <c r="AR8" s="182">
        <f t="shared" ref="AR8:AR14" si="24">RANK(AQ8, AQ$7:AQ$21)</f>
        <v>5</v>
      </c>
      <c r="AS8" s="576"/>
      <c r="AT8" s="188">
        <v>23</v>
      </c>
      <c r="AU8" s="188">
        <v>1788.1734559789772</v>
      </c>
      <c r="AV8" s="185">
        <f t="shared" si="15"/>
        <v>77.746671999085962</v>
      </c>
      <c r="AW8" s="182">
        <f t="shared" ref="AW8:AW14" si="25">RANK(AV8, AV$7:AV$21)</f>
        <v>5</v>
      </c>
      <c r="AX8" s="576"/>
    </row>
    <row r="9" spans="1:50" ht="14.25" customHeight="1">
      <c r="B9" s="575"/>
      <c r="C9" s="180">
        <v>3</v>
      </c>
      <c r="D9" s="183" t="s">
        <v>356</v>
      </c>
      <c r="E9" s="180">
        <v>23</v>
      </c>
      <c r="F9" s="180">
        <v>2000</v>
      </c>
      <c r="G9" s="185">
        <f t="shared" si="10"/>
        <v>86.956521739130437</v>
      </c>
      <c r="H9" s="576"/>
      <c r="I9" s="186">
        <f t="shared" si="16"/>
        <v>23</v>
      </c>
      <c r="J9" s="186">
        <f t="shared" si="16"/>
        <v>1787.6415234531344</v>
      </c>
      <c r="K9" s="187">
        <f t="shared" si="16"/>
        <v>77.723544497962379</v>
      </c>
      <c r="L9" s="577"/>
      <c r="M9" s="186">
        <f>RANK(K9, K$7:$K$21)</f>
        <v>6</v>
      </c>
      <c r="N9" s="575"/>
      <c r="O9" s="575"/>
      <c r="P9" s="188">
        <v>23</v>
      </c>
      <c r="Q9" s="188">
        <v>1787.0658682634776</v>
      </c>
      <c r="R9" s="185">
        <f t="shared" si="17"/>
        <v>77.698516011455553</v>
      </c>
      <c r="S9" s="182">
        <f t="shared" si="18"/>
        <v>6</v>
      </c>
      <c r="T9" s="576"/>
      <c r="U9" s="188">
        <v>23</v>
      </c>
      <c r="V9" s="188">
        <v>1787.2138910812969</v>
      </c>
      <c r="W9" s="185">
        <f t="shared" si="11"/>
        <v>77.70495178614334</v>
      </c>
      <c r="X9" s="182">
        <f t="shared" si="19"/>
        <v>6</v>
      </c>
      <c r="Y9" s="576"/>
      <c r="Z9" s="188">
        <v>23</v>
      </c>
      <c r="AA9" s="188">
        <v>1787.517337031906</v>
      </c>
      <c r="AB9" s="185">
        <f t="shared" si="12"/>
        <v>77.718145088343732</v>
      </c>
      <c r="AC9" s="182">
        <f t="shared" si="20"/>
        <v>6</v>
      </c>
      <c r="AD9" s="576"/>
      <c r="AE9" s="188">
        <v>23</v>
      </c>
      <c r="AF9" s="188">
        <v>1788.0294014700721</v>
      </c>
      <c r="AG9" s="185">
        <f t="shared" si="21"/>
        <v>77.740408759568354</v>
      </c>
      <c r="AH9" s="182">
        <f t="shared" si="22"/>
        <v>5</v>
      </c>
      <c r="AI9" s="576"/>
      <c r="AJ9" s="188">
        <v>23</v>
      </c>
      <c r="AK9" s="188">
        <v>1787.9194630872503</v>
      </c>
      <c r="AL9" s="185">
        <f t="shared" si="13"/>
        <v>77.73562882988044</v>
      </c>
      <c r="AM9" s="182">
        <f t="shared" si="23"/>
        <v>5</v>
      </c>
      <c r="AN9" s="576"/>
      <c r="AO9" s="188">
        <v>23</v>
      </c>
      <c r="AP9" s="188">
        <v>1787.724736515813</v>
      </c>
      <c r="AQ9" s="185">
        <f t="shared" si="14"/>
        <v>77.727162457209261</v>
      </c>
      <c r="AR9" s="182">
        <f t="shared" si="24"/>
        <v>6</v>
      </c>
      <c r="AS9" s="576"/>
      <c r="AT9" s="188">
        <v>23</v>
      </c>
      <c r="AU9" s="188">
        <v>1788.0199667221261</v>
      </c>
      <c r="AV9" s="185">
        <f t="shared" si="15"/>
        <v>77.739998553135919</v>
      </c>
      <c r="AW9" s="182">
        <f t="shared" si="25"/>
        <v>6</v>
      </c>
      <c r="AX9" s="576"/>
    </row>
    <row r="10" spans="1:50" ht="14.25" customHeight="1">
      <c r="B10" s="575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10"/>
        <v>86.956521739130437</v>
      </c>
      <c r="H10" s="576"/>
      <c r="I10" s="186">
        <f t="shared" si="16"/>
        <v>23</v>
      </c>
      <c r="J10" s="186">
        <f t="shared" si="16"/>
        <v>1789.618373605475</v>
      </c>
      <c r="K10" s="187">
        <f t="shared" si="16"/>
        <v>77.809494504585857</v>
      </c>
      <c r="L10" s="577"/>
      <c r="M10" s="186">
        <f>RANK(K10, K$7:$K$21)</f>
        <v>4</v>
      </c>
      <c r="N10" s="575"/>
      <c r="O10" s="575"/>
      <c r="P10" s="188">
        <v>23</v>
      </c>
      <c r="Q10" s="188">
        <v>1789.0851568679168</v>
      </c>
      <c r="R10" s="185">
        <f t="shared" si="17"/>
        <v>77.7863111681703</v>
      </c>
      <c r="S10" s="182">
        <f t="shared" si="18"/>
        <v>4</v>
      </c>
      <c r="T10" s="576"/>
      <c r="U10" s="188">
        <v>23</v>
      </c>
      <c r="V10" s="188">
        <v>1789.3491124260347</v>
      </c>
      <c r="W10" s="185">
        <f t="shared" si="11"/>
        <v>77.797787496784125</v>
      </c>
      <c r="X10" s="182">
        <f t="shared" si="19"/>
        <v>4</v>
      </c>
      <c r="Y10" s="576"/>
      <c r="Z10" s="188">
        <v>23</v>
      </c>
      <c r="AA10" s="188">
        <v>1789.2899642998827</v>
      </c>
      <c r="AB10" s="185">
        <f t="shared" si="12"/>
        <v>77.795215839125333</v>
      </c>
      <c r="AC10" s="182">
        <f t="shared" si="20"/>
        <v>4</v>
      </c>
      <c r="AD10" s="576"/>
      <c r="AE10" s="188">
        <v>23</v>
      </c>
      <c r="AF10" s="188">
        <v>1789.7761443367851</v>
      </c>
      <c r="AG10" s="185">
        <f t="shared" si="21"/>
        <v>77.816354101599359</v>
      </c>
      <c r="AH10" s="182">
        <f t="shared" si="22"/>
        <v>4</v>
      </c>
      <c r="AI10" s="576"/>
      <c r="AJ10" s="188">
        <v>23</v>
      </c>
      <c r="AK10" s="188">
        <v>1789.9441340782123</v>
      </c>
      <c r="AL10" s="185">
        <f t="shared" si="13"/>
        <v>77.823658003400539</v>
      </c>
      <c r="AM10" s="182">
        <f t="shared" si="23"/>
        <v>4</v>
      </c>
      <c r="AN10" s="576"/>
      <c r="AO10" s="188">
        <v>23</v>
      </c>
      <c r="AP10" s="188">
        <v>1789.9497487437168</v>
      </c>
      <c r="AQ10" s="185">
        <f t="shared" si="14"/>
        <v>77.823902119292029</v>
      </c>
      <c r="AR10" s="182">
        <f t="shared" si="24"/>
        <v>4</v>
      </c>
      <c r="AS10" s="576"/>
      <c r="AT10" s="188">
        <v>23</v>
      </c>
      <c r="AU10" s="188">
        <v>1789.9343544857766</v>
      </c>
      <c r="AV10" s="185">
        <f t="shared" si="15"/>
        <v>77.823232803729411</v>
      </c>
      <c r="AW10" s="182">
        <f t="shared" si="25"/>
        <v>4</v>
      </c>
      <c r="AX10" s="576"/>
    </row>
    <row r="11" spans="1:50" ht="14.25" customHeight="1">
      <c r="B11" s="575"/>
      <c r="C11" s="180">
        <v>5</v>
      </c>
      <c r="D11" s="183" t="s">
        <v>498</v>
      </c>
      <c r="E11" s="180">
        <v>19</v>
      </c>
      <c r="F11" s="180">
        <v>1800</v>
      </c>
      <c r="G11" s="185">
        <f t="shared" si="10"/>
        <v>94.736842105263165</v>
      </c>
      <c r="H11" s="576"/>
      <c r="I11" s="186">
        <f t="shared" si="16"/>
        <v>19</v>
      </c>
      <c r="J11" s="186">
        <f t="shared" si="16"/>
        <v>1606.138385538095</v>
      </c>
      <c r="K11" s="187">
        <f t="shared" si="16"/>
        <v>84.533599238847117</v>
      </c>
      <c r="L11" s="577"/>
      <c r="M11" s="186">
        <f>RANK(K11, K$7:$K$21)</f>
        <v>3</v>
      </c>
      <c r="N11" s="575"/>
      <c r="O11" s="575"/>
      <c r="P11" s="188">
        <v>19</v>
      </c>
      <c r="Q11" s="188">
        <v>1605.9843590615458</v>
      </c>
      <c r="R11" s="185">
        <f t="shared" si="17"/>
        <v>84.525492582186615</v>
      </c>
      <c r="S11" s="182">
        <f t="shared" si="18"/>
        <v>3</v>
      </c>
      <c r="T11" s="576"/>
      <c r="U11" s="188">
        <v>19</v>
      </c>
      <c r="V11" s="188">
        <v>1605.8950395398992</v>
      </c>
      <c r="W11" s="185">
        <f t="shared" si="11"/>
        <v>84.520791554731545</v>
      </c>
      <c r="X11" s="182">
        <f t="shared" si="19"/>
        <v>3</v>
      </c>
      <c r="Y11" s="576"/>
      <c r="Z11" s="188">
        <v>19</v>
      </c>
      <c r="AA11" s="188">
        <v>1605.8893752487047</v>
      </c>
      <c r="AB11" s="185">
        <f t="shared" si="12"/>
        <v>84.520493434142352</v>
      </c>
      <c r="AC11" s="182">
        <f t="shared" si="20"/>
        <v>3</v>
      </c>
      <c r="AD11" s="576"/>
      <c r="AE11" s="188">
        <v>19</v>
      </c>
      <c r="AF11" s="188">
        <v>1606.2500000000005</v>
      </c>
      <c r="AG11" s="185">
        <f t="shared" si="21"/>
        <v>84.539473684210549</v>
      </c>
      <c r="AH11" s="182">
        <f t="shared" si="22"/>
        <v>3</v>
      </c>
      <c r="AI11" s="576"/>
      <c r="AJ11" s="188">
        <v>19</v>
      </c>
      <c r="AK11" s="188">
        <v>1606.1331338818236</v>
      </c>
      <c r="AL11" s="185">
        <f t="shared" si="13"/>
        <v>84.533322835885457</v>
      </c>
      <c r="AM11" s="182">
        <f t="shared" si="23"/>
        <v>3</v>
      </c>
      <c r="AN11" s="576"/>
      <c r="AO11" s="188">
        <v>19</v>
      </c>
      <c r="AP11" s="188">
        <v>1606.0240963855385</v>
      </c>
      <c r="AQ11" s="185">
        <f t="shared" si="14"/>
        <v>84.527584020291499</v>
      </c>
      <c r="AR11" s="182">
        <f t="shared" si="24"/>
        <v>3</v>
      </c>
      <c r="AS11" s="576"/>
      <c r="AT11" s="188">
        <v>19</v>
      </c>
      <c r="AU11" s="188">
        <v>1606.7926946491532</v>
      </c>
      <c r="AV11" s="185">
        <f t="shared" si="15"/>
        <v>84.568036560481744</v>
      </c>
      <c r="AW11" s="182">
        <f t="shared" si="25"/>
        <v>3</v>
      </c>
      <c r="AX11" s="576"/>
    </row>
    <row r="12" spans="1:50" ht="14.25" customHeight="1">
      <c r="B12" s="575"/>
      <c r="C12" s="180">
        <v>6</v>
      </c>
      <c r="D12" s="183" t="s">
        <v>476</v>
      </c>
      <c r="E12" s="180">
        <v>19</v>
      </c>
      <c r="F12" s="180">
        <v>2000</v>
      </c>
      <c r="G12" s="185">
        <f t="shared" si="10"/>
        <v>105.26315789473684</v>
      </c>
      <c r="H12" s="576"/>
      <c r="I12" s="186">
        <f t="shared" si="16"/>
        <v>20</v>
      </c>
      <c r="J12" s="186">
        <f t="shared" si="16"/>
        <v>1787.6833225479334</v>
      </c>
      <c r="K12" s="187">
        <f t="shared" si="16"/>
        <v>89.384166127396682</v>
      </c>
      <c r="L12" s="577"/>
      <c r="M12" s="186">
        <f>RANK(K12, K$7:$K$21)</f>
        <v>1</v>
      </c>
      <c r="N12" s="575"/>
      <c r="O12" s="575"/>
      <c r="P12" s="188">
        <v>20</v>
      </c>
      <c r="Q12" s="188">
        <v>1787.3684210526301</v>
      </c>
      <c r="R12" s="185">
        <f t="shared" si="17"/>
        <v>89.368421052631504</v>
      </c>
      <c r="S12" s="182">
        <f t="shared" si="18"/>
        <v>1</v>
      </c>
      <c r="T12" s="576"/>
      <c r="U12" s="188">
        <v>20</v>
      </c>
      <c r="V12" s="188">
        <v>1787.0216306156465</v>
      </c>
      <c r="W12" s="185">
        <f t="shared" si="11"/>
        <v>89.351081530782324</v>
      </c>
      <c r="X12" s="182">
        <f t="shared" si="19"/>
        <v>1</v>
      </c>
      <c r="Y12" s="576"/>
      <c r="Z12" s="188">
        <v>20</v>
      </c>
      <c r="AA12" s="188">
        <v>1787.8706199460971</v>
      </c>
      <c r="AB12" s="185">
        <f t="shared" si="12"/>
        <v>89.39353099730485</v>
      </c>
      <c r="AC12" s="182">
        <f t="shared" si="20"/>
        <v>1</v>
      </c>
      <c r="AD12" s="576"/>
      <c r="AE12" s="188">
        <v>20</v>
      </c>
      <c r="AF12" s="188">
        <v>1787.5200000000041</v>
      </c>
      <c r="AG12" s="185">
        <f t="shared" si="21"/>
        <v>89.376000000000204</v>
      </c>
      <c r="AH12" s="182">
        <f t="shared" si="22"/>
        <v>1</v>
      </c>
      <c r="AI12" s="576"/>
      <c r="AJ12" s="188">
        <v>20</v>
      </c>
      <c r="AK12" s="188">
        <v>1787.9194630872548</v>
      </c>
      <c r="AL12" s="185">
        <f t="shared" si="13"/>
        <v>89.395973154362736</v>
      </c>
      <c r="AM12" s="182">
        <f t="shared" si="23"/>
        <v>1</v>
      </c>
      <c r="AN12" s="576"/>
      <c r="AO12" s="188">
        <v>20</v>
      </c>
      <c r="AP12" s="188">
        <v>1788.1941407958027</v>
      </c>
      <c r="AQ12" s="185">
        <f t="shared" si="14"/>
        <v>89.409707039790135</v>
      </c>
      <c r="AR12" s="182">
        <f t="shared" si="24"/>
        <v>1</v>
      </c>
      <c r="AS12" s="576"/>
      <c r="AT12" s="188">
        <v>20</v>
      </c>
      <c r="AU12" s="188">
        <v>1787.8889823380987</v>
      </c>
      <c r="AV12" s="185">
        <f t="shared" si="15"/>
        <v>89.394449116904937</v>
      </c>
      <c r="AW12" s="182">
        <f t="shared" si="25"/>
        <v>1</v>
      </c>
      <c r="AX12" s="576"/>
    </row>
    <row r="13" spans="1:50" ht="14.25" customHeight="1">
      <c r="B13" s="575"/>
      <c r="C13" s="180">
        <v>7</v>
      </c>
      <c r="D13" s="183" t="s">
        <v>536</v>
      </c>
      <c r="E13" s="180">
        <v>21</v>
      </c>
      <c r="F13" s="180">
        <v>1800</v>
      </c>
      <c r="G13" s="185">
        <f t="shared" si="10"/>
        <v>85.714285714285708</v>
      </c>
      <c r="H13" s="576"/>
      <c r="I13" s="186">
        <f t="shared" si="16"/>
        <v>21</v>
      </c>
      <c r="J13" s="186">
        <f t="shared" si="16"/>
        <v>1606.6644565081072</v>
      </c>
      <c r="K13" s="187">
        <f t="shared" si="16"/>
        <v>76.507831262290807</v>
      </c>
      <c r="L13" s="577"/>
      <c r="M13" s="186">
        <f>RANK(K13, K$7:$K$21)</f>
        <v>7</v>
      </c>
      <c r="N13" s="575"/>
      <c r="O13" s="575"/>
      <c r="P13" s="188">
        <v>21</v>
      </c>
      <c r="Q13" s="188">
        <v>1606.4361956348575</v>
      </c>
      <c r="R13" s="185">
        <f t="shared" si="17"/>
        <v>76.496961696897984</v>
      </c>
      <c r="S13" s="182">
        <f t="shared" si="18"/>
        <v>7</v>
      </c>
      <c r="T13" s="576"/>
      <c r="U13" s="188">
        <v>21</v>
      </c>
      <c r="V13" s="188">
        <v>1606.5173116089611</v>
      </c>
      <c r="W13" s="185">
        <f t="shared" si="11"/>
        <v>76.500824362331485</v>
      </c>
      <c r="X13" s="182">
        <f t="shared" si="19"/>
        <v>7</v>
      </c>
      <c r="Y13" s="576"/>
      <c r="Z13" s="188">
        <v>21</v>
      </c>
      <c r="AA13" s="188">
        <v>1606.6336633663359</v>
      </c>
      <c r="AB13" s="185">
        <f t="shared" si="12"/>
        <v>76.506364922206473</v>
      </c>
      <c r="AC13" s="182">
        <f t="shared" si="20"/>
        <v>7</v>
      </c>
      <c r="AD13" s="576"/>
      <c r="AE13" s="188">
        <v>21</v>
      </c>
      <c r="AF13" s="188">
        <v>1606.7929457870644</v>
      </c>
      <c r="AG13" s="185">
        <f t="shared" si="21"/>
        <v>76.513949799384022</v>
      </c>
      <c r="AH13" s="182">
        <f t="shared" si="22"/>
        <v>7</v>
      </c>
      <c r="AI13" s="576"/>
      <c r="AJ13" s="188">
        <v>21</v>
      </c>
      <c r="AK13" s="188">
        <v>1606.7383803531563</v>
      </c>
      <c r="AL13" s="185">
        <f t="shared" si="13"/>
        <v>76.511351445388399</v>
      </c>
      <c r="AM13" s="182">
        <f t="shared" si="23"/>
        <v>7</v>
      </c>
      <c r="AN13" s="576"/>
      <c r="AO13" s="188">
        <v>21</v>
      </c>
      <c r="AP13" s="188">
        <v>1606.7047338368029</v>
      </c>
      <c r="AQ13" s="185">
        <f t="shared" si="14"/>
        <v>76.509749230323948</v>
      </c>
      <c r="AR13" s="182">
        <f t="shared" si="24"/>
        <v>7</v>
      </c>
      <c r="AS13" s="576"/>
      <c r="AT13" s="188">
        <v>21</v>
      </c>
      <c r="AU13" s="188">
        <v>1606.8279649695705</v>
      </c>
      <c r="AV13" s="185">
        <f t="shared" si="15"/>
        <v>76.515617379503354</v>
      </c>
      <c r="AW13" s="182">
        <f t="shared" si="25"/>
        <v>7</v>
      </c>
      <c r="AX13" s="576"/>
    </row>
    <row r="14" spans="1:50" ht="14.25" customHeight="1">
      <c r="B14" s="575"/>
      <c r="C14" s="180">
        <v>8</v>
      </c>
      <c r="D14" s="183" t="s">
        <v>537</v>
      </c>
      <c r="E14" s="180">
        <v>20</v>
      </c>
      <c r="F14" s="180">
        <v>2000</v>
      </c>
      <c r="G14" s="185">
        <f t="shared" si="10"/>
        <v>100</v>
      </c>
      <c r="H14" s="576"/>
      <c r="I14" s="186">
        <f t="shared" si="16"/>
        <v>20</v>
      </c>
      <c r="J14" s="186">
        <f t="shared" si="16"/>
        <v>1786.6316446739627</v>
      </c>
      <c r="K14" s="187">
        <f t="shared" si="16"/>
        <v>89.331582233698143</v>
      </c>
      <c r="L14" s="577"/>
      <c r="M14" s="186">
        <f>RANK(K14, K$7:$K$21)</f>
        <v>2</v>
      </c>
      <c r="N14" s="575"/>
      <c r="O14" s="575"/>
      <c r="P14" s="188">
        <v>20</v>
      </c>
      <c r="Q14" s="188">
        <v>1786.2487757100898</v>
      </c>
      <c r="R14" s="185">
        <f t="shared" si="17"/>
        <v>89.312438785504497</v>
      </c>
      <c r="S14" s="182">
        <f t="shared" si="18"/>
        <v>2</v>
      </c>
      <c r="T14" s="576"/>
      <c r="U14" s="188">
        <v>20</v>
      </c>
      <c r="V14" s="188">
        <v>1786.4077669902954</v>
      </c>
      <c r="W14" s="185">
        <f t="shared" si="11"/>
        <v>89.320388349514772</v>
      </c>
      <c r="X14" s="182">
        <f t="shared" si="19"/>
        <v>2</v>
      </c>
      <c r="Y14" s="576"/>
      <c r="Z14" s="188">
        <v>20</v>
      </c>
      <c r="AA14" s="188">
        <v>1786.1144945188855</v>
      </c>
      <c r="AB14" s="185">
        <f t="shared" si="12"/>
        <v>89.305724725944273</v>
      </c>
      <c r="AC14" s="182">
        <f t="shared" si="20"/>
        <v>2</v>
      </c>
      <c r="AD14" s="576"/>
      <c r="AE14" s="188">
        <v>20</v>
      </c>
      <c r="AF14" s="188">
        <v>1786.1080485115808</v>
      </c>
      <c r="AG14" s="185">
        <f t="shared" si="21"/>
        <v>89.305402425579047</v>
      </c>
      <c r="AH14" s="182">
        <f t="shared" si="22"/>
        <v>2</v>
      </c>
      <c r="AI14" s="576"/>
      <c r="AJ14" s="188">
        <v>20</v>
      </c>
      <c r="AK14" s="188">
        <v>1787.0596693026664</v>
      </c>
      <c r="AL14" s="185">
        <f t="shared" si="13"/>
        <v>89.35298346513332</v>
      </c>
      <c r="AM14" s="182">
        <f t="shared" si="23"/>
        <v>2</v>
      </c>
      <c r="AN14" s="576"/>
      <c r="AO14" s="188">
        <v>20</v>
      </c>
      <c r="AP14" s="188">
        <v>1787.2438230224104</v>
      </c>
      <c r="AQ14" s="185">
        <f t="shared" si="14"/>
        <v>89.362191151120527</v>
      </c>
      <c r="AR14" s="182">
        <f t="shared" si="24"/>
        <v>2</v>
      </c>
      <c r="AS14" s="576"/>
      <c r="AT14" s="188">
        <v>20</v>
      </c>
      <c r="AU14" s="188">
        <v>1787.2389346618115</v>
      </c>
      <c r="AV14" s="185">
        <f t="shared" si="15"/>
        <v>89.361946733090576</v>
      </c>
      <c r="AW14" s="182">
        <f t="shared" si="25"/>
        <v>2</v>
      </c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355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4" si="26">F27/E27</f>
        <v>83.333333333333329</v>
      </c>
      <c r="H27" s="576">
        <f>AVERAGE(G27:G41)</f>
        <v>91.239648033126286</v>
      </c>
      <c r="I27" s="186">
        <f>AVERAGE(P27,U27,Z27,AE27,AJ27,AO27,AT27)</f>
        <v>24</v>
      </c>
      <c r="J27" s="186">
        <f>AVERAGE(Q27,V27,AA27,AF27,AK27,AP27,AU27)</f>
        <v>1784.4472714435858</v>
      </c>
      <c r="K27" s="187">
        <f>AVERAGE(R27,W27,AB27,AG27,AL27,AQ27,AV27)</f>
        <v>74.351969643482718</v>
      </c>
      <c r="L27" s="577">
        <f>IFERROR(AVERAGE(K27:K41),"-")</f>
        <v>80.940665444417604</v>
      </c>
      <c r="M27" s="186">
        <f>RANK(K27, K$27:$K$41)</f>
        <v>8</v>
      </c>
      <c r="N27" s="575"/>
      <c r="O27" s="575"/>
      <c r="P27" s="188">
        <v>24</v>
      </c>
      <c r="Q27" s="188">
        <v>1785.7798165137617</v>
      </c>
      <c r="R27" s="185">
        <f>IFERROR(Q27/P27,"")</f>
        <v>74.407492354740072</v>
      </c>
      <c r="S27" s="182">
        <f>RANK(R27, R$27:R$41)</f>
        <v>8</v>
      </c>
      <c r="T27" s="576">
        <f>AVERAGE(R27:R41)</f>
        <v>80.951074187080124</v>
      </c>
      <c r="U27" s="188">
        <v>24</v>
      </c>
      <c r="V27" s="188">
        <v>1785.7585139318892</v>
      </c>
      <c r="W27" s="185">
        <f t="shared" ref="W27:W34" si="27">IFERROR(V27/U27,"")</f>
        <v>74.406604747162049</v>
      </c>
      <c r="X27" s="182">
        <f>RANK(W27, W$27:W$41)</f>
        <v>8</v>
      </c>
      <c r="Y27" s="576">
        <f>AVERAGE(W27:W41)</f>
        <v>80.954852393714134</v>
      </c>
      <c r="Z27" s="188">
        <v>24</v>
      </c>
      <c r="AA27" s="188">
        <v>1785.1585139318895</v>
      </c>
      <c r="AB27" s="185">
        <f t="shared" ref="AB27:AB34" si="28">IFERROR(AA27/Z27,"")</f>
        <v>74.381604747162058</v>
      </c>
      <c r="AC27" s="182">
        <f>RANK(AB27, AB$27:AB$41)</f>
        <v>8</v>
      </c>
      <c r="AD27" s="576">
        <f>AVERAGE(AB27:AB41)</f>
        <v>80.965202339858436</v>
      </c>
      <c r="AE27" s="188">
        <v>24</v>
      </c>
      <c r="AF27" s="188">
        <v>1784.5585139318896</v>
      </c>
      <c r="AG27" s="185">
        <f>IFERROR(AF27/AE27,"")</f>
        <v>74.356604747162066</v>
      </c>
      <c r="AH27" s="182">
        <f>RANK(AG27, AG$27:AG$41)</f>
        <v>8</v>
      </c>
      <c r="AI27" s="576">
        <f>AVERAGE(AG27:AG41)</f>
        <v>80.926977545878643</v>
      </c>
      <c r="AJ27" s="188">
        <v>24</v>
      </c>
      <c r="AK27" s="188">
        <v>1784.15851393189</v>
      </c>
      <c r="AL27" s="185">
        <f t="shared" ref="AL27:AL34" si="29">IFERROR(AK27/AJ27,"")</f>
        <v>74.339938080495415</v>
      </c>
      <c r="AM27" s="182">
        <f>RANK(AL27, AL$27:AL$41)</f>
        <v>8</v>
      </c>
      <c r="AN27" s="576">
        <f>AVERAGE(AL27:AL41)</f>
        <v>80.92823353912263</v>
      </c>
      <c r="AO27" s="188">
        <v>24</v>
      </c>
      <c r="AP27" s="188">
        <v>1783.15851393189</v>
      </c>
      <c r="AQ27" s="185">
        <f t="shared" ref="AQ27:AQ34" si="30">IFERROR(AP27/AO27,"")</f>
        <v>74.298271413828743</v>
      </c>
      <c r="AR27" s="182">
        <f>RANK(AQ27, AQ$27:AQ$41)</f>
        <v>8</v>
      </c>
      <c r="AS27" s="576">
        <f>AVERAGE(AQ27:AQ41)</f>
        <v>80.930777739296985</v>
      </c>
      <c r="AT27" s="188">
        <v>24</v>
      </c>
      <c r="AU27" s="188">
        <v>1782.5585139318898</v>
      </c>
      <c r="AV27" s="185">
        <f t="shared" ref="AV27:AV34" si="31">IFERROR(AU27/AT27,"")</f>
        <v>74.273271413828738</v>
      </c>
      <c r="AW27" s="182">
        <f>RANK(AV27, AV$27:AV$41)</f>
        <v>8</v>
      </c>
      <c r="AX27" s="576">
        <f>AVERAGE(AV27:AV41)</f>
        <v>80.927540365972362</v>
      </c>
    </row>
    <row r="28" spans="2:50" ht="14.25" customHeight="1">
      <c r="B28" s="575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26"/>
        <v>86.956521739130437</v>
      </c>
      <c r="H28" s="576"/>
      <c r="I28" s="186">
        <f t="shared" ref="I28:K34" si="32">AVERAGE(P28,U28,Z28,AE28,AJ28,AO28,AT28)</f>
        <v>23</v>
      </c>
      <c r="J28" s="186">
        <f t="shared" si="32"/>
        <v>1789.1262279315683</v>
      </c>
      <c r="K28" s="187">
        <f t="shared" si="32"/>
        <v>77.788096866589939</v>
      </c>
      <c r="L28" s="577"/>
      <c r="M28" s="186">
        <f>RANK(K28, K$27:$K$41)</f>
        <v>5</v>
      </c>
      <c r="N28" s="575"/>
      <c r="O28" s="575"/>
      <c r="P28" s="188">
        <v>23</v>
      </c>
      <c r="Q28" s="188">
        <v>1788.4334145801049</v>
      </c>
      <c r="R28" s="185">
        <f t="shared" ref="R28:R34" si="33">IFERROR(Q28/P28,"")</f>
        <v>77.75797454696108</v>
      </c>
      <c r="S28" s="182">
        <f t="shared" ref="S28:S34" si="34">RANK(R28, R$27:R$41)</f>
        <v>5</v>
      </c>
      <c r="T28" s="576"/>
      <c r="U28" s="188">
        <v>23</v>
      </c>
      <c r="V28" s="188">
        <v>1788.2750301568119</v>
      </c>
      <c r="W28" s="185">
        <f t="shared" si="27"/>
        <v>77.751088267687479</v>
      </c>
      <c r="X28" s="182">
        <f t="shared" ref="X28:X34" si="35">RANK(W28, W$27:W$41)</f>
        <v>5</v>
      </c>
      <c r="Y28" s="576"/>
      <c r="Z28" s="188">
        <v>23</v>
      </c>
      <c r="AA28" s="188">
        <v>1789.2750301568121</v>
      </c>
      <c r="AB28" s="185">
        <f t="shared" si="28"/>
        <v>77.794566528557056</v>
      </c>
      <c r="AC28" s="182">
        <f t="shared" ref="AC28:AC34" si="36">RANK(AB28, AB$27:AB$41)</f>
        <v>5</v>
      </c>
      <c r="AD28" s="576"/>
      <c r="AE28" s="188">
        <v>23</v>
      </c>
      <c r="AF28" s="188">
        <v>1788.4750301568126</v>
      </c>
      <c r="AG28" s="185">
        <f t="shared" ref="AG28:AG34" si="37">IFERROR(AF28/AE28,"")</f>
        <v>77.75978391986142</v>
      </c>
      <c r="AH28" s="182">
        <f t="shared" ref="AH28:AH34" si="38">RANK(AG28, AG$27:AG$41)</f>
        <v>6</v>
      </c>
      <c r="AI28" s="576"/>
      <c r="AJ28" s="188">
        <v>23</v>
      </c>
      <c r="AK28" s="188">
        <v>1789.0750301568123</v>
      </c>
      <c r="AL28" s="185">
        <f t="shared" si="29"/>
        <v>77.785870876383143</v>
      </c>
      <c r="AM28" s="182">
        <f t="shared" ref="AM28:AM34" si="39">RANK(AL28, AL$27:AL$41)</f>
        <v>5</v>
      </c>
      <c r="AN28" s="576"/>
      <c r="AO28" s="188">
        <v>23</v>
      </c>
      <c r="AP28" s="188">
        <v>1789.8750301568118</v>
      </c>
      <c r="AQ28" s="185">
        <f t="shared" si="30"/>
        <v>77.820653485078779</v>
      </c>
      <c r="AR28" s="182">
        <f t="shared" ref="AR28:AR34" si="40">RANK(AQ28, AQ$27:AQ$41)</f>
        <v>4</v>
      </c>
      <c r="AS28" s="576"/>
      <c r="AT28" s="188">
        <v>23</v>
      </c>
      <c r="AU28" s="188">
        <v>1790.4750301568117</v>
      </c>
      <c r="AV28" s="185">
        <f t="shared" si="31"/>
        <v>77.846740441600517</v>
      </c>
      <c r="AW28" s="182">
        <f t="shared" ref="AW28:AW34" si="41">RANK(AV28, AV$27:AV$41)</f>
        <v>4</v>
      </c>
      <c r="AX28" s="576"/>
    </row>
    <row r="29" spans="2:50" ht="14.25" customHeight="1">
      <c r="B29" s="575"/>
      <c r="C29" s="180">
        <v>3</v>
      </c>
      <c r="D29" s="183" t="s">
        <v>356</v>
      </c>
      <c r="E29" s="180">
        <v>23</v>
      </c>
      <c r="F29" s="180">
        <v>2000</v>
      </c>
      <c r="G29" s="185">
        <f t="shared" si="26"/>
        <v>86.956521739130437</v>
      </c>
      <c r="H29" s="576"/>
      <c r="I29" s="186">
        <f t="shared" si="32"/>
        <v>23</v>
      </c>
      <c r="J29" s="186">
        <f t="shared" si="32"/>
        <v>1788.8604209252978</v>
      </c>
      <c r="K29" s="187">
        <f t="shared" si="32"/>
        <v>77.776540040230344</v>
      </c>
      <c r="L29" s="577"/>
      <c r="M29" s="186">
        <f>RANK(K29, K$27:$K$41)</f>
        <v>6</v>
      </c>
      <c r="N29" s="575"/>
      <c r="O29" s="575"/>
      <c r="P29" s="188">
        <v>23</v>
      </c>
      <c r="Q29" s="188">
        <v>1788.2951653944037</v>
      </c>
      <c r="R29" s="185">
        <f t="shared" si="33"/>
        <v>77.751963712800162</v>
      </c>
      <c r="S29" s="182">
        <f t="shared" si="34"/>
        <v>6</v>
      </c>
      <c r="T29" s="576"/>
      <c r="U29" s="188">
        <v>23</v>
      </c>
      <c r="V29" s="188">
        <v>1788.2212968471142</v>
      </c>
      <c r="W29" s="185">
        <f t="shared" si="27"/>
        <v>77.74875203683105</v>
      </c>
      <c r="X29" s="182">
        <f t="shared" si="35"/>
        <v>6</v>
      </c>
      <c r="Y29" s="576"/>
      <c r="Z29" s="188">
        <v>23</v>
      </c>
      <c r="AA29" s="188">
        <v>1789.221296847114</v>
      </c>
      <c r="AB29" s="185">
        <f t="shared" si="28"/>
        <v>77.792230297700613</v>
      </c>
      <c r="AC29" s="182">
        <f t="shared" si="36"/>
        <v>6</v>
      </c>
      <c r="AD29" s="576"/>
      <c r="AE29" s="188">
        <v>23</v>
      </c>
      <c r="AF29" s="188">
        <v>1788.6212968471141</v>
      </c>
      <c r="AG29" s="185">
        <f t="shared" si="37"/>
        <v>77.766143341178875</v>
      </c>
      <c r="AH29" s="182">
        <f t="shared" si="38"/>
        <v>5</v>
      </c>
      <c r="AI29" s="576"/>
      <c r="AJ29" s="188">
        <v>23</v>
      </c>
      <c r="AK29" s="188">
        <v>1789.0212968471139</v>
      </c>
      <c r="AL29" s="185">
        <f t="shared" si="29"/>
        <v>77.7835346455267</v>
      </c>
      <c r="AM29" s="182">
        <f t="shared" si="39"/>
        <v>6</v>
      </c>
      <c r="AN29" s="576"/>
      <c r="AO29" s="188">
        <v>23</v>
      </c>
      <c r="AP29" s="188">
        <v>1789.8212968471137</v>
      </c>
      <c r="AQ29" s="185">
        <f t="shared" si="30"/>
        <v>77.818317254222336</v>
      </c>
      <c r="AR29" s="182">
        <f t="shared" si="40"/>
        <v>6</v>
      </c>
      <c r="AS29" s="576"/>
      <c r="AT29" s="188">
        <v>23</v>
      </c>
      <c r="AU29" s="188">
        <v>1788.8212968471134</v>
      </c>
      <c r="AV29" s="185">
        <f t="shared" si="31"/>
        <v>77.774838993352759</v>
      </c>
      <c r="AW29" s="182">
        <f t="shared" si="41"/>
        <v>6</v>
      </c>
      <c r="AX29" s="576"/>
    </row>
    <row r="30" spans="2:50" ht="14.25" customHeight="1">
      <c r="B30" s="575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26"/>
        <v>86.956521739130437</v>
      </c>
      <c r="H30" s="576"/>
      <c r="I30" s="186">
        <f t="shared" si="32"/>
        <v>23</v>
      </c>
      <c r="J30" s="186">
        <f t="shared" si="32"/>
        <v>1789.9258533190828</v>
      </c>
      <c r="K30" s="187">
        <f t="shared" si="32"/>
        <v>77.822863187786197</v>
      </c>
      <c r="L30" s="577"/>
      <c r="M30" s="186">
        <f>RANK(K30, K$27:$K$41)</f>
        <v>4</v>
      </c>
      <c r="N30" s="575"/>
      <c r="O30" s="575"/>
      <c r="P30" s="188">
        <v>23</v>
      </c>
      <c r="Q30" s="188">
        <v>1789.9494815208739</v>
      </c>
      <c r="R30" s="185">
        <f t="shared" si="33"/>
        <v>77.823890500907552</v>
      </c>
      <c r="S30" s="182">
        <f t="shared" si="34"/>
        <v>4</v>
      </c>
      <c r="T30" s="576"/>
      <c r="U30" s="188">
        <v>23</v>
      </c>
      <c r="V30" s="188">
        <v>1790.0552486187846</v>
      </c>
      <c r="W30" s="185">
        <f t="shared" si="27"/>
        <v>77.828489070381934</v>
      </c>
      <c r="X30" s="182">
        <f t="shared" si="35"/>
        <v>4</v>
      </c>
      <c r="Y30" s="576"/>
      <c r="Z30" s="188">
        <v>23</v>
      </c>
      <c r="AA30" s="188">
        <v>1790.0552486187844</v>
      </c>
      <c r="AB30" s="185">
        <f t="shared" si="28"/>
        <v>77.828489070381934</v>
      </c>
      <c r="AC30" s="182">
        <f t="shared" si="36"/>
        <v>4</v>
      </c>
      <c r="AD30" s="576"/>
      <c r="AE30" s="188">
        <v>23</v>
      </c>
      <c r="AF30" s="188">
        <v>1790.2552486187844</v>
      </c>
      <c r="AG30" s="185">
        <f t="shared" si="37"/>
        <v>77.837184722555847</v>
      </c>
      <c r="AH30" s="182">
        <f t="shared" si="38"/>
        <v>4</v>
      </c>
      <c r="AI30" s="576"/>
      <c r="AJ30" s="188">
        <v>23</v>
      </c>
      <c r="AK30" s="188">
        <v>1789.6552486187845</v>
      </c>
      <c r="AL30" s="185">
        <f t="shared" si="29"/>
        <v>77.811097766034109</v>
      </c>
      <c r="AM30" s="182">
        <f t="shared" si="39"/>
        <v>4</v>
      </c>
      <c r="AN30" s="576"/>
      <c r="AO30" s="188">
        <v>23</v>
      </c>
      <c r="AP30" s="188">
        <v>1789.8552486187843</v>
      </c>
      <c r="AQ30" s="185">
        <f t="shared" si="30"/>
        <v>77.819793418208022</v>
      </c>
      <c r="AR30" s="182">
        <f t="shared" si="40"/>
        <v>5</v>
      </c>
      <c r="AS30" s="576"/>
      <c r="AT30" s="188">
        <v>23</v>
      </c>
      <c r="AU30" s="188">
        <v>1789.6552486187843</v>
      </c>
      <c r="AV30" s="185">
        <f t="shared" si="31"/>
        <v>77.811097766034095</v>
      </c>
      <c r="AW30" s="182">
        <f t="shared" si="41"/>
        <v>5</v>
      </c>
      <c r="AX30" s="576"/>
    </row>
    <row r="31" spans="2:50" ht="14.25" customHeight="1">
      <c r="B31" s="575"/>
      <c r="C31" s="180">
        <v>5</v>
      </c>
      <c r="D31" s="183" t="s">
        <v>498</v>
      </c>
      <c r="E31" s="180">
        <v>19</v>
      </c>
      <c r="F31" s="180">
        <v>1800</v>
      </c>
      <c r="G31" s="185">
        <f t="shared" si="26"/>
        <v>94.736842105263165</v>
      </c>
      <c r="H31" s="576"/>
      <c r="I31" s="186">
        <f t="shared" si="32"/>
        <v>19</v>
      </c>
      <c r="J31" s="186">
        <f t="shared" si="32"/>
        <v>1606.9609559721014</v>
      </c>
      <c r="K31" s="187">
        <f t="shared" si="32"/>
        <v>84.576892419584297</v>
      </c>
      <c r="L31" s="577"/>
      <c r="M31" s="186">
        <f>RANK(K31, K$27:$K$41)</f>
        <v>3</v>
      </c>
      <c r="N31" s="575"/>
      <c r="O31" s="575"/>
      <c r="P31" s="188">
        <v>19</v>
      </c>
      <c r="Q31" s="188">
        <v>1606.9495489475435</v>
      </c>
      <c r="R31" s="185">
        <f t="shared" si="33"/>
        <v>84.576292049870702</v>
      </c>
      <c r="S31" s="182">
        <f t="shared" si="34"/>
        <v>3</v>
      </c>
      <c r="T31" s="576"/>
      <c r="U31" s="188">
        <v>19</v>
      </c>
      <c r="V31" s="188">
        <v>1607.142857142861</v>
      </c>
      <c r="W31" s="185">
        <f t="shared" si="27"/>
        <v>84.586466165413739</v>
      </c>
      <c r="X31" s="182">
        <f t="shared" si="35"/>
        <v>3</v>
      </c>
      <c r="Y31" s="576"/>
      <c r="Z31" s="188">
        <v>19</v>
      </c>
      <c r="AA31" s="188">
        <v>1606.9628571428614</v>
      </c>
      <c r="AB31" s="185">
        <f t="shared" si="28"/>
        <v>84.576992481203234</v>
      </c>
      <c r="AC31" s="182">
        <f t="shared" si="36"/>
        <v>3</v>
      </c>
      <c r="AD31" s="576"/>
      <c r="AE31" s="188">
        <v>19</v>
      </c>
      <c r="AF31" s="188">
        <v>1606.2428571428613</v>
      </c>
      <c r="AG31" s="185">
        <f t="shared" si="37"/>
        <v>84.539097744361129</v>
      </c>
      <c r="AH31" s="182">
        <f t="shared" si="38"/>
        <v>3</v>
      </c>
      <c r="AI31" s="576"/>
      <c r="AJ31" s="188">
        <v>19</v>
      </c>
      <c r="AK31" s="188">
        <v>1606.9628571428611</v>
      </c>
      <c r="AL31" s="185">
        <f t="shared" si="29"/>
        <v>84.57699248120322</v>
      </c>
      <c r="AM31" s="182">
        <f t="shared" si="39"/>
        <v>3</v>
      </c>
      <c r="AN31" s="576"/>
      <c r="AO31" s="188">
        <v>19</v>
      </c>
      <c r="AP31" s="188">
        <v>1607.142857142861</v>
      </c>
      <c r="AQ31" s="185">
        <f t="shared" si="30"/>
        <v>84.586466165413739</v>
      </c>
      <c r="AR31" s="182">
        <f t="shared" si="40"/>
        <v>3</v>
      </c>
      <c r="AS31" s="576"/>
      <c r="AT31" s="188">
        <v>19</v>
      </c>
      <c r="AU31" s="188">
        <v>1607.3228571428608</v>
      </c>
      <c r="AV31" s="185">
        <f t="shared" si="31"/>
        <v>84.595939849624258</v>
      </c>
      <c r="AW31" s="182">
        <f t="shared" si="41"/>
        <v>3</v>
      </c>
      <c r="AX31" s="576"/>
    </row>
    <row r="32" spans="2:50" ht="14.25" customHeight="1">
      <c r="B32" s="575"/>
      <c r="C32" s="180">
        <v>6</v>
      </c>
      <c r="D32" s="183" t="s">
        <v>476</v>
      </c>
      <c r="E32" s="180">
        <v>19</v>
      </c>
      <c r="F32" s="180">
        <v>2000</v>
      </c>
      <c r="G32" s="185">
        <f t="shared" si="26"/>
        <v>105.26315789473684</v>
      </c>
      <c r="H32" s="576"/>
      <c r="I32" s="186">
        <f t="shared" si="32"/>
        <v>20</v>
      </c>
      <c r="J32" s="186">
        <f t="shared" si="32"/>
        <v>1787.0489243034135</v>
      </c>
      <c r="K32" s="187">
        <f t="shared" si="32"/>
        <v>89.352446215170659</v>
      </c>
      <c r="L32" s="577"/>
      <c r="M32" s="186">
        <f>RANK(K32, K$27:$K$41)</f>
        <v>1</v>
      </c>
      <c r="N32" s="575"/>
      <c r="O32" s="575"/>
      <c r="P32" s="188">
        <v>20</v>
      </c>
      <c r="Q32" s="188">
        <v>1788.0053309640134</v>
      </c>
      <c r="R32" s="185">
        <f t="shared" si="33"/>
        <v>89.400266548200676</v>
      </c>
      <c r="S32" s="182">
        <f t="shared" si="34"/>
        <v>1</v>
      </c>
      <c r="T32" s="576"/>
      <c r="U32" s="188">
        <v>20</v>
      </c>
      <c r="V32" s="188">
        <v>1788.4368308351122</v>
      </c>
      <c r="W32" s="185">
        <f t="shared" si="27"/>
        <v>89.421841541755612</v>
      </c>
      <c r="X32" s="182">
        <f t="shared" si="35"/>
        <v>1</v>
      </c>
      <c r="Y32" s="576"/>
      <c r="Z32" s="188">
        <v>20</v>
      </c>
      <c r="AA32" s="188">
        <v>1788.9003083247685</v>
      </c>
      <c r="AB32" s="185">
        <f t="shared" si="28"/>
        <v>89.445015416238419</v>
      </c>
      <c r="AC32" s="182">
        <f t="shared" si="36"/>
        <v>1</v>
      </c>
      <c r="AD32" s="576"/>
      <c r="AE32" s="188">
        <v>20</v>
      </c>
      <c r="AF32" s="188">
        <v>1786</v>
      </c>
      <c r="AG32" s="185">
        <f t="shared" si="37"/>
        <v>89.3</v>
      </c>
      <c r="AH32" s="182">
        <f t="shared" si="38"/>
        <v>2</v>
      </c>
      <c r="AI32" s="576"/>
      <c r="AJ32" s="188">
        <v>20</v>
      </c>
      <c r="AK32" s="188">
        <v>1786.0000000000002</v>
      </c>
      <c r="AL32" s="185">
        <f t="shared" si="29"/>
        <v>89.300000000000011</v>
      </c>
      <c r="AM32" s="182">
        <f t="shared" si="39"/>
        <v>2</v>
      </c>
      <c r="AN32" s="576"/>
      <c r="AO32" s="188">
        <v>20</v>
      </c>
      <c r="AP32" s="188">
        <v>1786</v>
      </c>
      <c r="AQ32" s="185">
        <f t="shared" si="30"/>
        <v>89.3</v>
      </c>
      <c r="AR32" s="182">
        <f t="shared" si="40"/>
        <v>2</v>
      </c>
      <c r="AS32" s="576"/>
      <c r="AT32" s="188">
        <v>20</v>
      </c>
      <c r="AU32" s="188">
        <v>1786</v>
      </c>
      <c r="AV32" s="185">
        <f t="shared" si="31"/>
        <v>89.3</v>
      </c>
      <c r="AW32" s="182">
        <f t="shared" si="41"/>
        <v>2</v>
      </c>
      <c r="AX32" s="576"/>
    </row>
    <row r="33" spans="2:50" ht="14.25" customHeight="1">
      <c r="B33" s="575"/>
      <c r="C33" s="180">
        <v>7</v>
      </c>
      <c r="D33" s="183" t="s">
        <v>536</v>
      </c>
      <c r="E33" s="180">
        <v>21</v>
      </c>
      <c r="F33" s="180">
        <v>1800</v>
      </c>
      <c r="G33" s="185">
        <f t="shared" si="26"/>
        <v>85.714285714285708</v>
      </c>
      <c r="H33" s="576"/>
      <c r="I33" s="186">
        <f t="shared" si="32"/>
        <v>21</v>
      </c>
      <c r="J33" s="186">
        <f t="shared" si="32"/>
        <v>1606.7959111775167</v>
      </c>
      <c r="K33" s="187">
        <f t="shared" si="32"/>
        <v>76.514091008453178</v>
      </c>
      <c r="L33" s="577"/>
      <c r="M33" s="186">
        <f>RANK(K33, K$27:$K$41)</f>
        <v>7</v>
      </c>
      <c r="N33" s="575"/>
      <c r="O33" s="575"/>
      <c r="P33" s="188">
        <v>21</v>
      </c>
      <c r="Q33" s="188">
        <v>1606.9371948139415</v>
      </c>
      <c r="R33" s="185">
        <f t="shared" si="33"/>
        <v>76.520818800663875</v>
      </c>
      <c r="S33" s="182">
        <f t="shared" si="34"/>
        <v>7</v>
      </c>
      <c r="T33" s="576"/>
      <c r="U33" s="188">
        <v>21</v>
      </c>
      <c r="V33" s="188">
        <v>1607.0123639047795</v>
      </c>
      <c r="W33" s="185">
        <f t="shared" si="27"/>
        <v>76.52439828117997</v>
      </c>
      <c r="X33" s="182">
        <f t="shared" si="35"/>
        <v>7</v>
      </c>
      <c r="Y33" s="576"/>
      <c r="Z33" s="188">
        <v>21</v>
      </c>
      <c r="AA33" s="188">
        <v>1607.3723639047791</v>
      </c>
      <c r="AB33" s="185">
        <f t="shared" si="28"/>
        <v>76.541541138322813</v>
      </c>
      <c r="AC33" s="182">
        <f t="shared" si="36"/>
        <v>7</v>
      </c>
      <c r="AD33" s="576"/>
      <c r="AE33" s="188">
        <v>21</v>
      </c>
      <c r="AF33" s="188">
        <v>1606.8323639047792</v>
      </c>
      <c r="AG33" s="185">
        <f t="shared" si="37"/>
        <v>76.515826852608527</v>
      </c>
      <c r="AH33" s="182">
        <f t="shared" si="38"/>
        <v>7</v>
      </c>
      <c r="AI33" s="576"/>
      <c r="AJ33" s="188">
        <v>21</v>
      </c>
      <c r="AK33" s="188">
        <v>1606.6523639047791</v>
      </c>
      <c r="AL33" s="185">
        <f t="shared" si="29"/>
        <v>76.507255424037098</v>
      </c>
      <c r="AM33" s="182">
        <f t="shared" si="39"/>
        <v>7</v>
      </c>
      <c r="AN33" s="576"/>
      <c r="AO33" s="188">
        <v>21</v>
      </c>
      <c r="AP33" s="188">
        <v>1606.1123639047794</v>
      </c>
      <c r="AQ33" s="185">
        <f t="shared" si="30"/>
        <v>76.481541138322825</v>
      </c>
      <c r="AR33" s="182">
        <f t="shared" si="40"/>
        <v>7</v>
      </c>
      <c r="AS33" s="576"/>
      <c r="AT33" s="188">
        <v>21</v>
      </c>
      <c r="AU33" s="188">
        <v>1606.6523639047793</v>
      </c>
      <c r="AV33" s="185">
        <f t="shared" si="31"/>
        <v>76.507255424037112</v>
      </c>
      <c r="AW33" s="182">
        <f t="shared" si="41"/>
        <v>7</v>
      </c>
      <c r="AX33" s="576"/>
    </row>
    <row r="34" spans="2:50" ht="14.25" customHeight="1">
      <c r="B34" s="575"/>
      <c r="C34" s="180">
        <v>8</v>
      </c>
      <c r="D34" s="183" t="s">
        <v>537</v>
      </c>
      <c r="E34" s="180">
        <v>20</v>
      </c>
      <c r="F34" s="180">
        <v>2000</v>
      </c>
      <c r="G34" s="185">
        <f t="shared" si="26"/>
        <v>100</v>
      </c>
      <c r="H34" s="576"/>
      <c r="I34" s="186">
        <f t="shared" si="32"/>
        <v>20</v>
      </c>
      <c r="J34" s="186">
        <f t="shared" si="32"/>
        <v>1786.8484834808712</v>
      </c>
      <c r="K34" s="187">
        <f t="shared" si="32"/>
        <v>89.342424174043572</v>
      </c>
      <c r="L34" s="577"/>
      <c r="M34" s="186">
        <f>RANK(K34, K$27:$K$41)</f>
        <v>2</v>
      </c>
      <c r="N34" s="575"/>
      <c r="O34" s="575"/>
      <c r="P34" s="188">
        <v>20</v>
      </c>
      <c r="Q34" s="188">
        <v>1787.3978996499391</v>
      </c>
      <c r="R34" s="185">
        <f t="shared" si="33"/>
        <v>89.369894982496959</v>
      </c>
      <c r="S34" s="182">
        <f t="shared" si="34"/>
        <v>2</v>
      </c>
      <c r="T34" s="576"/>
      <c r="U34" s="188">
        <v>20</v>
      </c>
      <c r="V34" s="188">
        <v>1787.4235807860264</v>
      </c>
      <c r="W34" s="185">
        <f t="shared" si="27"/>
        <v>89.371179039301325</v>
      </c>
      <c r="X34" s="182">
        <f t="shared" si="35"/>
        <v>2</v>
      </c>
      <c r="Y34" s="576"/>
      <c r="Z34" s="188">
        <v>20</v>
      </c>
      <c r="AA34" s="188">
        <v>1787.2235807860266</v>
      </c>
      <c r="AB34" s="185">
        <f t="shared" si="28"/>
        <v>89.361179039301334</v>
      </c>
      <c r="AC34" s="182">
        <f t="shared" si="36"/>
        <v>2</v>
      </c>
      <c r="AD34" s="576"/>
      <c r="AE34" s="188">
        <v>20</v>
      </c>
      <c r="AF34" s="188">
        <v>1786.8235807860267</v>
      </c>
      <c r="AG34" s="185">
        <f t="shared" si="37"/>
        <v>89.341179039301338</v>
      </c>
      <c r="AH34" s="182">
        <f t="shared" si="38"/>
        <v>1</v>
      </c>
      <c r="AI34" s="576"/>
      <c r="AJ34" s="188">
        <v>20</v>
      </c>
      <c r="AK34" s="188">
        <v>1786.4235807860268</v>
      </c>
      <c r="AL34" s="185">
        <f t="shared" si="29"/>
        <v>89.321179039301342</v>
      </c>
      <c r="AM34" s="182">
        <f t="shared" si="39"/>
        <v>1</v>
      </c>
      <c r="AN34" s="576"/>
      <c r="AO34" s="188">
        <v>20</v>
      </c>
      <c r="AP34" s="188">
        <v>1786.4235807860268</v>
      </c>
      <c r="AQ34" s="185">
        <f t="shared" si="30"/>
        <v>89.321179039301342</v>
      </c>
      <c r="AR34" s="182">
        <f t="shared" si="40"/>
        <v>1</v>
      </c>
      <c r="AS34" s="576"/>
      <c r="AT34" s="188">
        <v>20</v>
      </c>
      <c r="AU34" s="188">
        <v>1786.223580786027</v>
      </c>
      <c r="AV34" s="185">
        <f t="shared" si="31"/>
        <v>89.311179039301351</v>
      </c>
      <c r="AW34" s="182">
        <f t="shared" si="41"/>
        <v>1</v>
      </c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3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355</v>
      </c>
      <c r="C47" s="180">
        <v>1</v>
      </c>
      <c r="D47" s="183" t="s">
        <v>344</v>
      </c>
      <c r="E47" s="180">
        <v>24</v>
      </c>
      <c r="F47" s="180">
        <v>2000</v>
      </c>
      <c r="G47" s="185">
        <f t="shared" ref="G47:G55" si="42">F47/E47</f>
        <v>83.333333333333329</v>
      </c>
      <c r="H47" s="576">
        <f>AVERAGE(G47:G61)</f>
        <v>94.990798251667812</v>
      </c>
      <c r="I47" s="186">
        <f>AVERAGE(P47,U47,Z47,AE47,AJ47,AO47,AT47)</f>
        <v>24</v>
      </c>
      <c r="J47" s="186">
        <f>AVERAGE(Q47,V47,AA47,AF47,AK47,AP47,AU47)</f>
        <v>1781.8156567890328</v>
      </c>
      <c r="K47" s="187">
        <f>AVERAGE(R47,W47,AB47,AG47,AL47,AQ47,AV47)</f>
        <v>74.242319032876367</v>
      </c>
      <c r="L47" s="577">
        <f>IFERROR(AVERAGE(K47:K61),"-")</f>
        <v>83.235515738202622</v>
      </c>
      <c r="M47" s="186">
        <f>RANK(K47, K$47:$K$61)</f>
        <v>9</v>
      </c>
      <c r="N47" s="575"/>
      <c r="O47" s="575"/>
      <c r="P47" s="188">
        <v>24</v>
      </c>
      <c r="Q47" s="188">
        <v>1782.7585139318901</v>
      </c>
      <c r="R47" s="185">
        <f>IFERROR(Q47/P47,"")</f>
        <v>74.281604747162092</v>
      </c>
      <c r="S47" s="182">
        <f>RANK(R47, R$47:R$61)</f>
        <v>8</v>
      </c>
      <c r="T47" s="576">
        <f>AVERAGE(R47:R61)</f>
        <v>80.919475298412152</v>
      </c>
      <c r="U47" s="188">
        <v>24</v>
      </c>
      <c r="V47" s="188">
        <v>1782.35851393189</v>
      </c>
      <c r="W47" s="185">
        <f t="shared" ref="W47:W54" si="43">IFERROR(V47/U47,"")</f>
        <v>74.264938080495412</v>
      </c>
      <c r="X47" s="182">
        <f>RANK(W47, W$47:W$61)</f>
        <v>8</v>
      </c>
      <c r="Y47" s="576">
        <f>AVERAGE(W47:W61)</f>
        <v>80.910951134742106</v>
      </c>
      <c r="Z47" s="188">
        <v>24</v>
      </c>
      <c r="AA47" s="188">
        <v>1782.15851393189</v>
      </c>
      <c r="AB47" s="185">
        <f t="shared" ref="AB47:AB54" si="44">IFERROR(AA47/Z47,"")</f>
        <v>74.256604747162086</v>
      </c>
      <c r="AC47" s="182" t="e">
        <f>RANK(AB47, AB$7:AB$21)</f>
        <v>#N/A</v>
      </c>
      <c r="AD47" s="576">
        <f>AVERAGE(AB47:AB61)</f>
        <v>80.906097356274216</v>
      </c>
      <c r="AE47" s="188">
        <v>24</v>
      </c>
      <c r="AF47" s="188">
        <v>1781.1585139318902</v>
      </c>
      <c r="AG47" s="185">
        <f>IFERROR(AF47/AE47,"")</f>
        <v>74.214938080495429</v>
      </c>
      <c r="AH47" s="182" t="e">
        <f>RANK(AG47, AG$7:AG$21)</f>
        <v>#N/A</v>
      </c>
      <c r="AI47" s="576">
        <f>AVERAGE(AG47:AG61)</f>
        <v>80.901882403130472</v>
      </c>
      <c r="AJ47" s="188">
        <v>24</v>
      </c>
      <c r="AK47" s="188">
        <v>1781.3585139318902</v>
      </c>
      <c r="AL47" s="185">
        <f t="shared" ref="AL47:AL54" si="45">IFERROR(AK47/AJ47,"")</f>
        <v>74.223271413828755</v>
      </c>
      <c r="AM47" s="182">
        <f>RANK(AL47, AL$47:AL$61)</f>
        <v>8</v>
      </c>
      <c r="AN47" s="576">
        <f>AVERAGE(AL47:AL61)</f>
        <v>80.898478581075324</v>
      </c>
      <c r="AO47" s="188">
        <v>24</v>
      </c>
      <c r="AP47" s="188">
        <v>1781.35851393189</v>
      </c>
      <c r="AQ47" s="185">
        <f t="shared" ref="AQ47:AQ54" si="46">IFERROR(AP47/AO47,"")</f>
        <v>74.223271413828755</v>
      </c>
      <c r="AR47" s="182">
        <f>RANK(AQ47, AQ$47:AQ$61)</f>
        <v>8</v>
      </c>
      <c r="AS47" s="576">
        <f>AVERAGE(AQ47:AQ61)</f>
        <v>80.902636802716387</v>
      </c>
      <c r="AT47" s="188">
        <v>24</v>
      </c>
      <c r="AU47" s="188">
        <v>1781.55851393189</v>
      </c>
      <c r="AV47" s="185">
        <f t="shared" ref="AV47:AV55" si="47">IFERROR(AU47/AT47,"")</f>
        <v>74.231604747162081</v>
      </c>
      <c r="AW47" s="182">
        <f>RANK(AV47, AV$47:AV$61)</f>
        <v>9</v>
      </c>
      <c r="AX47" s="576">
        <f>AVERAGE(AV47:AV61)</f>
        <v>83.230146543995559</v>
      </c>
    </row>
    <row r="48" spans="2:50" ht="14.25" customHeight="1">
      <c r="B48" s="575"/>
      <c r="C48" s="180">
        <v>2</v>
      </c>
      <c r="D48" s="183" t="s">
        <v>343</v>
      </c>
      <c r="E48" s="180">
        <v>23</v>
      </c>
      <c r="F48" s="180">
        <v>2000</v>
      </c>
      <c r="G48" s="185">
        <f t="shared" si="42"/>
        <v>86.956521739130437</v>
      </c>
      <c r="H48" s="576"/>
      <c r="I48" s="186">
        <f t="shared" ref="I48:K55" si="48">AVERAGE(P48,U48,Z48,AE48,AJ48,AO48,AT48)</f>
        <v>23</v>
      </c>
      <c r="J48" s="186">
        <f t="shared" si="48"/>
        <v>1790.0464587282399</v>
      </c>
      <c r="K48" s="187">
        <f t="shared" si="48"/>
        <v>77.828106901227827</v>
      </c>
      <c r="L48" s="577"/>
      <c r="M48" s="186">
        <f>RANK(K48, K$47:$K$61)</f>
        <v>5</v>
      </c>
      <c r="N48" s="575"/>
      <c r="O48" s="575"/>
      <c r="P48" s="188">
        <v>23</v>
      </c>
      <c r="Q48" s="188">
        <v>1790.0750301568116</v>
      </c>
      <c r="R48" s="185">
        <f t="shared" ref="R48:R54" si="49">IFERROR(Q48/P48,"")</f>
        <v>77.829349137252677</v>
      </c>
      <c r="S48" s="182">
        <f t="shared" ref="S48:S54" si="50">RANK(R48, R$47:R$61)</f>
        <v>4</v>
      </c>
      <c r="T48" s="576"/>
      <c r="U48" s="188">
        <v>23</v>
      </c>
      <c r="V48" s="188">
        <v>1789.8750301568116</v>
      </c>
      <c r="W48" s="185">
        <f t="shared" si="43"/>
        <v>77.820653485078765</v>
      </c>
      <c r="X48" s="182">
        <f t="shared" ref="X48:X54" si="51">RANK(W48, W$47:W$61)</f>
        <v>4</v>
      </c>
      <c r="Y48" s="576"/>
      <c r="Z48" s="188">
        <v>23</v>
      </c>
      <c r="AA48" s="188">
        <v>1790.6750301568115</v>
      </c>
      <c r="AB48" s="185">
        <f t="shared" si="44"/>
        <v>77.855436093774415</v>
      </c>
      <c r="AC48" s="182" t="e">
        <f t="shared" ref="AC48:AC54" si="52">RANK(AB48, AB$7:AB$21)</f>
        <v>#N/A</v>
      </c>
      <c r="AD48" s="576"/>
      <c r="AE48" s="188">
        <v>23</v>
      </c>
      <c r="AF48" s="188">
        <v>1790.2750301568112</v>
      </c>
      <c r="AG48" s="185">
        <f t="shared" ref="AG48:AG54" si="53">IFERROR(AF48/AE48,"")</f>
        <v>77.838044789426576</v>
      </c>
      <c r="AH48" s="182" t="e">
        <f t="shared" ref="AH48:AH53" si="54">RANK(AG48, AG$7:AG$21)</f>
        <v>#N/A</v>
      </c>
      <c r="AI48" s="576"/>
      <c r="AJ48" s="188">
        <v>23</v>
      </c>
      <c r="AK48" s="188">
        <v>1790.4750301568113</v>
      </c>
      <c r="AL48" s="185">
        <f t="shared" si="45"/>
        <v>77.846740441600488</v>
      </c>
      <c r="AM48" s="182">
        <f t="shared" ref="AM48:AM54" si="55">RANK(AL48, AL$47:AL$61)</f>
        <v>4</v>
      </c>
      <c r="AN48" s="576"/>
      <c r="AO48" s="188">
        <v>23</v>
      </c>
      <c r="AP48" s="188">
        <v>1789.8750301568114</v>
      </c>
      <c r="AQ48" s="185">
        <f t="shared" si="46"/>
        <v>77.820653485078751</v>
      </c>
      <c r="AR48" s="182">
        <f t="shared" ref="AR48:AR54" si="56">RANK(AQ48, AQ$47:AQ$61)</f>
        <v>4</v>
      </c>
      <c r="AS48" s="576"/>
      <c r="AT48" s="188">
        <v>23</v>
      </c>
      <c r="AU48" s="188">
        <v>1789.0750301568112</v>
      </c>
      <c r="AV48" s="185">
        <f t="shared" si="47"/>
        <v>77.7858708763831</v>
      </c>
      <c r="AW48" s="182">
        <f t="shared" ref="AW48:AW55" si="57">RANK(AV48, AV$47:AV$61)</f>
        <v>6</v>
      </c>
      <c r="AX48" s="576"/>
    </row>
    <row r="49" spans="2:50" ht="14.25" customHeight="1">
      <c r="B49" s="575"/>
      <c r="C49" s="180">
        <v>3</v>
      </c>
      <c r="D49" s="183" t="s">
        <v>356</v>
      </c>
      <c r="E49" s="180">
        <v>23</v>
      </c>
      <c r="F49" s="180">
        <v>2000</v>
      </c>
      <c r="G49" s="185">
        <f t="shared" si="42"/>
        <v>86.956521739130437</v>
      </c>
      <c r="H49" s="576"/>
      <c r="I49" s="186">
        <f t="shared" si="48"/>
        <v>23</v>
      </c>
      <c r="J49" s="186">
        <f t="shared" si="48"/>
        <v>1789.2212968471126</v>
      </c>
      <c r="K49" s="187">
        <f t="shared" si="48"/>
        <v>77.79223029770057</v>
      </c>
      <c r="L49" s="577"/>
      <c r="M49" s="186">
        <f>RANK(K49, K$47:$K$61)</f>
        <v>6</v>
      </c>
      <c r="N49" s="575"/>
      <c r="O49" s="575"/>
      <c r="P49" s="188">
        <v>23</v>
      </c>
      <c r="Q49" s="188">
        <v>1789.2212968471131</v>
      </c>
      <c r="R49" s="185">
        <f t="shared" si="49"/>
        <v>77.79223029770057</v>
      </c>
      <c r="S49" s="182">
        <f t="shared" si="50"/>
        <v>5</v>
      </c>
      <c r="T49" s="576"/>
      <c r="U49" s="188">
        <v>23</v>
      </c>
      <c r="V49" s="188">
        <v>1789.4212968471131</v>
      </c>
      <c r="W49" s="185">
        <f t="shared" si="43"/>
        <v>77.800925949874483</v>
      </c>
      <c r="X49" s="182">
        <f t="shared" si="51"/>
        <v>5</v>
      </c>
      <c r="Y49" s="576"/>
      <c r="Z49" s="188">
        <v>23</v>
      </c>
      <c r="AA49" s="188">
        <v>1788.6212968471132</v>
      </c>
      <c r="AB49" s="185">
        <f t="shared" si="44"/>
        <v>77.766143341178832</v>
      </c>
      <c r="AC49" s="182" t="e">
        <f t="shared" si="52"/>
        <v>#N/A</v>
      </c>
      <c r="AD49" s="576"/>
      <c r="AE49" s="188">
        <v>23</v>
      </c>
      <c r="AF49" s="188">
        <v>1789.4212968471131</v>
      </c>
      <c r="AG49" s="185">
        <f t="shared" si="53"/>
        <v>77.800925949874483</v>
      </c>
      <c r="AH49" s="182" t="e">
        <f t="shared" si="54"/>
        <v>#N/A</v>
      </c>
      <c r="AI49" s="576"/>
      <c r="AJ49" s="188">
        <v>23</v>
      </c>
      <c r="AK49" s="188">
        <v>1789.6212968471127</v>
      </c>
      <c r="AL49" s="185">
        <f t="shared" si="45"/>
        <v>77.809621602048381</v>
      </c>
      <c r="AM49" s="182">
        <f t="shared" si="55"/>
        <v>5</v>
      </c>
      <c r="AN49" s="576"/>
      <c r="AO49" s="188">
        <v>23</v>
      </c>
      <c r="AP49" s="188">
        <v>1789.0212968471128</v>
      </c>
      <c r="AQ49" s="185">
        <f t="shared" si="46"/>
        <v>77.783534645526643</v>
      </c>
      <c r="AR49" s="182">
        <f t="shared" si="56"/>
        <v>5</v>
      </c>
      <c r="AS49" s="576"/>
      <c r="AT49" s="188">
        <v>23</v>
      </c>
      <c r="AU49" s="188">
        <v>1789.2212968471126</v>
      </c>
      <c r="AV49" s="185">
        <f t="shared" si="47"/>
        <v>77.792230297700556</v>
      </c>
      <c r="AW49" s="182">
        <f t="shared" si="57"/>
        <v>5</v>
      </c>
      <c r="AX49" s="576"/>
    </row>
    <row r="50" spans="2:50" ht="14.25" customHeight="1">
      <c r="B50" s="575"/>
      <c r="C50" s="180">
        <v>4</v>
      </c>
      <c r="D50" s="183" t="s">
        <v>345</v>
      </c>
      <c r="E50" s="180">
        <v>23</v>
      </c>
      <c r="F50" s="180">
        <v>2000</v>
      </c>
      <c r="G50" s="185">
        <f t="shared" si="42"/>
        <v>86.956521739130437</v>
      </c>
      <c r="H50" s="576"/>
      <c r="I50" s="186">
        <f t="shared" si="48"/>
        <v>23</v>
      </c>
      <c r="J50" s="186">
        <f t="shared" si="48"/>
        <v>1787.5695343330704</v>
      </c>
      <c r="K50" s="187">
        <f t="shared" si="48"/>
        <v>77.72041453622046</v>
      </c>
      <c r="L50" s="577"/>
      <c r="M50" s="186">
        <f>RANK(K50, K$47:$K$61)</f>
        <v>7</v>
      </c>
      <c r="N50" s="575"/>
      <c r="O50" s="575"/>
      <c r="P50" s="188">
        <v>23</v>
      </c>
      <c r="Q50" s="188">
        <v>1789.0552486187846</v>
      </c>
      <c r="R50" s="185">
        <f t="shared" si="49"/>
        <v>77.785010809512372</v>
      </c>
      <c r="S50" s="182">
        <f t="shared" si="50"/>
        <v>6</v>
      </c>
      <c r="T50" s="576"/>
      <c r="U50" s="188">
        <v>23</v>
      </c>
      <c r="V50" s="188">
        <v>1788.6552486187845</v>
      </c>
      <c r="W50" s="185">
        <f t="shared" si="43"/>
        <v>77.767619505164546</v>
      </c>
      <c r="X50" s="182">
        <f t="shared" si="51"/>
        <v>6</v>
      </c>
      <c r="Y50" s="576"/>
      <c r="Z50" s="188">
        <v>23</v>
      </c>
      <c r="AA50" s="188">
        <v>1787.8552486187846</v>
      </c>
      <c r="AB50" s="185">
        <f t="shared" si="44"/>
        <v>77.732836896468896</v>
      </c>
      <c r="AC50" s="182" t="e">
        <f t="shared" si="52"/>
        <v>#N/A</v>
      </c>
      <c r="AD50" s="576"/>
      <c r="AE50" s="188">
        <v>23</v>
      </c>
      <c r="AF50" s="188">
        <v>1787.0552486187848</v>
      </c>
      <c r="AG50" s="185">
        <f t="shared" si="53"/>
        <v>77.69805428777326</v>
      </c>
      <c r="AH50" s="182" t="e">
        <f t="shared" si="54"/>
        <v>#N/A</v>
      </c>
      <c r="AI50" s="576"/>
      <c r="AJ50" s="188">
        <v>23</v>
      </c>
      <c r="AK50" s="188">
        <v>1786.6552486187848</v>
      </c>
      <c r="AL50" s="185">
        <f t="shared" si="45"/>
        <v>77.680662983425421</v>
      </c>
      <c r="AM50" s="182">
        <f t="shared" si="55"/>
        <v>6</v>
      </c>
      <c r="AN50" s="576"/>
      <c r="AO50" s="188">
        <v>23</v>
      </c>
      <c r="AP50" s="188">
        <v>1786.4552486187843</v>
      </c>
      <c r="AQ50" s="185">
        <f t="shared" si="46"/>
        <v>77.671967331251494</v>
      </c>
      <c r="AR50" s="182">
        <f t="shared" si="56"/>
        <v>6</v>
      </c>
      <c r="AS50" s="576"/>
      <c r="AT50" s="188">
        <v>23</v>
      </c>
      <c r="AU50" s="188">
        <v>1787.2552486187842</v>
      </c>
      <c r="AV50" s="185">
        <f t="shared" si="47"/>
        <v>77.706749939947144</v>
      </c>
      <c r="AW50" s="182">
        <f t="shared" si="57"/>
        <v>7</v>
      </c>
      <c r="AX50" s="576"/>
    </row>
    <row r="51" spans="2:50" ht="14.25" customHeight="1">
      <c r="B51" s="575"/>
      <c r="C51" s="180">
        <v>5</v>
      </c>
      <c r="D51" s="183" t="s">
        <v>498</v>
      </c>
      <c r="E51" s="180">
        <v>19</v>
      </c>
      <c r="F51" s="180">
        <v>1800</v>
      </c>
      <c r="G51" s="185">
        <f t="shared" si="42"/>
        <v>94.736842105263165</v>
      </c>
      <c r="H51" s="576"/>
      <c r="I51" s="186">
        <f t="shared" si="48"/>
        <v>19</v>
      </c>
      <c r="J51" s="186">
        <f t="shared" si="48"/>
        <v>1606.8857142857175</v>
      </c>
      <c r="K51" s="187">
        <f t="shared" si="48"/>
        <v>84.572932330827243</v>
      </c>
      <c r="L51" s="577"/>
      <c r="M51" s="186">
        <f>RANK(K51, K$47:$K$61)</f>
        <v>4</v>
      </c>
      <c r="N51" s="575"/>
      <c r="O51" s="575"/>
      <c r="P51" s="188">
        <v>19</v>
      </c>
      <c r="Q51" s="188">
        <v>1607.6828571428607</v>
      </c>
      <c r="R51" s="185">
        <f t="shared" si="49"/>
        <v>84.614887218045297</v>
      </c>
      <c r="S51" s="182">
        <f t="shared" si="50"/>
        <v>3</v>
      </c>
      <c r="T51" s="576"/>
      <c r="U51" s="188">
        <v>19</v>
      </c>
      <c r="V51" s="188">
        <v>1607.1428571428605</v>
      </c>
      <c r="W51" s="185">
        <f t="shared" si="43"/>
        <v>84.586466165413711</v>
      </c>
      <c r="X51" s="182">
        <f t="shared" si="51"/>
        <v>3</v>
      </c>
      <c r="Y51" s="576"/>
      <c r="Z51" s="188">
        <v>19</v>
      </c>
      <c r="AA51" s="188">
        <v>1607.1428571428607</v>
      </c>
      <c r="AB51" s="185">
        <f t="shared" si="44"/>
        <v>84.586466165413725</v>
      </c>
      <c r="AC51" s="182" t="e">
        <f t="shared" si="52"/>
        <v>#N/A</v>
      </c>
      <c r="AD51" s="576"/>
      <c r="AE51" s="188">
        <v>19</v>
      </c>
      <c r="AF51" s="188">
        <v>1606.7828571428606</v>
      </c>
      <c r="AG51" s="185">
        <f t="shared" si="53"/>
        <v>84.567518796992658</v>
      </c>
      <c r="AH51" s="182" t="e">
        <f t="shared" si="54"/>
        <v>#N/A</v>
      </c>
      <c r="AI51" s="576"/>
      <c r="AJ51" s="188">
        <v>19</v>
      </c>
      <c r="AK51" s="188">
        <v>1606.2428571428604</v>
      </c>
      <c r="AL51" s="185">
        <f t="shared" si="45"/>
        <v>84.539097744361072</v>
      </c>
      <c r="AM51" s="182">
        <f t="shared" si="55"/>
        <v>3</v>
      </c>
      <c r="AN51" s="576"/>
      <c r="AO51" s="188">
        <v>19</v>
      </c>
      <c r="AP51" s="188">
        <v>1606.7828571428599</v>
      </c>
      <c r="AQ51" s="185">
        <f t="shared" si="46"/>
        <v>84.56751879699263</v>
      </c>
      <c r="AR51" s="182">
        <f t="shared" si="56"/>
        <v>3</v>
      </c>
      <c r="AS51" s="576"/>
      <c r="AT51" s="188">
        <v>19</v>
      </c>
      <c r="AU51" s="188">
        <v>1606.42285714286</v>
      </c>
      <c r="AV51" s="185">
        <f t="shared" si="47"/>
        <v>84.548571428571577</v>
      </c>
      <c r="AW51" s="182">
        <f t="shared" si="57"/>
        <v>4</v>
      </c>
      <c r="AX51" s="576"/>
    </row>
    <row r="52" spans="2:50" ht="14.25" customHeight="1">
      <c r="B52" s="575"/>
      <c r="C52" s="180">
        <v>6</v>
      </c>
      <c r="D52" s="183" t="s">
        <v>476</v>
      </c>
      <c r="E52" s="180">
        <v>19</v>
      </c>
      <c r="F52" s="180">
        <v>2000</v>
      </c>
      <c r="G52" s="185">
        <f t="shared" si="42"/>
        <v>105.26315789473684</v>
      </c>
      <c r="H52" s="576"/>
      <c r="I52" s="186">
        <f t="shared" si="48"/>
        <v>20</v>
      </c>
      <c r="J52" s="186">
        <f t="shared" si="48"/>
        <v>1786</v>
      </c>
      <c r="K52" s="187">
        <f t="shared" si="48"/>
        <v>89.299999999999983</v>
      </c>
      <c r="L52" s="577"/>
      <c r="M52" s="186">
        <f>RANK(K52, K$47:$K$61)</f>
        <v>2</v>
      </c>
      <c r="N52" s="575"/>
      <c r="O52" s="575"/>
      <c r="P52" s="188">
        <v>20</v>
      </c>
      <c r="Q52" s="188">
        <v>1786.0000000000002</v>
      </c>
      <c r="R52" s="185">
        <f t="shared" si="49"/>
        <v>89.300000000000011</v>
      </c>
      <c r="S52" s="182">
        <f t="shared" si="50"/>
        <v>1</v>
      </c>
      <c r="T52" s="576"/>
      <c r="U52" s="188">
        <v>20</v>
      </c>
      <c r="V52" s="188">
        <v>1786.0000000000002</v>
      </c>
      <c r="W52" s="185">
        <f t="shared" si="43"/>
        <v>89.300000000000011</v>
      </c>
      <c r="X52" s="182">
        <f t="shared" si="51"/>
        <v>1</v>
      </c>
      <c r="Y52" s="576"/>
      <c r="Z52" s="188">
        <v>20</v>
      </c>
      <c r="AA52" s="188">
        <v>1786</v>
      </c>
      <c r="AB52" s="185">
        <f t="shared" si="44"/>
        <v>89.3</v>
      </c>
      <c r="AC52" s="182" t="e">
        <f t="shared" si="52"/>
        <v>#N/A</v>
      </c>
      <c r="AD52" s="576"/>
      <c r="AE52" s="188">
        <v>20</v>
      </c>
      <c r="AF52" s="188">
        <v>1786</v>
      </c>
      <c r="AG52" s="185">
        <f t="shared" si="53"/>
        <v>89.3</v>
      </c>
      <c r="AH52" s="182" t="e">
        <f t="shared" si="54"/>
        <v>#N/A</v>
      </c>
      <c r="AI52" s="576"/>
      <c r="AJ52" s="188">
        <v>20</v>
      </c>
      <c r="AK52" s="188">
        <v>1785.9999999999998</v>
      </c>
      <c r="AL52" s="185">
        <f t="shared" si="45"/>
        <v>89.299999999999983</v>
      </c>
      <c r="AM52" s="182">
        <f t="shared" si="55"/>
        <v>1</v>
      </c>
      <c r="AN52" s="576"/>
      <c r="AO52" s="188">
        <v>20</v>
      </c>
      <c r="AP52" s="188">
        <v>1786</v>
      </c>
      <c r="AQ52" s="185">
        <f t="shared" si="46"/>
        <v>89.3</v>
      </c>
      <c r="AR52" s="182">
        <f t="shared" si="56"/>
        <v>2</v>
      </c>
      <c r="AS52" s="576"/>
      <c r="AT52" s="188">
        <v>20</v>
      </c>
      <c r="AU52" s="188">
        <v>1786.0000000000002</v>
      </c>
      <c r="AV52" s="185">
        <f t="shared" si="47"/>
        <v>89.300000000000011</v>
      </c>
      <c r="AW52" s="182">
        <f t="shared" si="57"/>
        <v>2</v>
      </c>
      <c r="AX52" s="576"/>
    </row>
    <row r="53" spans="2:50" ht="14.25" customHeight="1">
      <c r="B53" s="575"/>
      <c r="C53" s="180">
        <v>7</v>
      </c>
      <c r="D53" s="183" t="s">
        <v>536</v>
      </c>
      <c r="E53" s="180">
        <v>21</v>
      </c>
      <c r="F53" s="180">
        <v>1800</v>
      </c>
      <c r="G53" s="185">
        <f t="shared" si="42"/>
        <v>85.714285714285708</v>
      </c>
      <c r="H53" s="576"/>
      <c r="I53" s="186">
        <f t="shared" si="48"/>
        <v>21</v>
      </c>
      <c r="J53" s="186">
        <f t="shared" si="48"/>
        <v>1606.6266496190656</v>
      </c>
      <c r="K53" s="187">
        <f t="shared" si="48"/>
        <v>76.506030934241195</v>
      </c>
      <c r="L53" s="577"/>
      <c r="M53" s="186">
        <f>RANK(K53, K$47:$K$61)</f>
        <v>8</v>
      </c>
      <c r="N53" s="575"/>
      <c r="O53" s="575"/>
      <c r="P53" s="188">
        <v>21</v>
      </c>
      <c r="Q53" s="188">
        <v>1606.1123639047794</v>
      </c>
      <c r="R53" s="185">
        <f t="shared" si="49"/>
        <v>76.481541138322825</v>
      </c>
      <c r="S53" s="182">
        <f t="shared" si="50"/>
        <v>7</v>
      </c>
      <c r="T53" s="576"/>
      <c r="U53" s="188">
        <v>21</v>
      </c>
      <c r="V53" s="188">
        <v>1605.5723639047796</v>
      </c>
      <c r="W53" s="185">
        <f t="shared" si="43"/>
        <v>76.455826852608553</v>
      </c>
      <c r="X53" s="182">
        <f t="shared" si="51"/>
        <v>7</v>
      </c>
      <c r="Y53" s="576"/>
      <c r="Z53" s="188">
        <v>21</v>
      </c>
      <c r="AA53" s="188">
        <v>1606.2923639047797</v>
      </c>
      <c r="AB53" s="185">
        <f t="shared" si="44"/>
        <v>76.490112566894268</v>
      </c>
      <c r="AC53" s="182" t="e">
        <f t="shared" si="52"/>
        <v>#N/A</v>
      </c>
      <c r="AD53" s="576"/>
      <c r="AE53" s="188">
        <v>21</v>
      </c>
      <c r="AF53" s="188">
        <v>1607.0123639047797</v>
      </c>
      <c r="AG53" s="185">
        <f t="shared" si="53"/>
        <v>76.524398281179984</v>
      </c>
      <c r="AH53" s="182" t="e">
        <f t="shared" si="54"/>
        <v>#N/A</v>
      </c>
      <c r="AI53" s="576"/>
      <c r="AJ53" s="188">
        <v>21</v>
      </c>
      <c r="AK53" s="188">
        <v>1606.6523639047796</v>
      </c>
      <c r="AL53" s="185">
        <f t="shared" si="45"/>
        <v>76.507255424037126</v>
      </c>
      <c r="AM53" s="182">
        <f t="shared" si="55"/>
        <v>7</v>
      </c>
      <c r="AN53" s="576"/>
      <c r="AO53" s="188">
        <v>21</v>
      </c>
      <c r="AP53" s="188">
        <v>1607.19236390478</v>
      </c>
      <c r="AQ53" s="185">
        <f t="shared" si="46"/>
        <v>76.532969709751427</v>
      </c>
      <c r="AR53" s="182">
        <f t="shared" si="56"/>
        <v>7</v>
      </c>
      <c r="AS53" s="576"/>
      <c r="AT53" s="188">
        <v>21</v>
      </c>
      <c r="AU53" s="188">
        <v>1607.5523639047801</v>
      </c>
      <c r="AV53" s="185">
        <f t="shared" si="47"/>
        <v>76.550112566894285</v>
      </c>
      <c r="AW53" s="182">
        <f t="shared" si="57"/>
        <v>8</v>
      </c>
      <c r="AX53" s="576"/>
    </row>
    <row r="54" spans="2:50" ht="14.25" customHeight="1">
      <c r="B54" s="575"/>
      <c r="C54" s="180">
        <v>8</v>
      </c>
      <c r="D54" s="183" t="s">
        <v>537</v>
      </c>
      <c r="E54" s="180">
        <v>20</v>
      </c>
      <c r="F54" s="180">
        <v>2000</v>
      </c>
      <c r="G54" s="185">
        <f t="shared" si="42"/>
        <v>100</v>
      </c>
      <c r="H54" s="576"/>
      <c r="I54" s="186">
        <f t="shared" si="48"/>
        <v>20</v>
      </c>
      <c r="J54" s="186">
        <f t="shared" si="48"/>
        <v>1785.6521522145993</v>
      </c>
      <c r="K54" s="187">
        <f t="shared" si="48"/>
        <v>89.282607610729954</v>
      </c>
      <c r="L54" s="577"/>
      <c r="M54" s="186">
        <f>RANK(K54, K$47:$K$61)</f>
        <v>3</v>
      </c>
      <c r="N54" s="575"/>
      <c r="O54" s="575"/>
      <c r="P54" s="188">
        <v>20</v>
      </c>
      <c r="Q54" s="188">
        <v>1785.4235807860271</v>
      </c>
      <c r="R54" s="185">
        <f t="shared" si="49"/>
        <v>89.271179039301359</v>
      </c>
      <c r="S54" s="182">
        <f t="shared" si="50"/>
        <v>2</v>
      </c>
      <c r="T54" s="576"/>
      <c r="U54" s="188">
        <v>20</v>
      </c>
      <c r="V54" s="188">
        <v>1785.8235807860274</v>
      </c>
      <c r="W54" s="185">
        <f t="shared" si="43"/>
        <v>89.291179039301369</v>
      </c>
      <c r="X54" s="182">
        <f t="shared" si="51"/>
        <v>2</v>
      </c>
      <c r="Y54" s="576"/>
      <c r="Z54" s="188">
        <v>20</v>
      </c>
      <c r="AA54" s="188">
        <v>1785.2235807860277</v>
      </c>
      <c r="AB54" s="185">
        <f t="shared" si="44"/>
        <v>89.261179039301382</v>
      </c>
      <c r="AC54" s="182" t="e">
        <f t="shared" si="52"/>
        <v>#N/A</v>
      </c>
      <c r="AD54" s="576"/>
      <c r="AE54" s="188">
        <v>20</v>
      </c>
      <c r="AF54" s="188">
        <v>1785.423580786028</v>
      </c>
      <c r="AG54" s="185">
        <f t="shared" si="53"/>
        <v>89.271179039301401</v>
      </c>
      <c r="AH54" s="182" t="e">
        <f>RANK(AG54, AG$7:AG$21)</f>
        <v>#N/A</v>
      </c>
      <c r="AI54" s="576"/>
      <c r="AJ54" s="188">
        <v>20</v>
      </c>
      <c r="AK54" s="188">
        <v>1785.6235807860278</v>
      </c>
      <c r="AL54" s="185">
        <f t="shared" si="45"/>
        <v>89.281179039301392</v>
      </c>
      <c r="AM54" s="182">
        <f t="shared" si="55"/>
        <v>2</v>
      </c>
      <c r="AN54" s="576"/>
      <c r="AO54" s="188">
        <v>20</v>
      </c>
      <c r="AP54" s="188">
        <v>1786.423580786028</v>
      </c>
      <c r="AQ54" s="185">
        <f t="shared" si="46"/>
        <v>89.321179039301398</v>
      </c>
      <c r="AR54" s="182">
        <f t="shared" si="56"/>
        <v>1</v>
      </c>
      <c r="AS54" s="576"/>
      <c r="AT54" s="188">
        <v>20</v>
      </c>
      <c r="AU54" s="188">
        <v>1785.623580786028</v>
      </c>
      <c r="AV54" s="185">
        <f t="shared" si="47"/>
        <v>89.281179039301406</v>
      </c>
      <c r="AW54" s="182">
        <f t="shared" si="57"/>
        <v>3</v>
      </c>
      <c r="AX54" s="576"/>
    </row>
    <row r="55" spans="2:50" ht="14.25" customHeight="1">
      <c r="B55" s="575"/>
      <c r="C55" s="180">
        <v>9</v>
      </c>
      <c r="D55" s="183" t="s">
        <v>741</v>
      </c>
      <c r="E55" s="180">
        <v>16</v>
      </c>
      <c r="F55" s="180">
        <v>2000</v>
      </c>
      <c r="G55" s="185">
        <f t="shared" si="42"/>
        <v>125</v>
      </c>
      <c r="H55" s="576"/>
      <c r="I55" s="186">
        <f t="shared" si="48"/>
        <v>16</v>
      </c>
      <c r="J55" s="186">
        <f t="shared" si="48"/>
        <v>1630</v>
      </c>
      <c r="K55" s="187">
        <f t="shared" si="48"/>
        <v>101.875</v>
      </c>
      <c r="L55" s="577"/>
      <c r="M55" s="186">
        <f>RANK(K55, K$47:$K$61)</f>
        <v>1</v>
      </c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>
        <v>16</v>
      </c>
      <c r="AU55" s="188">
        <v>1630</v>
      </c>
      <c r="AV55" s="185">
        <f t="shared" si="47"/>
        <v>101.875</v>
      </c>
      <c r="AW55" s="182">
        <f t="shared" si="57"/>
        <v>1</v>
      </c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61"/>
  <sheetViews>
    <sheetView zoomScaleNormal="100" workbookViewId="0">
      <pane xSplit="13" ySplit="1" topLeftCell="N29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AVERAGE(L7,L27,L47)</f>
        <v>78.06814508728111</v>
      </c>
    </row>
    <row r="2" spans="1:50" ht="14.25" customHeight="1" collapsed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602" t="s">
        <v>375</v>
      </c>
      <c r="O2" s="602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604"/>
      <c r="O3" s="604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376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377</v>
      </c>
      <c r="F5" s="575"/>
      <c r="G5" s="575"/>
      <c r="H5" s="575"/>
      <c r="I5" s="579" t="s">
        <v>377</v>
      </c>
      <c r="J5" s="579"/>
      <c r="K5" s="579"/>
      <c r="L5" s="579"/>
      <c r="M5" s="579"/>
      <c r="N5" s="575"/>
      <c r="O5" s="575"/>
      <c r="P5" s="575" t="s">
        <v>378</v>
      </c>
      <c r="Q5" s="575"/>
      <c r="R5" s="575"/>
      <c r="S5" s="575"/>
      <c r="T5" s="575"/>
      <c r="U5" s="575" t="s">
        <v>378</v>
      </c>
      <c r="V5" s="575"/>
      <c r="W5" s="575"/>
      <c r="X5" s="575"/>
      <c r="Y5" s="575"/>
      <c r="Z5" s="575" t="s">
        <v>378</v>
      </c>
      <c r="AA5" s="575"/>
      <c r="AB5" s="575"/>
      <c r="AC5" s="575"/>
      <c r="AD5" s="575"/>
      <c r="AE5" s="575" t="s">
        <v>378</v>
      </c>
      <c r="AF5" s="575"/>
      <c r="AG5" s="575"/>
      <c r="AH5" s="575"/>
      <c r="AI5" s="575"/>
      <c r="AJ5" s="575" t="s">
        <v>378</v>
      </c>
      <c r="AK5" s="575"/>
      <c r="AL5" s="575"/>
      <c r="AM5" s="575"/>
      <c r="AN5" s="575"/>
      <c r="AO5" s="575" t="s">
        <v>378</v>
      </c>
      <c r="AP5" s="575"/>
      <c r="AQ5" s="575"/>
      <c r="AR5" s="575"/>
      <c r="AS5" s="575"/>
      <c r="AT5" s="575" t="s">
        <v>378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379</v>
      </c>
      <c r="G6" s="180" t="s">
        <v>161</v>
      </c>
      <c r="H6" s="575"/>
      <c r="I6" s="181" t="s">
        <v>159</v>
      </c>
      <c r="J6" s="181" t="s">
        <v>379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379</v>
      </c>
      <c r="R6" s="180" t="s">
        <v>161</v>
      </c>
      <c r="S6" s="182" t="s">
        <v>165</v>
      </c>
      <c r="T6" s="575"/>
      <c r="U6" s="180" t="s">
        <v>159</v>
      </c>
      <c r="V6" s="180" t="s">
        <v>379</v>
      </c>
      <c r="W6" s="180" t="s">
        <v>161</v>
      </c>
      <c r="X6" s="182" t="s">
        <v>165</v>
      </c>
      <c r="Y6" s="575"/>
      <c r="Z6" s="180" t="s">
        <v>159</v>
      </c>
      <c r="AA6" s="180" t="s">
        <v>379</v>
      </c>
      <c r="AB6" s="180" t="s">
        <v>161</v>
      </c>
      <c r="AC6" s="182" t="s">
        <v>165</v>
      </c>
      <c r="AD6" s="575"/>
      <c r="AE6" s="180" t="s">
        <v>159</v>
      </c>
      <c r="AF6" s="180" t="s">
        <v>379</v>
      </c>
      <c r="AG6" s="180" t="s">
        <v>161</v>
      </c>
      <c r="AH6" s="182" t="s">
        <v>165</v>
      </c>
      <c r="AI6" s="575"/>
      <c r="AJ6" s="180" t="s">
        <v>159</v>
      </c>
      <c r="AK6" s="180" t="s">
        <v>379</v>
      </c>
      <c r="AL6" s="180" t="s">
        <v>161</v>
      </c>
      <c r="AM6" s="182" t="s">
        <v>165</v>
      </c>
      <c r="AN6" s="575"/>
      <c r="AO6" s="180" t="s">
        <v>159</v>
      </c>
      <c r="AP6" s="180" t="s">
        <v>379</v>
      </c>
      <c r="AQ6" s="180" t="s">
        <v>161</v>
      </c>
      <c r="AR6" s="182" t="s">
        <v>165</v>
      </c>
      <c r="AS6" s="575"/>
      <c r="AT6" s="180" t="s">
        <v>159</v>
      </c>
      <c r="AU6" s="180" t="s">
        <v>379</v>
      </c>
      <c r="AV6" s="180" t="s">
        <v>161</v>
      </c>
      <c r="AW6" s="182" t="s">
        <v>165</v>
      </c>
      <c r="AX6" s="575"/>
    </row>
    <row r="7" spans="1:50" ht="14.25" customHeight="1">
      <c r="B7" s="575" t="s">
        <v>137</v>
      </c>
      <c r="C7" s="180">
        <v>1</v>
      </c>
      <c r="D7" s="183" t="s">
        <v>358</v>
      </c>
      <c r="E7" s="180">
        <v>21</v>
      </c>
      <c r="F7" s="180">
        <v>2000</v>
      </c>
      <c r="G7" s="185">
        <f t="shared" ref="G7:G15" si="10">F7/E7</f>
        <v>95.238095238095241</v>
      </c>
      <c r="H7" s="576">
        <f>AVERAGE(G7:G21)</f>
        <v>87.845166106035677</v>
      </c>
      <c r="I7" s="186">
        <f>AVERAGE(P7,U7,Z7,AE7,AJ7,AO7,AT7)</f>
        <v>22</v>
      </c>
      <c r="J7" s="186">
        <f>AVERAGE(Q7,V7,AA7,AF7,AK7,AP7,AU7)</f>
        <v>1785.620885200128</v>
      </c>
      <c r="K7" s="187">
        <f>AVERAGE(R7,W7,AB7,AG7,AL7,AQ7,AV7)</f>
        <v>81.164585690914919</v>
      </c>
      <c r="L7" s="577">
        <f>IFERROR(AVERAGE(K7:K21),"-")</f>
        <v>77.801136303755044</v>
      </c>
      <c r="M7" s="186">
        <f>RANK(K7, K$7:$K$21)</f>
        <v>3</v>
      </c>
      <c r="N7" s="575"/>
      <c r="O7" s="575"/>
      <c r="P7" s="188">
        <v>22</v>
      </c>
      <c r="Q7" s="188">
        <v>1785.4725331944794</v>
      </c>
      <c r="R7" s="185">
        <f>IFERROR(Q7/P7,"")</f>
        <v>81.15784241793088</v>
      </c>
      <c r="S7" s="182">
        <f>RANK(R7, R$7:R$21)</f>
        <v>3</v>
      </c>
      <c r="T7" s="576">
        <f>AVERAGE(R7:R21)</f>
        <v>77.396005741072798</v>
      </c>
      <c r="U7" s="188">
        <v>22</v>
      </c>
      <c r="V7" s="188">
        <v>1785.8446052217698</v>
      </c>
      <c r="W7" s="185">
        <f t="shared" ref="W7:W15" si="11">IFERROR(V7/U7,"")</f>
        <v>81.174754782807724</v>
      </c>
      <c r="X7" s="182">
        <f>RANK(W7, W$7:W$21)</f>
        <v>3</v>
      </c>
      <c r="Y7" s="576">
        <f>AVERAGE(W7:W21)</f>
        <v>77.540707774764229</v>
      </c>
      <c r="Z7" s="188">
        <v>22</v>
      </c>
      <c r="AA7" s="188">
        <v>1785.5474452554727</v>
      </c>
      <c r="AB7" s="185">
        <f t="shared" ref="AB7:AB15" si="12">IFERROR(AA7/Z7,"")</f>
        <v>81.161247511612387</v>
      </c>
      <c r="AC7" s="182">
        <f>RANK(AB7, AB$7:AB$21)</f>
        <v>3</v>
      </c>
      <c r="AD7" s="576">
        <f>AVERAGE(AB7:AB21)</f>
        <v>77.699914681508545</v>
      </c>
      <c r="AE7" s="188">
        <v>22</v>
      </c>
      <c r="AF7" s="188">
        <v>1785.665529010239</v>
      </c>
      <c r="AG7" s="185">
        <f>IFERROR(AF7/AE7,"")</f>
        <v>81.166614955010857</v>
      </c>
      <c r="AH7" s="182">
        <f>RANK(AG7, AG$7:AG$21)</f>
        <v>3</v>
      </c>
      <c r="AI7" s="576">
        <f>AVERAGE(AG7:AG21)</f>
        <v>77.851745079033634</v>
      </c>
      <c r="AJ7" s="188">
        <v>22</v>
      </c>
      <c r="AK7" s="188">
        <v>1785.8178380081938</v>
      </c>
      <c r="AL7" s="185">
        <f t="shared" ref="AL7:AL15" si="13">IFERROR(AK7/AJ7,"")</f>
        <v>81.173538091281543</v>
      </c>
      <c r="AM7" s="182">
        <f>RANK(AL7, AL$7:AL$21)</f>
        <v>3</v>
      </c>
      <c r="AN7" s="576">
        <f>AVERAGE(AL7:AL21)</f>
        <v>77.986152707519324</v>
      </c>
      <c r="AO7" s="188">
        <v>22</v>
      </c>
      <c r="AP7" s="188">
        <v>1785.5579868708992</v>
      </c>
      <c r="AQ7" s="185">
        <f t="shared" ref="AQ7:AQ15" si="14">IFERROR(AP7/AO7,"")</f>
        <v>81.161726675949964</v>
      </c>
      <c r="AR7" s="182">
        <f>RANK(AQ7, AQ$7:AQ$21)</f>
        <v>3</v>
      </c>
      <c r="AS7" s="576">
        <f>AVERAGE(AQ7:AQ21)</f>
        <v>78.06665331323984</v>
      </c>
      <c r="AT7" s="188">
        <v>22</v>
      </c>
      <c r="AU7" s="188">
        <v>1785.440258839842</v>
      </c>
      <c r="AV7" s="185">
        <f t="shared" ref="AV7:AV15" si="15">IFERROR(AU7/AT7,"")</f>
        <v>81.156375401811005</v>
      </c>
      <c r="AW7" s="182">
        <f>RANK(AV7, AV$7:AV$21)</f>
        <v>3</v>
      </c>
      <c r="AX7" s="576">
        <f>AVERAGE(AV7:AV21)</f>
        <v>78.066774829146937</v>
      </c>
    </row>
    <row r="8" spans="1:50" ht="14.25" customHeight="1">
      <c r="B8" s="575"/>
      <c r="C8" s="180">
        <v>2</v>
      </c>
      <c r="D8" s="183" t="s">
        <v>359</v>
      </c>
      <c r="E8" s="180">
        <v>24</v>
      </c>
      <c r="F8" s="180">
        <v>2000</v>
      </c>
      <c r="G8" s="185">
        <f t="shared" si="10"/>
        <v>83.333333333333329</v>
      </c>
      <c r="H8" s="576"/>
      <c r="I8" s="186">
        <f t="shared" ref="I8:K15" si="16">AVERAGE(P8,U8,Z8,AE8,AJ8,AO8,AT8)</f>
        <v>24</v>
      </c>
      <c r="J8" s="186">
        <f t="shared" si="16"/>
        <v>1786.1484704633092</v>
      </c>
      <c r="K8" s="187">
        <f t="shared" si="16"/>
        <v>74.422852935971221</v>
      </c>
      <c r="L8" s="577"/>
      <c r="M8" s="186">
        <f>RANK(K8, K$7:$K$21)</f>
        <v>8</v>
      </c>
      <c r="N8" s="575"/>
      <c r="O8" s="575"/>
      <c r="P8" s="188">
        <v>24</v>
      </c>
      <c r="Q8" s="188">
        <v>1786.0465116279072</v>
      </c>
      <c r="R8" s="185">
        <f t="shared" ref="R8:R15" si="17">IFERROR(Q8/P8,"")</f>
        <v>74.418604651162795</v>
      </c>
      <c r="S8" s="182">
        <f t="shared" ref="S8:S15" si="18">RANK(R8, R$7:R$21)</f>
        <v>8</v>
      </c>
      <c r="T8" s="576"/>
      <c r="U8" s="188">
        <v>24</v>
      </c>
      <c r="V8" s="188">
        <v>1785.9768278066322</v>
      </c>
      <c r="W8" s="185">
        <f t="shared" si="11"/>
        <v>74.415701158609679</v>
      </c>
      <c r="X8" s="182">
        <f t="shared" ref="X8:X15" si="19">RANK(W8, W$7:W$21)</f>
        <v>8</v>
      </c>
      <c r="Y8" s="576"/>
      <c r="Z8" s="188">
        <v>24</v>
      </c>
      <c r="AA8" s="188">
        <v>1786.1182519280212</v>
      </c>
      <c r="AB8" s="185">
        <f t="shared" si="12"/>
        <v>74.421593830334217</v>
      </c>
      <c r="AC8" s="182">
        <f t="shared" ref="AC8:AC15" si="20">RANK(AB8, AB$7:AB$21)</f>
        <v>8</v>
      </c>
      <c r="AD8" s="576"/>
      <c r="AE8" s="188">
        <v>24</v>
      </c>
      <c r="AF8" s="188">
        <v>1786.2268321713996</v>
      </c>
      <c r="AG8" s="185">
        <f t="shared" ref="AG8:AG15" si="21">IFERROR(AF8/AE8,"")</f>
        <v>74.426118007141653</v>
      </c>
      <c r="AH8" s="182">
        <f t="shared" ref="AH8:AH15" si="22">RANK(AG8, AG$7:AG$21)</f>
        <v>8</v>
      </c>
      <c r="AI8" s="576"/>
      <c r="AJ8" s="188">
        <v>24</v>
      </c>
      <c r="AK8" s="188">
        <v>1786.1487724441185</v>
      </c>
      <c r="AL8" s="185">
        <f t="shared" si="13"/>
        <v>74.422865518504935</v>
      </c>
      <c r="AM8" s="182">
        <f t="shared" ref="AM8:AM15" si="23">RANK(AL8, AL$7:AL$21)</f>
        <v>8</v>
      </c>
      <c r="AN8" s="576"/>
      <c r="AO8" s="188">
        <v>24</v>
      </c>
      <c r="AP8" s="188">
        <v>1786.2141462682089</v>
      </c>
      <c r="AQ8" s="185">
        <f t="shared" si="14"/>
        <v>74.425589427842041</v>
      </c>
      <c r="AR8" s="182">
        <f t="shared" ref="AR8:AR15" si="24">RANK(AQ8, AQ$7:AQ$21)</f>
        <v>8</v>
      </c>
      <c r="AS8" s="576"/>
      <c r="AT8" s="188">
        <v>24</v>
      </c>
      <c r="AU8" s="188">
        <v>1786.3079509968773</v>
      </c>
      <c r="AV8" s="185">
        <f t="shared" si="15"/>
        <v>74.429497958203214</v>
      </c>
      <c r="AW8" s="182">
        <f t="shared" ref="AW8:AW15" si="25">RANK(AV8, AV$7:AV$21)</f>
        <v>8</v>
      </c>
      <c r="AX8" s="576"/>
    </row>
    <row r="9" spans="1:50" ht="14.25" customHeight="1">
      <c r="B9" s="575"/>
      <c r="C9" s="180">
        <v>3</v>
      </c>
      <c r="D9" s="183" t="s">
        <v>360</v>
      </c>
      <c r="E9" s="180">
        <v>23</v>
      </c>
      <c r="F9" s="180">
        <v>2000</v>
      </c>
      <c r="G9" s="185">
        <f t="shared" si="10"/>
        <v>86.956521739130437</v>
      </c>
      <c r="H9" s="576"/>
      <c r="I9" s="186">
        <f t="shared" si="16"/>
        <v>23</v>
      </c>
      <c r="J9" s="186">
        <f t="shared" si="16"/>
        <v>1787.4499121608512</v>
      </c>
      <c r="K9" s="187">
        <f t="shared" si="16"/>
        <v>77.715213572210914</v>
      </c>
      <c r="L9" s="577"/>
      <c r="M9" s="186">
        <f>RANK(K9, K$7:$K$21)</f>
        <v>5</v>
      </c>
      <c r="N9" s="575"/>
      <c r="O9" s="575"/>
      <c r="P9" s="188">
        <v>23</v>
      </c>
      <c r="Q9" s="188">
        <v>1786.9592216932315</v>
      </c>
      <c r="R9" s="185">
        <f t="shared" si="17"/>
        <v>77.693879204053545</v>
      </c>
      <c r="S9" s="182">
        <f t="shared" si="18"/>
        <v>5</v>
      </c>
      <c r="T9" s="576"/>
      <c r="U9" s="188">
        <v>23</v>
      </c>
      <c r="V9" s="188">
        <v>1787.2504829362522</v>
      </c>
      <c r="W9" s="185">
        <f t="shared" si="11"/>
        <v>77.706542736358784</v>
      </c>
      <c r="X9" s="182">
        <f t="shared" si="19"/>
        <v>5</v>
      </c>
      <c r="Y9" s="576"/>
      <c r="Z9" s="188">
        <v>23</v>
      </c>
      <c r="AA9" s="188">
        <v>1787.4306177260523</v>
      </c>
      <c r="AB9" s="185">
        <f t="shared" si="12"/>
        <v>77.714374683741411</v>
      </c>
      <c r="AC9" s="182">
        <f t="shared" si="20"/>
        <v>5</v>
      </c>
      <c r="AD9" s="576"/>
      <c r="AE9" s="188">
        <v>23</v>
      </c>
      <c r="AF9" s="188">
        <v>1787.550854353133</v>
      </c>
      <c r="AG9" s="185">
        <f t="shared" si="21"/>
        <v>77.719602363179689</v>
      </c>
      <c r="AH9" s="182">
        <f t="shared" si="22"/>
        <v>5</v>
      </c>
      <c r="AI9" s="576"/>
      <c r="AJ9" s="188">
        <v>23</v>
      </c>
      <c r="AK9" s="188">
        <v>1787.5602094240853</v>
      </c>
      <c r="AL9" s="185">
        <f t="shared" si="13"/>
        <v>77.720009105395008</v>
      </c>
      <c r="AM9" s="182">
        <f t="shared" si="23"/>
        <v>5</v>
      </c>
      <c r="AN9" s="576"/>
      <c r="AO9" s="188">
        <v>23</v>
      </c>
      <c r="AP9" s="188">
        <v>1787.7155172413786</v>
      </c>
      <c r="AQ9" s="185">
        <f t="shared" si="14"/>
        <v>77.72676161919037</v>
      </c>
      <c r="AR9" s="182">
        <f t="shared" si="24"/>
        <v>5</v>
      </c>
      <c r="AS9" s="576"/>
      <c r="AT9" s="188">
        <v>23</v>
      </c>
      <c r="AU9" s="188">
        <v>1787.6824817518243</v>
      </c>
      <c r="AV9" s="185">
        <f t="shared" si="15"/>
        <v>77.725325293557574</v>
      </c>
      <c r="AW9" s="182">
        <f t="shared" si="25"/>
        <v>5</v>
      </c>
      <c r="AX9" s="576"/>
    </row>
    <row r="10" spans="1:50" ht="14.25" customHeight="1">
      <c r="B10" s="575"/>
      <c r="C10" s="180">
        <v>4</v>
      </c>
      <c r="D10" s="183" t="s">
        <v>357</v>
      </c>
      <c r="E10" s="180">
        <v>23</v>
      </c>
      <c r="F10" s="180">
        <v>2000</v>
      </c>
      <c r="G10" s="185">
        <f t="shared" si="10"/>
        <v>86.956521739130437</v>
      </c>
      <c r="H10" s="576"/>
      <c r="I10" s="186">
        <f t="shared" si="16"/>
        <v>23</v>
      </c>
      <c r="J10" s="186">
        <f t="shared" si="16"/>
        <v>1787.9928578261026</v>
      </c>
      <c r="K10" s="187">
        <f t="shared" si="16"/>
        <v>77.738819905482728</v>
      </c>
      <c r="L10" s="577"/>
      <c r="M10" s="186">
        <f>RANK(K10, K$7:$K$21)</f>
        <v>4</v>
      </c>
      <c r="N10" s="575"/>
      <c r="O10" s="575"/>
      <c r="P10" s="188">
        <v>23</v>
      </c>
      <c r="Q10" s="188">
        <v>1787.9333461022802</v>
      </c>
      <c r="R10" s="185">
        <f t="shared" si="17"/>
        <v>77.736232439229568</v>
      </c>
      <c r="S10" s="182">
        <f t="shared" si="18"/>
        <v>4</v>
      </c>
      <c r="T10" s="576"/>
      <c r="U10" s="188">
        <v>23</v>
      </c>
      <c r="V10" s="188">
        <v>1788.102815177479</v>
      </c>
      <c r="W10" s="185">
        <f t="shared" si="11"/>
        <v>77.74360065989039</v>
      </c>
      <c r="X10" s="182">
        <f t="shared" si="19"/>
        <v>4</v>
      </c>
      <c r="Y10" s="576"/>
      <c r="Z10" s="188">
        <v>23</v>
      </c>
      <c r="AA10" s="188">
        <v>1788.0960668291007</v>
      </c>
      <c r="AB10" s="185">
        <f t="shared" si="12"/>
        <v>77.743307253439156</v>
      </c>
      <c r="AC10" s="182">
        <f t="shared" si="20"/>
        <v>4</v>
      </c>
      <c r="AD10" s="576"/>
      <c r="AE10" s="188">
        <v>23</v>
      </c>
      <c r="AF10" s="188">
        <v>1787.8729547641949</v>
      </c>
      <c r="AG10" s="185">
        <f t="shared" si="21"/>
        <v>77.733606728878044</v>
      </c>
      <c r="AH10" s="182">
        <f t="shared" si="22"/>
        <v>4</v>
      </c>
      <c r="AI10" s="576"/>
      <c r="AJ10" s="188">
        <v>23</v>
      </c>
      <c r="AK10" s="188">
        <v>1787.9271798147565</v>
      </c>
      <c r="AL10" s="185">
        <f t="shared" si="13"/>
        <v>77.735964339772025</v>
      </c>
      <c r="AM10" s="182">
        <f t="shared" si="23"/>
        <v>4</v>
      </c>
      <c r="AN10" s="576"/>
      <c r="AO10" s="188">
        <v>23</v>
      </c>
      <c r="AP10" s="188">
        <v>1787.9789103690684</v>
      </c>
      <c r="AQ10" s="185">
        <f t="shared" si="14"/>
        <v>77.738213494307317</v>
      </c>
      <c r="AR10" s="182">
        <f t="shared" si="24"/>
        <v>4</v>
      </c>
      <c r="AS10" s="576"/>
      <c r="AT10" s="188">
        <v>23</v>
      </c>
      <c r="AU10" s="188">
        <v>1788.0387317258396</v>
      </c>
      <c r="AV10" s="185">
        <f t="shared" si="15"/>
        <v>77.740814422862599</v>
      </c>
      <c r="AW10" s="182">
        <f t="shared" si="25"/>
        <v>4</v>
      </c>
      <c r="AX10" s="576"/>
    </row>
    <row r="11" spans="1:50" ht="14.25" customHeight="1">
      <c r="B11" s="575"/>
      <c r="C11" s="180">
        <v>5</v>
      </c>
      <c r="D11" s="183" t="s">
        <v>465</v>
      </c>
      <c r="E11" s="180">
        <v>23</v>
      </c>
      <c r="F11" s="180">
        <v>2000</v>
      </c>
      <c r="G11" s="185">
        <f t="shared" si="10"/>
        <v>86.956521739130437</v>
      </c>
      <c r="H11" s="576"/>
      <c r="I11" s="186">
        <f t="shared" si="16"/>
        <v>23</v>
      </c>
      <c r="J11" s="186">
        <f t="shared" si="16"/>
        <v>1786.0387092886963</v>
      </c>
      <c r="K11" s="187">
        <f t="shared" si="16"/>
        <v>77.653856925595505</v>
      </c>
      <c r="L11" s="577"/>
      <c r="M11" s="186">
        <f>RANK(K11, K$7:$K$21)</f>
        <v>6</v>
      </c>
      <c r="N11" s="575"/>
      <c r="O11" s="575"/>
      <c r="P11" s="188">
        <v>23</v>
      </c>
      <c r="Q11" s="188">
        <v>1785.4488725003544</v>
      </c>
      <c r="R11" s="185">
        <f t="shared" si="17"/>
        <v>77.628211847841499</v>
      </c>
      <c r="S11" s="182">
        <f t="shared" si="18"/>
        <v>6</v>
      </c>
      <c r="T11" s="576"/>
      <c r="U11" s="188">
        <v>23</v>
      </c>
      <c r="V11" s="188">
        <v>1785.6</v>
      </c>
      <c r="W11" s="185">
        <f t="shared" si="11"/>
        <v>77.634782608695645</v>
      </c>
      <c r="X11" s="182">
        <f t="shared" si="19"/>
        <v>6</v>
      </c>
      <c r="Y11" s="576"/>
      <c r="Z11" s="188">
        <v>23</v>
      </c>
      <c r="AA11" s="188">
        <v>1785.6787667826957</v>
      </c>
      <c r="AB11" s="185">
        <f t="shared" si="12"/>
        <v>77.638207251421548</v>
      </c>
      <c r="AC11" s="182">
        <f t="shared" si="20"/>
        <v>6</v>
      </c>
      <c r="AD11" s="576"/>
      <c r="AE11" s="188">
        <v>23</v>
      </c>
      <c r="AF11" s="188">
        <v>1786.0320744956011</v>
      </c>
      <c r="AG11" s="185">
        <f t="shared" si="21"/>
        <v>77.65356845633049</v>
      </c>
      <c r="AH11" s="182">
        <f t="shared" si="22"/>
        <v>6</v>
      </c>
      <c r="AI11" s="576"/>
      <c r="AJ11" s="188">
        <v>23</v>
      </c>
      <c r="AK11" s="188">
        <v>1786.6078809589421</v>
      </c>
      <c r="AL11" s="185">
        <f t="shared" si="13"/>
        <v>77.678603519954009</v>
      </c>
      <c r="AM11" s="182">
        <f t="shared" si="23"/>
        <v>6</v>
      </c>
      <c r="AN11" s="576"/>
      <c r="AO11" s="188">
        <v>23</v>
      </c>
      <c r="AP11" s="188">
        <v>1786.4801864801866</v>
      </c>
      <c r="AQ11" s="185">
        <f t="shared" si="14"/>
        <v>77.67305158609507</v>
      </c>
      <c r="AR11" s="182">
        <f t="shared" si="24"/>
        <v>6</v>
      </c>
      <c r="AS11" s="576"/>
      <c r="AT11" s="188">
        <v>23</v>
      </c>
      <c r="AU11" s="188">
        <v>1786.4231838030951</v>
      </c>
      <c r="AV11" s="185">
        <f t="shared" si="15"/>
        <v>77.67057320883022</v>
      </c>
      <c r="AW11" s="182">
        <f t="shared" si="25"/>
        <v>6</v>
      </c>
      <c r="AX11" s="576"/>
    </row>
    <row r="12" spans="1:50" ht="14.25" customHeight="1">
      <c r="B12" s="575"/>
      <c r="C12" s="180">
        <v>6</v>
      </c>
      <c r="D12" s="183" t="s">
        <v>468</v>
      </c>
      <c r="E12" s="180">
        <v>22</v>
      </c>
      <c r="F12" s="180">
        <v>2000</v>
      </c>
      <c r="G12" s="185">
        <f t="shared" si="10"/>
        <v>90.909090909090907</v>
      </c>
      <c r="H12" s="576"/>
      <c r="I12" s="186">
        <f t="shared" si="16"/>
        <v>22</v>
      </c>
      <c r="J12" s="186">
        <f t="shared" si="16"/>
        <v>1786.9212392650302</v>
      </c>
      <c r="K12" s="187">
        <f t="shared" si="16"/>
        <v>81.223692693865019</v>
      </c>
      <c r="L12" s="577"/>
      <c r="M12" s="186">
        <f>RANK(K12, K$7:$K$21)</f>
        <v>2</v>
      </c>
      <c r="N12" s="575"/>
      <c r="O12" s="575"/>
      <c r="P12" s="188">
        <v>22</v>
      </c>
      <c r="Q12" s="188">
        <v>1786.4711274060494</v>
      </c>
      <c r="R12" s="185">
        <f t="shared" si="17"/>
        <v>81.203233063911341</v>
      </c>
      <c r="S12" s="182">
        <f t="shared" si="18"/>
        <v>2</v>
      </c>
      <c r="T12" s="576"/>
      <c r="U12" s="188">
        <v>22</v>
      </c>
      <c r="V12" s="188">
        <v>1786.5336658354111</v>
      </c>
      <c r="W12" s="185">
        <f t="shared" si="11"/>
        <v>81.206075719791414</v>
      </c>
      <c r="X12" s="182">
        <f t="shared" si="19"/>
        <v>2</v>
      </c>
      <c r="Y12" s="576"/>
      <c r="Z12" s="188">
        <v>22</v>
      </c>
      <c r="AA12" s="188">
        <v>1786.7403314917124</v>
      </c>
      <c r="AB12" s="185">
        <f t="shared" si="12"/>
        <v>81.215469613259657</v>
      </c>
      <c r="AC12" s="182">
        <f t="shared" si="20"/>
        <v>2</v>
      </c>
      <c r="AD12" s="576"/>
      <c r="AE12" s="188">
        <v>22</v>
      </c>
      <c r="AF12" s="188">
        <v>1787.0348139255698</v>
      </c>
      <c r="AG12" s="185">
        <f t="shared" si="21"/>
        <v>81.228855178434983</v>
      </c>
      <c r="AH12" s="182">
        <f t="shared" si="22"/>
        <v>2</v>
      </c>
      <c r="AI12" s="576"/>
      <c r="AJ12" s="188">
        <v>22</v>
      </c>
      <c r="AK12" s="188">
        <v>1787.2415829887773</v>
      </c>
      <c r="AL12" s="185">
        <f t="shared" si="13"/>
        <v>81.238253772217149</v>
      </c>
      <c r="AM12" s="182">
        <f t="shared" si="23"/>
        <v>2</v>
      </c>
      <c r="AN12" s="576"/>
      <c r="AO12" s="188">
        <v>22</v>
      </c>
      <c r="AP12" s="188">
        <v>1787.1468488047199</v>
      </c>
      <c r="AQ12" s="185">
        <f t="shared" si="14"/>
        <v>81.23394767294181</v>
      </c>
      <c r="AR12" s="182">
        <f t="shared" si="24"/>
        <v>2</v>
      </c>
      <c r="AS12" s="576"/>
      <c r="AT12" s="188">
        <v>22</v>
      </c>
      <c r="AU12" s="188">
        <v>1787.2803044029724</v>
      </c>
      <c r="AV12" s="185">
        <f t="shared" si="15"/>
        <v>81.240013836498747</v>
      </c>
      <c r="AW12" s="182">
        <f t="shared" si="25"/>
        <v>2</v>
      </c>
      <c r="AX12" s="576"/>
    </row>
    <row r="13" spans="1:50" ht="14.25" customHeight="1">
      <c r="B13" s="575"/>
      <c r="C13" s="180">
        <v>7</v>
      </c>
      <c r="D13" s="183" t="s">
        <v>472</v>
      </c>
      <c r="E13" s="180">
        <v>20</v>
      </c>
      <c r="F13" s="180">
        <v>2000</v>
      </c>
      <c r="G13" s="185">
        <f t="shared" si="10"/>
        <v>100</v>
      </c>
      <c r="H13" s="576"/>
      <c r="I13" s="186">
        <f t="shared" si="16"/>
        <v>20</v>
      </c>
      <c r="J13" s="186">
        <f t="shared" si="16"/>
        <v>1786.5812924932718</v>
      </c>
      <c r="K13" s="187">
        <f t="shared" si="16"/>
        <v>89.329064624663573</v>
      </c>
      <c r="L13" s="577"/>
      <c r="M13" s="186">
        <f>RANK(K13, K$7:$K$21)</f>
        <v>1</v>
      </c>
      <c r="N13" s="575"/>
      <c r="O13" s="575"/>
      <c r="P13" s="188">
        <v>20</v>
      </c>
      <c r="Q13" s="188">
        <v>1786.4986498649862</v>
      </c>
      <c r="R13" s="185">
        <f t="shared" si="17"/>
        <v>89.324932493249307</v>
      </c>
      <c r="S13" s="182">
        <f t="shared" si="18"/>
        <v>1</v>
      </c>
      <c r="T13" s="576"/>
      <c r="U13" s="188">
        <v>20</v>
      </c>
      <c r="V13" s="188">
        <v>1786.4272890484738</v>
      </c>
      <c r="W13" s="185">
        <f t="shared" si="11"/>
        <v>89.321364452423694</v>
      </c>
      <c r="X13" s="182">
        <f t="shared" si="19"/>
        <v>1</v>
      </c>
      <c r="Y13" s="576"/>
      <c r="Z13" s="188">
        <v>20</v>
      </c>
      <c r="AA13" s="188">
        <v>1786.5354330708665</v>
      </c>
      <c r="AB13" s="185">
        <f t="shared" si="12"/>
        <v>89.326771653543318</v>
      </c>
      <c r="AC13" s="182">
        <f t="shared" si="20"/>
        <v>1</v>
      </c>
      <c r="AD13" s="576"/>
      <c r="AE13" s="188">
        <v>20</v>
      </c>
      <c r="AF13" s="188">
        <v>1786.5551239916349</v>
      </c>
      <c r="AG13" s="185">
        <f t="shared" si="21"/>
        <v>89.327756199581742</v>
      </c>
      <c r="AH13" s="182">
        <f t="shared" si="22"/>
        <v>1</v>
      </c>
      <c r="AI13" s="576"/>
      <c r="AJ13" s="188">
        <v>20</v>
      </c>
      <c r="AK13" s="188">
        <v>1786.6004962779164</v>
      </c>
      <c r="AL13" s="185">
        <f t="shared" si="13"/>
        <v>89.330024813895818</v>
      </c>
      <c r="AM13" s="182">
        <f t="shared" si="23"/>
        <v>1</v>
      </c>
      <c r="AN13" s="576"/>
      <c r="AO13" s="188">
        <v>20</v>
      </c>
      <c r="AP13" s="188">
        <v>1786.7475097444783</v>
      </c>
      <c r="AQ13" s="185">
        <f t="shared" si="14"/>
        <v>89.337375487223909</v>
      </c>
      <c r="AR13" s="182">
        <f t="shared" si="24"/>
        <v>1</v>
      </c>
      <c r="AS13" s="576"/>
      <c r="AT13" s="188">
        <v>20</v>
      </c>
      <c r="AU13" s="188">
        <v>1786.7045454545455</v>
      </c>
      <c r="AV13" s="185">
        <f t="shared" si="15"/>
        <v>89.33522727272728</v>
      </c>
      <c r="AW13" s="182">
        <f t="shared" si="25"/>
        <v>1</v>
      </c>
      <c r="AX13" s="576"/>
    </row>
    <row r="14" spans="1:50" ht="14.25" customHeight="1">
      <c r="B14" s="575"/>
      <c r="C14" s="180">
        <v>8</v>
      </c>
      <c r="D14" s="183" t="s">
        <v>361</v>
      </c>
      <c r="E14" s="180">
        <v>24</v>
      </c>
      <c r="F14" s="180">
        <v>2000</v>
      </c>
      <c r="G14" s="185">
        <f t="shared" si="10"/>
        <v>83.333333333333329</v>
      </c>
      <c r="H14" s="576"/>
      <c r="I14" s="186">
        <f t="shared" si="16"/>
        <v>24</v>
      </c>
      <c r="J14" s="186">
        <f t="shared" si="16"/>
        <v>1787.5785261132012</v>
      </c>
      <c r="K14" s="187">
        <f t="shared" si="16"/>
        <v>74.482438588050044</v>
      </c>
      <c r="L14" s="577"/>
      <c r="M14" s="186">
        <f>RANK(K14, K$7:$K$21)</f>
        <v>7</v>
      </c>
      <c r="N14" s="575"/>
      <c r="O14" s="575"/>
      <c r="P14" s="188">
        <v>24</v>
      </c>
      <c r="Q14" s="188">
        <v>1787.0897630949798</v>
      </c>
      <c r="R14" s="185">
        <f t="shared" si="17"/>
        <v>74.462073462290832</v>
      </c>
      <c r="S14" s="182">
        <f t="shared" si="18"/>
        <v>7</v>
      </c>
      <c r="T14" s="576"/>
      <c r="U14" s="188">
        <v>24</v>
      </c>
      <c r="V14" s="188">
        <v>1787.2219592995755</v>
      </c>
      <c r="W14" s="185">
        <f t="shared" si="11"/>
        <v>74.467581637482311</v>
      </c>
      <c r="X14" s="182">
        <f t="shared" si="19"/>
        <v>7</v>
      </c>
      <c r="Y14" s="576"/>
      <c r="Z14" s="188">
        <v>24</v>
      </c>
      <c r="AA14" s="188">
        <v>1787.3861247372129</v>
      </c>
      <c r="AB14" s="185">
        <f t="shared" si="12"/>
        <v>74.474421864050541</v>
      </c>
      <c r="AC14" s="182">
        <f t="shared" si="20"/>
        <v>7</v>
      </c>
      <c r="AD14" s="576"/>
      <c r="AE14" s="188">
        <v>24</v>
      </c>
      <c r="AF14" s="188">
        <v>1787.7365632096903</v>
      </c>
      <c r="AG14" s="185">
        <f t="shared" si="21"/>
        <v>74.489023467070425</v>
      </c>
      <c r="AH14" s="182">
        <f t="shared" si="22"/>
        <v>7</v>
      </c>
      <c r="AI14" s="576"/>
      <c r="AJ14" s="188">
        <v>24</v>
      </c>
      <c r="AK14" s="188">
        <v>1787.477114610032</v>
      </c>
      <c r="AL14" s="185">
        <f t="shared" si="13"/>
        <v>74.478213108751333</v>
      </c>
      <c r="AM14" s="182">
        <f t="shared" si="23"/>
        <v>7</v>
      </c>
      <c r="AN14" s="576"/>
      <c r="AO14" s="188">
        <v>24</v>
      </c>
      <c r="AP14" s="188">
        <v>1788.0478087649417</v>
      </c>
      <c r="AQ14" s="185">
        <f t="shared" si="14"/>
        <v>74.501992031872575</v>
      </c>
      <c r="AR14" s="182">
        <f t="shared" si="24"/>
        <v>7</v>
      </c>
      <c r="AS14" s="576"/>
      <c r="AT14" s="188">
        <v>24</v>
      </c>
      <c r="AU14" s="188">
        <v>1788.0903490759758</v>
      </c>
      <c r="AV14" s="185">
        <f t="shared" si="15"/>
        <v>74.503764544832322</v>
      </c>
      <c r="AW14" s="182">
        <f t="shared" si="25"/>
        <v>7</v>
      </c>
      <c r="AX14" s="576"/>
    </row>
    <row r="15" spans="1:50" ht="14.25" customHeight="1">
      <c r="B15" s="575"/>
      <c r="C15" s="180">
        <v>9</v>
      </c>
      <c r="D15" s="183" t="s">
        <v>641</v>
      </c>
      <c r="E15" s="180">
        <v>26</v>
      </c>
      <c r="F15" s="180">
        <v>2000</v>
      </c>
      <c r="G15" s="185">
        <f t="shared" si="10"/>
        <v>76.92307692307692</v>
      </c>
      <c r="H15" s="576"/>
      <c r="I15" s="186">
        <f t="shared" si="16"/>
        <v>26</v>
      </c>
      <c r="J15" s="186">
        <f t="shared" si="16"/>
        <v>1728.4722467230793</v>
      </c>
      <c r="K15" s="187">
        <f t="shared" si="16"/>
        <v>66.4797017970415</v>
      </c>
      <c r="L15" s="577"/>
      <c r="M15" s="186">
        <f>RANK(K15, K$7:$K$21)</f>
        <v>9</v>
      </c>
      <c r="N15" s="575"/>
      <c r="O15" s="575"/>
      <c r="P15" s="188">
        <v>26</v>
      </c>
      <c r="Q15" s="188">
        <v>1636.415094339623</v>
      </c>
      <c r="R15" s="185">
        <f t="shared" si="17"/>
        <v>62.939042089985499</v>
      </c>
      <c r="S15" s="182">
        <f t="shared" si="18"/>
        <v>9</v>
      </c>
      <c r="T15" s="576"/>
      <c r="U15" s="188">
        <v>26</v>
      </c>
      <c r="V15" s="188">
        <v>1669.0951216372766</v>
      </c>
      <c r="W15" s="185">
        <f t="shared" si="11"/>
        <v>64.195966216818334</v>
      </c>
      <c r="X15" s="182">
        <f t="shared" si="19"/>
        <v>9</v>
      </c>
      <c r="Y15" s="576"/>
      <c r="Z15" s="188">
        <v>26</v>
      </c>
      <c r="AA15" s="188">
        <v>1705.699800276539</v>
      </c>
      <c r="AB15" s="185">
        <f t="shared" si="12"/>
        <v>65.603838472174573</v>
      </c>
      <c r="AC15" s="182">
        <f t="shared" si="20"/>
        <v>9</v>
      </c>
      <c r="AD15" s="576"/>
      <c r="AE15" s="188">
        <v>26</v>
      </c>
      <c r="AF15" s="188">
        <v>1739.934569247547</v>
      </c>
      <c r="AG15" s="185">
        <f t="shared" si="21"/>
        <v>66.92056035567488</v>
      </c>
      <c r="AH15" s="182">
        <f t="shared" si="22"/>
        <v>9</v>
      </c>
      <c r="AI15" s="576"/>
      <c r="AJ15" s="188">
        <v>26</v>
      </c>
      <c r="AK15" s="188">
        <v>1770.5454545454543</v>
      </c>
      <c r="AL15" s="185">
        <f t="shared" si="13"/>
        <v>68.097902097902093</v>
      </c>
      <c r="AM15" s="182">
        <f t="shared" si="23"/>
        <v>9</v>
      </c>
      <c r="AN15" s="576"/>
      <c r="AO15" s="188">
        <v>26</v>
      </c>
      <c r="AP15" s="188">
        <v>1788.8317674171244</v>
      </c>
      <c r="AQ15" s="185">
        <f t="shared" si="14"/>
        <v>68.80122182373556</v>
      </c>
      <c r="AR15" s="182">
        <f t="shared" si="24"/>
        <v>9</v>
      </c>
      <c r="AS15" s="576"/>
      <c r="AT15" s="188">
        <v>26</v>
      </c>
      <c r="AU15" s="188">
        <v>1788.7839195979907</v>
      </c>
      <c r="AV15" s="185">
        <f t="shared" si="15"/>
        <v>68.799381522999639</v>
      </c>
      <c r="AW15" s="182">
        <f t="shared" si="25"/>
        <v>9</v>
      </c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137</v>
      </c>
      <c r="C27" s="180">
        <v>1</v>
      </c>
      <c r="D27" s="183" t="s">
        <v>358</v>
      </c>
      <c r="E27" s="180">
        <v>21</v>
      </c>
      <c r="F27" s="180">
        <v>2000</v>
      </c>
      <c r="G27" s="185">
        <f t="shared" ref="G27:G35" si="26">F27/E27</f>
        <v>95.238095238095241</v>
      </c>
      <c r="H27" s="576">
        <f>AVERAGE(G27:G41)</f>
        <v>87.845166106035677</v>
      </c>
      <c r="I27" s="186">
        <f>AVERAGE(P27,U27,Z27,AE27,AJ27,AO27,AT27)</f>
        <v>22</v>
      </c>
      <c r="J27" s="186">
        <f>AVERAGE(Q27,V27,AA27,AF27,AK27,AP27,AU27)</f>
        <v>1785.9161297450648</v>
      </c>
      <c r="K27" s="187">
        <f>AVERAGE(R27,W27,AB27,AG27,AL27,AQ27,AV27)</f>
        <v>81.178005897502956</v>
      </c>
      <c r="L27" s="577">
        <f>IFERROR(AVERAGE(K27:K41),"-")</f>
        <v>78.075185654829028</v>
      </c>
      <c r="M27" s="186">
        <f>RANK(K27, K$27:$K$41)</f>
        <v>3</v>
      </c>
      <c r="N27" s="575"/>
      <c r="O27" s="575"/>
      <c r="P27" s="188">
        <v>22</v>
      </c>
      <c r="Q27" s="188">
        <v>1785.7496288965858</v>
      </c>
      <c r="R27" s="185">
        <f>IFERROR(Q27/P27,"")</f>
        <v>81.170437677117533</v>
      </c>
      <c r="S27" s="182">
        <f>RANK(R27, R$27:R$41)</f>
        <v>3</v>
      </c>
      <c r="T27" s="576">
        <f>AVERAGE(R27:R41)</f>
        <v>78.071694975222229</v>
      </c>
      <c r="U27" s="188">
        <v>22</v>
      </c>
      <c r="V27" s="188">
        <v>1785.6632793188676</v>
      </c>
      <c r="W27" s="185">
        <f t="shared" ref="W27:W35" si="27">IFERROR(V27/U27,"")</f>
        <v>81.166512696312168</v>
      </c>
      <c r="X27" s="182">
        <f>RANK(W27, W$27:W$41)</f>
        <v>3</v>
      </c>
      <c r="Y27" s="576">
        <f>AVERAGE(W27:W41)</f>
        <v>78.070489401499898</v>
      </c>
      <c r="Z27" s="188">
        <v>22</v>
      </c>
      <c r="AA27" s="188">
        <v>1786</v>
      </c>
      <c r="AB27" s="185">
        <f t="shared" ref="AB27:AB35" si="28">IFERROR(AA27/Z27,"")</f>
        <v>81.181818181818187</v>
      </c>
      <c r="AC27" s="182">
        <f>RANK(AB27, AB$27:AB$41)</f>
        <v>3</v>
      </c>
      <c r="AD27" s="576">
        <f>AVERAGE(AB27:AB41)</f>
        <v>78.068477467505417</v>
      </c>
      <c r="AE27" s="188">
        <v>22</v>
      </c>
      <c r="AF27" s="188">
        <v>1786</v>
      </c>
      <c r="AG27" s="185">
        <f>IFERROR(AF27/AE27,"")</f>
        <v>81.181818181818187</v>
      </c>
      <c r="AH27" s="182">
        <f>RANK(AG27, AG$27:AG$41)</f>
        <v>3</v>
      </c>
      <c r="AI27" s="576">
        <f>AVERAGE(AG27:AG41)</f>
        <v>78.07694519945143</v>
      </c>
      <c r="AJ27" s="188">
        <v>22</v>
      </c>
      <c r="AK27" s="188">
        <v>1786</v>
      </c>
      <c r="AL27" s="185">
        <f t="shared" ref="AL27:AL35" si="29">IFERROR(AK27/AJ27,"")</f>
        <v>81.181818181818187</v>
      </c>
      <c r="AM27" s="182">
        <f>RANK(AL27, AL$27:AL$41)</f>
        <v>3</v>
      </c>
      <c r="AN27" s="576">
        <f>AVERAGE(AL27:AL41)</f>
        <v>78.074600177323788</v>
      </c>
      <c r="AO27" s="188">
        <v>22</v>
      </c>
      <c r="AP27" s="188">
        <v>1786</v>
      </c>
      <c r="AQ27" s="185">
        <f t="shared" ref="AQ27:AQ35" si="30">IFERROR(AP27/AO27,"")</f>
        <v>81.181818181818187</v>
      </c>
      <c r="AR27" s="182">
        <f>RANK(AQ27, AQ$27:AQ$41)</f>
        <v>3</v>
      </c>
      <c r="AS27" s="576">
        <f>AVERAGE(AQ27:AQ41)</f>
        <v>78.082650243199922</v>
      </c>
      <c r="AT27" s="188">
        <v>22</v>
      </c>
      <c r="AU27" s="188">
        <v>1786</v>
      </c>
      <c r="AV27" s="185">
        <f t="shared" ref="AV27:AV35" si="31">IFERROR(AU27/AT27,"")</f>
        <v>81.181818181818187</v>
      </c>
      <c r="AW27" s="182">
        <f>RANK(AV27, AV$27:AV$41)</f>
        <v>3</v>
      </c>
      <c r="AX27" s="576">
        <f>AVERAGE(AV27:AV41)</f>
        <v>78.08144211960051</v>
      </c>
    </row>
    <row r="28" spans="2:50" ht="14.25" customHeight="1">
      <c r="B28" s="575"/>
      <c r="C28" s="180">
        <v>2</v>
      </c>
      <c r="D28" s="183" t="s">
        <v>359</v>
      </c>
      <c r="E28" s="180">
        <v>24</v>
      </c>
      <c r="F28" s="180">
        <v>2000</v>
      </c>
      <c r="G28" s="185">
        <f t="shared" si="26"/>
        <v>83.333333333333329</v>
      </c>
      <c r="H28" s="576"/>
      <c r="I28" s="186">
        <f t="shared" ref="I28:K35" si="32">AVERAGE(P28,U28,Z28,AE28,AJ28,AO28,AT28)</f>
        <v>24</v>
      </c>
      <c r="J28" s="186">
        <f t="shared" si="32"/>
        <v>1786.8477129593189</v>
      </c>
      <c r="K28" s="187">
        <f t="shared" si="32"/>
        <v>74.451988039971624</v>
      </c>
      <c r="L28" s="577"/>
      <c r="M28" s="186">
        <f>RANK(K28, K$27:$K$41)</f>
        <v>8</v>
      </c>
      <c r="N28" s="575"/>
      <c r="O28" s="575"/>
      <c r="P28" s="188">
        <v>24</v>
      </c>
      <c r="Q28" s="188">
        <v>1786.3354037267081</v>
      </c>
      <c r="R28" s="185">
        <f t="shared" ref="R28:R35" si="33">IFERROR(Q28/P28,"")</f>
        <v>74.430641821946168</v>
      </c>
      <c r="S28" s="182">
        <f t="shared" ref="S28:S35" si="34">RANK(R28, R$27:R$41)</f>
        <v>8</v>
      </c>
      <c r="T28" s="576"/>
      <c r="U28" s="188">
        <v>24</v>
      </c>
      <c r="V28" s="188">
        <v>1786.3997644980873</v>
      </c>
      <c r="W28" s="185">
        <f t="shared" si="27"/>
        <v>74.433323520753632</v>
      </c>
      <c r="X28" s="182">
        <f t="shared" ref="X28:X35" si="35">RANK(W28, W$27:W$41)</f>
        <v>8</v>
      </c>
      <c r="Y28" s="576"/>
      <c r="Z28" s="188">
        <v>24</v>
      </c>
      <c r="AA28" s="188">
        <v>1786.5997644980873</v>
      </c>
      <c r="AB28" s="185">
        <f t="shared" si="28"/>
        <v>74.441656854086972</v>
      </c>
      <c r="AC28" s="182">
        <f t="shared" ref="AC28:AC35" si="36">RANK(AB28, AB$27:AB$41)</f>
        <v>8</v>
      </c>
      <c r="AD28" s="576"/>
      <c r="AE28" s="188">
        <v>24</v>
      </c>
      <c r="AF28" s="188">
        <v>1786.999764498087</v>
      </c>
      <c r="AG28" s="185">
        <f t="shared" ref="AG28:AG35" si="37">IFERROR(AF28/AE28,"")</f>
        <v>74.458323520753623</v>
      </c>
      <c r="AH28" s="182">
        <f t="shared" ref="AH28:AH35" si="38">RANK(AG28, AG$27:AG$41)</f>
        <v>8</v>
      </c>
      <c r="AI28" s="576"/>
      <c r="AJ28" s="188">
        <v>24</v>
      </c>
      <c r="AK28" s="188">
        <v>1786.5997644980873</v>
      </c>
      <c r="AL28" s="185">
        <f t="shared" si="29"/>
        <v>74.441656854086972</v>
      </c>
      <c r="AM28" s="182">
        <f t="shared" ref="AM28:AM35" si="39">RANK(AL28, AL$27:AL$41)</f>
        <v>8</v>
      </c>
      <c r="AN28" s="576"/>
      <c r="AO28" s="188">
        <v>24</v>
      </c>
      <c r="AP28" s="188">
        <v>1787.1997644980872</v>
      </c>
      <c r="AQ28" s="185">
        <f t="shared" si="30"/>
        <v>74.466656854086963</v>
      </c>
      <c r="AR28" s="182">
        <f t="shared" ref="AR28:AR35" si="40">RANK(AQ28, AQ$27:AQ$41)</f>
        <v>7</v>
      </c>
      <c r="AS28" s="576"/>
      <c r="AT28" s="188">
        <v>24</v>
      </c>
      <c r="AU28" s="188">
        <v>1787.7997644980874</v>
      </c>
      <c r="AV28" s="185">
        <f t="shared" si="31"/>
        <v>74.491656854086969</v>
      </c>
      <c r="AW28" s="182">
        <f t="shared" ref="AW28:AW35" si="41">RANK(AV28, AV$27:AV$41)</f>
        <v>7</v>
      </c>
      <c r="AX28" s="576"/>
    </row>
    <row r="29" spans="2:50" ht="14.25" customHeight="1">
      <c r="B29" s="575"/>
      <c r="C29" s="180">
        <v>3</v>
      </c>
      <c r="D29" s="183" t="s">
        <v>360</v>
      </c>
      <c r="E29" s="180">
        <v>23</v>
      </c>
      <c r="F29" s="180">
        <v>2000</v>
      </c>
      <c r="G29" s="185">
        <f t="shared" si="26"/>
        <v>86.956521739130437</v>
      </c>
      <c r="H29" s="576"/>
      <c r="I29" s="186">
        <f t="shared" si="32"/>
        <v>23</v>
      </c>
      <c r="J29" s="186">
        <f t="shared" si="32"/>
        <v>1788.3917239082814</v>
      </c>
      <c r="K29" s="187">
        <f t="shared" si="32"/>
        <v>77.756161909055692</v>
      </c>
      <c r="L29" s="577"/>
      <c r="M29" s="186">
        <f>RANK(K29, K$27:$K$41)</f>
        <v>5</v>
      </c>
      <c r="N29" s="575"/>
      <c r="O29" s="575"/>
      <c r="P29" s="188">
        <v>23</v>
      </c>
      <c r="Q29" s="188">
        <v>1787.6796714579061</v>
      </c>
      <c r="R29" s="185">
        <f t="shared" si="33"/>
        <v>77.725203106865479</v>
      </c>
      <c r="S29" s="182">
        <f t="shared" si="34"/>
        <v>5</v>
      </c>
      <c r="T29" s="576"/>
      <c r="U29" s="188">
        <v>23</v>
      </c>
      <c r="V29" s="188">
        <v>1787.7770659833438</v>
      </c>
      <c r="W29" s="185">
        <f t="shared" si="27"/>
        <v>77.729437651449729</v>
      </c>
      <c r="X29" s="182">
        <f t="shared" si="35"/>
        <v>5</v>
      </c>
      <c r="Y29" s="576"/>
      <c r="Z29" s="188">
        <v>23</v>
      </c>
      <c r="AA29" s="188">
        <v>1787.9770659833437</v>
      </c>
      <c r="AB29" s="185">
        <f t="shared" si="28"/>
        <v>77.738133303623641</v>
      </c>
      <c r="AC29" s="182">
        <f t="shared" si="36"/>
        <v>5</v>
      </c>
      <c r="AD29" s="576"/>
      <c r="AE29" s="188">
        <v>23</v>
      </c>
      <c r="AF29" s="188">
        <v>1788.3770659833435</v>
      </c>
      <c r="AG29" s="185">
        <f t="shared" si="37"/>
        <v>77.755524607971452</v>
      </c>
      <c r="AH29" s="182">
        <f t="shared" si="38"/>
        <v>5</v>
      </c>
      <c r="AI29" s="576"/>
      <c r="AJ29" s="188">
        <v>23</v>
      </c>
      <c r="AK29" s="188">
        <v>1788.9770659833434</v>
      </c>
      <c r="AL29" s="185">
        <f t="shared" si="29"/>
        <v>77.78161156449319</v>
      </c>
      <c r="AM29" s="182">
        <f t="shared" si="39"/>
        <v>4</v>
      </c>
      <c r="AN29" s="576"/>
      <c r="AO29" s="188">
        <v>23</v>
      </c>
      <c r="AP29" s="188">
        <v>1789.1770659833433</v>
      </c>
      <c r="AQ29" s="185">
        <f t="shared" si="30"/>
        <v>77.790307216667102</v>
      </c>
      <c r="AR29" s="182">
        <f t="shared" si="40"/>
        <v>4</v>
      </c>
      <c r="AS29" s="576"/>
      <c r="AT29" s="188">
        <v>23</v>
      </c>
      <c r="AU29" s="188">
        <v>1788.7770659833434</v>
      </c>
      <c r="AV29" s="185">
        <f t="shared" si="31"/>
        <v>77.772915912319277</v>
      </c>
      <c r="AW29" s="182">
        <f t="shared" si="41"/>
        <v>5</v>
      </c>
      <c r="AX29" s="576"/>
    </row>
    <row r="30" spans="2:50" ht="14.25" customHeight="1">
      <c r="B30" s="575"/>
      <c r="C30" s="180">
        <v>4</v>
      </c>
      <c r="D30" s="183" t="s">
        <v>357</v>
      </c>
      <c r="E30" s="180">
        <v>23</v>
      </c>
      <c r="F30" s="180">
        <v>2000</v>
      </c>
      <c r="G30" s="185">
        <f t="shared" si="26"/>
        <v>86.956521739130437</v>
      </c>
      <c r="H30" s="576"/>
      <c r="I30" s="186">
        <f t="shared" si="32"/>
        <v>23</v>
      </c>
      <c r="J30" s="186">
        <f t="shared" si="32"/>
        <v>1788.4471917465064</v>
      </c>
      <c r="K30" s="187">
        <f t="shared" si="32"/>
        <v>77.75857355419592</v>
      </c>
      <c r="L30" s="577"/>
      <c r="M30" s="186">
        <f>RANK(K30, K$27:$K$41)</f>
        <v>4</v>
      </c>
      <c r="N30" s="575"/>
      <c r="O30" s="575"/>
      <c r="P30" s="188">
        <v>23</v>
      </c>
      <c r="Q30" s="188">
        <v>1788.1453154875726</v>
      </c>
      <c r="R30" s="185">
        <f t="shared" si="33"/>
        <v>77.745448499459684</v>
      </c>
      <c r="S30" s="182">
        <f t="shared" si="34"/>
        <v>4</v>
      </c>
      <c r="T30" s="576"/>
      <c r="U30" s="188">
        <v>23</v>
      </c>
      <c r="V30" s="188">
        <v>1788.0641711229953</v>
      </c>
      <c r="W30" s="185">
        <f t="shared" si="27"/>
        <v>77.741920483608496</v>
      </c>
      <c r="X30" s="182">
        <f t="shared" si="35"/>
        <v>4</v>
      </c>
      <c r="Y30" s="576"/>
      <c r="Z30" s="188">
        <v>23</v>
      </c>
      <c r="AA30" s="188">
        <v>1788.2641711229953</v>
      </c>
      <c r="AB30" s="185">
        <f t="shared" si="28"/>
        <v>77.750616135782408</v>
      </c>
      <c r="AC30" s="182">
        <f t="shared" si="36"/>
        <v>4</v>
      </c>
      <c r="AD30" s="576"/>
      <c r="AE30" s="188">
        <v>23</v>
      </c>
      <c r="AF30" s="188">
        <v>1788.8641711229952</v>
      </c>
      <c r="AG30" s="185">
        <f t="shared" si="37"/>
        <v>77.776703092304146</v>
      </c>
      <c r="AH30" s="182">
        <f t="shared" si="38"/>
        <v>4</v>
      </c>
      <c r="AI30" s="576"/>
      <c r="AJ30" s="188">
        <v>23</v>
      </c>
      <c r="AK30" s="188">
        <v>1788.6641711229952</v>
      </c>
      <c r="AL30" s="185">
        <f t="shared" si="29"/>
        <v>77.768007440130219</v>
      </c>
      <c r="AM30" s="182">
        <f t="shared" si="39"/>
        <v>5</v>
      </c>
      <c r="AN30" s="576"/>
      <c r="AO30" s="188">
        <v>23</v>
      </c>
      <c r="AP30" s="188">
        <v>1788.2641711229949</v>
      </c>
      <c r="AQ30" s="185">
        <f t="shared" si="30"/>
        <v>77.75061613578238</v>
      </c>
      <c r="AR30" s="182">
        <f t="shared" si="40"/>
        <v>5</v>
      </c>
      <c r="AS30" s="576"/>
      <c r="AT30" s="188">
        <v>23</v>
      </c>
      <c r="AU30" s="188">
        <v>1788.8641711229948</v>
      </c>
      <c r="AV30" s="185">
        <f t="shared" si="31"/>
        <v>77.776703092304118</v>
      </c>
      <c r="AW30" s="182">
        <f t="shared" si="41"/>
        <v>4</v>
      </c>
      <c r="AX30" s="576"/>
    </row>
    <row r="31" spans="2:50" ht="14.25" customHeight="1">
      <c r="B31" s="575"/>
      <c r="C31" s="180">
        <v>5</v>
      </c>
      <c r="D31" s="183" t="s">
        <v>465</v>
      </c>
      <c r="E31" s="180">
        <v>23</v>
      </c>
      <c r="F31" s="180">
        <v>2000</v>
      </c>
      <c r="G31" s="185">
        <f t="shared" si="26"/>
        <v>86.956521739130437</v>
      </c>
      <c r="H31" s="576"/>
      <c r="I31" s="186">
        <f t="shared" si="32"/>
        <v>23</v>
      </c>
      <c r="J31" s="186">
        <f t="shared" si="32"/>
        <v>1787.3422351812794</v>
      </c>
      <c r="K31" s="187">
        <f t="shared" si="32"/>
        <v>77.710531964403444</v>
      </c>
      <c r="L31" s="577"/>
      <c r="M31" s="186">
        <f>RANK(K31, K$27:$K$41)</f>
        <v>6</v>
      </c>
      <c r="N31" s="575"/>
      <c r="O31" s="575"/>
      <c r="P31" s="188">
        <v>23</v>
      </c>
      <c r="Q31" s="188">
        <v>1786.6988387875126</v>
      </c>
      <c r="R31" s="185">
        <f t="shared" si="33"/>
        <v>77.682558208152727</v>
      </c>
      <c r="S31" s="182">
        <f t="shared" si="34"/>
        <v>6</v>
      </c>
      <c r="T31" s="576"/>
      <c r="U31" s="188">
        <v>23</v>
      </c>
      <c r="V31" s="188">
        <v>1786.649467913574</v>
      </c>
      <c r="W31" s="185">
        <f t="shared" si="27"/>
        <v>77.680411648416253</v>
      </c>
      <c r="X31" s="182">
        <f t="shared" si="35"/>
        <v>6</v>
      </c>
      <c r="Y31" s="576"/>
      <c r="Z31" s="188">
        <v>23</v>
      </c>
      <c r="AA31" s="188">
        <v>1786.6494679135737</v>
      </c>
      <c r="AB31" s="185">
        <f t="shared" si="28"/>
        <v>77.680411648416253</v>
      </c>
      <c r="AC31" s="182">
        <f t="shared" si="36"/>
        <v>6</v>
      </c>
      <c r="AD31" s="576"/>
      <c r="AE31" s="188">
        <v>23</v>
      </c>
      <c r="AF31" s="188">
        <v>1787.4494679135737</v>
      </c>
      <c r="AG31" s="185">
        <f t="shared" si="37"/>
        <v>77.715194257111904</v>
      </c>
      <c r="AH31" s="182">
        <f t="shared" si="38"/>
        <v>6</v>
      </c>
      <c r="AI31" s="576"/>
      <c r="AJ31" s="188">
        <v>23</v>
      </c>
      <c r="AK31" s="188">
        <v>1787.4494679135735</v>
      </c>
      <c r="AL31" s="185">
        <f t="shared" si="29"/>
        <v>77.715194257111889</v>
      </c>
      <c r="AM31" s="182">
        <f t="shared" si="39"/>
        <v>6</v>
      </c>
      <c r="AN31" s="576"/>
      <c r="AO31" s="188">
        <v>23</v>
      </c>
      <c r="AP31" s="188">
        <v>1788.2494679135734</v>
      </c>
      <c r="AQ31" s="185">
        <f t="shared" si="30"/>
        <v>77.74997686580754</v>
      </c>
      <c r="AR31" s="182">
        <f t="shared" si="40"/>
        <v>6</v>
      </c>
      <c r="AS31" s="576"/>
      <c r="AT31" s="188">
        <v>23</v>
      </c>
      <c r="AU31" s="188">
        <v>1788.2494679135734</v>
      </c>
      <c r="AV31" s="185">
        <f t="shared" si="31"/>
        <v>77.74997686580754</v>
      </c>
      <c r="AW31" s="182">
        <f t="shared" si="41"/>
        <v>6</v>
      </c>
      <c r="AX31" s="576"/>
    </row>
    <row r="32" spans="2:50" ht="14.25" customHeight="1">
      <c r="B32" s="575"/>
      <c r="C32" s="180">
        <v>6</v>
      </c>
      <c r="D32" s="183" t="s">
        <v>468</v>
      </c>
      <c r="E32" s="180">
        <v>22</v>
      </c>
      <c r="F32" s="180">
        <v>2000</v>
      </c>
      <c r="G32" s="185">
        <f t="shared" si="26"/>
        <v>90.909090909090907</v>
      </c>
      <c r="H32" s="576"/>
      <c r="I32" s="186">
        <f t="shared" si="32"/>
        <v>22</v>
      </c>
      <c r="J32" s="186">
        <f t="shared" si="32"/>
        <v>1788.244769614457</v>
      </c>
      <c r="K32" s="187">
        <f t="shared" si="32"/>
        <v>81.283853164293504</v>
      </c>
      <c r="L32" s="577"/>
      <c r="M32" s="186">
        <f>RANK(K32, K$27:$K$41)</f>
        <v>2</v>
      </c>
      <c r="N32" s="575"/>
      <c r="O32" s="575"/>
      <c r="P32" s="188">
        <v>22</v>
      </c>
      <c r="Q32" s="188">
        <v>1787.5173370319005</v>
      </c>
      <c r="R32" s="185">
        <f t="shared" si="33"/>
        <v>81.250788046904574</v>
      </c>
      <c r="S32" s="182">
        <f t="shared" si="34"/>
        <v>2</v>
      </c>
      <c r="T32" s="576"/>
      <c r="U32" s="188">
        <v>22</v>
      </c>
      <c r="V32" s="188">
        <v>1787.4326750448827</v>
      </c>
      <c r="W32" s="185">
        <f t="shared" si="27"/>
        <v>81.246939774767398</v>
      </c>
      <c r="X32" s="182">
        <f t="shared" si="35"/>
        <v>2</v>
      </c>
      <c r="Y32" s="576"/>
      <c r="Z32" s="188">
        <v>22</v>
      </c>
      <c r="AA32" s="188">
        <v>1788.0326750448828</v>
      </c>
      <c r="AB32" s="185">
        <f t="shared" si="28"/>
        <v>81.274212502040129</v>
      </c>
      <c r="AC32" s="182">
        <f t="shared" si="36"/>
        <v>2</v>
      </c>
      <c r="AD32" s="576"/>
      <c r="AE32" s="188">
        <v>22</v>
      </c>
      <c r="AF32" s="188">
        <v>1788.032675044883</v>
      </c>
      <c r="AG32" s="185">
        <f t="shared" si="37"/>
        <v>81.274212502040143</v>
      </c>
      <c r="AH32" s="182">
        <f t="shared" si="38"/>
        <v>2</v>
      </c>
      <c r="AI32" s="576"/>
      <c r="AJ32" s="188">
        <v>22</v>
      </c>
      <c r="AK32" s="188">
        <v>1788.6326750448832</v>
      </c>
      <c r="AL32" s="185">
        <f t="shared" si="29"/>
        <v>81.301485229312874</v>
      </c>
      <c r="AM32" s="182">
        <f t="shared" si="39"/>
        <v>2</v>
      </c>
      <c r="AN32" s="576"/>
      <c r="AO32" s="188">
        <v>22</v>
      </c>
      <c r="AP32" s="188">
        <v>1789.4326750448831</v>
      </c>
      <c r="AQ32" s="185">
        <f t="shared" si="30"/>
        <v>81.337848865676506</v>
      </c>
      <c r="AR32" s="182">
        <f t="shared" si="40"/>
        <v>2</v>
      </c>
      <c r="AS32" s="576"/>
      <c r="AT32" s="188">
        <v>22</v>
      </c>
      <c r="AU32" s="188">
        <v>1788.6326750448834</v>
      </c>
      <c r="AV32" s="185">
        <f t="shared" si="31"/>
        <v>81.301485229312888</v>
      </c>
      <c r="AW32" s="182">
        <f t="shared" si="41"/>
        <v>2</v>
      </c>
      <c r="AX32" s="576"/>
    </row>
    <row r="33" spans="2:50" ht="14.25" customHeight="1">
      <c r="B33" s="575"/>
      <c r="C33" s="180">
        <v>7</v>
      </c>
      <c r="D33" s="183" t="s">
        <v>472</v>
      </c>
      <c r="E33" s="180">
        <v>20</v>
      </c>
      <c r="F33" s="180">
        <v>2000</v>
      </c>
      <c r="G33" s="185">
        <f t="shared" si="26"/>
        <v>100</v>
      </c>
      <c r="H33" s="576"/>
      <c r="I33" s="186">
        <f t="shared" si="32"/>
        <v>20</v>
      </c>
      <c r="J33" s="186">
        <f t="shared" si="32"/>
        <v>1786.1128226599915</v>
      </c>
      <c r="K33" s="187">
        <f t="shared" si="32"/>
        <v>89.305641132999568</v>
      </c>
      <c r="L33" s="577"/>
      <c r="M33" s="186">
        <f>RANK(K33, K$27:$K$41)</f>
        <v>1</v>
      </c>
      <c r="N33" s="575"/>
      <c r="O33" s="575"/>
      <c r="P33" s="188">
        <v>20</v>
      </c>
      <c r="Q33" s="188">
        <v>1786.8131868131875</v>
      </c>
      <c r="R33" s="185">
        <f t="shared" si="33"/>
        <v>89.340659340659371</v>
      </c>
      <c r="S33" s="182">
        <f t="shared" si="34"/>
        <v>1</v>
      </c>
      <c r="T33" s="576"/>
      <c r="U33" s="188">
        <v>20</v>
      </c>
      <c r="V33" s="188">
        <v>1786.8960953011256</v>
      </c>
      <c r="W33" s="185">
        <f t="shared" si="27"/>
        <v>89.344804765056281</v>
      </c>
      <c r="X33" s="182">
        <f t="shared" si="35"/>
        <v>1</v>
      </c>
      <c r="Y33" s="576"/>
      <c r="Z33" s="188">
        <v>20</v>
      </c>
      <c r="AA33" s="188">
        <v>1786.2960953011254</v>
      </c>
      <c r="AB33" s="185">
        <f t="shared" si="28"/>
        <v>89.314804765056266</v>
      </c>
      <c r="AC33" s="182">
        <f t="shared" si="36"/>
        <v>1</v>
      </c>
      <c r="AD33" s="576"/>
      <c r="AE33" s="188">
        <v>20</v>
      </c>
      <c r="AF33" s="188">
        <v>1785.8960953011253</v>
      </c>
      <c r="AG33" s="185">
        <f t="shared" si="37"/>
        <v>89.29480476505627</v>
      </c>
      <c r="AH33" s="182">
        <f t="shared" si="38"/>
        <v>1</v>
      </c>
      <c r="AI33" s="576"/>
      <c r="AJ33" s="188">
        <v>20</v>
      </c>
      <c r="AK33" s="188">
        <v>1785.6960953011251</v>
      </c>
      <c r="AL33" s="185">
        <f t="shared" si="29"/>
        <v>89.284804765056251</v>
      </c>
      <c r="AM33" s="182">
        <f t="shared" si="39"/>
        <v>1</v>
      </c>
      <c r="AN33" s="576"/>
      <c r="AO33" s="188">
        <v>20</v>
      </c>
      <c r="AP33" s="188">
        <v>1785.8960953011249</v>
      </c>
      <c r="AQ33" s="185">
        <f t="shared" si="30"/>
        <v>89.294804765056242</v>
      </c>
      <c r="AR33" s="182">
        <f t="shared" si="40"/>
        <v>1</v>
      </c>
      <c r="AS33" s="576"/>
      <c r="AT33" s="188">
        <v>20</v>
      </c>
      <c r="AU33" s="188">
        <v>1785.2960953011252</v>
      </c>
      <c r="AV33" s="185">
        <f t="shared" si="31"/>
        <v>89.264804765056255</v>
      </c>
      <c r="AW33" s="182">
        <f t="shared" si="41"/>
        <v>1</v>
      </c>
      <c r="AX33" s="576"/>
    </row>
    <row r="34" spans="2:50" ht="14.25" customHeight="1">
      <c r="B34" s="575"/>
      <c r="C34" s="180">
        <v>8</v>
      </c>
      <c r="D34" s="183" t="s">
        <v>361</v>
      </c>
      <c r="E34" s="180">
        <v>24</v>
      </c>
      <c r="F34" s="180">
        <v>2000</v>
      </c>
      <c r="G34" s="185">
        <f t="shared" si="26"/>
        <v>83.333333333333329</v>
      </c>
      <c r="H34" s="576"/>
      <c r="I34" s="186">
        <f t="shared" si="32"/>
        <v>24</v>
      </c>
      <c r="J34" s="186">
        <f t="shared" si="32"/>
        <v>1787.1977553145255</v>
      </c>
      <c r="K34" s="187">
        <f t="shared" si="32"/>
        <v>74.466573138105218</v>
      </c>
      <c r="L34" s="577"/>
      <c r="M34" s="186">
        <f>RANK(K34, K$27:$K$41)</f>
        <v>7</v>
      </c>
      <c r="N34" s="575"/>
      <c r="O34" s="575"/>
      <c r="P34" s="188">
        <v>24</v>
      </c>
      <c r="Q34" s="188">
        <v>1788.0853150281921</v>
      </c>
      <c r="R34" s="185">
        <f t="shared" si="33"/>
        <v>74.503554792841342</v>
      </c>
      <c r="S34" s="182">
        <f t="shared" si="34"/>
        <v>7</v>
      </c>
      <c r="T34" s="576"/>
      <c r="U34" s="188">
        <v>24</v>
      </c>
      <c r="V34" s="188">
        <v>1787.816495362247</v>
      </c>
      <c r="W34" s="185">
        <f t="shared" si="27"/>
        <v>74.492353973426958</v>
      </c>
      <c r="X34" s="182">
        <f t="shared" si="35"/>
        <v>7</v>
      </c>
      <c r="Y34" s="576"/>
      <c r="Z34" s="188">
        <v>24</v>
      </c>
      <c r="AA34" s="188">
        <v>1787.016495362247</v>
      </c>
      <c r="AB34" s="185">
        <f t="shared" si="28"/>
        <v>74.459020640093627</v>
      </c>
      <c r="AC34" s="182">
        <f t="shared" si="36"/>
        <v>7</v>
      </c>
      <c r="AD34" s="576"/>
      <c r="AE34" s="188">
        <v>24</v>
      </c>
      <c r="AF34" s="188">
        <v>1787.4164953622474</v>
      </c>
      <c r="AG34" s="185">
        <f t="shared" si="37"/>
        <v>74.475687306760307</v>
      </c>
      <c r="AH34" s="182">
        <f t="shared" si="38"/>
        <v>7</v>
      </c>
      <c r="AI34" s="576"/>
      <c r="AJ34" s="188">
        <v>24</v>
      </c>
      <c r="AK34" s="188">
        <v>1787.2164953622475</v>
      </c>
      <c r="AL34" s="185">
        <f t="shared" si="29"/>
        <v>74.467353973426981</v>
      </c>
      <c r="AM34" s="182">
        <f t="shared" si="39"/>
        <v>7</v>
      </c>
      <c r="AN34" s="576"/>
      <c r="AO34" s="188">
        <v>24</v>
      </c>
      <c r="AP34" s="188">
        <v>1786.6164953622476</v>
      </c>
      <c r="AQ34" s="185">
        <f t="shared" si="30"/>
        <v>74.442353973426989</v>
      </c>
      <c r="AR34" s="182">
        <f t="shared" si="40"/>
        <v>8</v>
      </c>
      <c r="AS34" s="576"/>
      <c r="AT34" s="188">
        <v>24</v>
      </c>
      <c r="AU34" s="188">
        <v>1786.2164953622482</v>
      </c>
      <c r="AV34" s="185">
        <f t="shared" si="31"/>
        <v>74.425687306760338</v>
      </c>
      <c r="AW34" s="182">
        <f t="shared" si="41"/>
        <v>8</v>
      </c>
      <c r="AX34" s="576"/>
    </row>
    <row r="35" spans="2:50" ht="14.25" customHeight="1">
      <c r="B35" s="575"/>
      <c r="C35" s="180">
        <v>9</v>
      </c>
      <c r="D35" s="183" t="s">
        <v>641</v>
      </c>
      <c r="E35" s="180">
        <v>26</v>
      </c>
      <c r="F35" s="180">
        <v>2000</v>
      </c>
      <c r="G35" s="185">
        <f t="shared" si="26"/>
        <v>76.92307692307692</v>
      </c>
      <c r="H35" s="576"/>
      <c r="I35" s="186">
        <f t="shared" si="32"/>
        <v>26</v>
      </c>
      <c r="J35" s="186">
        <f t="shared" si="32"/>
        <v>1787.8988944162677</v>
      </c>
      <c r="K35" s="187">
        <f t="shared" si="32"/>
        <v>68.765342092933366</v>
      </c>
      <c r="L35" s="577"/>
      <c r="M35" s="186">
        <f>RANK(K35, K$27:$K$41)</f>
        <v>9</v>
      </c>
      <c r="N35" s="575"/>
      <c r="O35" s="575"/>
      <c r="P35" s="188">
        <v>26</v>
      </c>
      <c r="Q35" s="188">
        <v>1788.6950453593856</v>
      </c>
      <c r="R35" s="185">
        <f t="shared" si="33"/>
        <v>68.795963283053297</v>
      </c>
      <c r="S35" s="182">
        <f t="shared" si="34"/>
        <v>9</v>
      </c>
      <c r="T35" s="576"/>
      <c r="U35" s="188">
        <v>26</v>
      </c>
      <c r="V35" s="188">
        <v>1788.7662025924139</v>
      </c>
      <c r="W35" s="185">
        <f t="shared" si="27"/>
        <v>68.798700099708228</v>
      </c>
      <c r="X35" s="182">
        <f t="shared" si="35"/>
        <v>9</v>
      </c>
      <c r="Y35" s="576"/>
      <c r="Z35" s="188">
        <v>26</v>
      </c>
      <c r="AA35" s="188">
        <v>1788.166202592414</v>
      </c>
      <c r="AB35" s="185">
        <f t="shared" si="28"/>
        <v>68.775623176631314</v>
      </c>
      <c r="AC35" s="182">
        <f t="shared" si="36"/>
        <v>9</v>
      </c>
      <c r="AD35" s="576"/>
      <c r="AE35" s="188">
        <v>26</v>
      </c>
      <c r="AF35" s="188">
        <v>1787.7662025924146</v>
      </c>
      <c r="AG35" s="185">
        <f t="shared" si="37"/>
        <v>68.760238561246723</v>
      </c>
      <c r="AH35" s="182">
        <f t="shared" si="38"/>
        <v>9</v>
      </c>
      <c r="AI35" s="576"/>
      <c r="AJ35" s="188">
        <v>26</v>
      </c>
      <c r="AK35" s="188">
        <v>1786.9662025924147</v>
      </c>
      <c r="AL35" s="185">
        <f t="shared" si="29"/>
        <v>68.729469330477485</v>
      </c>
      <c r="AM35" s="182">
        <f t="shared" si="39"/>
        <v>9</v>
      </c>
      <c r="AN35" s="576"/>
      <c r="AO35" s="188">
        <v>26</v>
      </c>
      <c r="AP35" s="188">
        <v>1786.9662025924147</v>
      </c>
      <c r="AQ35" s="185">
        <f t="shared" si="30"/>
        <v>68.729469330477485</v>
      </c>
      <c r="AR35" s="182">
        <f t="shared" si="40"/>
        <v>9</v>
      </c>
      <c r="AS35" s="576"/>
      <c r="AT35" s="188">
        <v>26</v>
      </c>
      <c r="AU35" s="188">
        <v>1787.9662025924144</v>
      </c>
      <c r="AV35" s="185">
        <f t="shared" si="31"/>
        <v>68.767930868939018</v>
      </c>
      <c r="AW35" s="182">
        <f t="shared" si="41"/>
        <v>9</v>
      </c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3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137</v>
      </c>
      <c r="C47" s="180">
        <v>1</v>
      </c>
      <c r="D47" s="183" t="s">
        <v>358</v>
      </c>
      <c r="E47" s="180">
        <v>21</v>
      </c>
      <c r="F47" s="180">
        <v>2000</v>
      </c>
      <c r="G47" s="185">
        <f t="shared" ref="G47:G55" si="42">F47/E47</f>
        <v>95.238095238095241</v>
      </c>
      <c r="H47" s="576">
        <f>AVERAGE(G47:G61)</f>
        <v>87.845166106035677</v>
      </c>
      <c r="I47" s="186">
        <f>AVERAGE(P47,U47,Z47,AE47,AJ47,AO47,AT47)</f>
        <v>21.428571428571427</v>
      </c>
      <c r="J47" s="186">
        <f>AVERAGE(Q47,V47,AA47,AF47,AK47,AP47,AU47)</f>
        <v>1785.8857142857144</v>
      </c>
      <c r="K47" s="187">
        <f>AVERAGE(R47,W47,AB47,AG47,AL47,AQ47,AV47)</f>
        <v>83.385405071119365</v>
      </c>
      <c r="L47" s="577">
        <f>IFERROR(AVERAGE(K47:K61),"-")</f>
        <v>78.328113303259272</v>
      </c>
      <c r="M47" s="186">
        <f>RANK(K47, K$47:$K$61)</f>
        <v>2</v>
      </c>
      <c r="N47" s="575"/>
      <c r="O47" s="575"/>
      <c r="P47" s="188">
        <v>22</v>
      </c>
      <c r="Q47" s="188">
        <v>1786</v>
      </c>
      <c r="R47" s="185">
        <f>IFERROR(Q47/P47,"")</f>
        <v>81.181818181818187</v>
      </c>
      <c r="S47" s="182">
        <f>RANK(R47, R$47:R$61)</f>
        <v>3</v>
      </c>
      <c r="T47" s="576">
        <f>AVERAGE(R47:R61)</f>
        <v>78.076754214912597</v>
      </c>
      <c r="U47" s="188">
        <v>22</v>
      </c>
      <c r="V47" s="188">
        <v>1786</v>
      </c>
      <c r="W47" s="185">
        <f t="shared" ref="W47:W55" si="43">IFERROR(V47/U47,"")</f>
        <v>81.181818181818187</v>
      </c>
      <c r="X47" s="182">
        <f>RANK(W47, W$47:W$61)</f>
        <v>3</v>
      </c>
      <c r="Y47" s="576">
        <f>AVERAGE(W47:W61)</f>
        <v>78.080668046652519</v>
      </c>
      <c r="Z47" s="188">
        <v>22</v>
      </c>
      <c r="AA47" s="188">
        <v>1786</v>
      </c>
      <c r="AB47" s="185">
        <f t="shared" ref="AB47:AB55" si="44">IFERROR(AA47/Z47,"")</f>
        <v>81.181818181818187</v>
      </c>
      <c r="AC47" s="182">
        <f>RANK(AB47, AB$47:AB$61)</f>
        <v>3</v>
      </c>
      <c r="AD47" s="576">
        <f>AVERAGE(AB47:AB61)</f>
        <v>78.068281866005478</v>
      </c>
      <c r="AE47" s="188">
        <v>21</v>
      </c>
      <c r="AF47" s="188">
        <v>1786.0000000000002</v>
      </c>
      <c r="AG47" s="185">
        <f>IFERROR(AF47/AE47,"")</f>
        <v>85.047619047619065</v>
      </c>
      <c r="AH47" s="182" t="e">
        <f>RANK(AG47, AG$7:AG$21)</f>
        <v>#N/A</v>
      </c>
      <c r="AI47" s="576">
        <f>AVERAGE(AG47:AG61)</f>
        <v>78.499388947329948</v>
      </c>
      <c r="AJ47" s="188">
        <v>21</v>
      </c>
      <c r="AK47" s="188">
        <v>1786</v>
      </c>
      <c r="AL47" s="185">
        <f t="shared" ref="AL47:AL55" si="45">IFERROR(AK47/AJ47,"")</f>
        <v>85.047619047619051</v>
      </c>
      <c r="AM47" s="182">
        <f>RANK(AL47, AL$47:AL$61)</f>
        <v>2</v>
      </c>
      <c r="AN47" s="576">
        <f>AVERAGE(AL47:AL61)</f>
        <v>78.525391559854299</v>
      </c>
      <c r="AO47" s="188">
        <v>21</v>
      </c>
      <c r="AP47" s="188">
        <v>1785.6</v>
      </c>
      <c r="AQ47" s="185">
        <f t="shared" ref="AQ47:AQ55" si="46">IFERROR(AP47/AO47,"")</f>
        <v>85.028571428571425</v>
      </c>
      <c r="AR47" s="182">
        <f>RANK(AQ47, AQ$47:AQ$61)</f>
        <v>2</v>
      </c>
      <c r="AS47" s="576">
        <f>AVERAGE(AQ47:AQ61)</f>
        <v>78.518758305829749</v>
      </c>
      <c r="AT47" s="188">
        <v>21</v>
      </c>
      <c r="AU47" s="188">
        <v>1785.5999999999997</v>
      </c>
      <c r="AV47" s="185">
        <f t="shared" ref="AV47:AV55" si="47">IFERROR(AU47/AT47,"")</f>
        <v>85.028571428571411</v>
      </c>
      <c r="AW47" s="182">
        <f>RANK(AV47, AV$47:AV$61)</f>
        <v>2</v>
      </c>
      <c r="AX47" s="576">
        <f>AVERAGE(AV47:AV61)</f>
        <v>78.5275501822303</v>
      </c>
    </row>
    <row r="48" spans="2:50" ht="14.25" customHeight="1">
      <c r="B48" s="575"/>
      <c r="C48" s="180">
        <v>2</v>
      </c>
      <c r="D48" s="183" t="s">
        <v>359</v>
      </c>
      <c r="E48" s="180">
        <v>24</v>
      </c>
      <c r="F48" s="180">
        <v>2000</v>
      </c>
      <c r="G48" s="185">
        <f t="shared" si="42"/>
        <v>83.333333333333329</v>
      </c>
      <c r="H48" s="576"/>
      <c r="I48" s="186">
        <f t="shared" ref="I48:K55" si="48">AVERAGE(P48,U48,Z48,AE48,AJ48,AO48,AT48)</f>
        <v>24</v>
      </c>
      <c r="J48" s="186">
        <f t="shared" si="48"/>
        <v>1788.9426216409445</v>
      </c>
      <c r="K48" s="187">
        <f t="shared" si="48"/>
        <v>74.53927590170602</v>
      </c>
      <c r="L48" s="577"/>
      <c r="M48" s="186">
        <f>RANK(K48, K$47:$K$61)</f>
        <v>7</v>
      </c>
      <c r="N48" s="575"/>
      <c r="O48" s="575"/>
      <c r="P48" s="188">
        <v>24</v>
      </c>
      <c r="Q48" s="188">
        <v>1788.1997644980875</v>
      </c>
      <c r="R48" s="185">
        <f t="shared" ref="R48:R55" si="49">IFERROR(Q48/P48,"")</f>
        <v>74.508323520753649</v>
      </c>
      <c r="S48" s="182">
        <f t="shared" ref="S48:S55" si="50">RANK(R48, R$47:R$61)</f>
        <v>7</v>
      </c>
      <c r="T48" s="576"/>
      <c r="U48" s="188">
        <v>24</v>
      </c>
      <c r="V48" s="188">
        <v>1788.1997644980875</v>
      </c>
      <c r="W48" s="185">
        <f t="shared" si="43"/>
        <v>74.508323520753649</v>
      </c>
      <c r="X48" s="182">
        <f t="shared" ref="X48:X55" si="51">RANK(W48, W$47:W$61)</f>
        <v>7</v>
      </c>
      <c r="Y48" s="576"/>
      <c r="Z48" s="188">
        <v>24</v>
      </c>
      <c r="AA48" s="188">
        <v>1788.1997644980877</v>
      </c>
      <c r="AB48" s="185">
        <f t="shared" si="44"/>
        <v>74.508323520753649</v>
      </c>
      <c r="AC48" s="182">
        <f t="shared" ref="AC48:AC55" si="52">RANK(AB48, AB$47:AB$61)</f>
        <v>7</v>
      </c>
      <c r="AD48" s="576"/>
      <c r="AE48" s="188">
        <v>24</v>
      </c>
      <c r="AF48" s="188">
        <v>1788.7997644980878</v>
      </c>
      <c r="AG48" s="185">
        <f t="shared" ref="AG48:AG55" si="53">IFERROR(AF48/AE48,"")</f>
        <v>74.533323520753655</v>
      </c>
      <c r="AH48" s="182" t="e">
        <f t="shared" ref="AH48:AH55" si="54">RANK(AG48, AG$7:AG$21)</f>
        <v>#N/A</v>
      </c>
      <c r="AI48" s="576"/>
      <c r="AJ48" s="188">
        <v>24</v>
      </c>
      <c r="AK48" s="188">
        <v>1789.5997644980873</v>
      </c>
      <c r="AL48" s="185">
        <f t="shared" si="45"/>
        <v>74.566656854086972</v>
      </c>
      <c r="AM48" s="182">
        <f t="shared" ref="AM48:AM55" si="55">RANK(AL48, AL$47:AL$61)</f>
        <v>7</v>
      </c>
      <c r="AN48" s="576"/>
      <c r="AO48" s="188">
        <v>24</v>
      </c>
      <c r="AP48" s="188">
        <v>1789.5997644980876</v>
      </c>
      <c r="AQ48" s="185">
        <f t="shared" si="46"/>
        <v>74.566656854086986</v>
      </c>
      <c r="AR48" s="182">
        <f t="shared" ref="AR48:AR55" si="56">RANK(AQ48, AQ$47:AQ$61)</f>
        <v>7</v>
      </c>
      <c r="AS48" s="576"/>
      <c r="AT48" s="188">
        <v>24</v>
      </c>
      <c r="AU48" s="188">
        <v>1789.9997644980874</v>
      </c>
      <c r="AV48" s="185">
        <f t="shared" si="47"/>
        <v>74.583323520753638</v>
      </c>
      <c r="AW48" s="182">
        <f t="shared" ref="AW48:AW55" si="57">RANK(AV48, AV$47:AV$61)</f>
        <v>7</v>
      </c>
      <c r="AX48" s="576"/>
    </row>
    <row r="49" spans="2:50" ht="14.25" customHeight="1">
      <c r="B49" s="575"/>
      <c r="C49" s="180">
        <v>3</v>
      </c>
      <c r="D49" s="183" t="s">
        <v>360</v>
      </c>
      <c r="E49" s="180">
        <v>23</v>
      </c>
      <c r="F49" s="180">
        <v>2000</v>
      </c>
      <c r="G49" s="185">
        <f t="shared" si="42"/>
        <v>86.956521739130437</v>
      </c>
      <c r="H49" s="576"/>
      <c r="I49" s="186">
        <f t="shared" si="48"/>
        <v>23</v>
      </c>
      <c r="J49" s="186">
        <f t="shared" si="48"/>
        <v>1787.4056374119148</v>
      </c>
      <c r="K49" s="187">
        <f t="shared" si="48"/>
        <v>77.713288583126726</v>
      </c>
      <c r="L49" s="577"/>
      <c r="M49" s="186">
        <f>RANK(K49, K$47:$K$61)</f>
        <v>6</v>
      </c>
      <c r="N49" s="575"/>
      <c r="O49" s="575"/>
      <c r="P49" s="188">
        <v>23</v>
      </c>
      <c r="Q49" s="188">
        <v>1787.7770659833432</v>
      </c>
      <c r="R49" s="185">
        <f t="shared" si="49"/>
        <v>77.7294376514497</v>
      </c>
      <c r="S49" s="182">
        <f t="shared" si="50"/>
        <v>6</v>
      </c>
      <c r="T49" s="576"/>
      <c r="U49" s="188">
        <v>23</v>
      </c>
      <c r="V49" s="188">
        <v>1787.3770659833431</v>
      </c>
      <c r="W49" s="185">
        <f t="shared" si="43"/>
        <v>77.712046347101875</v>
      </c>
      <c r="X49" s="182">
        <f t="shared" si="51"/>
        <v>6</v>
      </c>
      <c r="Y49" s="576"/>
      <c r="Z49" s="188">
        <v>23</v>
      </c>
      <c r="AA49" s="188">
        <v>1786.5770659833433</v>
      </c>
      <c r="AB49" s="185">
        <f t="shared" si="44"/>
        <v>77.677263738406239</v>
      </c>
      <c r="AC49" s="182">
        <f t="shared" si="52"/>
        <v>6</v>
      </c>
      <c r="AD49" s="576"/>
      <c r="AE49" s="188">
        <v>23</v>
      </c>
      <c r="AF49" s="188">
        <v>1786.9770659833434</v>
      </c>
      <c r="AG49" s="185">
        <f t="shared" si="53"/>
        <v>77.694655042754064</v>
      </c>
      <c r="AH49" s="182" t="e">
        <f t="shared" si="54"/>
        <v>#N/A</v>
      </c>
      <c r="AI49" s="576"/>
      <c r="AJ49" s="188">
        <v>23</v>
      </c>
      <c r="AK49" s="188">
        <v>1787.9770659833434</v>
      </c>
      <c r="AL49" s="185">
        <f t="shared" si="45"/>
        <v>77.738133303623627</v>
      </c>
      <c r="AM49" s="182">
        <f t="shared" si="55"/>
        <v>6</v>
      </c>
      <c r="AN49" s="576"/>
      <c r="AO49" s="188">
        <v>23</v>
      </c>
      <c r="AP49" s="188">
        <v>1787.7770659833432</v>
      </c>
      <c r="AQ49" s="185">
        <f t="shared" si="46"/>
        <v>77.7294376514497</v>
      </c>
      <c r="AR49" s="182">
        <f t="shared" si="56"/>
        <v>6</v>
      </c>
      <c r="AS49" s="576"/>
      <c r="AT49" s="188">
        <v>23</v>
      </c>
      <c r="AU49" s="188">
        <v>1787.3770659833433</v>
      </c>
      <c r="AV49" s="185">
        <f t="shared" si="47"/>
        <v>77.712046347101889</v>
      </c>
      <c r="AW49" s="182">
        <f t="shared" si="57"/>
        <v>6</v>
      </c>
      <c r="AX49" s="576"/>
    </row>
    <row r="50" spans="2:50" ht="14.25" customHeight="1">
      <c r="B50" s="575"/>
      <c r="C50" s="180">
        <v>4</v>
      </c>
      <c r="D50" s="183" t="s">
        <v>357</v>
      </c>
      <c r="E50" s="180">
        <v>23</v>
      </c>
      <c r="F50" s="180">
        <v>2000</v>
      </c>
      <c r="G50" s="185">
        <f t="shared" si="42"/>
        <v>86.956521739130437</v>
      </c>
      <c r="H50" s="576"/>
      <c r="I50" s="186">
        <f t="shared" si="48"/>
        <v>23</v>
      </c>
      <c r="J50" s="186">
        <f t="shared" si="48"/>
        <v>1789.7213139801374</v>
      </c>
      <c r="K50" s="187">
        <f t="shared" si="48"/>
        <v>77.813970173049455</v>
      </c>
      <c r="L50" s="577"/>
      <c r="M50" s="186">
        <f>RANK(K50, K$47:$K$61)</f>
        <v>5</v>
      </c>
      <c r="N50" s="575"/>
      <c r="O50" s="575"/>
      <c r="P50" s="188">
        <v>23</v>
      </c>
      <c r="Q50" s="188">
        <v>1789.0641711229946</v>
      </c>
      <c r="R50" s="185">
        <f t="shared" si="49"/>
        <v>77.78539874447803</v>
      </c>
      <c r="S50" s="182">
        <f t="shared" si="50"/>
        <v>4</v>
      </c>
      <c r="T50" s="576"/>
      <c r="U50" s="188">
        <v>23</v>
      </c>
      <c r="V50" s="188">
        <v>1789.4641711229945</v>
      </c>
      <c r="W50" s="185">
        <f t="shared" si="43"/>
        <v>77.802790048825841</v>
      </c>
      <c r="X50" s="182">
        <f t="shared" si="51"/>
        <v>5</v>
      </c>
      <c r="Y50" s="576"/>
      <c r="Z50" s="188">
        <v>23</v>
      </c>
      <c r="AA50" s="188">
        <v>1789.6641711229945</v>
      </c>
      <c r="AB50" s="185">
        <f t="shared" si="44"/>
        <v>77.811485700999768</v>
      </c>
      <c r="AC50" s="182">
        <f t="shared" si="52"/>
        <v>4</v>
      </c>
      <c r="AD50" s="576"/>
      <c r="AE50" s="188">
        <v>23</v>
      </c>
      <c r="AF50" s="188">
        <v>1788.8641711229948</v>
      </c>
      <c r="AG50" s="185">
        <f t="shared" si="53"/>
        <v>77.776703092304118</v>
      </c>
      <c r="AH50" s="182" t="e">
        <f t="shared" si="54"/>
        <v>#N/A</v>
      </c>
      <c r="AI50" s="576"/>
      <c r="AJ50" s="188">
        <v>23</v>
      </c>
      <c r="AK50" s="188">
        <v>1789.8641711229945</v>
      </c>
      <c r="AL50" s="185">
        <f t="shared" si="45"/>
        <v>77.82018135317368</v>
      </c>
      <c r="AM50" s="182">
        <f t="shared" si="55"/>
        <v>5</v>
      </c>
      <c r="AN50" s="576"/>
      <c r="AO50" s="188">
        <v>23</v>
      </c>
      <c r="AP50" s="188">
        <v>1790.6641711229945</v>
      </c>
      <c r="AQ50" s="185">
        <f t="shared" si="46"/>
        <v>77.854963961869331</v>
      </c>
      <c r="AR50" s="182">
        <f t="shared" si="56"/>
        <v>4</v>
      </c>
      <c r="AS50" s="576"/>
      <c r="AT50" s="188">
        <v>23</v>
      </c>
      <c r="AU50" s="188">
        <v>1790.4641711229947</v>
      </c>
      <c r="AV50" s="185">
        <f t="shared" si="47"/>
        <v>77.846268309695418</v>
      </c>
      <c r="AW50" s="182">
        <f t="shared" si="57"/>
        <v>5</v>
      </c>
      <c r="AX50" s="576"/>
    </row>
    <row r="51" spans="2:50" ht="14.25" customHeight="1">
      <c r="B51" s="575"/>
      <c r="C51" s="180">
        <v>5</v>
      </c>
      <c r="D51" s="183" t="s">
        <v>465</v>
      </c>
      <c r="E51" s="180">
        <v>23</v>
      </c>
      <c r="F51" s="180">
        <v>2000</v>
      </c>
      <c r="G51" s="185">
        <f t="shared" si="42"/>
        <v>86.956521739130437</v>
      </c>
      <c r="H51" s="576"/>
      <c r="I51" s="186">
        <f t="shared" si="48"/>
        <v>23</v>
      </c>
      <c r="J51" s="186">
        <f t="shared" si="48"/>
        <v>1789.7923250564304</v>
      </c>
      <c r="K51" s="187">
        <f t="shared" si="48"/>
        <v>77.817057611149153</v>
      </c>
      <c r="L51" s="577"/>
      <c r="M51" s="186">
        <f>RANK(K51, K$47:$K$61)</f>
        <v>4</v>
      </c>
      <c r="N51" s="575"/>
      <c r="O51" s="575"/>
      <c r="P51" s="188">
        <v>23</v>
      </c>
      <c r="Q51" s="188">
        <v>1789.0494679135734</v>
      </c>
      <c r="R51" s="185">
        <f t="shared" si="49"/>
        <v>77.78475947450319</v>
      </c>
      <c r="S51" s="182">
        <f t="shared" si="50"/>
        <v>5</v>
      </c>
      <c r="T51" s="576"/>
      <c r="U51" s="188">
        <v>23</v>
      </c>
      <c r="V51" s="188">
        <v>1789.6494679135735</v>
      </c>
      <c r="W51" s="185">
        <f t="shared" si="43"/>
        <v>77.810846431024942</v>
      </c>
      <c r="X51" s="182">
        <f t="shared" si="51"/>
        <v>4</v>
      </c>
      <c r="Y51" s="576"/>
      <c r="Z51" s="188">
        <v>23</v>
      </c>
      <c r="AA51" s="188">
        <v>1788.8494679135736</v>
      </c>
      <c r="AB51" s="185">
        <f t="shared" si="44"/>
        <v>77.776063822329291</v>
      </c>
      <c r="AC51" s="182">
        <f t="shared" si="52"/>
        <v>5</v>
      </c>
      <c r="AD51" s="576"/>
      <c r="AE51" s="188">
        <v>23</v>
      </c>
      <c r="AF51" s="188">
        <v>1789.6494679135733</v>
      </c>
      <c r="AG51" s="185">
        <f t="shared" si="53"/>
        <v>77.810846431024927</v>
      </c>
      <c r="AH51" s="182" t="e">
        <f t="shared" si="54"/>
        <v>#N/A</v>
      </c>
      <c r="AI51" s="576"/>
      <c r="AJ51" s="188">
        <v>23</v>
      </c>
      <c r="AK51" s="188">
        <v>1790.4494679135732</v>
      </c>
      <c r="AL51" s="185">
        <f t="shared" si="45"/>
        <v>77.845629039720578</v>
      </c>
      <c r="AM51" s="182">
        <f t="shared" si="55"/>
        <v>4</v>
      </c>
      <c r="AN51" s="576"/>
      <c r="AO51" s="188">
        <v>23</v>
      </c>
      <c r="AP51" s="188">
        <v>1790.0494679135729</v>
      </c>
      <c r="AQ51" s="185">
        <f t="shared" si="46"/>
        <v>77.828237735372738</v>
      </c>
      <c r="AR51" s="182">
        <f t="shared" si="56"/>
        <v>5</v>
      </c>
      <c r="AS51" s="576"/>
      <c r="AT51" s="188">
        <v>23</v>
      </c>
      <c r="AU51" s="188">
        <v>1790.8494679135731</v>
      </c>
      <c r="AV51" s="185">
        <f t="shared" si="47"/>
        <v>77.863020344068403</v>
      </c>
      <c r="AW51" s="182">
        <f t="shared" si="57"/>
        <v>4</v>
      </c>
      <c r="AX51" s="576"/>
    </row>
    <row r="52" spans="2:50" ht="14.25" customHeight="1">
      <c r="B52" s="575"/>
      <c r="C52" s="180">
        <v>6</v>
      </c>
      <c r="D52" s="183" t="s">
        <v>468</v>
      </c>
      <c r="E52" s="180">
        <v>22</v>
      </c>
      <c r="F52" s="180">
        <v>2000</v>
      </c>
      <c r="G52" s="185">
        <f t="shared" si="42"/>
        <v>90.909090909090907</v>
      </c>
      <c r="H52" s="576"/>
      <c r="I52" s="186">
        <f t="shared" si="48"/>
        <v>22</v>
      </c>
      <c r="J52" s="186">
        <f t="shared" si="48"/>
        <v>1788.1183893305977</v>
      </c>
      <c r="K52" s="187">
        <f t="shared" si="48"/>
        <v>81.278108605936282</v>
      </c>
      <c r="L52" s="577"/>
      <c r="M52" s="186">
        <f>RANK(K52, K$47:$K$61)</f>
        <v>3</v>
      </c>
      <c r="N52" s="575"/>
      <c r="O52" s="575"/>
      <c r="P52" s="188">
        <v>22</v>
      </c>
      <c r="Q52" s="188">
        <v>1788.8326750448832</v>
      </c>
      <c r="R52" s="185">
        <f t="shared" si="49"/>
        <v>81.310576138403789</v>
      </c>
      <c r="S52" s="182">
        <f t="shared" si="50"/>
        <v>2</v>
      </c>
      <c r="T52" s="576"/>
      <c r="U52" s="188">
        <v>22</v>
      </c>
      <c r="V52" s="188">
        <v>1788.2326750448833</v>
      </c>
      <c r="W52" s="185">
        <f t="shared" si="43"/>
        <v>81.283303411131058</v>
      </c>
      <c r="X52" s="182">
        <f t="shared" si="51"/>
        <v>2</v>
      </c>
      <c r="Y52" s="576"/>
      <c r="Z52" s="188">
        <v>22</v>
      </c>
      <c r="AA52" s="188">
        <v>1787.6326750448834</v>
      </c>
      <c r="AB52" s="185">
        <f t="shared" si="44"/>
        <v>81.256030683858341</v>
      </c>
      <c r="AC52" s="182">
        <f t="shared" si="52"/>
        <v>2</v>
      </c>
      <c r="AD52" s="576"/>
      <c r="AE52" s="188">
        <v>22</v>
      </c>
      <c r="AF52" s="188">
        <v>1788.0326750448837</v>
      </c>
      <c r="AG52" s="185">
        <f t="shared" si="53"/>
        <v>81.274212502040172</v>
      </c>
      <c r="AH52" s="182" t="e">
        <f t="shared" si="54"/>
        <v>#N/A</v>
      </c>
      <c r="AI52" s="576"/>
      <c r="AJ52" s="188">
        <v>22</v>
      </c>
      <c r="AK52" s="188">
        <v>1788.4326750448836</v>
      </c>
      <c r="AL52" s="185">
        <f t="shared" si="45"/>
        <v>81.292394320221987</v>
      </c>
      <c r="AM52" s="182">
        <f t="shared" si="55"/>
        <v>3</v>
      </c>
      <c r="AN52" s="576"/>
      <c r="AO52" s="188">
        <v>22</v>
      </c>
      <c r="AP52" s="188">
        <v>1788.2326750448838</v>
      </c>
      <c r="AQ52" s="185">
        <f t="shared" si="46"/>
        <v>81.283303411131087</v>
      </c>
      <c r="AR52" s="182">
        <f t="shared" si="56"/>
        <v>3</v>
      </c>
      <c r="AS52" s="576"/>
      <c r="AT52" s="188">
        <v>22</v>
      </c>
      <c r="AU52" s="188">
        <v>1787.432675044884</v>
      </c>
      <c r="AV52" s="185">
        <f t="shared" si="47"/>
        <v>81.246939774767455</v>
      </c>
      <c r="AW52" s="182">
        <f t="shared" si="57"/>
        <v>3</v>
      </c>
      <c r="AX52" s="576"/>
    </row>
    <row r="53" spans="2:50" ht="14.25" customHeight="1">
      <c r="B53" s="575"/>
      <c r="C53" s="180">
        <v>7</v>
      </c>
      <c r="D53" s="183" t="s">
        <v>472</v>
      </c>
      <c r="E53" s="180">
        <v>20</v>
      </c>
      <c r="F53" s="180">
        <v>2000</v>
      </c>
      <c r="G53" s="185">
        <f t="shared" si="42"/>
        <v>100</v>
      </c>
      <c r="H53" s="576"/>
      <c r="I53" s="186">
        <f t="shared" si="48"/>
        <v>20</v>
      </c>
      <c r="J53" s="186">
        <f t="shared" si="48"/>
        <v>1784.467523872554</v>
      </c>
      <c r="K53" s="187">
        <f t="shared" si="48"/>
        <v>89.223376193627715</v>
      </c>
      <c r="L53" s="577"/>
      <c r="M53" s="186">
        <f>RANK(K53, K$47:$K$61)</f>
        <v>1</v>
      </c>
      <c r="N53" s="575"/>
      <c r="O53" s="575"/>
      <c r="P53" s="188">
        <v>20</v>
      </c>
      <c r="Q53" s="188">
        <v>1784.2960953011252</v>
      </c>
      <c r="R53" s="185">
        <f t="shared" si="49"/>
        <v>89.214804765056257</v>
      </c>
      <c r="S53" s="182">
        <f t="shared" si="50"/>
        <v>1</v>
      </c>
      <c r="T53" s="576"/>
      <c r="U53" s="188">
        <v>20</v>
      </c>
      <c r="V53" s="188">
        <v>1784.8960953011251</v>
      </c>
      <c r="W53" s="185">
        <f t="shared" si="43"/>
        <v>89.244804765056259</v>
      </c>
      <c r="X53" s="182">
        <f t="shared" si="51"/>
        <v>1</v>
      </c>
      <c r="Y53" s="576"/>
      <c r="Z53" s="188">
        <v>20</v>
      </c>
      <c r="AA53" s="188">
        <v>1784.0960953011254</v>
      </c>
      <c r="AB53" s="185">
        <f t="shared" si="44"/>
        <v>89.204804765056267</v>
      </c>
      <c r="AC53" s="182">
        <f t="shared" si="52"/>
        <v>1</v>
      </c>
      <c r="AD53" s="576"/>
      <c r="AE53" s="188">
        <v>20</v>
      </c>
      <c r="AF53" s="188">
        <v>1784.2960953011254</v>
      </c>
      <c r="AG53" s="185">
        <f t="shared" si="53"/>
        <v>89.214804765056272</v>
      </c>
      <c r="AH53" s="182" t="e">
        <f t="shared" si="54"/>
        <v>#N/A</v>
      </c>
      <c r="AI53" s="576"/>
      <c r="AJ53" s="188">
        <v>20</v>
      </c>
      <c r="AK53" s="188">
        <v>1784.8960953011258</v>
      </c>
      <c r="AL53" s="185">
        <f t="shared" si="45"/>
        <v>89.244804765056287</v>
      </c>
      <c r="AM53" s="182">
        <f t="shared" si="55"/>
        <v>1</v>
      </c>
      <c r="AN53" s="576"/>
      <c r="AO53" s="188">
        <v>20</v>
      </c>
      <c r="AP53" s="188">
        <v>1784.2960953011257</v>
      </c>
      <c r="AQ53" s="185">
        <f t="shared" si="46"/>
        <v>89.214804765056286</v>
      </c>
      <c r="AR53" s="182">
        <f t="shared" si="56"/>
        <v>1</v>
      </c>
      <c r="AS53" s="576"/>
      <c r="AT53" s="188">
        <v>20</v>
      </c>
      <c r="AU53" s="188">
        <v>1784.4960953011257</v>
      </c>
      <c r="AV53" s="185">
        <f t="shared" si="47"/>
        <v>89.224804765056291</v>
      </c>
      <c r="AW53" s="182">
        <f t="shared" si="57"/>
        <v>1</v>
      </c>
      <c r="AX53" s="576"/>
    </row>
    <row r="54" spans="2:50" ht="14.25" customHeight="1">
      <c r="B54" s="575"/>
      <c r="C54" s="180">
        <v>8</v>
      </c>
      <c r="D54" s="183" t="s">
        <v>361</v>
      </c>
      <c r="E54" s="180">
        <v>24</v>
      </c>
      <c r="F54" s="180">
        <v>2000</v>
      </c>
      <c r="G54" s="185">
        <f t="shared" si="42"/>
        <v>83.333333333333329</v>
      </c>
      <c r="H54" s="576"/>
      <c r="I54" s="186">
        <f t="shared" si="48"/>
        <v>24</v>
      </c>
      <c r="J54" s="186">
        <f t="shared" si="48"/>
        <v>1784.8164953622493</v>
      </c>
      <c r="K54" s="187">
        <f t="shared" si="48"/>
        <v>74.367353973427058</v>
      </c>
      <c r="L54" s="577"/>
      <c r="M54" s="186">
        <f>RANK(K54, K$47:$K$61)</f>
        <v>8</v>
      </c>
      <c r="N54" s="575"/>
      <c r="O54" s="575"/>
      <c r="P54" s="188">
        <v>24</v>
      </c>
      <c r="Q54" s="188">
        <v>1785.4164953622485</v>
      </c>
      <c r="R54" s="185">
        <f t="shared" si="49"/>
        <v>74.392353973427021</v>
      </c>
      <c r="S54" s="182">
        <f t="shared" si="50"/>
        <v>8</v>
      </c>
      <c r="T54" s="576"/>
      <c r="U54" s="188">
        <v>24</v>
      </c>
      <c r="V54" s="188">
        <v>1785.0164953622489</v>
      </c>
      <c r="W54" s="185">
        <f t="shared" si="43"/>
        <v>74.375687306760369</v>
      </c>
      <c r="X54" s="182">
        <f t="shared" si="51"/>
        <v>8</v>
      </c>
      <c r="Y54" s="576"/>
      <c r="Z54" s="188">
        <v>24</v>
      </c>
      <c r="AA54" s="188">
        <v>1785.4164953622492</v>
      </c>
      <c r="AB54" s="185">
        <f t="shared" si="44"/>
        <v>74.392353973427049</v>
      </c>
      <c r="AC54" s="182">
        <f t="shared" si="52"/>
        <v>8</v>
      </c>
      <c r="AD54" s="576"/>
      <c r="AE54" s="188">
        <v>24</v>
      </c>
      <c r="AF54" s="188">
        <v>1784.6164953622497</v>
      </c>
      <c r="AG54" s="185">
        <f t="shared" si="53"/>
        <v>74.359020640093732</v>
      </c>
      <c r="AH54" s="182" t="e">
        <f>RANK(AG54, AG$7:AG$21)</f>
        <v>#N/A</v>
      </c>
      <c r="AI54" s="576"/>
      <c r="AJ54" s="188">
        <v>24</v>
      </c>
      <c r="AK54" s="188">
        <v>1784.6164953622497</v>
      </c>
      <c r="AL54" s="185">
        <f t="shared" si="45"/>
        <v>74.359020640093732</v>
      </c>
      <c r="AM54" s="182">
        <f t="shared" si="55"/>
        <v>8</v>
      </c>
      <c r="AN54" s="576"/>
      <c r="AO54" s="188">
        <v>24</v>
      </c>
      <c r="AP54" s="188">
        <v>1783.8164953622497</v>
      </c>
      <c r="AQ54" s="185">
        <f t="shared" si="46"/>
        <v>74.3256873067604</v>
      </c>
      <c r="AR54" s="182">
        <f t="shared" si="56"/>
        <v>8</v>
      </c>
      <c r="AS54" s="576"/>
      <c r="AT54" s="188">
        <v>24</v>
      </c>
      <c r="AU54" s="188">
        <v>1784.8164953622497</v>
      </c>
      <c r="AV54" s="185">
        <f t="shared" si="47"/>
        <v>74.367353973427072</v>
      </c>
      <c r="AW54" s="182">
        <f t="shared" si="57"/>
        <v>8</v>
      </c>
      <c r="AX54" s="576"/>
    </row>
    <row r="55" spans="2:50" ht="14.25" customHeight="1">
      <c r="B55" s="575"/>
      <c r="C55" s="180">
        <v>9</v>
      </c>
      <c r="D55" s="183" t="s">
        <v>641</v>
      </c>
      <c r="E55" s="180">
        <v>26</v>
      </c>
      <c r="F55" s="180">
        <v>2000</v>
      </c>
      <c r="G55" s="185">
        <f t="shared" si="42"/>
        <v>76.92307692307692</v>
      </c>
      <c r="H55" s="576"/>
      <c r="I55" s="186">
        <f t="shared" si="48"/>
        <v>26</v>
      </c>
      <c r="J55" s="186">
        <f t="shared" si="48"/>
        <v>1789.1947740209851</v>
      </c>
      <c r="K55" s="187">
        <f t="shared" si="48"/>
        <v>68.815183616191732</v>
      </c>
      <c r="L55" s="577"/>
      <c r="M55" s="186">
        <f>RANK(K55, K$47:$K$61)</f>
        <v>9</v>
      </c>
      <c r="N55" s="575"/>
      <c r="O55" s="575"/>
      <c r="P55" s="188">
        <v>26</v>
      </c>
      <c r="Q55" s="188">
        <v>1788.3662025924143</v>
      </c>
      <c r="R55" s="185">
        <f t="shared" si="49"/>
        <v>68.783315484323623</v>
      </c>
      <c r="S55" s="182">
        <f t="shared" si="50"/>
        <v>9</v>
      </c>
      <c r="T55" s="576"/>
      <c r="U55" s="188">
        <v>26</v>
      </c>
      <c r="V55" s="188">
        <v>1788.966202592414</v>
      </c>
      <c r="W55" s="185">
        <f t="shared" si="43"/>
        <v>68.806392407400537</v>
      </c>
      <c r="X55" s="182">
        <f t="shared" si="51"/>
        <v>9</v>
      </c>
      <c r="Y55" s="576"/>
      <c r="Z55" s="188">
        <v>26</v>
      </c>
      <c r="AA55" s="188">
        <v>1788.9662025924138</v>
      </c>
      <c r="AB55" s="185">
        <f t="shared" si="44"/>
        <v>68.806392407400523</v>
      </c>
      <c r="AC55" s="182">
        <f t="shared" si="52"/>
        <v>9</v>
      </c>
      <c r="AD55" s="576"/>
      <c r="AE55" s="188">
        <v>26</v>
      </c>
      <c r="AF55" s="188">
        <v>1788.3662025924136</v>
      </c>
      <c r="AG55" s="185">
        <f t="shared" si="53"/>
        <v>68.783315484323595</v>
      </c>
      <c r="AH55" s="182" t="e">
        <f t="shared" si="54"/>
        <v>#N/A</v>
      </c>
      <c r="AI55" s="576"/>
      <c r="AJ55" s="188">
        <v>26</v>
      </c>
      <c r="AK55" s="188">
        <v>1789.1662025924134</v>
      </c>
      <c r="AL55" s="185">
        <f t="shared" si="45"/>
        <v>68.814084715092818</v>
      </c>
      <c r="AM55" s="182">
        <f t="shared" si="55"/>
        <v>9</v>
      </c>
      <c r="AN55" s="576"/>
      <c r="AO55" s="188">
        <v>26</v>
      </c>
      <c r="AP55" s="188">
        <v>1789.7662025924135</v>
      </c>
      <c r="AQ55" s="185">
        <f t="shared" si="46"/>
        <v>68.837161638169746</v>
      </c>
      <c r="AR55" s="182">
        <f t="shared" si="56"/>
        <v>9</v>
      </c>
      <c r="AS55" s="576"/>
      <c r="AT55" s="188">
        <v>26</v>
      </c>
      <c r="AU55" s="188">
        <v>1790.7662025924135</v>
      </c>
      <c r="AV55" s="185">
        <f t="shared" si="47"/>
        <v>68.875623176631294</v>
      </c>
      <c r="AW55" s="182">
        <f t="shared" si="57"/>
        <v>9</v>
      </c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P24:S24"/>
    <mergeCell ref="E24:G24"/>
    <mergeCell ref="H24:H26"/>
    <mergeCell ref="I24:K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AS24:AS26"/>
    <mergeCell ref="AT24:AW24"/>
    <mergeCell ref="AX24:AX26"/>
    <mergeCell ref="AX27:AX41"/>
    <mergeCell ref="AT25:AW2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6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" sqref="B2:M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AVERAGE(L7,L27,L47)</f>
        <v>0</v>
      </c>
    </row>
    <row r="2" spans="1:50" ht="14.25" customHeight="1" collapsed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602" t="s">
        <v>375</v>
      </c>
      <c r="O2" s="602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604"/>
      <c r="O3" s="604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376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377</v>
      </c>
      <c r="F5" s="575"/>
      <c r="G5" s="575"/>
      <c r="H5" s="575"/>
      <c r="I5" s="579" t="s">
        <v>377</v>
      </c>
      <c r="J5" s="579"/>
      <c r="K5" s="579"/>
      <c r="L5" s="579"/>
      <c r="M5" s="579"/>
      <c r="N5" s="575"/>
      <c r="O5" s="575"/>
      <c r="P5" s="575" t="s">
        <v>378</v>
      </c>
      <c r="Q5" s="575"/>
      <c r="R5" s="575"/>
      <c r="S5" s="575"/>
      <c r="T5" s="575"/>
      <c r="U5" s="575" t="s">
        <v>378</v>
      </c>
      <c r="V5" s="575"/>
      <c r="W5" s="575"/>
      <c r="X5" s="575"/>
      <c r="Y5" s="575"/>
      <c r="Z5" s="575" t="s">
        <v>378</v>
      </c>
      <c r="AA5" s="575"/>
      <c r="AB5" s="575"/>
      <c r="AC5" s="575"/>
      <c r="AD5" s="575"/>
      <c r="AE5" s="575" t="s">
        <v>378</v>
      </c>
      <c r="AF5" s="575"/>
      <c r="AG5" s="575"/>
      <c r="AH5" s="575"/>
      <c r="AI5" s="575"/>
      <c r="AJ5" s="575" t="s">
        <v>378</v>
      </c>
      <c r="AK5" s="575"/>
      <c r="AL5" s="575"/>
      <c r="AM5" s="575"/>
      <c r="AN5" s="575"/>
      <c r="AO5" s="575" t="s">
        <v>378</v>
      </c>
      <c r="AP5" s="575"/>
      <c r="AQ5" s="575"/>
      <c r="AR5" s="575"/>
      <c r="AS5" s="575"/>
      <c r="AT5" s="575" t="s">
        <v>378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379</v>
      </c>
      <c r="G6" s="180" t="s">
        <v>161</v>
      </c>
      <c r="H6" s="575"/>
      <c r="I6" s="181" t="s">
        <v>159</v>
      </c>
      <c r="J6" s="181" t="s">
        <v>379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379</v>
      </c>
      <c r="R6" s="180" t="s">
        <v>161</v>
      </c>
      <c r="S6" s="182" t="s">
        <v>165</v>
      </c>
      <c r="T6" s="575"/>
      <c r="U6" s="180" t="s">
        <v>159</v>
      </c>
      <c r="V6" s="180" t="s">
        <v>379</v>
      </c>
      <c r="W6" s="180" t="s">
        <v>161</v>
      </c>
      <c r="X6" s="182" t="s">
        <v>165</v>
      </c>
      <c r="Y6" s="575"/>
      <c r="Z6" s="180" t="s">
        <v>159</v>
      </c>
      <c r="AA6" s="180" t="s">
        <v>379</v>
      </c>
      <c r="AB6" s="180" t="s">
        <v>161</v>
      </c>
      <c r="AC6" s="182" t="s">
        <v>165</v>
      </c>
      <c r="AD6" s="575"/>
      <c r="AE6" s="180" t="s">
        <v>159</v>
      </c>
      <c r="AF6" s="180" t="s">
        <v>379</v>
      </c>
      <c r="AG6" s="180" t="s">
        <v>161</v>
      </c>
      <c r="AH6" s="182" t="s">
        <v>165</v>
      </c>
      <c r="AI6" s="575"/>
      <c r="AJ6" s="180" t="s">
        <v>159</v>
      </c>
      <c r="AK6" s="180" t="s">
        <v>379</v>
      </c>
      <c r="AL6" s="180" t="s">
        <v>161</v>
      </c>
      <c r="AM6" s="182" t="s">
        <v>165</v>
      </c>
      <c r="AN6" s="575"/>
      <c r="AO6" s="180" t="s">
        <v>159</v>
      </c>
      <c r="AP6" s="180" t="s">
        <v>379</v>
      </c>
      <c r="AQ6" s="180" t="s">
        <v>161</v>
      </c>
      <c r="AR6" s="182" t="s">
        <v>165</v>
      </c>
      <c r="AS6" s="575"/>
      <c r="AT6" s="180" t="s">
        <v>159</v>
      </c>
      <c r="AU6" s="180" t="s">
        <v>379</v>
      </c>
      <c r="AV6" s="180" t="s">
        <v>161</v>
      </c>
      <c r="AW6" s="182" t="s">
        <v>165</v>
      </c>
      <c r="AX6" s="575"/>
    </row>
    <row r="7" spans="1:50" ht="14.25" customHeight="1">
      <c r="B7" s="575" t="s">
        <v>454</v>
      </c>
      <c r="C7" s="180">
        <v>1</v>
      </c>
      <c r="D7" s="183"/>
      <c r="E7" s="180"/>
      <c r="F7" s="180"/>
      <c r="G7" s="185"/>
      <c r="H7" s="576"/>
      <c r="I7" s="186"/>
      <c r="J7" s="186"/>
      <c r="K7" s="187"/>
      <c r="L7" s="577">
        <v>0</v>
      </c>
      <c r="M7" s="186"/>
      <c r="N7" s="575"/>
      <c r="O7" s="575"/>
      <c r="P7" s="188"/>
      <c r="Q7" s="188"/>
      <c r="R7" s="185"/>
      <c r="S7" s="182"/>
      <c r="T7" s="576"/>
      <c r="U7" s="188"/>
      <c r="V7" s="188"/>
      <c r="W7" s="185"/>
      <c r="X7" s="182"/>
      <c r="Y7" s="576"/>
      <c r="Z7" s="188"/>
      <c r="AA7" s="188"/>
      <c r="AB7" s="185"/>
      <c r="AC7" s="182"/>
      <c r="AD7" s="576"/>
      <c r="AE7" s="188"/>
      <c r="AF7" s="188"/>
      <c r="AG7" s="185"/>
      <c r="AH7" s="182"/>
      <c r="AI7" s="576"/>
      <c r="AJ7" s="188"/>
      <c r="AK7" s="188"/>
      <c r="AL7" s="185"/>
      <c r="AM7" s="182"/>
      <c r="AN7" s="576"/>
      <c r="AO7" s="188"/>
      <c r="AP7" s="188"/>
      <c r="AQ7" s="185"/>
      <c r="AR7" s="182"/>
      <c r="AS7" s="576"/>
      <c r="AT7" s="188"/>
      <c r="AU7" s="188"/>
      <c r="AV7" s="185"/>
      <c r="AW7" s="182"/>
      <c r="AX7" s="576"/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f>P22+1</f>
        <v>46120</v>
      </c>
      <c r="V22" s="658"/>
      <c r="W22" s="658"/>
      <c r="X22" s="658"/>
      <c r="Y22" s="658"/>
      <c r="Z22" s="655">
        <f t="shared" ref="Z22" si="10">U22+1</f>
        <v>46121</v>
      </c>
      <c r="AA22" s="656"/>
      <c r="AB22" s="656"/>
      <c r="AC22" s="656"/>
      <c r="AD22" s="656"/>
      <c r="AE22" s="657">
        <f t="shared" ref="AE22" si="11">Z22+1</f>
        <v>46122</v>
      </c>
      <c r="AF22" s="658"/>
      <c r="AG22" s="658"/>
      <c r="AH22" s="658"/>
      <c r="AI22" s="658"/>
      <c r="AJ22" s="647">
        <f t="shared" ref="AJ22" si="12">AE22+1</f>
        <v>46123</v>
      </c>
      <c r="AK22" s="648"/>
      <c r="AL22" s="648"/>
      <c r="AM22" s="648"/>
      <c r="AN22" s="649"/>
      <c r="AO22" s="657">
        <f t="shared" ref="AO22" si="13">AJ22+1</f>
        <v>46124</v>
      </c>
      <c r="AP22" s="658"/>
      <c r="AQ22" s="658"/>
      <c r="AR22" s="658"/>
      <c r="AS22" s="658"/>
      <c r="AT22" s="647">
        <f t="shared" ref="AT22" si="14">AO22+1</f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f>P22</f>
        <v>46119</v>
      </c>
      <c r="Q23" s="650"/>
      <c r="R23" s="650"/>
      <c r="S23" s="650"/>
      <c r="T23" s="650"/>
      <c r="U23" s="651">
        <f>U22</f>
        <v>46120</v>
      </c>
      <c r="V23" s="651"/>
      <c r="W23" s="651"/>
      <c r="X23" s="651"/>
      <c r="Y23" s="651"/>
      <c r="Z23" s="650">
        <f t="shared" ref="Z23" si="15">Z22</f>
        <v>46121</v>
      </c>
      <c r="AA23" s="650"/>
      <c r="AB23" s="650"/>
      <c r="AC23" s="650"/>
      <c r="AD23" s="650"/>
      <c r="AE23" s="651">
        <f t="shared" ref="AE23" si="16">AE22</f>
        <v>46122</v>
      </c>
      <c r="AF23" s="651"/>
      <c r="AG23" s="651"/>
      <c r="AH23" s="651"/>
      <c r="AI23" s="651"/>
      <c r="AJ23" s="652">
        <f t="shared" ref="AJ23" si="17">AJ22</f>
        <v>46123</v>
      </c>
      <c r="AK23" s="653"/>
      <c r="AL23" s="653"/>
      <c r="AM23" s="653"/>
      <c r="AN23" s="654"/>
      <c r="AO23" s="651">
        <f t="shared" ref="AO23" si="18">AO22</f>
        <v>46124</v>
      </c>
      <c r="AP23" s="651"/>
      <c r="AQ23" s="651"/>
      <c r="AR23" s="651"/>
      <c r="AS23" s="651"/>
      <c r="AT23" s="652">
        <f t="shared" ref="AT23" si="19">AT22</f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454</v>
      </c>
      <c r="C27" s="180">
        <v>1</v>
      </c>
      <c r="D27" s="183"/>
      <c r="E27" s="180"/>
      <c r="F27" s="180"/>
      <c r="G27" s="185"/>
      <c r="H27" s="576"/>
      <c r="I27" s="186"/>
      <c r="J27" s="186"/>
      <c r="K27" s="187"/>
      <c r="L27" s="577">
        <v>0</v>
      </c>
      <c r="M27" s="186"/>
      <c r="N27" s="575"/>
      <c r="O27" s="575"/>
      <c r="P27" s="188"/>
      <c r="Q27" s="188"/>
      <c r="R27" s="185"/>
      <c r="S27" s="182"/>
      <c r="T27" s="576"/>
      <c r="U27" s="188"/>
      <c r="V27" s="188"/>
      <c r="W27" s="185"/>
      <c r="X27" s="182"/>
      <c r="Y27" s="576"/>
      <c r="Z27" s="188"/>
      <c r="AA27" s="188"/>
      <c r="AB27" s="185"/>
      <c r="AC27" s="182"/>
      <c r="AD27" s="576"/>
      <c r="AE27" s="188"/>
      <c r="AF27" s="188"/>
      <c r="AG27" s="185"/>
      <c r="AH27" s="182"/>
      <c r="AI27" s="576"/>
      <c r="AJ27" s="188"/>
      <c r="AK27" s="188"/>
      <c r="AL27" s="185"/>
      <c r="AM27" s="182"/>
      <c r="AN27" s="576"/>
      <c r="AO27" s="188"/>
      <c r="AP27" s="188"/>
      <c r="AQ27" s="185"/>
      <c r="AR27" s="182"/>
      <c r="AS27" s="576"/>
      <c r="AT27" s="188"/>
      <c r="AU27" s="188"/>
      <c r="AV27" s="185"/>
      <c r="AW27" s="182"/>
      <c r="AX27" s="576"/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3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f>P42+1</f>
        <v>46127</v>
      </c>
      <c r="V42" s="658"/>
      <c r="W42" s="658"/>
      <c r="X42" s="658"/>
      <c r="Y42" s="658"/>
      <c r="Z42" s="655">
        <f t="shared" ref="Z42" si="20">U42+1</f>
        <v>46128</v>
      </c>
      <c r="AA42" s="656"/>
      <c r="AB42" s="656"/>
      <c r="AC42" s="656"/>
      <c r="AD42" s="656"/>
      <c r="AE42" s="657">
        <f t="shared" ref="AE42" si="21">Z42+1</f>
        <v>46129</v>
      </c>
      <c r="AF42" s="658"/>
      <c r="AG42" s="658"/>
      <c r="AH42" s="658"/>
      <c r="AI42" s="658"/>
      <c r="AJ42" s="647">
        <f t="shared" ref="AJ42" si="22">AE42+1</f>
        <v>46130</v>
      </c>
      <c r="AK42" s="648"/>
      <c r="AL42" s="648"/>
      <c r="AM42" s="648"/>
      <c r="AN42" s="649"/>
      <c r="AO42" s="657">
        <f t="shared" ref="AO42" si="23">AJ42+1</f>
        <v>46131</v>
      </c>
      <c r="AP42" s="658"/>
      <c r="AQ42" s="658"/>
      <c r="AR42" s="658"/>
      <c r="AS42" s="658"/>
      <c r="AT42" s="647">
        <f t="shared" ref="AT42" si="24">AO42+1</f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f>P42</f>
        <v>46126</v>
      </c>
      <c r="Q43" s="650"/>
      <c r="R43" s="650"/>
      <c r="S43" s="650"/>
      <c r="T43" s="650"/>
      <c r="U43" s="651">
        <f>U42</f>
        <v>46127</v>
      </c>
      <c r="V43" s="651"/>
      <c r="W43" s="651"/>
      <c r="X43" s="651"/>
      <c r="Y43" s="651"/>
      <c r="Z43" s="650">
        <f t="shared" ref="Z43" si="25">Z42</f>
        <v>46128</v>
      </c>
      <c r="AA43" s="650"/>
      <c r="AB43" s="650"/>
      <c r="AC43" s="650"/>
      <c r="AD43" s="650"/>
      <c r="AE43" s="651">
        <f t="shared" ref="AE43" si="26">AE42</f>
        <v>46129</v>
      </c>
      <c r="AF43" s="651"/>
      <c r="AG43" s="651"/>
      <c r="AH43" s="651"/>
      <c r="AI43" s="651"/>
      <c r="AJ43" s="652">
        <f t="shared" ref="AJ43" si="27">AJ42</f>
        <v>46130</v>
      </c>
      <c r="AK43" s="653"/>
      <c r="AL43" s="653"/>
      <c r="AM43" s="653"/>
      <c r="AN43" s="654"/>
      <c r="AO43" s="651">
        <f t="shared" ref="AO43" si="28">AO42</f>
        <v>46131</v>
      </c>
      <c r="AP43" s="651"/>
      <c r="AQ43" s="651"/>
      <c r="AR43" s="651"/>
      <c r="AS43" s="651"/>
      <c r="AT43" s="652">
        <f t="shared" ref="AT43" si="29">AT42</f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454</v>
      </c>
      <c r="C47" s="180">
        <v>1</v>
      </c>
      <c r="D47" s="183"/>
      <c r="E47" s="180"/>
      <c r="F47" s="180"/>
      <c r="G47" s="185"/>
      <c r="H47" s="576"/>
      <c r="I47" s="186"/>
      <c r="J47" s="186"/>
      <c r="K47" s="187"/>
      <c r="L47" s="577"/>
      <c r="M47" s="186"/>
      <c r="N47" s="575"/>
      <c r="O47" s="575"/>
      <c r="P47" s="188"/>
      <c r="Q47" s="188"/>
      <c r="R47" s="185"/>
      <c r="S47" s="182"/>
      <c r="T47" s="576"/>
      <c r="U47" s="188"/>
      <c r="V47" s="188"/>
      <c r="W47" s="185"/>
      <c r="X47" s="182"/>
      <c r="Y47" s="576"/>
      <c r="Z47" s="188"/>
      <c r="AA47" s="188"/>
      <c r="AB47" s="185"/>
      <c r="AC47" s="182"/>
      <c r="AD47" s="576"/>
      <c r="AE47" s="188"/>
      <c r="AF47" s="188"/>
      <c r="AG47" s="185"/>
      <c r="AH47" s="182"/>
      <c r="AI47" s="576"/>
      <c r="AJ47" s="188"/>
      <c r="AK47" s="188"/>
      <c r="AL47" s="185"/>
      <c r="AM47" s="182"/>
      <c r="AN47" s="576"/>
      <c r="AO47" s="188"/>
      <c r="AP47" s="188"/>
      <c r="AQ47" s="185"/>
      <c r="AR47" s="182"/>
      <c r="AS47" s="576"/>
      <c r="AT47" s="188"/>
      <c r="AU47" s="188"/>
      <c r="AV47" s="185"/>
      <c r="AW47" s="182"/>
      <c r="AX47" s="576"/>
    </row>
    <row r="48" spans="2:50" ht="14.25" customHeight="1">
      <c r="B48" s="575"/>
      <c r="C48" s="180">
        <v>2</v>
      </c>
      <c r="D48" s="183"/>
      <c r="E48" s="180"/>
      <c r="F48" s="180"/>
      <c r="G48" s="185"/>
      <c r="H48" s="576"/>
      <c r="I48" s="186"/>
      <c r="J48" s="186"/>
      <c r="K48" s="187"/>
      <c r="L48" s="577"/>
      <c r="M48" s="186"/>
      <c r="N48" s="575"/>
      <c r="O48" s="575"/>
      <c r="P48" s="188"/>
      <c r="Q48" s="188"/>
      <c r="R48" s="185"/>
      <c r="S48" s="182"/>
      <c r="T48" s="576"/>
      <c r="U48" s="188"/>
      <c r="V48" s="188"/>
      <c r="W48" s="185"/>
      <c r="X48" s="182"/>
      <c r="Y48" s="576"/>
      <c r="Z48" s="188"/>
      <c r="AA48" s="188"/>
      <c r="AB48" s="185"/>
      <c r="AC48" s="182"/>
      <c r="AD48" s="576"/>
      <c r="AE48" s="188"/>
      <c r="AF48" s="188"/>
      <c r="AG48" s="185"/>
      <c r="AH48" s="182"/>
      <c r="AI48" s="576"/>
      <c r="AJ48" s="188"/>
      <c r="AK48" s="188"/>
      <c r="AL48" s="185"/>
      <c r="AM48" s="182"/>
      <c r="AN48" s="576"/>
      <c r="AO48" s="188"/>
      <c r="AP48" s="188"/>
      <c r="AQ48" s="185"/>
      <c r="AR48" s="182"/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61"/>
  <sheetViews>
    <sheetView zoomScaleNormal="100" workbookViewId="0">
      <pane xSplit="13" ySplit="1" topLeftCell="N8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AVERAGE(L7,L27,L47)</f>
        <v>52.468496434441299</v>
      </c>
    </row>
    <row r="2" spans="1:50" ht="14.25" customHeight="1" collapsed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602" t="s">
        <v>375</v>
      </c>
      <c r="O2" s="602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604"/>
      <c r="O3" s="604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376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377</v>
      </c>
      <c r="F5" s="575"/>
      <c r="G5" s="575"/>
      <c r="H5" s="575"/>
      <c r="I5" s="579" t="s">
        <v>377</v>
      </c>
      <c r="J5" s="579"/>
      <c r="K5" s="579"/>
      <c r="L5" s="579"/>
      <c r="M5" s="579"/>
      <c r="N5" s="575"/>
      <c r="O5" s="575"/>
      <c r="P5" s="575" t="s">
        <v>378</v>
      </c>
      <c r="Q5" s="575"/>
      <c r="R5" s="575"/>
      <c r="S5" s="575"/>
      <c r="T5" s="575"/>
      <c r="U5" s="575" t="s">
        <v>378</v>
      </c>
      <c r="V5" s="575"/>
      <c r="W5" s="575"/>
      <c r="X5" s="575"/>
      <c r="Y5" s="575"/>
      <c r="Z5" s="575" t="s">
        <v>378</v>
      </c>
      <c r="AA5" s="575"/>
      <c r="AB5" s="575"/>
      <c r="AC5" s="575"/>
      <c r="AD5" s="575"/>
      <c r="AE5" s="575" t="s">
        <v>378</v>
      </c>
      <c r="AF5" s="575"/>
      <c r="AG5" s="575"/>
      <c r="AH5" s="575"/>
      <c r="AI5" s="575"/>
      <c r="AJ5" s="575" t="s">
        <v>378</v>
      </c>
      <c r="AK5" s="575"/>
      <c r="AL5" s="575"/>
      <c r="AM5" s="575"/>
      <c r="AN5" s="575"/>
      <c r="AO5" s="575" t="s">
        <v>378</v>
      </c>
      <c r="AP5" s="575"/>
      <c r="AQ5" s="575"/>
      <c r="AR5" s="575"/>
      <c r="AS5" s="575"/>
      <c r="AT5" s="575" t="s">
        <v>378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379</v>
      </c>
      <c r="G6" s="180" t="s">
        <v>161</v>
      </c>
      <c r="H6" s="575"/>
      <c r="I6" s="181" t="s">
        <v>159</v>
      </c>
      <c r="J6" s="181" t="s">
        <v>379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379</v>
      </c>
      <c r="R6" s="180" t="s">
        <v>161</v>
      </c>
      <c r="S6" s="182" t="s">
        <v>165</v>
      </c>
      <c r="T6" s="575"/>
      <c r="U6" s="180" t="s">
        <v>159</v>
      </c>
      <c r="V6" s="180" t="s">
        <v>379</v>
      </c>
      <c r="W6" s="180" t="s">
        <v>161</v>
      </c>
      <c r="X6" s="182" t="s">
        <v>165</v>
      </c>
      <c r="Y6" s="575"/>
      <c r="Z6" s="180" t="s">
        <v>159</v>
      </c>
      <c r="AA6" s="180" t="s">
        <v>379</v>
      </c>
      <c r="AB6" s="180" t="s">
        <v>161</v>
      </c>
      <c r="AC6" s="182" t="s">
        <v>165</v>
      </c>
      <c r="AD6" s="575"/>
      <c r="AE6" s="180" t="s">
        <v>159</v>
      </c>
      <c r="AF6" s="180" t="s">
        <v>379</v>
      </c>
      <c r="AG6" s="180" t="s">
        <v>161</v>
      </c>
      <c r="AH6" s="182" t="s">
        <v>165</v>
      </c>
      <c r="AI6" s="575"/>
      <c r="AJ6" s="180" t="s">
        <v>159</v>
      </c>
      <c r="AK6" s="180" t="s">
        <v>379</v>
      </c>
      <c r="AL6" s="180" t="s">
        <v>161</v>
      </c>
      <c r="AM6" s="182" t="s">
        <v>165</v>
      </c>
      <c r="AN6" s="575"/>
      <c r="AO6" s="180" t="s">
        <v>159</v>
      </c>
      <c r="AP6" s="180" t="s">
        <v>379</v>
      </c>
      <c r="AQ6" s="180" t="s">
        <v>161</v>
      </c>
      <c r="AR6" s="182" t="s">
        <v>165</v>
      </c>
      <c r="AS6" s="575"/>
      <c r="AT6" s="180" t="s">
        <v>159</v>
      </c>
      <c r="AU6" s="180" t="s">
        <v>379</v>
      </c>
      <c r="AV6" s="180" t="s">
        <v>161</v>
      </c>
      <c r="AW6" s="182" t="s">
        <v>165</v>
      </c>
      <c r="AX6" s="575"/>
    </row>
    <row r="7" spans="1:50" ht="14.25" customHeight="1">
      <c r="B7" s="575" t="s">
        <v>383</v>
      </c>
      <c r="C7" s="180">
        <v>1</v>
      </c>
      <c r="D7" s="183"/>
      <c r="E7" s="180"/>
      <c r="F7" s="180"/>
      <c r="G7" s="185"/>
      <c r="H7" s="576"/>
      <c r="I7" s="186"/>
      <c r="J7" s="186"/>
      <c r="K7" s="187"/>
      <c r="L7" s="577">
        <v>0</v>
      </c>
      <c r="M7" s="186"/>
      <c r="N7" s="575"/>
      <c r="O7" s="575"/>
      <c r="P7" s="188"/>
      <c r="Q7" s="188"/>
      <c r="R7" s="185"/>
      <c r="S7" s="182"/>
      <c r="T7" s="576"/>
      <c r="U7" s="188"/>
      <c r="V7" s="188"/>
      <c r="W7" s="185"/>
      <c r="X7" s="182"/>
      <c r="Y7" s="576"/>
      <c r="Z7" s="188"/>
      <c r="AA7" s="188"/>
      <c r="AB7" s="185"/>
      <c r="AC7" s="182"/>
      <c r="AD7" s="576"/>
      <c r="AE7" s="188"/>
      <c r="AF7" s="188"/>
      <c r="AG7" s="185"/>
      <c r="AH7" s="182"/>
      <c r="AI7" s="576"/>
      <c r="AJ7" s="188"/>
      <c r="AK7" s="188"/>
      <c r="AL7" s="185"/>
      <c r="AM7" s="182"/>
      <c r="AN7" s="576"/>
      <c r="AO7" s="188"/>
      <c r="AP7" s="188"/>
      <c r="AQ7" s="185"/>
      <c r="AR7" s="182"/>
      <c r="AS7" s="576"/>
      <c r="AT7" s="188"/>
      <c r="AU7" s="188"/>
      <c r="AV7" s="185"/>
      <c r="AW7" s="182"/>
      <c r="AX7" s="576"/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f>P22+1</f>
        <v>46120</v>
      </c>
      <c r="V22" s="658"/>
      <c r="W22" s="658"/>
      <c r="X22" s="658"/>
      <c r="Y22" s="658"/>
      <c r="Z22" s="655">
        <f t="shared" ref="Z22" si="10">U22+1</f>
        <v>46121</v>
      </c>
      <c r="AA22" s="656"/>
      <c r="AB22" s="656"/>
      <c r="AC22" s="656"/>
      <c r="AD22" s="656"/>
      <c r="AE22" s="657">
        <f t="shared" ref="AE22" si="11">Z22+1</f>
        <v>46122</v>
      </c>
      <c r="AF22" s="658"/>
      <c r="AG22" s="658"/>
      <c r="AH22" s="658"/>
      <c r="AI22" s="658"/>
      <c r="AJ22" s="647">
        <f t="shared" ref="AJ22" si="12">AE22+1</f>
        <v>46123</v>
      </c>
      <c r="AK22" s="648"/>
      <c r="AL22" s="648"/>
      <c r="AM22" s="648"/>
      <c r="AN22" s="649"/>
      <c r="AO22" s="657">
        <f t="shared" ref="AO22" si="13">AJ22+1</f>
        <v>46124</v>
      </c>
      <c r="AP22" s="658"/>
      <c r="AQ22" s="658"/>
      <c r="AR22" s="658"/>
      <c r="AS22" s="658"/>
      <c r="AT22" s="647">
        <f t="shared" ref="AT22" si="14">AO22+1</f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f>P22</f>
        <v>46119</v>
      </c>
      <c r="Q23" s="650"/>
      <c r="R23" s="650"/>
      <c r="S23" s="650"/>
      <c r="T23" s="650"/>
      <c r="U23" s="651">
        <f>U22</f>
        <v>46120</v>
      </c>
      <c r="V23" s="651"/>
      <c r="W23" s="651"/>
      <c r="X23" s="651"/>
      <c r="Y23" s="651"/>
      <c r="Z23" s="650">
        <f t="shared" ref="Z23" si="15">Z22</f>
        <v>46121</v>
      </c>
      <c r="AA23" s="650"/>
      <c r="AB23" s="650"/>
      <c r="AC23" s="650"/>
      <c r="AD23" s="650"/>
      <c r="AE23" s="651">
        <f t="shared" ref="AE23" si="16">AE22</f>
        <v>46122</v>
      </c>
      <c r="AF23" s="651"/>
      <c r="AG23" s="651"/>
      <c r="AH23" s="651"/>
      <c r="AI23" s="651"/>
      <c r="AJ23" s="652">
        <f t="shared" ref="AJ23" si="17">AJ22</f>
        <v>46123</v>
      </c>
      <c r="AK23" s="653"/>
      <c r="AL23" s="653"/>
      <c r="AM23" s="653"/>
      <c r="AN23" s="654"/>
      <c r="AO23" s="651">
        <f t="shared" ref="AO23" si="18">AO22</f>
        <v>46124</v>
      </c>
      <c r="AP23" s="651"/>
      <c r="AQ23" s="651"/>
      <c r="AR23" s="651"/>
      <c r="AS23" s="651"/>
      <c r="AT23" s="652">
        <f t="shared" ref="AT23" si="19">AT22</f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383</v>
      </c>
      <c r="C27" s="180">
        <v>1</v>
      </c>
      <c r="D27" s="183"/>
      <c r="E27" s="180"/>
      <c r="F27" s="180"/>
      <c r="G27" s="185"/>
      <c r="H27" s="576"/>
      <c r="I27" s="186"/>
      <c r="J27" s="186"/>
      <c r="K27" s="187"/>
      <c r="L27" s="577">
        <v>0</v>
      </c>
      <c r="M27" s="186"/>
      <c r="N27" s="575"/>
      <c r="O27" s="575"/>
      <c r="P27" s="188"/>
      <c r="Q27" s="188"/>
      <c r="R27" s="185"/>
      <c r="S27" s="182"/>
      <c r="T27" s="576"/>
      <c r="U27" s="188"/>
      <c r="V27" s="188"/>
      <c r="W27" s="185"/>
      <c r="X27" s="182"/>
      <c r="Y27" s="576"/>
      <c r="Z27" s="188"/>
      <c r="AA27" s="188"/>
      <c r="AB27" s="185"/>
      <c r="AC27" s="182"/>
      <c r="AD27" s="576"/>
      <c r="AE27" s="188"/>
      <c r="AF27" s="188"/>
      <c r="AG27" s="185"/>
      <c r="AH27" s="182"/>
      <c r="AI27" s="576"/>
      <c r="AJ27" s="188"/>
      <c r="AK27" s="188"/>
      <c r="AL27" s="185"/>
      <c r="AM27" s="182"/>
      <c r="AN27" s="576"/>
      <c r="AO27" s="188"/>
      <c r="AP27" s="188"/>
      <c r="AQ27" s="185"/>
      <c r="AR27" s="182"/>
      <c r="AS27" s="576"/>
      <c r="AT27" s="188"/>
      <c r="AU27" s="188"/>
      <c r="AV27" s="185"/>
      <c r="AW27" s="182"/>
      <c r="AX27" s="576"/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3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383</v>
      </c>
      <c r="C47" s="180">
        <v>1</v>
      </c>
      <c r="D47" s="183" t="s">
        <v>742</v>
      </c>
      <c r="E47" s="180">
        <v>20</v>
      </c>
      <c r="F47" s="180">
        <v>3600</v>
      </c>
      <c r="G47" s="185">
        <f t="shared" ref="G47:G49" si="20">F47/E47</f>
        <v>180</v>
      </c>
      <c r="H47" s="576">
        <f>AVERAGE(G47:G61)</f>
        <v>180.30075187969928</v>
      </c>
      <c r="I47" s="186">
        <f>AVERAGE(P47,U47,Z47,AE47,AJ47,AO47,AT47)</f>
        <v>20</v>
      </c>
      <c r="J47" s="186">
        <f>AVERAGE(Q47,V47,AA47,AF47,AK47,AP47,AU47)</f>
        <v>3160.3464189668584</v>
      </c>
      <c r="K47" s="187">
        <f>AVERAGE(R47,W47,AB47,AG47,AL47,AQ47,AV47)</f>
        <v>158.01732094834293</v>
      </c>
      <c r="L47" s="577">
        <f>IFERROR(AVERAGE(K47:K61),"-")</f>
        <v>157.40548930332389</v>
      </c>
      <c r="M47" s="186">
        <f>RANK(K47, K$47:$K$61)</f>
        <v>2</v>
      </c>
      <c r="N47" s="575"/>
      <c r="O47" s="575"/>
      <c r="P47" s="188">
        <v>20</v>
      </c>
      <c r="Q47" s="188">
        <v>2988.0000000000005</v>
      </c>
      <c r="R47" s="185">
        <f>IFERROR(Q47/P47,"")</f>
        <v>149.40000000000003</v>
      </c>
      <c r="S47" s="182">
        <f>RANK(R47, R$47:R$61)</f>
        <v>2</v>
      </c>
      <c r="T47" s="576">
        <f>AVERAGE(R47:R61)</f>
        <v>149.35497086018503</v>
      </c>
      <c r="U47" s="188">
        <v>20</v>
      </c>
      <c r="V47" s="188">
        <v>3047.7600000000007</v>
      </c>
      <c r="W47" s="185">
        <f t="shared" ref="W47:W49" si="21">IFERROR(V47/U47,"")</f>
        <v>152.38800000000003</v>
      </c>
      <c r="X47" s="182">
        <f>RANK(W47, W$47:W$61)</f>
        <v>2</v>
      </c>
      <c r="Y47" s="576">
        <f>AVERAGE(W47:W61)</f>
        <v>152.34329734505786</v>
      </c>
      <c r="Z47" s="188">
        <v>20</v>
      </c>
      <c r="AA47" s="188">
        <v>3107.2464000000018</v>
      </c>
      <c r="AB47" s="185">
        <f t="shared" ref="AB47:AB49" si="22">IFERROR(AA47/Z47,"")</f>
        <v>155.3623200000001</v>
      </c>
      <c r="AC47" s="182">
        <f>RANK(AB47, AB$47:AB$61)</f>
        <v>2</v>
      </c>
      <c r="AD47" s="576">
        <f>AVERAGE(AB47:AB61)</f>
        <v>155.32948479571846</v>
      </c>
      <c r="AE47" s="188">
        <v>20</v>
      </c>
      <c r="AF47" s="188">
        <v>3200.4637920000018</v>
      </c>
      <c r="AG47" s="185">
        <f>IFERROR(AF47/AE47,"")</f>
        <v>160.02318960000008</v>
      </c>
      <c r="AH47" s="182">
        <f>RANK(AG47, AG$47:AG$61)</f>
        <v>2</v>
      </c>
      <c r="AI47" s="576">
        <f>AVERAGE(AG47:AG61)</f>
        <v>159.75047011952867</v>
      </c>
      <c r="AJ47" s="188">
        <v>20</v>
      </c>
      <c r="AK47" s="188">
        <v>3259.1715802560016</v>
      </c>
      <c r="AL47" s="185">
        <f t="shared" ref="AL47:AL49" si="23">IFERROR(AK47/AJ47,"")</f>
        <v>162.95857901280007</v>
      </c>
      <c r="AM47" s="182">
        <f>RANK(AL47, AL$47:AL$61)</f>
        <v>2</v>
      </c>
      <c r="AN47" s="576">
        <f>AVERAGE(AL47:AL61)</f>
        <v>161.63652848714131</v>
      </c>
      <c r="AO47" s="188">
        <v>20</v>
      </c>
      <c r="AP47" s="188">
        <v>3259.8915802560014</v>
      </c>
      <c r="AQ47" s="185">
        <f t="shared" ref="AQ47:AQ49" si="24">IFERROR(AP47/AO47,"")</f>
        <v>162.99457901280007</v>
      </c>
      <c r="AR47" s="182">
        <f>RANK(AQ47, AQ$47:AQ$61)</f>
        <v>2</v>
      </c>
      <c r="AS47" s="576">
        <f>AVERAGE(AQ47:AQ61)</f>
        <v>161.6846187127052</v>
      </c>
      <c r="AT47" s="188">
        <v>20</v>
      </c>
      <c r="AU47" s="188">
        <v>3259.8915802560014</v>
      </c>
      <c r="AV47" s="185">
        <f t="shared" ref="AV47:AV49" si="25">IFERROR(AU47/AT47,"")</f>
        <v>162.99457901280007</v>
      </c>
      <c r="AW47" s="182">
        <f>RANK(AV47, AV$47:AV$61)</f>
        <v>2</v>
      </c>
      <c r="AX47" s="576">
        <f>AVERAGE(AV47:AV61)</f>
        <v>161.73905480293078</v>
      </c>
    </row>
    <row r="48" spans="2:50" ht="14.25" customHeight="1">
      <c r="B48" s="575"/>
      <c r="C48" s="180">
        <v>2</v>
      </c>
      <c r="D48" s="183" t="s">
        <v>743</v>
      </c>
      <c r="E48" s="180">
        <v>21</v>
      </c>
      <c r="F48" s="180">
        <v>3600</v>
      </c>
      <c r="G48" s="185">
        <f t="shared" si="20"/>
        <v>171.42857142857142</v>
      </c>
      <c r="H48" s="576"/>
      <c r="I48" s="186">
        <f t="shared" ref="I48:K49" si="26">AVERAGE(P48,U48,Z48,AE48,AJ48,AO48,AT48)</f>
        <v>21</v>
      </c>
      <c r="J48" s="186">
        <f t="shared" si="26"/>
        <v>3160.1115863333475</v>
      </c>
      <c r="K48" s="187">
        <f t="shared" si="26"/>
        <v>150.48150411111178</v>
      </c>
      <c r="L48" s="577"/>
      <c r="M48" s="186">
        <f>RANK(K48, K$47:$K$61)</f>
        <v>3</v>
      </c>
      <c r="N48" s="575"/>
      <c r="O48" s="575"/>
      <c r="P48" s="188">
        <v>21</v>
      </c>
      <c r="Q48" s="188">
        <v>2988</v>
      </c>
      <c r="R48" s="185">
        <f t="shared" ref="R48:R49" si="27">IFERROR(Q48/P48,"")</f>
        <v>142.28571428571428</v>
      </c>
      <c r="S48" s="182">
        <f t="shared" ref="S48:S49" si="28">RANK(R48, R$47:R$61)</f>
        <v>3</v>
      </c>
      <c r="T48" s="576"/>
      <c r="U48" s="188">
        <v>21</v>
      </c>
      <c r="V48" s="188">
        <v>3047.0255999999995</v>
      </c>
      <c r="W48" s="185">
        <f t="shared" si="21"/>
        <v>145.0964571428571</v>
      </c>
      <c r="X48" s="182">
        <f t="shared" ref="X48:X49" si="29">RANK(W48, W$47:W$61)</f>
        <v>3</v>
      </c>
      <c r="Y48" s="576"/>
      <c r="Z48" s="188">
        <v>21</v>
      </c>
      <c r="AA48" s="188">
        <v>3106.4973119999991</v>
      </c>
      <c r="AB48" s="185">
        <f t="shared" si="22"/>
        <v>147.92844342857137</v>
      </c>
      <c r="AC48" s="182">
        <f t="shared" ref="AC48:AC49" si="30">RANK(AB48, AB$47:AB$61)</f>
        <v>3</v>
      </c>
      <c r="AD48" s="576"/>
      <c r="AE48" s="188">
        <v>21</v>
      </c>
      <c r="AF48" s="188">
        <v>3200.4338313599983</v>
      </c>
      <c r="AG48" s="185">
        <f t="shared" ref="AG48:AG49" si="31">IFERROR(AF48/AE48,"")</f>
        <v>152.40161101714278</v>
      </c>
      <c r="AH48" s="182">
        <f t="shared" ref="AH48:AH49" si="32">RANK(AG48, AG$47:AG$61)</f>
        <v>3</v>
      </c>
      <c r="AI48" s="576"/>
      <c r="AJ48" s="188">
        <v>21</v>
      </c>
      <c r="AK48" s="188">
        <v>3258.4081203244787</v>
      </c>
      <c r="AL48" s="185">
        <f t="shared" si="23"/>
        <v>155.1622914440228</v>
      </c>
      <c r="AM48" s="182">
        <f t="shared" ref="AM48:AM49" si="33">RANK(AL48, AL$47:AL$61)</f>
        <v>3</v>
      </c>
      <c r="AN48" s="576"/>
      <c r="AO48" s="188">
        <v>21</v>
      </c>
      <c r="AP48" s="188">
        <v>3259.488120324479</v>
      </c>
      <c r="AQ48" s="185">
        <f t="shared" si="24"/>
        <v>155.21372001545137</v>
      </c>
      <c r="AR48" s="182">
        <f t="shared" ref="AR48:AR49" si="34">RANK(AQ48, AQ$47:AQ$61)</f>
        <v>3</v>
      </c>
      <c r="AS48" s="576"/>
      <c r="AT48" s="188">
        <v>21</v>
      </c>
      <c r="AU48" s="188">
        <v>3260.9281203244796</v>
      </c>
      <c r="AV48" s="185">
        <f t="shared" si="25"/>
        <v>155.28229144402283</v>
      </c>
      <c r="AW48" s="182">
        <f t="shared" ref="AW48:AW49" si="35">RANK(AV48, AV$47:AV$61)</f>
        <v>3</v>
      </c>
      <c r="AX48" s="576"/>
    </row>
    <row r="49" spans="2:50" ht="14.25" customHeight="1">
      <c r="B49" s="575"/>
      <c r="C49" s="180">
        <v>3</v>
      </c>
      <c r="D49" s="183" t="s">
        <v>744</v>
      </c>
      <c r="E49" s="180">
        <v>19</v>
      </c>
      <c r="F49" s="180">
        <v>3600</v>
      </c>
      <c r="G49" s="185">
        <f t="shared" si="20"/>
        <v>189.47368421052633</v>
      </c>
      <c r="H49" s="576"/>
      <c r="I49" s="186">
        <f t="shared" si="26"/>
        <v>19</v>
      </c>
      <c r="J49" s="186">
        <f t="shared" si="26"/>
        <v>3110.6352141598227</v>
      </c>
      <c r="K49" s="187">
        <f t="shared" si="26"/>
        <v>163.717642850517</v>
      </c>
      <c r="L49" s="577"/>
      <c r="M49" s="186">
        <f>RANK(K49, K$47:$K$61)</f>
        <v>1</v>
      </c>
      <c r="N49" s="575"/>
      <c r="O49" s="575"/>
      <c r="P49" s="188">
        <v>19</v>
      </c>
      <c r="Q49" s="188">
        <v>2971.2047676019738</v>
      </c>
      <c r="R49" s="185">
        <f t="shared" si="27"/>
        <v>156.37919829484073</v>
      </c>
      <c r="S49" s="182">
        <f t="shared" si="28"/>
        <v>1</v>
      </c>
      <c r="T49" s="576"/>
      <c r="U49" s="188">
        <v>19</v>
      </c>
      <c r="V49" s="188">
        <v>3031.363262954013</v>
      </c>
      <c r="W49" s="185">
        <f t="shared" si="21"/>
        <v>159.54543489231648</v>
      </c>
      <c r="X49" s="182">
        <f t="shared" si="29"/>
        <v>1</v>
      </c>
      <c r="Y49" s="576"/>
      <c r="Z49" s="188">
        <v>19</v>
      </c>
      <c r="AA49" s="188">
        <v>3091.2561282130928</v>
      </c>
      <c r="AB49" s="185">
        <f t="shared" si="22"/>
        <v>162.69769095858382</v>
      </c>
      <c r="AC49" s="182">
        <f t="shared" si="30"/>
        <v>1</v>
      </c>
      <c r="AD49" s="576"/>
      <c r="AE49" s="188">
        <v>19</v>
      </c>
      <c r="AF49" s="188">
        <v>3169.7055850874203</v>
      </c>
      <c r="AG49" s="185">
        <f t="shared" si="31"/>
        <v>166.82660974144318</v>
      </c>
      <c r="AH49" s="182">
        <f t="shared" si="32"/>
        <v>1</v>
      </c>
      <c r="AI49" s="576"/>
      <c r="AJ49" s="188">
        <v>19</v>
      </c>
      <c r="AK49" s="188">
        <v>3168.9855850874201</v>
      </c>
      <c r="AL49" s="185">
        <f t="shared" si="23"/>
        <v>166.78871500460104</v>
      </c>
      <c r="AM49" s="182">
        <f t="shared" si="33"/>
        <v>1</v>
      </c>
      <c r="AN49" s="576"/>
      <c r="AO49" s="188">
        <v>19</v>
      </c>
      <c r="AP49" s="188">
        <v>3170.0655850874195</v>
      </c>
      <c r="AQ49" s="185">
        <f t="shared" si="24"/>
        <v>166.84555710986419</v>
      </c>
      <c r="AR49" s="182">
        <f t="shared" si="34"/>
        <v>1</v>
      </c>
      <c r="AS49" s="576"/>
      <c r="AT49" s="188">
        <v>19</v>
      </c>
      <c r="AU49" s="188">
        <v>3171.8655850874193</v>
      </c>
      <c r="AV49" s="185">
        <f t="shared" si="25"/>
        <v>166.94029395196944</v>
      </c>
      <c r="AW49" s="182">
        <f t="shared" si="35"/>
        <v>1</v>
      </c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61"/>
  <sheetViews>
    <sheetView zoomScaleNormal="100" workbookViewId="0">
      <pane xSplit="13" ySplit="1" topLeftCell="N14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99" t="s">
        <v>679</v>
      </c>
      <c r="C1" s="175">
        <f>AVERAGE(L7,L27,L47)</f>
        <v>83.050675247182497</v>
      </c>
    </row>
    <row r="2" spans="1:50" ht="14.25" customHeight="1" collapsed="1">
      <c r="B2" s="636" t="s">
        <v>542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8"/>
      <c r="N2" s="602" t="s">
        <v>375</v>
      </c>
      <c r="O2" s="602" t="s">
        <v>105</v>
      </c>
      <c r="P2" s="655">
        <v>46112</v>
      </c>
      <c r="Q2" s="656"/>
      <c r="R2" s="656"/>
      <c r="S2" s="656"/>
      <c r="T2" s="656"/>
      <c r="U2" s="657">
        <f>P2+1</f>
        <v>46113</v>
      </c>
      <c r="V2" s="658"/>
      <c r="W2" s="658"/>
      <c r="X2" s="658"/>
      <c r="Y2" s="658"/>
      <c r="Z2" s="655">
        <f t="shared" ref="Z2" si="0">U2+1</f>
        <v>46114</v>
      </c>
      <c r="AA2" s="656"/>
      <c r="AB2" s="656"/>
      <c r="AC2" s="656"/>
      <c r="AD2" s="656"/>
      <c r="AE2" s="657">
        <f t="shared" ref="AE2" si="1">Z2+1</f>
        <v>46115</v>
      </c>
      <c r="AF2" s="658"/>
      <c r="AG2" s="658"/>
      <c r="AH2" s="658"/>
      <c r="AI2" s="658"/>
      <c r="AJ2" s="647">
        <f t="shared" ref="AJ2" si="2">AE2+1</f>
        <v>46116</v>
      </c>
      <c r="AK2" s="648"/>
      <c r="AL2" s="648"/>
      <c r="AM2" s="648"/>
      <c r="AN2" s="649"/>
      <c r="AO2" s="657">
        <f t="shared" ref="AO2" si="3">AJ2+1</f>
        <v>46117</v>
      </c>
      <c r="AP2" s="658"/>
      <c r="AQ2" s="658"/>
      <c r="AR2" s="658"/>
      <c r="AS2" s="658"/>
      <c r="AT2" s="647">
        <f t="shared" ref="AT2" si="4">AO2+1</f>
        <v>46118</v>
      </c>
      <c r="AU2" s="648"/>
      <c r="AV2" s="648"/>
      <c r="AW2" s="648"/>
      <c r="AX2" s="649"/>
    </row>
    <row r="3" spans="1:50" ht="14.25" customHeight="1"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0"/>
      <c r="N3" s="604"/>
      <c r="O3" s="604"/>
      <c r="P3" s="650">
        <f>P2</f>
        <v>46112</v>
      </c>
      <c r="Q3" s="650"/>
      <c r="R3" s="650"/>
      <c r="S3" s="650"/>
      <c r="T3" s="650"/>
      <c r="U3" s="651">
        <f>U2</f>
        <v>46113</v>
      </c>
      <c r="V3" s="651"/>
      <c r="W3" s="651"/>
      <c r="X3" s="651"/>
      <c r="Y3" s="651"/>
      <c r="Z3" s="650">
        <f t="shared" ref="Z3" si="5">Z2</f>
        <v>46114</v>
      </c>
      <c r="AA3" s="650"/>
      <c r="AB3" s="650"/>
      <c r="AC3" s="650"/>
      <c r="AD3" s="650"/>
      <c r="AE3" s="651">
        <f t="shared" ref="AE3" si="6">AE2</f>
        <v>46115</v>
      </c>
      <c r="AF3" s="651"/>
      <c r="AG3" s="651"/>
      <c r="AH3" s="651"/>
      <c r="AI3" s="651"/>
      <c r="AJ3" s="652">
        <f t="shared" ref="AJ3" si="7">AJ2</f>
        <v>46116</v>
      </c>
      <c r="AK3" s="653"/>
      <c r="AL3" s="653"/>
      <c r="AM3" s="653"/>
      <c r="AN3" s="654"/>
      <c r="AO3" s="651">
        <f t="shared" ref="AO3" si="8">AO2</f>
        <v>46117</v>
      </c>
      <c r="AP3" s="651"/>
      <c r="AQ3" s="651"/>
      <c r="AR3" s="651"/>
      <c r="AS3" s="651"/>
      <c r="AT3" s="652">
        <f t="shared" ref="AT3" si="9">AT2</f>
        <v>46118</v>
      </c>
      <c r="AU3" s="653"/>
      <c r="AV3" s="653"/>
      <c r="AW3" s="653"/>
      <c r="AX3" s="654"/>
    </row>
    <row r="4" spans="1:50" ht="14.25" customHeight="1">
      <c r="B4" s="575" t="s">
        <v>162</v>
      </c>
      <c r="C4" s="575" t="s">
        <v>157</v>
      </c>
      <c r="D4" s="575"/>
      <c r="E4" s="575" t="s">
        <v>158</v>
      </c>
      <c r="F4" s="575"/>
      <c r="G4" s="575"/>
      <c r="H4" s="575" t="s">
        <v>163</v>
      </c>
      <c r="I4" s="579" t="s">
        <v>376</v>
      </c>
      <c r="J4" s="579"/>
      <c r="K4" s="579"/>
      <c r="L4" s="579" t="s">
        <v>163</v>
      </c>
      <c r="M4" s="579" t="s">
        <v>165</v>
      </c>
      <c r="N4" s="575"/>
      <c r="O4" s="575" t="s">
        <v>164</v>
      </c>
      <c r="P4" s="575" t="s">
        <v>160</v>
      </c>
      <c r="Q4" s="575"/>
      <c r="R4" s="575"/>
      <c r="S4" s="575"/>
      <c r="T4" s="575" t="s">
        <v>163</v>
      </c>
      <c r="U4" s="575" t="s">
        <v>160</v>
      </c>
      <c r="V4" s="575"/>
      <c r="W4" s="575"/>
      <c r="X4" s="575"/>
      <c r="Y4" s="575" t="s">
        <v>163</v>
      </c>
      <c r="Z4" s="575" t="s">
        <v>160</v>
      </c>
      <c r="AA4" s="575"/>
      <c r="AB4" s="575"/>
      <c r="AC4" s="575"/>
      <c r="AD4" s="575" t="s">
        <v>163</v>
      </c>
      <c r="AE4" s="575" t="s">
        <v>160</v>
      </c>
      <c r="AF4" s="575"/>
      <c r="AG4" s="575"/>
      <c r="AH4" s="575"/>
      <c r="AI4" s="575" t="s">
        <v>163</v>
      </c>
      <c r="AJ4" s="575" t="s">
        <v>160</v>
      </c>
      <c r="AK4" s="575"/>
      <c r="AL4" s="575"/>
      <c r="AM4" s="575"/>
      <c r="AN4" s="575" t="s">
        <v>163</v>
      </c>
      <c r="AO4" s="575" t="s">
        <v>160</v>
      </c>
      <c r="AP4" s="575"/>
      <c r="AQ4" s="575"/>
      <c r="AR4" s="575"/>
      <c r="AS4" s="575" t="s">
        <v>163</v>
      </c>
      <c r="AT4" s="575" t="s">
        <v>160</v>
      </c>
      <c r="AU4" s="575"/>
      <c r="AV4" s="575"/>
      <c r="AW4" s="575"/>
      <c r="AX4" s="575" t="s">
        <v>163</v>
      </c>
    </row>
    <row r="5" spans="1:50" ht="14.25" customHeight="1">
      <c r="B5" s="575"/>
      <c r="C5" s="575"/>
      <c r="D5" s="575"/>
      <c r="E5" s="575" t="s">
        <v>377</v>
      </c>
      <c r="F5" s="575"/>
      <c r="G5" s="575"/>
      <c r="H5" s="575"/>
      <c r="I5" s="579" t="s">
        <v>377</v>
      </c>
      <c r="J5" s="579"/>
      <c r="K5" s="579"/>
      <c r="L5" s="579"/>
      <c r="M5" s="579"/>
      <c r="N5" s="575"/>
      <c r="O5" s="575"/>
      <c r="P5" s="575" t="s">
        <v>378</v>
      </c>
      <c r="Q5" s="575"/>
      <c r="R5" s="575"/>
      <c r="S5" s="575"/>
      <c r="T5" s="575"/>
      <c r="U5" s="575" t="s">
        <v>378</v>
      </c>
      <c r="V5" s="575"/>
      <c r="W5" s="575"/>
      <c r="X5" s="575"/>
      <c r="Y5" s="575"/>
      <c r="Z5" s="575" t="s">
        <v>378</v>
      </c>
      <c r="AA5" s="575"/>
      <c r="AB5" s="575"/>
      <c r="AC5" s="575"/>
      <c r="AD5" s="575"/>
      <c r="AE5" s="575" t="s">
        <v>378</v>
      </c>
      <c r="AF5" s="575"/>
      <c r="AG5" s="575"/>
      <c r="AH5" s="575"/>
      <c r="AI5" s="575"/>
      <c r="AJ5" s="575" t="s">
        <v>378</v>
      </c>
      <c r="AK5" s="575"/>
      <c r="AL5" s="575"/>
      <c r="AM5" s="575"/>
      <c r="AN5" s="575"/>
      <c r="AO5" s="575" t="s">
        <v>378</v>
      </c>
      <c r="AP5" s="575"/>
      <c r="AQ5" s="575"/>
      <c r="AR5" s="575"/>
      <c r="AS5" s="575"/>
      <c r="AT5" s="575" t="s">
        <v>378</v>
      </c>
      <c r="AU5" s="575"/>
      <c r="AV5" s="575"/>
      <c r="AW5" s="575"/>
      <c r="AX5" s="575"/>
    </row>
    <row r="6" spans="1:50" ht="14.25" customHeight="1">
      <c r="B6" s="575"/>
      <c r="C6" s="575"/>
      <c r="D6" s="575"/>
      <c r="E6" s="180" t="s">
        <v>159</v>
      </c>
      <c r="F6" s="180" t="s">
        <v>379</v>
      </c>
      <c r="G6" s="180" t="s">
        <v>161</v>
      </c>
      <c r="H6" s="575"/>
      <c r="I6" s="181" t="s">
        <v>159</v>
      </c>
      <c r="J6" s="181" t="s">
        <v>379</v>
      </c>
      <c r="K6" s="181" t="s">
        <v>161</v>
      </c>
      <c r="L6" s="579"/>
      <c r="M6" s="579"/>
      <c r="N6" s="575"/>
      <c r="O6" s="575"/>
      <c r="P6" s="180" t="s">
        <v>159</v>
      </c>
      <c r="Q6" s="180" t="s">
        <v>379</v>
      </c>
      <c r="R6" s="180" t="s">
        <v>161</v>
      </c>
      <c r="S6" s="182" t="s">
        <v>165</v>
      </c>
      <c r="T6" s="575"/>
      <c r="U6" s="180" t="s">
        <v>159</v>
      </c>
      <c r="V6" s="180" t="s">
        <v>379</v>
      </c>
      <c r="W6" s="180" t="s">
        <v>161</v>
      </c>
      <c r="X6" s="182" t="s">
        <v>165</v>
      </c>
      <c r="Y6" s="575"/>
      <c r="Z6" s="180" t="s">
        <v>159</v>
      </c>
      <c r="AA6" s="180" t="s">
        <v>379</v>
      </c>
      <c r="AB6" s="180" t="s">
        <v>161</v>
      </c>
      <c r="AC6" s="182" t="s">
        <v>165</v>
      </c>
      <c r="AD6" s="575"/>
      <c r="AE6" s="180" t="s">
        <v>159</v>
      </c>
      <c r="AF6" s="180" t="s">
        <v>379</v>
      </c>
      <c r="AG6" s="180" t="s">
        <v>161</v>
      </c>
      <c r="AH6" s="182" t="s">
        <v>165</v>
      </c>
      <c r="AI6" s="575"/>
      <c r="AJ6" s="180" t="s">
        <v>159</v>
      </c>
      <c r="AK6" s="180" t="s">
        <v>379</v>
      </c>
      <c r="AL6" s="180" t="s">
        <v>161</v>
      </c>
      <c r="AM6" s="182" t="s">
        <v>165</v>
      </c>
      <c r="AN6" s="575"/>
      <c r="AO6" s="180" t="s">
        <v>159</v>
      </c>
      <c r="AP6" s="180" t="s">
        <v>379</v>
      </c>
      <c r="AQ6" s="180" t="s">
        <v>161</v>
      </c>
      <c r="AR6" s="182" t="s">
        <v>165</v>
      </c>
      <c r="AS6" s="575"/>
      <c r="AT6" s="180" t="s">
        <v>159</v>
      </c>
      <c r="AU6" s="180" t="s">
        <v>379</v>
      </c>
      <c r="AV6" s="180" t="s">
        <v>161</v>
      </c>
      <c r="AW6" s="182" t="s">
        <v>165</v>
      </c>
      <c r="AX6" s="575"/>
    </row>
    <row r="7" spans="1:50" ht="14.25" customHeight="1">
      <c r="B7" s="575" t="s">
        <v>143</v>
      </c>
      <c r="C7" s="180">
        <v>1</v>
      </c>
      <c r="D7" s="183" t="s">
        <v>362</v>
      </c>
      <c r="E7" s="180">
        <v>13</v>
      </c>
      <c r="F7" s="180">
        <v>1200</v>
      </c>
      <c r="G7" s="185">
        <f t="shared" ref="G7" si="10">F7/E7</f>
        <v>92.307692307692307</v>
      </c>
      <c r="H7" s="576">
        <f>AVERAGE(G7:G21)</f>
        <v>92.307692307692307</v>
      </c>
      <c r="I7" s="186">
        <f>AVERAGE(P7,U7,Z7,AE7,AJ7,AO7,AT7)</f>
        <v>13</v>
      </c>
      <c r="J7" s="186">
        <f>AVERAGE(Q7,V7,AA7,AF7,AK7,AP7,AU7)</f>
        <v>1079.6277720595806</v>
      </c>
      <c r="K7" s="187">
        <f>AVERAGE(R7,W7,AB7,AG7,AL7,AQ7,AV7)</f>
        <v>83.048290158429268</v>
      </c>
      <c r="L7" s="577">
        <f>IFERROR(AVERAGE(K7:K21),"-")</f>
        <v>83.048290158429268</v>
      </c>
      <c r="M7" s="186">
        <f>RANK(K7, K$7:$K$21)</f>
        <v>1</v>
      </c>
      <c r="N7" s="575"/>
      <c r="O7" s="575"/>
      <c r="P7" s="188">
        <v>13</v>
      </c>
      <c r="Q7" s="188">
        <v>1079.6377054679635</v>
      </c>
      <c r="R7" s="185">
        <f>IFERROR(Q7/P7,"")</f>
        <v>83.049054266766433</v>
      </c>
      <c r="S7" s="182">
        <f>RANK(R7, R$7:R$21)</f>
        <v>1</v>
      </c>
      <c r="T7" s="576">
        <f>AVERAGE(R7:R21)</f>
        <v>83.049054266766433</v>
      </c>
      <c r="U7" s="188">
        <v>13</v>
      </c>
      <c r="V7" s="188">
        <v>1079.6468857282985</v>
      </c>
      <c r="W7" s="185">
        <f t="shared" ref="W7" si="11">IFERROR(V7/U7,"")</f>
        <v>83.049760440638337</v>
      </c>
      <c r="X7" s="182">
        <f>RANK(W7, W$7:W$21)</f>
        <v>1</v>
      </c>
      <c r="Y7" s="576">
        <f>AVERAGE(W7:W21)</f>
        <v>83.049760440638337</v>
      </c>
      <c r="Z7" s="188">
        <v>13</v>
      </c>
      <c r="AA7" s="188">
        <v>1079.6084828711257</v>
      </c>
      <c r="AB7" s="185">
        <f t="shared" ref="AB7" si="12">IFERROR(AA7/Z7,"")</f>
        <v>83.046806374701973</v>
      </c>
      <c r="AC7" s="182">
        <f>RANK(AB7, AB$7:AB$21)</f>
        <v>1</v>
      </c>
      <c r="AD7" s="576">
        <f>AVERAGE(AB7:AB21)</f>
        <v>83.046806374701973</v>
      </c>
      <c r="AE7" s="188">
        <v>13</v>
      </c>
      <c r="AF7" s="188">
        <v>1079.6174960155836</v>
      </c>
      <c r="AG7" s="185">
        <f>IFERROR(AF7/AE7,"")</f>
        <v>83.047499693506424</v>
      </c>
      <c r="AH7" s="182">
        <f>RANK(AG7, AG$7:AG$21)</f>
        <v>1</v>
      </c>
      <c r="AI7" s="576">
        <f>AVERAGE(AG7:AG21)</f>
        <v>83.047499693506424</v>
      </c>
      <c r="AJ7" s="188">
        <v>13</v>
      </c>
      <c r="AK7" s="188">
        <v>1079.6619012835231</v>
      </c>
      <c r="AL7" s="185">
        <f t="shared" ref="AL7" si="13">IFERROR(AK7/AJ7,"")</f>
        <v>83.050915483347936</v>
      </c>
      <c r="AM7" s="182">
        <v>1</v>
      </c>
      <c r="AN7" s="576">
        <f>AVERAGE(AL7:AL21)</f>
        <v>83.050915483347936</v>
      </c>
      <c r="AO7" s="188">
        <v>13</v>
      </c>
      <c r="AP7" s="188">
        <v>1079.6030871003306</v>
      </c>
      <c r="AQ7" s="185">
        <f t="shared" ref="AQ7" si="14">IFERROR(AP7/AO7,"")</f>
        <v>83.046391315410048</v>
      </c>
      <c r="AR7" s="182">
        <v>1</v>
      </c>
      <c r="AS7" s="576">
        <f>AVERAGE(AQ7:AQ21)</f>
        <v>83.046391315410048</v>
      </c>
      <c r="AT7" s="188">
        <v>13</v>
      </c>
      <c r="AU7" s="188">
        <v>1079.6188459502387</v>
      </c>
      <c r="AV7" s="185">
        <f t="shared" ref="AV7" si="15">IFERROR(AU7/AT7,"")</f>
        <v>83.047603534633737</v>
      </c>
      <c r="AW7" s="182">
        <v>1</v>
      </c>
      <c r="AX7" s="576">
        <f>AVERAGE(AV7:AV21)</f>
        <v>83.047603534633737</v>
      </c>
    </row>
    <row r="8" spans="1:50" ht="14.25" customHeight="1">
      <c r="B8" s="575"/>
      <c r="C8" s="180">
        <v>2</v>
      </c>
      <c r="D8" s="183"/>
      <c r="E8" s="180"/>
      <c r="F8" s="180"/>
      <c r="G8" s="185"/>
      <c r="H8" s="576"/>
      <c r="I8" s="186"/>
      <c r="J8" s="186"/>
      <c r="K8" s="187"/>
      <c r="L8" s="577"/>
      <c r="M8" s="186"/>
      <c r="N8" s="575"/>
      <c r="O8" s="575"/>
      <c r="P8" s="188"/>
      <c r="Q8" s="188"/>
      <c r="R8" s="185"/>
      <c r="S8" s="182"/>
      <c r="T8" s="576"/>
      <c r="U8" s="188"/>
      <c r="V8" s="188"/>
      <c r="W8" s="185"/>
      <c r="X8" s="182"/>
      <c r="Y8" s="576"/>
      <c r="Z8" s="188"/>
      <c r="AA8" s="188"/>
      <c r="AB8" s="185"/>
      <c r="AC8" s="182"/>
      <c r="AD8" s="576"/>
      <c r="AE8" s="188"/>
      <c r="AF8" s="188"/>
      <c r="AG8" s="185"/>
      <c r="AH8" s="182"/>
      <c r="AI8" s="576"/>
      <c r="AJ8" s="188"/>
      <c r="AK8" s="188"/>
      <c r="AL8" s="185"/>
      <c r="AM8" s="182"/>
      <c r="AN8" s="576"/>
      <c r="AO8" s="188"/>
      <c r="AP8" s="188"/>
      <c r="AQ8" s="185"/>
      <c r="AR8" s="182"/>
      <c r="AS8" s="576"/>
      <c r="AT8" s="188"/>
      <c r="AU8" s="188"/>
      <c r="AV8" s="185"/>
      <c r="AW8" s="182"/>
      <c r="AX8" s="576"/>
    </row>
    <row r="9" spans="1:50" ht="14.25" customHeight="1">
      <c r="B9" s="575"/>
      <c r="C9" s="180">
        <v>3</v>
      </c>
      <c r="D9" s="183"/>
      <c r="E9" s="180"/>
      <c r="F9" s="180"/>
      <c r="G9" s="185"/>
      <c r="H9" s="576"/>
      <c r="I9" s="186"/>
      <c r="J9" s="186"/>
      <c r="K9" s="187"/>
      <c r="L9" s="577"/>
      <c r="M9" s="186"/>
      <c r="N9" s="575"/>
      <c r="O9" s="575"/>
      <c r="P9" s="188"/>
      <c r="Q9" s="188"/>
      <c r="R9" s="185"/>
      <c r="S9" s="182"/>
      <c r="T9" s="576"/>
      <c r="U9" s="188"/>
      <c r="V9" s="188"/>
      <c r="W9" s="185"/>
      <c r="X9" s="182"/>
      <c r="Y9" s="576"/>
      <c r="Z9" s="188"/>
      <c r="AA9" s="188"/>
      <c r="AB9" s="185"/>
      <c r="AC9" s="182"/>
      <c r="AD9" s="576"/>
      <c r="AE9" s="188"/>
      <c r="AF9" s="188"/>
      <c r="AG9" s="185"/>
      <c r="AH9" s="182"/>
      <c r="AI9" s="576"/>
      <c r="AJ9" s="188"/>
      <c r="AK9" s="188"/>
      <c r="AL9" s="185"/>
      <c r="AM9" s="182"/>
      <c r="AN9" s="576"/>
      <c r="AO9" s="188"/>
      <c r="AP9" s="188"/>
      <c r="AQ9" s="185"/>
      <c r="AR9" s="182"/>
      <c r="AS9" s="576"/>
      <c r="AT9" s="188"/>
      <c r="AU9" s="188"/>
      <c r="AV9" s="185"/>
      <c r="AW9" s="182"/>
      <c r="AX9" s="576"/>
    </row>
    <row r="10" spans="1:50" ht="14.25" customHeight="1">
      <c r="B10" s="575"/>
      <c r="C10" s="180">
        <v>4</v>
      </c>
      <c r="D10" s="183"/>
      <c r="E10" s="180"/>
      <c r="F10" s="180"/>
      <c r="G10" s="185"/>
      <c r="H10" s="576"/>
      <c r="I10" s="186"/>
      <c r="J10" s="186"/>
      <c r="K10" s="187"/>
      <c r="L10" s="577"/>
      <c r="M10" s="186"/>
      <c r="N10" s="575"/>
      <c r="O10" s="575"/>
      <c r="P10" s="188"/>
      <c r="Q10" s="188"/>
      <c r="R10" s="185"/>
      <c r="S10" s="182"/>
      <c r="T10" s="576"/>
      <c r="U10" s="188"/>
      <c r="V10" s="188"/>
      <c r="W10" s="185"/>
      <c r="X10" s="182"/>
      <c r="Y10" s="576"/>
      <c r="Z10" s="188"/>
      <c r="AA10" s="188"/>
      <c r="AB10" s="185"/>
      <c r="AC10" s="182"/>
      <c r="AD10" s="576"/>
      <c r="AE10" s="188"/>
      <c r="AF10" s="188"/>
      <c r="AG10" s="185"/>
      <c r="AH10" s="182"/>
      <c r="AI10" s="576"/>
      <c r="AJ10" s="188"/>
      <c r="AK10" s="188"/>
      <c r="AL10" s="185"/>
      <c r="AM10" s="182"/>
      <c r="AN10" s="576"/>
      <c r="AO10" s="188"/>
      <c r="AP10" s="188"/>
      <c r="AQ10" s="185"/>
      <c r="AR10" s="182"/>
      <c r="AS10" s="576"/>
      <c r="AT10" s="188"/>
      <c r="AU10" s="188"/>
      <c r="AV10" s="185"/>
      <c r="AW10" s="182"/>
      <c r="AX10" s="576"/>
    </row>
    <row r="11" spans="1:50" ht="14.25" customHeight="1">
      <c r="B11" s="575"/>
      <c r="C11" s="180">
        <v>5</v>
      </c>
      <c r="D11" s="183"/>
      <c r="E11" s="180"/>
      <c r="F11" s="180"/>
      <c r="G11" s="185"/>
      <c r="H11" s="576"/>
      <c r="I11" s="186"/>
      <c r="J11" s="186"/>
      <c r="K11" s="187"/>
      <c r="L11" s="577"/>
      <c r="M11" s="186"/>
      <c r="N11" s="575"/>
      <c r="O11" s="575"/>
      <c r="P11" s="188"/>
      <c r="Q11" s="188"/>
      <c r="R11" s="185"/>
      <c r="S11" s="182"/>
      <c r="T11" s="576"/>
      <c r="U11" s="188"/>
      <c r="V11" s="188"/>
      <c r="W11" s="185"/>
      <c r="X11" s="182"/>
      <c r="Y11" s="576"/>
      <c r="Z11" s="188"/>
      <c r="AA11" s="188"/>
      <c r="AB11" s="185"/>
      <c r="AC11" s="182"/>
      <c r="AD11" s="576"/>
      <c r="AE11" s="188"/>
      <c r="AF11" s="188"/>
      <c r="AG11" s="185"/>
      <c r="AH11" s="182"/>
      <c r="AI11" s="576"/>
      <c r="AJ11" s="188"/>
      <c r="AK11" s="188"/>
      <c r="AL11" s="185"/>
      <c r="AM11" s="182"/>
      <c r="AN11" s="576"/>
      <c r="AO11" s="188"/>
      <c r="AP11" s="188"/>
      <c r="AQ11" s="185"/>
      <c r="AR11" s="182"/>
      <c r="AS11" s="576"/>
      <c r="AT11" s="188"/>
      <c r="AU11" s="188"/>
      <c r="AV11" s="185"/>
      <c r="AW11" s="182"/>
      <c r="AX11" s="576"/>
    </row>
    <row r="12" spans="1:50" ht="14.25" customHeight="1">
      <c r="B12" s="575"/>
      <c r="C12" s="180">
        <v>6</v>
      </c>
      <c r="D12" s="183"/>
      <c r="E12" s="180"/>
      <c r="F12" s="180"/>
      <c r="G12" s="185"/>
      <c r="H12" s="576"/>
      <c r="I12" s="186"/>
      <c r="J12" s="186"/>
      <c r="K12" s="187"/>
      <c r="L12" s="577"/>
      <c r="M12" s="186"/>
      <c r="N12" s="575"/>
      <c r="O12" s="575"/>
      <c r="P12" s="188"/>
      <c r="Q12" s="188"/>
      <c r="R12" s="185"/>
      <c r="S12" s="182"/>
      <c r="T12" s="576"/>
      <c r="U12" s="188"/>
      <c r="V12" s="188"/>
      <c r="W12" s="185"/>
      <c r="X12" s="182"/>
      <c r="Y12" s="576"/>
      <c r="Z12" s="188"/>
      <c r="AA12" s="188"/>
      <c r="AB12" s="185"/>
      <c r="AC12" s="182"/>
      <c r="AD12" s="576"/>
      <c r="AE12" s="188"/>
      <c r="AF12" s="188"/>
      <c r="AG12" s="185"/>
      <c r="AH12" s="182"/>
      <c r="AI12" s="576"/>
      <c r="AJ12" s="188"/>
      <c r="AK12" s="188"/>
      <c r="AL12" s="185"/>
      <c r="AM12" s="182"/>
      <c r="AN12" s="576"/>
      <c r="AO12" s="188"/>
      <c r="AP12" s="188"/>
      <c r="AQ12" s="185"/>
      <c r="AR12" s="182"/>
      <c r="AS12" s="576"/>
      <c r="AT12" s="188"/>
      <c r="AU12" s="188"/>
      <c r="AV12" s="185"/>
      <c r="AW12" s="182"/>
      <c r="AX12" s="576"/>
    </row>
    <row r="13" spans="1:50" ht="14.25" customHeight="1">
      <c r="B13" s="575"/>
      <c r="C13" s="180">
        <v>7</v>
      </c>
      <c r="D13" s="183"/>
      <c r="E13" s="180"/>
      <c r="F13" s="180"/>
      <c r="G13" s="185"/>
      <c r="H13" s="576"/>
      <c r="I13" s="186"/>
      <c r="J13" s="186"/>
      <c r="K13" s="187"/>
      <c r="L13" s="577"/>
      <c r="M13" s="186"/>
      <c r="N13" s="575"/>
      <c r="O13" s="575"/>
      <c r="P13" s="188"/>
      <c r="Q13" s="188"/>
      <c r="R13" s="185"/>
      <c r="S13" s="182"/>
      <c r="T13" s="576"/>
      <c r="U13" s="188"/>
      <c r="V13" s="188"/>
      <c r="W13" s="185"/>
      <c r="X13" s="182"/>
      <c r="Y13" s="576"/>
      <c r="Z13" s="188"/>
      <c r="AA13" s="188"/>
      <c r="AB13" s="185"/>
      <c r="AC13" s="182"/>
      <c r="AD13" s="576"/>
      <c r="AE13" s="188"/>
      <c r="AF13" s="188"/>
      <c r="AG13" s="185"/>
      <c r="AH13" s="182"/>
      <c r="AI13" s="576"/>
      <c r="AJ13" s="188"/>
      <c r="AK13" s="188"/>
      <c r="AL13" s="185"/>
      <c r="AM13" s="182"/>
      <c r="AN13" s="576"/>
      <c r="AO13" s="188"/>
      <c r="AP13" s="188"/>
      <c r="AQ13" s="185"/>
      <c r="AR13" s="182"/>
      <c r="AS13" s="576"/>
      <c r="AT13" s="188"/>
      <c r="AU13" s="188"/>
      <c r="AV13" s="185"/>
      <c r="AW13" s="182"/>
      <c r="AX13" s="576"/>
    </row>
    <row r="14" spans="1:50" ht="14.25" customHeight="1">
      <c r="B14" s="575"/>
      <c r="C14" s="180">
        <v>8</v>
      </c>
      <c r="D14" s="183"/>
      <c r="E14" s="180"/>
      <c r="F14" s="180"/>
      <c r="G14" s="185"/>
      <c r="H14" s="576"/>
      <c r="I14" s="186"/>
      <c r="J14" s="186"/>
      <c r="K14" s="187"/>
      <c r="L14" s="577"/>
      <c r="M14" s="186"/>
      <c r="N14" s="575"/>
      <c r="O14" s="575"/>
      <c r="P14" s="188"/>
      <c r="Q14" s="188"/>
      <c r="R14" s="185"/>
      <c r="S14" s="182"/>
      <c r="T14" s="576"/>
      <c r="U14" s="188"/>
      <c r="V14" s="188"/>
      <c r="W14" s="185"/>
      <c r="X14" s="182"/>
      <c r="Y14" s="576"/>
      <c r="Z14" s="188"/>
      <c r="AA14" s="188"/>
      <c r="AB14" s="185"/>
      <c r="AC14" s="182"/>
      <c r="AD14" s="576"/>
      <c r="AE14" s="188"/>
      <c r="AF14" s="188"/>
      <c r="AG14" s="185"/>
      <c r="AH14" s="182"/>
      <c r="AI14" s="576"/>
      <c r="AJ14" s="188"/>
      <c r="AK14" s="188"/>
      <c r="AL14" s="185"/>
      <c r="AM14" s="182"/>
      <c r="AN14" s="576"/>
      <c r="AO14" s="188"/>
      <c r="AP14" s="188"/>
      <c r="AQ14" s="185"/>
      <c r="AR14" s="182"/>
      <c r="AS14" s="576"/>
      <c r="AT14" s="188"/>
      <c r="AU14" s="188"/>
      <c r="AV14" s="185"/>
      <c r="AW14" s="182"/>
      <c r="AX14" s="576"/>
    </row>
    <row r="15" spans="1:50" ht="14.25" customHeight="1">
      <c r="B15" s="575"/>
      <c r="C15" s="180">
        <v>9</v>
      </c>
      <c r="D15" s="183"/>
      <c r="E15" s="180"/>
      <c r="F15" s="180"/>
      <c r="G15" s="185"/>
      <c r="H15" s="576"/>
      <c r="I15" s="186"/>
      <c r="J15" s="186"/>
      <c r="K15" s="187"/>
      <c r="L15" s="577"/>
      <c r="M15" s="186"/>
      <c r="N15" s="575"/>
      <c r="O15" s="575"/>
      <c r="P15" s="188"/>
      <c r="Q15" s="188"/>
      <c r="R15" s="185"/>
      <c r="S15" s="182"/>
      <c r="T15" s="576"/>
      <c r="U15" s="188"/>
      <c r="V15" s="188"/>
      <c r="W15" s="185"/>
      <c r="X15" s="182"/>
      <c r="Y15" s="576"/>
      <c r="Z15" s="188"/>
      <c r="AA15" s="188"/>
      <c r="AB15" s="185"/>
      <c r="AC15" s="182"/>
      <c r="AD15" s="576"/>
      <c r="AE15" s="188"/>
      <c r="AF15" s="188"/>
      <c r="AG15" s="185"/>
      <c r="AH15" s="182"/>
      <c r="AI15" s="576"/>
      <c r="AJ15" s="188"/>
      <c r="AK15" s="188"/>
      <c r="AL15" s="185"/>
      <c r="AM15" s="182"/>
      <c r="AN15" s="576"/>
      <c r="AO15" s="188"/>
      <c r="AP15" s="188"/>
      <c r="AQ15" s="185"/>
      <c r="AR15" s="182"/>
      <c r="AS15" s="576"/>
      <c r="AT15" s="188"/>
      <c r="AU15" s="188"/>
      <c r="AV15" s="185"/>
      <c r="AW15" s="182"/>
      <c r="AX15" s="576"/>
    </row>
    <row r="16" spans="1:50" ht="14.25" customHeight="1">
      <c r="B16" s="575"/>
      <c r="C16" s="180">
        <v>10</v>
      </c>
      <c r="D16" s="183"/>
      <c r="E16" s="180"/>
      <c r="F16" s="180"/>
      <c r="G16" s="185"/>
      <c r="H16" s="576"/>
      <c r="I16" s="186"/>
      <c r="J16" s="186"/>
      <c r="K16" s="187"/>
      <c r="L16" s="577"/>
      <c r="M16" s="186"/>
      <c r="N16" s="575"/>
      <c r="O16" s="575"/>
      <c r="P16" s="188"/>
      <c r="Q16" s="188"/>
      <c r="R16" s="185"/>
      <c r="S16" s="182"/>
      <c r="T16" s="576"/>
      <c r="U16" s="188"/>
      <c r="V16" s="188"/>
      <c r="W16" s="185"/>
      <c r="X16" s="182"/>
      <c r="Y16" s="576"/>
      <c r="Z16" s="188"/>
      <c r="AA16" s="188"/>
      <c r="AB16" s="185"/>
      <c r="AC16" s="182"/>
      <c r="AD16" s="576"/>
      <c r="AE16" s="188"/>
      <c r="AF16" s="188"/>
      <c r="AG16" s="185"/>
      <c r="AH16" s="182"/>
      <c r="AI16" s="576"/>
      <c r="AJ16" s="188"/>
      <c r="AK16" s="188"/>
      <c r="AL16" s="185"/>
      <c r="AM16" s="182"/>
      <c r="AN16" s="576"/>
      <c r="AO16" s="188"/>
      <c r="AP16" s="188"/>
      <c r="AQ16" s="185"/>
      <c r="AR16" s="182"/>
      <c r="AS16" s="576"/>
      <c r="AT16" s="188"/>
      <c r="AU16" s="188"/>
      <c r="AV16" s="185"/>
      <c r="AW16" s="182"/>
      <c r="AX16" s="576"/>
    </row>
    <row r="17" spans="2:50" ht="14.25" customHeight="1">
      <c r="B17" s="575"/>
      <c r="C17" s="180">
        <v>11</v>
      </c>
      <c r="D17" s="183"/>
      <c r="E17" s="180"/>
      <c r="F17" s="180"/>
      <c r="G17" s="185"/>
      <c r="H17" s="576"/>
      <c r="I17" s="186"/>
      <c r="J17" s="186"/>
      <c r="K17" s="187"/>
      <c r="L17" s="577"/>
      <c r="M17" s="186"/>
      <c r="N17" s="575"/>
      <c r="O17" s="575"/>
      <c r="P17" s="188"/>
      <c r="Q17" s="188"/>
      <c r="R17" s="185"/>
      <c r="S17" s="182"/>
      <c r="T17" s="576"/>
      <c r="U17" s="188"/>
      <c r="V17" s="188"/>
      <c r="W17" s="185"/>
      <c r="X17" s="182"/>
      <c r="Y17" s="576"/>
      <c r="Z17" s="188"/>
      <c r="AA17" s="188"/>
      <c r="AB17" s="185"/>
      <c r="AC17" s="182"/>
      <c r="AD17" s="576"/>
      <c r="AE17" s="188"/>
      <c r="AF17" s="188"/>
      <c r="AG17" s="185"/>
      <c r="AH17" s="182"/>
      <c r="AI17" s="576"/>
      <c r="AJ17" s="188"/>
      <c r="AK17" s="188"/>
      <c r="AL17" s="185"/>
      <c r="AM17" s="182"/>
      <c r="AN17" s="576"/>
      <c r="AO17" s="188"/>
      <c r="AP17" s="188"/>
      <c r="AQ17" s="185"/>
      <c r="AR17" s="182"/>
      <c r="AS17" s="576"/>
      <c r="AT17" s="188"/>
      <c r="AU17" s="188"/>
      <c r="AV17" s="185"/>
      <c r="AW17" s="182"/>
      <c r="AX17" s="576"/>
    </row>
    <row r="18" spans="2:50" ht="14.25" customHeight="1">
      <c r="B18" s="575"/>
      <c r="C18" s="180">
        <v>12</v>
      </c>
      <c r="D18" s="183"/>
      <c r="E18" s="180"/>
      <c r="F18" s="180"/>
      <c r="G18" s="185"/>
      <c r="H18" s="576"/>
      <c r="I18" s="186"/>
      <c r="J18" s="186"/>
      <c r="K18" s="187"/>
      <c r="L18" s="577"/>
      <c r="M18" s="186"/>
      <c r="N18" s="575"/>
      <c r="O18" s="575"/>
      <c r="P18" s="188"/>
      <c r="Q18" s="188"/>
      <c r="R18" s="185"/>
      <c r="S18" s="182"/>
      <c r="T18" s="576"/>
      <c r="U18" s="188"/>
      <c r="V18" s="188"/>
      <c r="W18" s="185"/>
      <c r="X18" s="182"/>
      <c r="Y18" s="576"/>
      <c r="Z18" s="188"/>
      <c r="AA18" s="188"/>
      <c r="AB18" s="185"/>
      <c r="AC18" s="182"/>
      <c r="AD18" s="576"/>
      <c r="AE18" s="188"/>
      <c r="AF18" s="188"/>
      <c r="AG18" s="185"/>
      <c r="AH18" s="182"/>
      <c r="AI18" s="576"/>
      <c r="AJ18" s="188"/>
      <c r="AK18" s="188"/>
      <c r="AL18" s="185"/>
      <c r="AM18" s="182"/>
      <c r="AN18" s="576"/>
      <c r="AO18" s="188"/>
      <c r="AP18" s="188"/>
      <c r="AQ18" s="185"/>
      <c r="AR18" s="182"/>
      <c r="AS18" s="576"/>
      <c r="AT18" s="188"/>
      <c r="AU18" s="188"/>
      <c r="AV18" s="185"/>
      <c r="AW18" s="182"/>
      <c r="AX18" s="576"/>
    </row>
    <row r="19" spans="2:50" ht="14.25" customHeight="1">
      <c r="B19" s="575"/>
      <c r="C19" s="180">
        <v>13</v>
      </c>
      <c r="D19" s="183"/>
      <c r="E19" s="180"/>
      <c r="F19" s="180"/>
      <c r="G19" s="185"/>
      <c r="H19" s="576"/>
      <c r="I19" s="186"/>
      <c r="J19" s="186"/>
      <c r="K19" s="187"/>
      <c r="L19" s="577"/>
      <c r="M19" s="186"/>
      <c r="N19" s="575"/>
      <c r="O19" s="575"/>
      <c r="P19" s="188"/>
      <c r="Q19" s="188"/>
      <c r="R19" s="185"/>
      <c r="S19" s="182"/>
      <c r="T19" s="576"/>
      <c r="U19" s="188"/>
      <c r="V19" s="188"/>
      <c r="W19" s="185"/>
      <c r="X19" s="182"/>
      <c r="Y19" s="576"/>
      <c r="Z19" s="188"/>
      <c r="AA19" s="188"/>
      <c r="AB19" s="185"/>
      <c r="AC19" s="182"/>
      <c r="AD19" s="576"/>
      <c r="AE19" s="188"/>
      <c r="AF19" s="188"/>
      <c r="AG19" s="185"/>
      <c r="AH19" s="182"/>
      <c r="AI19" s="576"/>
      <c r="AJ19" s="188"/>
      <c r="AK19" s="188"/>
      <c r="AL19" s="185"/>
      <c r="AM19" s="182"/>
      <c r="AN19" s="576"/>
      <c r="AO19" s="188"/>
      <c r="AP19" s="188"/>
      <c r="AQ19" s="185"/>
      <c r="AR19" s="182"/>
      <c r="AS19" s="576"/>
      <c r="AT19" s="188"/>
      <c r="AU19" s="188"/>
      <c r="AV19" s="185"/>
      <c r="AW19" s="182"/>
      <c r="AX19" s="576"/>
    </row>
    <row r="20" spans="2:50" ht="14.25" customHeight="1">
      <c r="B20" s="575"/>
      <c r="C20" s="180">
        <v>14</v>
      </c>
      <c r="D20" s="183"/>
      <c r="E20" s="180"/>
      <c r="F20" s="180"/>
      <c r="G20" s="185"/>
      <c r="H20" s="576"/>
      <c r="I20" s="186"/>
      <c r="J20" s="186"/>
      <c r="K20" s="187"/>
      <c r="L20" s="577"/>
      <c r="M20" s="186"/>
      <c r="N20" s="575"/>
      <c r="O20" s="575"/>
      <c r="P20" s="188"/>
      <c r="Q20" s="188"/>
      <c r="R20" s="185"/>
      <c r="S20" s="182"/>
      <c r="T20" s="576"/>
      <c r="U20" s="188"/>
      <c r="V20" s="188"/>
      <c r="W20" s="185"/>
      <c r="X20" s="182"/>
      <c r="Y20" s="576"/>
      <c r="Z20" s="188"/>
      <c r="AA20" s="188"/>
      <c r="AB20" s="185"/>
      <c r="AC20" s="182"/>
      <c r="AD20" s="576"/>
      <c r="AE20" s="188"/>
      <c r="AF20" s="188"/>
      <c r="AG20" s="185"/>
      <c r="AH20" s="182"/>
      <c r="AI20" s="576"/>
      <c r="AJ20" s="188"/>
      <c r="AK20" s="188"/>
      <c r="AL20" s="185"/>
      <c r="AM20" s="182"/>
      <c r="AN20" s="576"/>
      <c r="AO20" s="188"/>
      <c r="AP20" s="188"/>
      <c r="AQ20" s="185"/>
      <c r="AR20" s="182"/>
      <c r="AS20" s="576"/>
      <c r="AT20" s="188"/>
      <c r="AU20" s="188"/>
      <c r="AV20" s="185"/>
      <c r="AW20" s="182"/>
      <c r="AX20" s="576"/>
    </row>
    <row r="21" spans="2:50" ht="14.25" customHeight="1">
      <c r="B21" s="575"/>
      <c r="C21" s="180">
        <v>15</v>
      </c>
      <c r="D21" s="183"/>
      <c r="E21" s="180"/>
      <c r="F21" s="180"/>
      <c r="G21" s="185"/>
      <c r="H21" s="576"/>
      <c r="I21" s="186"/>
      <c r="J21" s="186"/>
      <c r="K21" s="187"/>
      <c r="L21" s="577"/>
      <c r="M21" s="186"/>
      <c r="N21" s="575"/>
      <c r="O21" s="575"/>
      <c r="P21" s="188"/>
      <c r="Q21" s="188"/>
      <c r="R21" s="185"/>
      <c r="S21" s="182"/>
      <c r="T21" s="576"/>
      <c r="U21" s="188"/>
      <c r="V21" s="188"/>
      <c r="W21" s="185"/>
      <c r="X21" s="182"/>
      <c r="Y21" s="576"/>
      <c r="Z21" s="188"/>
      <c r="AA21" s="188"/>
      <c r="AB21" s="185"/>
      <c r="AC21" s="182"/>
      <c r="AD21" s="576"/>
      <c r="AE21" s="188"/>
      <c r="AF21" s="188"/>
      <c r="AG21" s="185"/>
      <c r="AH21" s="182"/>
      <c r="AI21" s="576"/>
      <c r="AJ21" s="188"/>
      <c r="AK21" s="188"/>
      <c r="AL21" s="185"/>
      <c r="AM21" s="182"/>
      <c r="AN21" s="576"/>
      <c r="AO21" s="188"/>
      <c r="AP21" s="188"/>
      <c r="AQ21" s="185"/>
      <c r="AR21" s="182"/>
      <c r="AS21" s="576"/>
      <c r="AT21" s="188"/>
      <c r="AU21" s="188"/>
      <c r="AV21" s="185"/>
      <c r="AW21" s="182"/>
      <c r="AX21" s="576"/>
    </row>
    <row r="22" spans="2:50" ht="14.25" customHeight="1">
      <c r="B22" s="636" t="s">
        <v>680</v>
      </c>
      <c r="C22" s="636"/>
      <c r="D22" s="636"/>
      <c r="E22" s="636"/>
      <c r="F22" s="636"/>
      <c r="G22" s="636"/>
      <c r="H22" s="636"/>
      <c r="I22" s="636"/>
      <c r="J22" s="636"/>
      <c r="K22" s="636"/>
      <c r="L22" s="636"/>
      <c r="M22" s="644"/>
      <c r="N22" s="602" t="s">
        <v>375</v>
      </c>
      <c r="O22" s="602" t="s">
        <v>105</v>
      </c>
      <c r="P22" s="655">
        <v>46119</v>
      </c>
      <c r="Q22" s="656"/>
      <c r="R22" s="656"/>
      <c r="S22" s="656"/>
      <c r="T22" s="656"/>
      <c r="U22" s="657">
        <v>46120</v>
      </c>
      <c r="V22" s="658"/>
      <c r="W22" s="658"/>
      <c r="X22" s="658"/>
      <c r="Y22" s="658"/>
      <c r="Z22" s="655">
        <v>46121</v>
      </c>
      <c r="AA22" s="656"/>
      <c r="AB22" s="656"/>
      <c r="AC22" s="656"/>
      <c r="AD22" s="656"/>
      <c r="AE22" s="657">
        <v>46122</v>
      </c>
      <c r="AF22" s="658"/>
      <c r="AG22" s="658"/>
      <c r="AH22" s="658"/>
      <c r="AI22" s="658"/>
      <c r="AJ22" s="647">
        <v>46123</v>
      </c>
      <c r="AK22" s="648"/>
      <c r="AL22" s="648"/>
      <c r="AM22" s="648"/>
      <c r="AN22" s="649"/>
      <c r="AO22" s="657">
        <v>46124</v>
      </c>
      <c r="AP22" s="658"/>
      <c r="AQ22" s="658"/>
      <c r="AR22" s="658"/>
      <c r="AS22" s="658"/>
      <c r="AT22" s="647">
        <v>46125</v>
      </c>
      <c r="AU22" s="648"/>
      <c r="AV22" s="648"/>
      <c r="AW22" s="648"/>
      <c r="AX22" s="649"/>
    </row>
    <row r="23" spans="2:50" ht="14.25" customHeight="1"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6"/>
      <c r="N23" s="604"/>
      <c r="O23" s="604"/>
      <c r="P23" s="650">
        <v>46119</v>
      </c>
      <c r="Q23" s="650"/>
      <c r="R23" s="650"/>
      <c r="S23" s="650"/>
      <c r="T23" s="650"/>
      <c r="U23" s="651">
        <v>46120</v>
      </c>
      <c r="V23" s="651"/>
      <c r="W23" s="651"/>
      <c r="X23" s="651"/>
      <c r="Y23" s="651"/>
      <c r="Z23" s="650">
        <v>46121</v>
      </c>
      <c r="AA23" s="650"/>
      <c r="AB23" s="650"/>
      <c r="AC23" s="650"/>
      <c r="AD23" s="650"/>
      <c r="AE23" s="651">
        <v>46122</v>
      </c>
      <c r="AF23" s="651"/>
      <c r="AG23" s="651"/>
      <c r="AH23" s="651"/>
      <c r="AI23" s="651"/>
      <c r="AJ23" s="652">
        <v>46123</v>
      </c>
      <c r="AK23" s="653"/>
      <c r="AL23" s="653"/>
      <c r="AM23" s="653"/>
      <c r="AN23" s="654"/>
      <c r="AO23" s="651">
        <v>46124</v>
      </c>
      <c r="AP23" s="651"/>
      <c r="AQ23" s="651"/>
      <c r="AR23" s="651"/>
      <c r="AS23" s="651"/>
      <c r="AT23" s="652">
        <v>46125</v>
      </c>
      <c r="AU23" s="653"/>
      <c r="AV23" s="653"/>
      <c r="AW23" s="653"/>
      <c r="AX23" s="654"/>
    </row>
    <row r="24" spans="2:50" ht="14.25" customHeight="1">
      <c r="B24" s="575" t="s">
        <v>162</v>
      </c>
      <c r="C24" s="575" t="s">
        <v>157</v>
      </c>
      <c r="D24" s="575"/>
      <c r="E24" s="575" t="s">
        <v>158</v>
      </c>
      <c r="F24" s="575"/>
      <c r="G24" s="575"/>
      <c r="H24" s="575" t="s">
        <v>163</v>
      </c>
      <c r="I24" s="579" t="s">
        <v>376</v>
      </c>
      <c r="J24" s="579"/>
      <c r="K24" s="579"/>
      <c r="L24" s="579" t="s">
        <v>163</v>
      </c>
      <c r="M24" s="579" t="s">
        <v>165</v>
      </c>
      <c r="N24" s="575"/>
      <c r="O24" s="575" t="s">
        <v>164</v>
      </c>
      <c r="P24" s="575" t="s">
        <v>160</v>
      </c>
      <c r="Q24" s="575"/>
      <c r="R24" s="575"/>
      <c r="S24" s="575"/>
      <c r="T24" s="575" t="s">
        <v>163</v>
      </c>
      <c r="U24" s="575" t="s">
        <v>160</v>
      </c>
      <c r="V24" s="575"/>
      <c r="W24" s="575"/>
      <c r="X24" s="575"/>
      <c r="Y24" s="575" t="s">
        <v>163</v>
      </c>
      <c r="Z24" s="575" t="s">
        <v>160</v>
      </c>
      <c r="AA24" s="575"/>
      <c r="AB24" s="575"/>
      <c r="AC24" s="575"/>
      <c r="AD24" s="575" t="s">
        <v>163</v>
      </c>
      <c r="AE24" s="575" t="s">
        <v>160</v>
      </c>
      <c r="AF24" s="575"/>
      <c r="AG24" s="575"/>
      <c r="AH24" s="575"/>
      <c r="AI24" s="575" t="s">
        <v>163</v>
      </c>
      <c r="AJ24" s="575" t="s">
        <v>160</v>
      </c>
      <c r="AK24" s="575"/>
      <c r="AL24" s="575"/>
      <c r="AM24" s="575"/>
      <c r="AN24" s="575" t="s">
        <v>163</v>
      </c>
      <c r="AO24" s="575" t="s">
        <v>160</v>
      </c>
      <c r="AP24" s="575"/>
      <c r="AQ24" s="575"/>
      <c r="AR24" s="575"/>
      <c r="AS24" s="575" t="s">
        <v>163</v>
      </c>
      <c r="AT24" s="575" t="s">
        <v>160</v>
      </c>
      <c r="AU24" s="575"/>
      <c r="AV24" s="575"/>
      <c r="AW24" s="575"/>
      <c r="AX24" s="575" t="s">
        <v>163</v>
      </c>
    </row>
    <row r="25" spans="2:50" ht="14.25" customHeight="1">
      <c r="B25" s="575"/>
      <c r="C25" s="575"/>
      <c r="D25" s="575"/>
      <c r="E25" s="575" t="s">
        <v>377</v>
      </c>
      <c r="F25" s="575"/>
      <c r="G25" s="575"/>
      <c r="H25" s="575"/>
      <c r="I25" s="579" t="s">
        <v>377</v>
      </c>
      <c r="J25" s="579"/>
      <c r="K25" s="579"/>
      <c r="L25" s="579"/>
      <c r="M25" s="579"/>
      <c r="N25" s="575"/>
      <c r="O25" s="575"/>
      <c r="P25" s="575" t="s">
        <v>378</v>
      </c>
      <c r="Q25" s="575"/>
      <c r="R25" s="575"/>
      <c r="S25" s="575"/>
      <c r="T25" s="575"/>
      <c r="U25" s="575" t="s">
        <v>378</v>
      </c>
      <c r="V25" s="575"/>
      <c r="W25" s="575"/>
      <c r="X25" s="575"/>
      <c r="Y25" s="575"/>
      <c r="Z25" s="575" t="s">
        <v>378</v>
      </c>
      <c r="AA25" s="575"/>
      <c r="AB25" s="575"/>
      <c r="AC25" s="575"/>
      <c r="AD25" s="575"/>
      <c r="AE25" s="575" t="s">
        <v>378</v>
      </c>
      <c r="AF25" s="575"/>
      <c r="AG25" s="575"/>
      <c r="AH25" s="575"/>
      <c r="AI25" s="575"/>
      <c r="AJ25" s="575" t="s">
        <v>378</v>
      </c>
      <c r="AK25" s="575"/>
      <c r="AL25" s="575"/>
      <c r="AM25" s="575"/>
      <c r="AN25" s="575"/>
      <c r="AO25" s="575" t="s">
        <v>378</v>
      </c>
      <c r="AP25" s="575"/>
      <c r="AQ25" s="575"/>
      <c r="AR25" s="575"/>
      <c r="AS25" s="575"/>
      <c r="AT25" s="575" t="s">
        <v>378</v>
      </c>
      <c r="AU25" s="575"/>
      <c r="AV25" s="575"/>
      <c r="AW25" s="575"/>
      <c r="AX25" s="575"/>
    </row>
    <row r="26" spans="2:50" ht="14.25" customHeight="1">
      <c r="B26" s="575"/>
      <c r="C26" s="575"/>
      <c r="D26" s="575"/>
      <c r="E26" s="180" t="s">
        <v>159</v>
      </c>
      <c r="F26" s="180" t="s">
        <v>379</v>
      </c>
      <c r="G26" s="180" t="s">
        <v>161</v>
      </c>
      <c r="H26" s="575"/>
      <c r="I26" s="181" t="s">
        <v>159</v>
      </c>
      <c r="J26" s="181" t="s">
        <v>379</v>
      </c>
      <c r="K26" s="181" t="s">
        <v>161</v>
      </c>
      <c r="L26" s="579"/>
      <c r="M26" s="579"/>
      <c r="N26" s="575"/>
      <c r="O26" s="575"/>
      <c r="P26" s="180" t="s">
        <v>159</v>
      </c>
      <c r="Q26" s="180" t="s">
        <v>379</v>
      </c>
      <c r="R26" s="180" t="s">
        <v>161</v>
      </c>
      <c r="S26" s="182" t="s">
        <v>165</v>
      </c>
      <c r="T26" s="575"/>
      <c r="U26" s="180" t="s">
        <v>159</v>
      </c>
      <c r="V26" s="180" t="s">
        <v>379</v>
      </c>
      <c r="W26" s="180" t="s">
        <v>161</v>
      </c>
      <c r="X26" s="182" t="s">
        <v>165</v>
      </c>
      <c r="Y26" s="575"/>
      <c r="Z26" s="180" t="s">
        <v>159</v>
      </c>
      <c r="AA26" s="180" t="s">
        <v>379</v>
      </c>
      <c r="AB26" s="180" t="s">
        <v>161</v>
      </c>
      <c r="AC26" s="182" t="s">
        <v>165</v>
      </c>
      <c r="AD26" s="575"/>
      <c r="AE26" s="180" t="s">
        <v>159</v>
      </c>
      <c r="AF26" s="180" t="s">
        <v>379</v>
      </c>
      <c r="AG26" s="180" t="s">
        <v>161</v>
      </c>
      <c r="AH26" s="182" t="s">
        <v>165</v>
      </c>
      <c r="AI26" s="575"/>
      <c r="AJ26" s="180" t="s">
        <v>159</v>
      </c>
      <c r="AK26" s="180" t="s">
        <v>379</v>
      </c>
      <c r="AL26" s="180" t="s">
        <v>161</v>
      </c>
      <c r="AM26" s="182" t="s">
        <v>165</v>
      </c>
      <c r="AN26" s="575"/>
      <c r="AO26" s="180" t="s">
        <v>159</v>
      </c>
      <c r="AP26" s="180" t="s">
        <v>379</v>
      </c>
      <c r="AQ26" s="180" t="s">
        <v>161</v>
      </c>
      <c r="AR26" s="182" t="s">
        <v>165</v>
      </c>
      <c r="AS26" s="575"/>
      <c r="AT26" s="180" t="s">
        <v>159</v>
      </c>
      <c r="AU26" s="180" t="s">
        <v>379</v>
      </c>
      <c r="AV26" s="180" t="s">
        <v>161</v>
      </c>
      <c r="AW26" s="182" t="s">
        <v>165</v>
      </c>
      <c r="AX26" s="575"/>
    </row>
    <row r="27" spans="2:50" ht="14.25" customHeight="1">
      <c r="B27" s="575" t="s">
        <v>143</v>
      </c>
      <c r="C27" s="180">
        <v>1</v>
      </c>
      <c r="D27" s="183" t="s">
        <v>362</v>
      </c>
      <c r="E27" s="180">
        <v>13</v>
      </c>
      <c r="F27" s="180">
        <v>1200</v>
      </c>
      <c r="G27" s="185">
        <f t="shared" ref="G27" si="16">F27/E27</f>
        <v>92.307692307692307</v>
      </c>
      <c r="H27" s="576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1079.5009384804985</v>
      </c>
      <c r="K27" s="187">
        <f>AVERAGE(R27,W27,AB27,AG27,AL27,AQ27,AV27)</f>
        <v>83.038533729269133</v>
      </c>
      <c r="L27" s="577">
        <f>IFERROR(AVERAGE(K27:K41),"-")</f>
        <v>83.038533729269133</v>
      </c>
      <c r="M27" s="186">
        <f>RANK(K27, K$27:$K$41)</f>
        <v>1</v>
      </c>
      <c r="N27" s="575"/>
      <c r="O27" s="575"/>
      <c r="P27" s="188">
        <v>13</v>
      </c>
      <c r="Q27" s="188">
        <v>1079.6151104775481</v>
      </c>
      <c r="R27" s="185">
        <f>IFERROR(Q27/P27,"")</f>
        <v>83.047316190580631</v>
      </c>
      <c r="S27" s="182">
        <f>RANK(R27, R$27:R$41)</f>
        <v>1</v>
      </c>
      <c r="T27" s="576">
        <f>AVERAGE(R27:R41)</f>
        <v>83.047316190580631</v>
      </c>
      <c r="U27" s="188">
        <v>13</v>
      </c>
      <c r="V27" s="188">
        <v>1079.6419098143238</v>
      </c>
      <c r="W27" s="185">
        <f t="shared" ref="W27" si="17">IFERROR(V27/U27,"")</f>
        <v>83.049377678024911</v>
      </c>
      <c r="X27" s="182">
        <f>RANK(W27, W$27:W$41)</f>
        <v>1</v>
      </c>
      <c r="Y27" s="576">
        <f>AVERAGE(W27:W41)</f>
        <v>83.049377678024911</v>
      </c>
      <c r="Z27" s="188">
        <v>13</v>
      </c>
      <c r="AA27" s="188">
        <v>1079.0419098143238</v>
      </c>
      <c r="AB27" s="185">
        <f t="shared" ref="AB27" si="18">IFERROR(AA27/Z27,"")</f>
        <v>83.003223831871068</v>
      </c>
      <c r="AC27" s="182">
        <f>RANK(AB27, AB$27:AB$41)</f>
        <v>1</v>
      </c>
      <c r="AD27" s="576">
        <f>AVERAGE(AB27:AB41)</f>
        <v>83.003223831871068</v>
      </c>
      <c r="AE27" s="188">
        <v>13</v>
      </c>
      <c r="AF27" s="188">
        <v>1079.2819098143236</v>
      </c>
      <c r="AG27" s="185">
        <f>IFERROR(AF27/AE27,"")</f>
        <v>83.021685370332591</v>
      </c>
      <c r="AH27" s="182">
        <f>RANK(AG27, AG$27:AG$41)</f>
        <v>1</v>
      </c>
      <c r="AI27" s="576">
        <f>AVERAGE(AG27:AG41)</f>
        <v>83.021685370332591</v>
      </c>
      <c r="AJ27" s="188">
        <v>13</v>
      </c>
      <c r="AK27" s="188">
        <v>1079.5219098143236</v>
      </c>
      <c r="AL27" s="185">
        <f t="shared" ref="AL27" si="19">IFERROR(AK27/AJ27,"")</f>
        <v>83.040146908794128</v>
      </c>
      <c r="AM27" s="182">
        <f>RANK(AL27, AL$27:AL$41)</f>
        <v>1</v>
      </c>
      <c r="AN27" s="576">
        <f>AVERAGE(AL27:AL41)</f>
        <v>83.040146908794128</v>
      </c>
      <c r="AO27" s="188">
        <v>13</v>
      </c>
      <c r="AP27" s="188">
        <v>1079.7619098143236</v>
      </c>
      <c r="AQ27" s="185">
        <f t="shared" ref="AQ27" si="20">IFERROR(AP27/AO27,"")</f>
        <v>83.058608447255665</v>
      </c>
      <c r="AR27" s="182">
        <f>RANK(AQ27, AQ$27:AQ$41)</f>
        <v>1</v>
      </c>
      <c r="AS27" s="576">
        <f>AVERAGE(AQ27:AQ41)</f>
        <v>83.058608447255665</v>
      </c>
      <c r="AT27" s="188">
        <v>13</v>
      </c>
      <c r="AU27" s="188">
        <v>1079.6419098143238</v>
      </c>
      <c r="AV27" s="185">
        <f t="shared" ref="AV27" si="21">IFERROR(AU27/AT27,"")</f>
        <v>83.049377678024911</v>
      </c>
      <c r="AW27" s="182">
        <f>RANK(AV27, AV$27:AV$41)</f>
        <v>1</v>
      </c>
      <c r="AX27" s="576">
        <f>AVERAGE(AV27:AV41)</f>
        <v>83.049377678024911</v>
      </c>
    </row>
    <row r="28" spans="2:50" ht="14.25" customHeight="1">
      <c r="B28" s="575"/>
      <c r="C28" s="180">
        <v>2</v>
      </c>
      <c r="D28" s="183"/>
      <c r="E28" s="180"/>
      <c r="F28" s="180"/>
      <c r="G28" s="185"/>
      <c r="H28" s="576"/>
      <c r="I28" s="186"/>
      <c r="J28" s="186"/>
      <c r="K28" s="187"/>
      <c r="L28" s="577"/>
      <c r="M28" s="186"/>
      <c r="N28" s="575"/>
      <c r="O28" s="575"/>
      <c r="P28" s="188"/>
      <c r="Q28" s="188"/>
      <c r="R28" s="185"/>
      <c r="S28" s="182"/>
      <c r="T28" s="576"/>
      <c r="U28" s="188"/>
      <c r="V28" s="188"/>
      <c r="W28" s="185"/>
      <c r="X28" s="182"/>
      <c r="Y28" s="576"/>
      <c r="Z28" s="188"/>
      <c r="AA28" s="188"/>
      <c r="AB28" s="185"/>
      <c r="AC28" s="182"/>
      <c r="AD28" s="576"/>
      <c r="AE28" s="188"/>
      <c r="AF28" s="188"/>
      <c r="AG28" s="185"/>
      <c r="AH28" s="182"/>
      <c r="AI28" s="576"/>
      <c r="AJ28" s="188"/>
      <c r="AK28" s="188"/>
      <c r="AL28" s="185"/>
      <c r="AM28" s="182"/>
      <c r="AN28" s="576"/>
      <c r="AO28" s="188"/>
      <c r="AP28" s="188"/>
      <c r="AQ28" s="185"/>
      <c r="AR28" s="182"/>
      <c r="AS28" s="576"/>
      <c r="AT28" s="188"/>
      <c r="AU28" s="188"/>
      <c r="AV28" s="185"/>
      <c r="AW28" s="182"/>
      <c r="AX28" s="576"/>
    </row>
    <row r="29" spans="2:50" ht="14.25" customHeight="1">
      <c r="B29" s="575"/>
      <c r="C29" s="180">
        <v>3</v>
      </c>
      <c r="D29" s="183"/>
      <c r="E29" s="180"/>
      <c r="F29" s="180"/>
      <c r="G29" s="185"/>
      <c r="H29" s="576"/>
      <c r="I29" s="186"/>
      <c r="J29" s="186"/>
      <c r="K29" s="187"/>
      <c r="L29" s="577"/>
      <c r="M29" s="186"/>
      <c r="N29" s="575"/>
      <c r="O29" s="575"/>
      <c r="P29" s="188"/>
      <c r="Q29" s="188"/>
      <c r="R29" s="185"/>
      <c r="S29" s="182"/>
      <c r="T29" s="576"/>
      <c r="U29" s="188"/>
      <c r="V29" s="188"/>
      <c r="W29" s="185"/>
      <c r="X29" s="182"/>
      <c r="Y29" s="576"/>
      <c r="Z29" s="188"/>
      <c r="AA29" s="188"/>
      <c r="AB29" s="185"/>
      <c r="AC29" s="182"/>
      <c r="AD29" s="576"/>
      <c r="AE29" s="188"/>
      <c r="AF29" s="188"/>
      <c r="AG29" s="185"/>
      <c r="AH29" s="182"/>
      <c r="AI29" s="576"/>
      <c r="AJ29" s="188"/>
      <c r="AK29" s="188"/>
      <c r="AL29" s="185"/>
      <c r="AM29" s="182"/>
      <c r="AN29" s="576"/>
      <c r="AO29" s="188"/>
      <c r="AP29" s="188"/>
      <c r="AQ29" s="185"/>
      <c r="AR29" s="182"/>
      <c r="AS29" s="576"/>
      <c r="AT29" s="188"/>
      <c r="AU29" s="188"/>
      <c r="AV29" s="185"/>
      <c r="AW29" s="182"/>
      <c r="AX29" s="576"/>
    </row>
    <row r="30" spans="2:50" ht="14.25" customHeight="1">
      <c r="B30" s="575"/>
      <c r="C30" s="180">
        <v>4</v>
      </c>
      <c r="D30" s="183"/>
      <c r="E30" s="180"/>
      <c r="F30" s="180"/>
      <c r="G30" s="185"/>
      <c r="H30" s="576"/>
      <c r="I30" s="186"/>
      <c r="J30" s="186"/>
      <c r="K30" s="187"/>
      <c r="L30" s="577"/>
      <c r="M30" s="186"/>
      <c r="N30" s="575"/>
      <c r="O30" s="575"/>
      <c r="P30" s="188"/>
      <c r="Q30" s="188"/>
      <c r="R30" s="185"/>
      <c r="S30" s="182"/>
      <c r="T30" s="576"/>
      <c r="U30" s="188"/>
      <c r="V30" s="188"/>
      <c r="W30" s="185"/>
      <c r="X30" s="182"/>
      <c r="Y30" s="576"/>
      <c r="Z30" s="188"/>
      <c r="AA30" s="188"/>
      <c r="AB30" s="185"/>
      <c r="AC30" s="182"/>
      <c r="AD30" s="576"/>
      <c r="AE30" s="188"/>
      <c r="AF30" s="188"/>
      <c r="AG30" s="185"/>
      <c r="AH30" s="182"/>
      <c r="AI30" s="576"/>
      <c r="AJ30" s="188"/>
      <c r="AK30" s="188"/>
      <c r="AL30" s="185"/>
      <c r="AM30" s="182"/>
      <c r="AN30" s="576"/>
      <c r="AO30" s="188"/>
      <c r="AP30" s="188"/>
      <c r="AQ30" s="185"/>
      <c r="AR30" s="182"/>
      <c r="AS30" s="576"/>
      <c r="AT30" s="188"/>
      <c r="AU30" s="188"/>
      <c r="AV30" s="185"/>
      <c r="AW30" s="182"/>
      <c r="AX30" s="576"/>
    </row>
    <row r="31" spans="2:50" ht="14.25" customHeight="1">
      <c r="B31" s="575"/>
      <c r="C31" s="180">
        <v>5</v>
      </c>
      <c r="D31" s="183"/>
      <c r="E31" s="180"/>
      <c r="F31" s="180"/>
      <c r="G31" s="185"/>
      <c r="H31" s="576"/>
      <c r="I31" s="186"/>
      <c r="J31" s="186"/>
      <c r="K31" s="187"/>
      <c r="L31" s="577"/>
      <c r="M31" s="186"/>
      <c r="N31" s="575"/>
      <c r="O31" s="575"/>
      <c r="P31" s="188"/>
      <c r="Q31" s="188"/>
      <c r="R31" s="185"/>
      <c r="S31" s="182"/>
      <c r="T31" s="576"/>
      <c r="U31" s="188"/>
      <c r="V31" s="188"/>
      <c r="W31" s="185"/>
      <c r="X31" s="182"/>
      <c r="Y31" s="576"/>
      <c r="Z31" s="188"/>
      <c r="AA31" s="188"/>
      <c r="AB31" s="185"/>
      <c r="AC31" s="182"/>
      <c r="AD31" s="576"/>
      <c r="AE31" s="188"/>
      <c r="AF31" s="188"/>
      <c r="AG31" s="185"/>
      <c r="AH31" s="182"/>
      <c r="AI31" s="576"/>
      <c r="AJ31" s="188"/>
      <c r="AK31" s="188"/>
      <c r="AL31" s="185"/>
      <c r="AM31" s="182"/>
      <c r="AN31" s="576"/>
      <c r="AO31" s="188"/>
      <c r="AP31" s="188"/>
      <c r="AQ31" s="185"/>
      <c r="AR31" s="182"/>
      <c r="AS31" s="576"/>
      <c r="AT31" s="188"/>
      <c r="AU31" s="188"/>
      <c r="AV31" s="185"/>
      <c r="AW31" s="182"/>
      <c r="AX31" s="576"/>
    </row>
    <row r="32" spans="2:50" ht="14.25" customHeight="1">
      <c r="B32" s="575"/>
      <c r="C32" s="180">
        <v>6</v>
      </c>
      <c r="D32" s="183"/>
      <c r="E32" s="180"/>
      <c r="F32" s="180"/>
      <c r="G32" s="185"/>
      <c r="H32" s="576"/>
      <c r="I32" s="186"/>
      <c r="J32" s="186"/>
      <c r="K32" s="187"/>
      <c r="L32" s="577"/>
      <c r="M32" s="186"/>
      <c r="N32" s="575"/>
      <c r="O32" s="575"/>
      <c r="P32" s="188"/>
      <c r="Q32" s="188"/>
      <c r="R32" s="185"/>
      <c r="S32" s="182"/>
      <c r="T32" s="576"/>
      <c r="U32" s="188"/>
      <c r="V32" s="188"/>
      <c r="W32" s="185"/>
      <c r="X32" s="182"/>
      <c r="Y32" s="576"/>
      <c r="Z32" s="188"/>
      <c r="AA32" s="188"/>
      <c r="AB32" s="185"/>
      <c r="AC32" s="182"/>
      <c r="AD32" s="576"/>
      <c r="AE32" s="188"/>
      <c r="AF32" s="188"/>
      <c r="AG32" s="185"/>
      <c r="AH32" s="182"/>
      <c r="AI32" s="576"/>
      <c r="AJ32" s="188"/>
      <c r="AK32" s="188"/>
      <c r="AL32" s="185"/>
      <c r="AM32" s="182"/>
      <c r="AN32" s="576"/>
      <c r="AO32" s="188"/>
      <c r="AP32" s="188"/>
      <c r="AQ32" s="185"/>
      <c r="AR32" s="182"/>
      <c r="AS32" s="576"/>
      <c r="AT32" s="188"/>
      <c r="AU32" s="188"/>
      <c r="AV32" s="185"/>
      <c r="AW32" s="182"/>
      <c r="AX32" s="576"/>
    </row>
    <row r="33" spans="2:50" ht="14.25" customHeight="1">
      <c r="B33" s="575"/>
      <c r="C33" s="180">
        <v>7</v>
      </c>
      <c r="D33" s="183"/>
      <c r="E33" s="180"/>
      <c r="F33" s="180"/>
      <c r="G33" s="185"/>
      <c r="H33" s="576"/>
      <c r="I33" s="186"/>
      <c r="J33" s="186"/>
      <c r="K33" s="187"/>
      <c r="L33" s="577"/>
      <c r="M33" s="186"/>
      <c r="N33" s="575"/>
      <c r="O33" s="575"/>
      <c r="P33" s="188"/>
      <c r="Q33" s="188"/>
      <c r="R33" s="185"/>
      <c r="S33" s="182"/>
      <c r="T33" s="576"/>
      <c r="U33" s="188"/>
      <c r="V33" s="188"/>
      <c r="W33" s="185"/>
      <c r="X33" s="182"/>
      <c r="Y33" s="576"/>
      <c r="Z33" s="188"/>
      <c r="AA33" s="188"/>
      <c r="AB33" s="185"/>
      <c r="AC33" s="182"/>
      <c r="AD33" s="576"/>
      <c r="AE33" s="188"/>
      <c r="AF33" s="188"/>
      <c r="AG33" s="185"/>
      <c r="AH33" s="182"/>
      <c r="AI33" s="576"/>
      <c r="AJ33" s="188"/>
      <c r="AK33" s="188"/>
      <c r="AL33" s="185"/>
      <c r="AM33" s="182"/>
      <c r="AN33" s="576"/>
      <c r="AO33" s="188"/>
      <c r="AP33" s="188"/>
      <c r="AQ33" s="185"/>
      <c r="AR33" s="182"/>
      <c r="AS33" s="576"/>
      <c r="AT33" s="188"/>
      <c r="AU33" s="188"/>
      <c r="AV33" s="185"/>
      <c r="AW33" s="182"/>
      <c r="AX33" s="576"/>
    </row>
    <row r="34" spans="2:50" ht="14.25" customHeight="1">
      <c r="B34" s="575"/>
      <c r="C34" s="180">
        <v>8</v>
      </c>
      <c r="D34" s="183"/>
      <c r="E34" s="180"/>
      <c r="F34" s="180"/>
      <c r="G34" s="185"/>
      <c r="H34" s="576"/>
      <c r="I34" s="186"/>
      <c r="J34" s="186"/>
      <c r="K34" s="187"/>
      <c r="L34" s="577"/>
      <c r="M34" s="186"/>
      <c r="N34" s="575"/>
      <c r="O34" s="575"/>
      <c r="P34" s="188"/>
      <c r="Q34" s="188"/>
      <c r="R34" s="185"/>
      <c r="S34" s="182"/>
      <c r="T34" s="576"/>
      <c r="U34" s="188"/>
      <c r="V34" s="188"/>
      <c r="W34" s="185"/>
      <c r="X34" s="182"/>
      <c r="Y34" s="576"/>
      <c r="Z34" s="188"/>
      <c r="AA34" s="188"/>
      <c r="AB34" s="185"/>
      <c r="AC34" s="182"/>
      <c r="AD34" s="576"/>
      <c r="AE34" s="188"/>
      <c r="AF34" s="188"/>
      <c r="AG34" s="185"/>
      <c r="AH34" s="182"/>
      <c r="AI34" s="576"/>
      <c r="AJ34" s="188"/>
      <c r="AK34" s="188"/>
      <c r="AL34" s="185"/>
      <c r="AM34" s="182"/>
      <c r="AN34" s="576"/>
      <c r="AO34" s="188"/>
      <c r="AP34" s="188"/>
      <c r="AQ34" s="185"/>
      <c r="AR34" s="182"/>
      <c r="AS34" s="576"/>
      <c r="AT34" s="188"/>
      <c r="AU34" s="188"/>
      <c r="AV34" s="185"/>
      <c r="AW34" s="182"/>
      <c r="AX34" s="576"/>
    </row>
    <row r="35" spans="2:50" ht="14.25" customHeight="1">
      <c r="B35" s="575"/>
      <c r="C35" s="180">
        <v>9</v>
      </c>
      <c r="D35" s="183"/>
      <c r="E35" s="180"/>
      <c r="F35" s="180"/>
      <c r="G35" s="185"/>
      <c r="H35" s="576"/>
      <c r="I35" s="186"/>
      <c r="J35" s="186"/>
      <c r="K35" s="187"/>
      <c r="L35" s="577"/>
      <c r="M35" s="186"/>
      <c r="N35" s="575"/>
      <c r="O35" s="575"/>
      <c r="P35" s="188"/>
      <c r="Q35" s="188"/>
      <c r="R35" s="185"/>
      <c r="S35" s="182"/>
      <c r="T35" s="576"/>
      <c r="U35" s="188"/>
      <c r="V35" s="188"/>
      <c r="W35" s="185"/>
      <c r="X35" s="182"/>
      <c r="Y35" s="576"/>
      <c r="Z35" s="188"/>
      <c r="AA35" s="188"/>
      <c r="AB35" s="185"/>
      <c r="AC35" s="182"/>
      <c r="AD35" s="576"/>
      <c r="AE35" s="188"/>
      <c r="AF35" s="188"/>
      <c r="AG35" s="185"/>
      <c r="AH35" s="182"/>
      <c r="AI35" s="576"/>
      <c r="AJ35" s="188"/>
      <c r="AK35" s="188"/>
      <c r="AL35" s="185"/>
      <c r="AM35" s="182"/>
      <c r="AN35" s="576"/>
      <c r="AO35" s="188"/>
      <c r="AP35" s="188"/>
      <c r="AQ35" s="185"/>
      <c r="AR35" s="182"/>
      <c r="AS35" s="576"/>
      <c r="AT35" s="188"/>
      <c r="AU35" s="188"/>
      <c r="AV35" s="185"/>
      <c r="AW35" s="182"/>
      <c r="AX35" s="576"/>
    </row>
    <row r="36" spans="2:50" ht="14.25" customHeight="1">
      <c r="B36" s="575"/>
      <c r="C36" s="180">
        <v>10</v>
      </c>
      <c r="D36" s="183"/>
      <c r="E36" s="180"/>
      <c r="F36" s="180"/>
      <c r="G36" s="185"/>
      <c r="H36" s="576"/>
      <c r="I36" s="186"/>
      <c r="J36" s="186"/>
      <c r="K36" s="187"/>
      <c r="L36" s="577"/>
      <c r="M36" s="186"/>
      <c r="N36" s="575"/>
      <c r="O36" s="575"/>
      <c r="P36" s="188"/>
      <c r="Q36" s="188"/>
      <c r="R36" s="185"/>
      <c r="S36" s="182"/>
      <c r="T36" s="576"/>
      <c r="U36" s="188"/>
      <c r="V36" s="188"/>
      <c r="W36" s="185"/>
      <c r="X36" s="182"/>
      <c r="Y36" s="576"/>
      <c r="Z36" s="188"/>
      <c r="AA36" s="188"/>
      <c r="AB36" s="185"/>
      <c r="AC36" s="182"/>
      <c r="AD36" s="576"/>
      <c r="AE36" s="188"/>
      <c r="AF36" s="188"/>
      <c r="AG36" s="185"/>
      <c r="AH36" s="182"/>
      <c r="AI36" s="576"/>
      <c r="AJ36" s="188"/>
      <c r="AK36" s="188"/>
      <c r="AL36" s="185"/>
      <c r="AM36" s="182"/>
      <c r="AN36" s="576"/>
      <c r="AO36" s="188"/>
      <c r="AP36" s="188"/>
      <c r="AQ36" s="185"/>
      <c r="AR36" s="182"/>
      <c r="AS36" s="576"/>
      <c r="AT36" s="188"/>
      <c r="AU36" s="188"/>
      <c r="AV36" s="185"/>
      <c r="AW36" s="182"/>
      <c r="AX36" s="576"/>
    </row>
    <row r="37" spans="2:50" ht="14.25" customHeight="1">
      <c r="B37" s="575"/>
      <c r="C37" s="180">
        <v>11</v>
      </c>
      <c r="D37" s="183"/>
      <c r="E37" s="180"/>
      <c r="F37" s="180"/>
      <c r="G37" s="185"/>
      <c r="H37" s="576"/>
      <c r="I37" s="186"/>
      <c r="J37" s="186"/>
      <c r="K37" s="187"/>
      <c r="L37" s="577"/>
      <c r="M37" s="186"/>
      <c r="N37" s="575"/>
      <c r="O37" s="575"/>
      <c r="P37" s="188"/>
      <c r="Q37" s="188"/>
      <c r="R37" s="185"/>
      <c r="S37" s="182"/>
      <c r="T37" s="576"/>
      <c r="U37" s="188"/>
      <c r="V37" s="188"/>
      <c r="W37" s="185"/>
      <c r="X37" s="182"/>
      <c r="Y37" s="576"/>
      <c r="Z37" s="188"/>
      <c r="AA37" s="188"/>
      <c r="AB37" s="185"/>
      <c r="AC37" s="182"/>
      <c r="AD37" s="576"/>
      <c r="AE37" s="188"/>
      <c r="AF37" s="188"/>
      <c r="AG37" s="185"/>
      <c r="AH37" s="182"/>
      <c r="AI37" s="576"/>
      <c r="AJ37" s="188"/>
      <c r="AK37" s="188"/>
      <c r="AL37" s="185"/>
      <c r="AM37" s="182"/>
      <c r="AN37" s="576"/>
      <c r="AO37" s="188"/>
      <c r="AP37" s="188"/>
      <c r="AQ37" s="185"/>
      <c r="AR37" s="182"/>
      <c r="AS37" s="576"/>
      <c r="AT37" s="188"/>
      <c r="AU37" s="188"/>
      <c r="AV37" s="185"/>
      <c r="AW37" s="182"/>
      <c r="AX37" s="576"/>
    </row>
    <row r="38" spans="2:50" ht="14.25" customHeight="1">
      <c r="B38" s="575"/>
      <c r="C38" s="180">
        <v>12</v>
      </c>
      <c r="D38" s="183"/>
      <c r="E38" s="180"/>
      <c r="F38" s="180"/>
      <c r="G38" s="185"/>
      <c r="H38" s="576"/>
      <c r="I38" s="186"/>
      <c r="J38" s="186"/>
      <c r="K38" s="187"/>
      <c r="L38" s="577"/>
      <c r="M38" s="186"/>
      <c r="N38" s="575"/>
      <c r="O38" s="575"/>
      <c r="P38" s="188"/>
      <c r="Q38" s="188"/>
      <c r="R38" s="185"/>
      <c r="S38" s="182"/>
      <c r="T38" s="576"/>
      <c r="U38" s="188"/>
      <c r="V38" s="188"/>
      <c r="W38" s="185"/>
      <c r="X38" s="182"/>
      <c r="Y38" s="576"/>
      <c r="Z38" s="188"/>
      <c r="AA38" s="188"/>
      <c r="AB38" s="185"/>
      <c r="AC38" s="182"/>
      <c r="AD38" s="576"/>
      <c r="AE38" s="188"/>
      <c r="AF38" s="188"/>
      <c r="AG38" s="185"/>
      <c r="AH38" s="182"/>
      <c r="AI38" s="576"/>
      <c r="AJ38" s="188"/>
      <c r="AK38" s="188"/>
      <c r="AL38" s="185"/>
      <c r="AM38" s="182"/>
      <c r="AN38" s="576"/>
      <c r="AO38" s="188"/>
      <c r="AP38" s="188"/>
      <c r="AQ38" s="185"/>
      <c r="AR38" s="182"/>
      <c r="AS38" s="576"/>
      <c r="AT38" s="188"/>
      <c r="AU38" s="188"/>
      <c r="AV38" s="185"/>
      <c r="AW38" s="182"/>
      <c r="AX38" s="576"/>
    </row>
    <row r="39" spans="2:50" ht="14.25" customHeight="1">
      <c r="B39" s="575"/>
      <c r="C39" s="180">
        <v>13</v>
      </c>
      <c r="D39" s="183"/>
      <c r="E39" s="180"/>
      <c r="F39" s="180"/>
      <c r="G39" s="185"/>
      <c r="H39" s="576"/>
      <c r="I39" s="186"/>
      <c r="J39" s="186"/>
      <c r="K39" s="187"/>
      <c r="L39" s="577"/>
      <c r="M39" s="186"/>
      <c r="N39" s="575"/>
      <c r="O39" s="575"/>
      <c r="P39" s="188"/>
      <c r="Q39" s="188"/>
      <c r="R39" s="185"/>
      <c r="S39" s="182"/>
      <c r="T39" s="576"/>
      <c r="U39" s="188"/>
      <c r="V39" s="188"/>
      <c r="W39" s="185"/>
      <c r="X39" s="182"/>
      <c r="Y39" s="576"/>
      <c r="Z39" s="188"/>
      <c r="AA39" s="188"/>
      <c r="AB39" s="185"/>
      <c r="AC39" s="182"/>
      <c r="AD39" s="576"/>
      <c r="AE39" s="188"/>
      <c r="AF39" s="188"/>
      <c r="AG39" s="185"/>
      <c r="AH39" s="182"/>
      <c r="AI39" s="576"/>
      <c r="AJ39" s="188"/>
      <c r="AK39" s="188"/>
      <c r="AL39" s="185"/>
      <c r="AM39" s="182"/>
      <c r="AN39" s="576"/>
      <c r="AO39" s="188"/>
      <c r="AP39" s="188"/>
      <c r="AQ39" s="185"/>
      <c r="AR39" s="182"/>
      <c r="AS39" s="576"/>
      <c r="AT39" s="188"/>
      <c r="AU39" s="188"/>
      <c r="AV39" s="185"/>
      <c r="AW39" s="182"/>
      <c r="AX39" s="576"/>
    </row>
    <row r="40" spans="2:50" ht="14.25" customHeight="1">
      <c r="B40" s="575"/>
      <c r="C40" s="180">
        <v>14</v>
      </c>
      <c r="D40" s="183"/>
      <c r="E40" s="180"/>
      <c r="F40" s="180"/>
      <c r="G40" s="185"/>
      <c r="H40" s="576"/>
      <c r="I40" s="186"/>
      <c r="J40" s="186"/>
      <c r="K40" s="187"/>
      <c r="L40" s="577"/>
      <c r="M40" s="186"/>
      <c r="N40" s="575"/>
      <c r="O40" s="575"/>
      <c r="P40" s="188"/>
      <c r="Q40" s="188"/>
      <c r="R40" s="185"/>
      <c r="S40" s="182"/>
      <c r="T40" s="576"/>
      <c r="U40" s="188"/>
      <c r="V40" s="188"/>
      <c r="W40" s="185"/>
      <c r="X40" s="182"/>
      <c r="Y40" s="576"/>
      <c r="Z40" s="188"/>
      <c r="AA40" s="188"/>
      <c r="AB40" s="185"/>
      <c r="AC40" s="182"/>
      <c r="AD40" s="576"/>
      <c r="AE40" s="188"/>
      <c r="AF40" s="188"/>
      <c r="AG40" s="185"/>
      <c r="AH40" s="182"/>
      <c r="AI40" s="576"/>
      <c r="AJ40" s="188"/>
      <c r="AK40" s="188"/>
      <c r="AL40" s="185"/>
      <c r="AM40" s="182"/>
      <c r="AN40" s="576"/>
      <c r="AO40" s="188"/>
      <c r="AP40" s="188"/>
      <c r="AQ40" s="185"/>
      <c r="AR40" s="182"/>
      <c r="AS40" s="576"/>
      <c r="AT40" s="188"/>
      <c r="AU40" s="188"/>
      <c r="AV40" s="185"/>
      <c r="AW40" s="182"/>
      <c r="AX40" s="576"/>
    </row>
    <row r="41" spans="2:50" ht="14.25" customHeight="1">
      <c r="B41" s="575"/>
      <c r="C41" s="180">
        <v>15</v>
      </c>
      <c r="D41" s="183"/>
      <c r="E41" s="180"/>
      <c r="F41" s="180"/>
      <c r="G41" s="185"/>
      <c r="H41" s="576"/>
      <c r="I41" s="186"/>
      <c r="J41" s="186"/>
      <c r="K41" s="187"/>
      <c r="L41" s="577"/>
      <c r="M41" s="186"/>
      <c r="N41" s="575"/>
      <c r="O41" s="575"/>
      <c r="P41" s="188"/>
      <c r="Q41" s="188"/>
      <c r="R41" s="185"/>
      <c r="S41" s="182"/>
      <c r="T41" s="576"/>
      <c r="U41" s="188"/>
      <c r="V41" s="188"/>
      <c r="W41" s="185"/>
      <c r="X41" s="182"/>
      <c r="Y41" s="576"/>
      <c r="Z41" s="188"/>
      <c r="AA41" s="188"/>
      <c r="AB41" s="185"/>
      <c r="AC41" s="182"/>
      <c r="AD41" s="576"/>
      <c r="AE41" s="188"/>
      <c r="AF41" s="188"/>
      <c r="AG41" s="185"/>
      <c r="AH41" s="182"/>
      <c r="AI41" s="576"/>
      <c r="AJ41" s="188"/>
      <c r="AK41" s="188"/>
      <c r="AL41" s="185"/>
      <c r="AM41" s="182"/>
      <c r="AN41" s="576"/>
      <c r="AO41" s="188"/>
      <c r="AP41" s="188"/>
      <c r="AQ41" s="185"/>
      <c r="AR41" s="182"/>
      <c r="AS41" s="576"/>
      <c r="AT41" s="188"/>
      <c r="AU41" s="188"/>
      <c r="AV41" s="185"/>
      <c r="AW41" s="182"/>
      <c r="AX41" s="576"/>
    </row>
    <row r="42" spans="2:50" ht="14.25" customHeight="1">
      <c r="B42" s="666" t="s">
        <v>739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44"/>
      <c r="N42" s="602" t="s">
        <v>375</v>
      </c>
      <c r="O42" s="602" t="s">
        <v>105</v>
      </c>
      <c r="P42" s="655">
        <v>46126</v>
      </c>
      <c r="Q42" s="656"/>
      <c r="R42" s="656"/>
      <c r="S42" s="656"/>
      <c r="T42" s="656"/>
      <c r="U42" s="657">
        <v>46127</v>
      </c>
      <c r="V42" s="658"/>
      <c r="W42" s="658"/>
      <c r="X42" s="658"/>
      <c r="Y42" s="658"/>
      <c r="Z42" s="655">
        <v>46128</v>
      </c>
      <c r="AA42" s="656"/>
      <c r="AB42" s="656"/>
      <c r="AC42" s="656"/>
      <c r="AD42" s="656"/>
      <c r="AE42" s="657">
        <v>46129</v>
      </c>
      <c r="AF42" s="658"/>
      <c r="AG42" s="658"/>
      <c r="AH42" s="658"/>
      <c r="AI42" s="658"/>
      <c r="AJ42" s="647">
        <v>46130</v>
      </c>
      <c r="AK42" s="648"/>
      <c r="AL42" s="648"/>
      <c r="AM42" s="648"/>
      <c r="AN42" s="649"/>
      <c r="AO42" s="657">
        <v>46131</v>
      </c>
      <c r="AP42" s="658"/>
      <c r="AQ42" s="658"/>
      <c r="AR42" s="658"/>
      <c r="AS42" s="658"/>
      <c r="AT42" s="647">
        <v>46132</v>
      </c>
      <c r="AU42" s="648"/>
      <c r="AV42" s="648"/>
      <c r="AW42" s="648"/>
      <c r="AX42" s="649"/>
    </row>
    <row r="43" spans="2:50" ht="14.25" customHeight="1"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6"/>
      <c r="N43" s="604"/>
      <c r="O43" s="604"/>
      <c r="P43" s="650">
        <v>46126</v>
      </c>
      <c r="Q43" s="650"/>
      <c r="R43" s="650"/>
      <c r="S43" s="650"/>
      <c r="T43" s="650"/>
      <c r="U43" s="651">
        <v>46127</v>
      </c>
      <c r="V43" s="651"/>
      <c r="W43" s="651"/>
      <c r="X43" s="651"/>
      <c r="Y43" s="651"/>
      <c r="Z43" s="650">
        <v>46128</v>
      </c>
      <c r="AA43" s="650"/>
      <c r="AB43" s="650"/>
      <c r="AC43" s="650"/>
      <c r="AD43" s="650"/>
      <c r="AE43" s="651">
        <v>46129</v>
      </c>
      <c r="AF43" s="651"/>
      <c r="AG43" s="651"/>
      <c r="AH43" s="651"/>
      <c r="AI43" s="651"/>
      <c r="AJ43" s="652">
        <v>46130</v>
      </c>
      <c r="AK43" s="653"/>
      <c r="AL43" s="653"/>
      <c r="AM43" s="653"/>
      <c r="AN43" s="654"/>
      <c r="AO43" s="651">
        <v>46131</v>
      </c>
      <c r="AP43" s="651"/>
      <c r="AQ43" s="651"/>
      <c r="AR43" s="651"/>
      <c r="AS43" s="651"/>
      <c r="AT43" s="652">
        <v>46132</v>
      </c>
      <c r="AU43" s="653"/>
      <c r="AV43" s="653"/>
      <c r="AW43" s="653"/>
      <c r="AX43" s="654"/>
    </row>
    <row r="44" spans="2:50" ht="14.25" customHeight="1">
      <c r="B44" s="575" t="s">
        <v>162</v>
      </c>
      <c r="C44" s="575" t="s">
        <v>157</v>
      </c>
      <c r="D44" s="575"/>
      <c r="E44" s="575" t="s">
        <v>158</v>
      </c>
      <c r="F44" s="575"/>
      <c r="G44" s="575"/>
      <c r="H44" s="575" t="s">
        <v>163</v>
      </c>
      <c r="I44" s="579" t="s">
        <v>376</v>
      </c>
      <c r="J44" s="579"/>
      <c r="K44" s="579"/>
      <c r="L44" s="579" t="s">
        <v>163</v>
      </c>
      <c r="M44" s="579" t="s">
        <v>165</v>
      </c>
      <c r="N44" s="575"/>
      <c r="O44" s="575" t="s">
        <v>164</v>
      </c>
      <c r="P44" s="575" t="s">
        <v>160</v>
      </c>
      <c r="Q44" s="575"/>
      <c r="R44" s="575"/>
      <c r="S44" s="575"/>
      <c r="T44" s="575" t="s">
        <v>163</v>
      </c>
      <c r="U44" s="575" t="s">
        <v>160</v>
      </c>
      <c r="V44" s="575"/>
      <c r="W44" s="575"/>
      <c r="X44" s="575"/>
      <c r="Y44" s="575" t="s">
        <v>163</v>
      </c>
      <c r="Z44" s="575" t="s">
        <v>160</v>
      </c>
      <c r="AA44" s="575"/>
      <c r="AB44" s="575"/>
      <c r="AC44" s="575"/>
      <c r="AD44" s="575" t="s">
        <v>163</v>
      </c>
      <c r="AE44" s="575" t="s">
        <v>160</v>
      </c>
      <c r="AF44" s="575"/>
      <c r="AG44" s="575"/>
      <c r="AH44" s="575"/>
      <c r="AI44" s="575" t="s">
        <v>163</v>
      </c>
      <c r="AJ44" s="575" t="s">
        <v>160</v>
      </c>
      <c r="AK44" s="575"/>
      <c r="AL44" s="575"/>
      <c r="AM44" s="575"/>
      <c r="AN44" s="575" t="s">
        <v>163</v>
      </c>
      <c r="AO44" s="575" t="s">
        <v>160</v>
      </c>
      <c r="AP44" s="575"/>
      <c r="AQ44" s="575"/>
      <c r="AR44" s="575"/>
      <c r="AS44" s="575" t="s">
        <v>163</v>
      </c>
      <c r="AT44" s="575" t="s">
        <v>160</v>
      </c>
      <c r="AU44" s="575"/>
      <c r="AV44" s="575"/>
      <c r="AW44" s="575"/>
      <c r="AX44" s="575" t="s">
        <v>163</v>
      </c>
    </row>
    <row r="45" spans="2:50" ht="14.25" customHeight="1">
      <c r="B45" s="575"/>
      <c r="C45" s="575"/>
      <c r="D45" s="575"/>
      <c r="E45" s="575" t="s">
        <v>377</v>
      </c>
      <c r="F45" s="575"/>
      <c r="G45" s="575"/>
      <c r="H45" s="575"/>
      <c r="I45" s="579" t="s">
        <v>377</v>
      </c>
      <c r="J45" s="579"/>
      <c r="K45" s="579"/>
      <c r="L45" s="579"/>
      <c r="M45" s="579"/>
      <c r="N45" s="575"/>
      <c r="O45" s="575"/>
      <c r="P45" s="575" t="s">
        <v>378</v>
      </c>
      <c r="Q45" s="575"/>
      <c r="R45" s="575"/>
      <c r="S45" s="575"/>
      <c r="T45" s="575"/>
      <c r="U45" s="575" t="s">
        <v>378</v>
      </c>
      <c r="V45" s="575"/>
      <c r="W45" s="575"/>
      <c r="X45" s="575"/>
      <c r="Y45" s="575"/>
      <c r="Z45" s="575" t="s">
        <v>378</v>
      </c>
      <c r="AA45" s="575"/>
      <c r="AB45" s="575"/>
      <c r="AC45" s="575"/>
      <c r="AD45" s="575"/>
      <c r="AE45" s="575" t="s">
        <v>378</v>
      </c>
      <c r="AF45" s="575"/>
      <c r="AG45" s="575"/>
      <c r="AH45" s="575"/>
      <c r="AI45" s="575"/>
      <c r="AJ45" s="575" t="s">
        <v>378</v>
      </c>
      <c r="AK45" s="575"/>
      <c r="AL45" s="575"/>
      <c r="AM45" s="575"/>
      <c r="AN45" s="575"/>
      <c r="AO45" s="575" t="s">
        <v>378</v>
      </c>
      <c r="AP45" s="575"/>
      <c r="AQ45" s="575"/>
      <c r="AR45" s="575"/>
      <c r="AS45" s="575"/>
      <c r="AT45" s="575" t="s">
        <v>378</v>
      </c>
      <c r="AU45" s="575"/>
      <c r="AV45" s="575"/>
      <c r="AW45" s="575"/>
      <c r="AX45" s="575"/>
    </row>
    <row r="46" spans="2:50" ht="14.25" customHeight="1">
      <c r="B46" s="575"/>
      <c r="C46" s="575"/>
      <c r="D46" s="575"/>
      <c r="E46" s="180" t="s">
        <v>159</v>
      </c>
      <c r="F46" s="180" t="s">
        <v>379</v>
      </c>
      <c r="G46" s="180" t="s">
        <v>161</v>
      </c>
      <c r="H46" s="575"/>
      <c r="I46" s="181" t="s">
        <v>159</v>
      </c>
      <c r="J46" s="181" t="s">
        <v>379</v>
      </c>
      <c r="K46" s="181" t="s">
        <v>161</v>
      </c>
      <c r="L46" s="579"/>
      <c r="M46" s="579"/>
      <c r="N46" s="575"/>
      <c r="O46" s="575"/>
      <c r="P46" s="180" t="s">
        <v>159</v>
      </c>
      <c r="Q46" s="180" t="s">
        <v>379</v>
      </c>
      <c r="R46" s="180" t="s">
        <v>161</v>
      </c>
      <c r="S46" s="182" t="s">
        <v>165</v>
      </c>
      <c r="T46" s="575"/>
      <c r="U46" s="180" t="s">
        <v>159</v>
      </c>
      <c r="V46" s="180" t="s">
        <v>379</v>
      </c>
      <c r="W46" s="180" t="s">
        <v>161</v>
      </c>
      <c r="X46" s="182" t="s">
        <v>165</v>
      </c>
      <c r="Y46" s="575"/>
      <c r="Z46" s="180" t="s">
        <v>159</v>
      </c>
      <c r="AA46" s="180" t="s">
        <v>379</v>
      </c>
      <c r="AB46" s="180" t="s">
        <v>161</v>
      </c>
      <c r="AC46" s="182" t="s">
        <v>165</v>
      </c>
      <c r="AD46" s="575"/>
      <c r="AE46" s="180" t="s">
        <v>159</v>
      </c>
      <c r="AF46" s="180" t="s">
        <v>379</v>
      </c>
      <c r="AG46" s="180" t="s">
        <v>161</v>
      </c>
      <c r="AH46" s="182" t="s">
        <v>165</v>
      </c>
      <c r="AI46" s="575"/>
      <c r="AJ46" s="180" t="s">
        <v>159</v>
      </c>
      <c r="AK46" s="180" t="s">
        <v>379</v>
      </c>
      <c r="AL46" s="180" t="s">
        <v>161</v>
      </c>
      <c r="AM46" s="182" t="s">
        <v>165</v>
      </c>
      <c r="AN46" s="575"/>
      <c r="AO46" s="180" t="s">
        <v>159</v>
      </c>
      <c r="AP46" s="180" t="s">
        <v>379</v>
      </c>
      <c r="AQ46" s="180" t="s">
        <v>161</v>
      </c>
      <c r="AR46" s="182" t="s">
        <v>165</v>
      </c>
      <c r="AS46" s="575"/>
      <c r="AT46" s="180" t="s">
        <v>159</v>
      </c>
      <c r="AU46" s="180" t="s">
        <v>379</v>
      </c>
      <c r="AV46" s="180" t="s">
        <v>161</v>
      </c>
      <c r="AW46" s="182" t="s">
        <v>165</v>
      </c>
      <c r="AX46" s="575"/>
    </row>
    <row r="47" spans="2:50" ht="14.25" customHeight="1">
      <c r="B47" s="575" t="s">
        <v>143</v>
      </c>
      <c r="C47" s="180">
        <v>1</v>
      </c>
      <c r="D47" s="183" t="s">
        <v>362</v>
      </c>
      <c r="E47" s="180">
        <v>13</v>
      </c>
      <c r="F47" s="180">
        <v>1200</v>
      </c>
      <c r="G47" s="185">
        <f t="shared" ref="G47" si="22">F47/E47</f>
        <v>92.307692307692307</v>
      </c>
      <c r="H47" s="576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1079.8476241000383</v>
      </c>
      <c r="K47" s="187">
        <f>AVERAGE(R47,W47,AB47,AG47,AL47,AQ47,AV47)</f>
        <v>83.065201853849089</v>
      </c>
      <c r="L47" s="577">
        <f>IFERROR(AVERAGE(K47:K61),"-")</f>
        <v>83.065201853849089</v>
      </c>
      <c r="M47" s="186">
        <f>RANK(K47, K$47:$K$61)</f>
        <v>1</v>
      </c>
      <c r="N47" s="575"/>
      <c r="O47" s="575"/>
      <c r="P47" s="188">
        <v>13</v>
      </c>
      <c r="Q47" s="188">
        <v>1079.7619098143239</v>
      </c>
      <c r="R47" s="185">
        <f>IFERROR(Q47/P47,"")</f>
        <v>83.058608447255679</v>
      </c>
      <c r="S47" s="182">
        <f>RANK(R47, R$47:R$61)</f>
        <v>1</v>
      </c>
      <c r="T47" s="576">
        <f>AVERAGE(R47:R61)</f>
        <v>83.058608447255679</v>
      </c>
      <c r="U47" s="188">
        <v>13</v>
      </c>
      <c r="V47" s="188">
        <v>1079.2819098143236</v>
      </c>
      <c r="W47" s="185">
        <f t="shared" ref="W47" si="23">IFERROR(V47/U47,"")</f>
        <v>83.021685370332591</v>
      </c>
      <c r="X47" s="182">
        <f>RANK(W47, W$47:W$61)</f>
        <v>1</v>
      </c>
      <c r="Y47" s="576">
        <f>AVERAGE(W47:W61)</f>
        <v>83.021685370332591</v>
      </c>
      <c r="Z47" s="188">
        <v>13</v>
      </c>
      <c r="AA47" s="188">
        <v>1079.401909814324</v>
      </c>
      <c r="AB47" s="185">
        <f t="shared" ref="AB47" si="24">IFERROR(AA47/Z47,"")</f>
        <v>83.030916139563388</v>
      </c>
      <c r="AC47" s="182">
        <f>RANK(AB47, AB$47:AB$61)</f>
        <v>1</v>
      </c>
      <c r="AD47" s="576">
        <f>AVERAGE(AB47:AB61)</f>
        <v>83.030916139563388</v>
      </c>
      <c r="AE47" s="188">
        <v>13</v>
      </c>
      <c r="AF47" s="188">
        <v>1080.0019098143239</v>
      </c>
      <c r="AG47" s="185">
        <f>IFERROR(AF47/AE47,"")</f>
        <v>83.077069985717216</v>
      </c>
      <c r="AH47" s="182">
        <f>RANK(AG47, AG$47:AG$61)</f>
        <v>1</v>
      </c>
      <c r="AI47" s="576">
        <f>AVERAGE(AG47:AG61)</f>
        <v>83.077069985717216</v>
      </c>
      <c r="AJ47" s="188">
        <v>13</v>
      </c>
      <c r="AK47" s="188">
        <v>1080.1219098143238</v>
      </c>
      <c r="AL47" s="185">
        <f t="shared" ref="AL47" si="25">IFERROR(AK47/AJ47,"")</f>
        <v>83.086300754947985</v>
      </c>
      <c r="AM47" s="182">
        <f>RANK(AL47, AL$47:AL$61)</f>
        <v>1</v>
      </c>
      <c r="AN47" s="576">
        <f>AVERAGE(AL47:AL61)</f>
        <v>83.086300754947985</v>
      </c>
      <c r="AO47" s="188">
        <v>13</v>
      </c>
      <c r="AP47" s="188">
        <v>1080.0019098143239</v>
      </c>
      <c r="AQ47" s="185">
        <f t="shared" ref="AQ47" si="26">IFERROR(AP47/AO47,"")</f>
        <v>83.077069985717216</v>
      </c>
      <c r="AR47" s="182">
        <f>RANK(AQ47, AQ$47:AQ$61)</f>
        <v>1</v>
      </c>
      <c r="AS47" s="576">
        <f>AVERAGE(AQ47:AQ61)</f>
        <v>83.077069985717216</v>
      </c>
      <c r="AT47" s="188">
        <v>13</v>
      </c>
      <c r="AU47" s="188">
        <v>1080.3619098143238</v>
      </c>
      <c r="AV47" s="185">
        <f t="shared" ref="AV47" si="27">IFERROR(AU47/AT47,"")</f>
        <v>83.104762293409522</v>
      </c>
      <c r="AW47" s="182">
        <f>RANK(AV47, AV$47:AV$61)</f>
        <v>1</v>
      </c>
      <c r="AX47" s="576">
        <f>AVERAGE(AV47:AV61)</f>
        <v>83.104762293409522</v>
      </c>
    </row>
    <row r="48" spans="2:50" ht="14.25" customHeight="1">
      <c r="B48" s="575"/>
      <c r="C48" s="180">
        <v>2</v>
      </c>
      <c r="D48" s="183"/>
      <c r="E48" s="180"/>
      <c r="F48" s="180"/>
      <c r="G48" s="185"/>
      <c r="H48" s="576"/>
      <c r="I48" s="186"/>
      <c r="J48" s="186"/>
      <c r="K48" s="187"/>
      <c r="L48" s="577"/>
      <c r="M48" s="186"/>
      <c r="N48" s="575"/>
      <c r="O48" s="575"/>
      <c r="P48" s="188"/>
      <c r="Q48" s="188"/>
      <c r="R48" s="185"/>
      <c r="S48" s="182"/>
      <c r="T48" s="576"/>
      <c r="U48" s="188"/>
      <c r="V48" s="188"/>
      <c r="W48" s="185"/>
      <c r="X48" s="182"/>
      <c r="Y48" s="576"/>
      <c r="Z48" s="188"/>
      <c r="AA48" s="188"/>
      <c r="AB48" s="185"/>
      <c r="AC48" s="182"/>
      <c r="AD48" s="576"/>
      <c r="AE48" s="188"/>
      <c r="AF48" s="188"/>
      <c r="AG48" s="185"/>
      <c r="AH48" s="182"/>
      <c r="AI48" s="576"/>
      <c r="AJ48" s="188"/>
      <c r="AK48" s="188"/>
      <c r="AL48" s="185"/>
      <c r="AM48" s="182"/>
      <c r="AN48" s="576"/>
      <c r="AO48" s="188"/>
      <c r="AP48" s="188"/>
      <c r="AQ48" s="185"/>
      <c r="AR48" s="182"/>
      <c r="AS48" s="576"/>
      <c r="AT48" s="188"/>
      <c r="AU48" s="188"/>
      <c r="AV48" s="185"/>
      <c r="AW48" s="182"/>
      <c r="AX48" s="576"/>
    </row>
    <row r="49" spans="2:50" ht="14.25" customHeight="1">
      <c r="B49" s="575"/>
      <c r="C49" s="180">
        <v>3</v>
      </c>
      <c r="D49" s="183"/>
      <c r="E49" s="180"/>
      <c r="F49" s="180"/>
      <c r="G49" s="185"/>
      <c r="H49" s="576"/>
      <c r="I49" s="186"/>
      <c r="J49" s="186"/>
      <c r="K49" s="187"/>
      <c r="L49" s="577"/>
      <c r="M49" s="186"/>
      <c r="N49" s="575"/>
      <c r="O49" s="575"/>
      <c r="P49" s="188"/>
      <c r="Q49" s="188"/>
      <c r="R49" s="185"/>
      <c r="S49" s="182"/>
      <c r="T49" s="576"/>
      <c r="U49" s="188"/>
      <c r="V49" s="188"/>
      <c r="W49" s="185"/>
      <c r="X49" s="182"/>
      <c r="Y49" s="576"/>
      <c r="Z49" s="188"/>
      <c r="AA49" s="188"/>
      <c r="AB49" s="185"/>
      <c r="AC49" s="182"/>
      <c r="AD49" s="576"/>
      <c r="AE49" s="188"/>
      <c r="AF49" s="188"/>
      <c r="AG49" s="185"/>
      <c r="AH49" s="182"/>
      <c r="AI49" s="576"/>
      <c r="AJ49" s="188"/>
      <c r="AK49" s="188"/>
      <c r="AL49" s="185"/>
      <c r="AM49" s="182"/>
      <c r="AN49" s="576"/>
      <c r="AO49" s="188"/>
      <c r="AP49" s="188"/>
      <c r="AQ49" s="185"/>
      <c r="AR49" s="182"/>
      <c r="AS49" s="576"/>
      <c r="AT49" s="188"/>
      <c r="AU49" s="188"/>
      <c r="AV49" s="185"/>
      <c r="AW49" s="182"/>
      <c r="AX49" s="576"/>
    </row>
    <row r="50" spans="2:50" ht="14.25" customHeight="1">
      <c r="B50" s="575"/>
      <c r="C50" s="180">
        <v>4</v>
      </c>
      <c r="D50" s="183"/>
      <c r="E50" s="180"/>
      <c r="F50" s="180"/>
      <c r="G50" s="185"/>
      <c r="H50" s="576"/>
      <c r="I50" s="186"/>
      <c r="J50" s="186"/>
      <c r="K50" s="187"/>
      <c r="L50" s="577"/>
      <c r="M50" s="186"/>
      <c r="N50" s="575"/>
      <c r="O50" s="575"/>
      <c r="P50" s="188"/>
      <c r="Q50" s="188"/>
      <c r="R50" s="185"/>
      <c r="S50" s="182"/>
      <c r="T50" s="576"/>
      <c r="U50" s="188"/>
      <c r="V50" s="188"/>
      <c r="W50" s="185"/>
      <c r="X50" s="182"/>
      <c r="Y50" s="576"/>
      <c r="Z50" s="188"/>
      <c r="AA50" s="188"/>
      <c r="AB50" s="185"/>
      <c r="AC50" s="182"/>
      <c r="AD50" s="576"/>
      <c r="AE50" s="188"/>
      <c r="AF50" s="188"/>
      <c r="AG50" s="185"/>
      <c r="AH50" s="182"/>
      <c r="AI50" s="576"/>
      <c r="AJ50" s="188"/>
      <c r="AK50" s="188"/>
      <c r="AL50" s="185"/>
      <c r="AM50" s="182"/>
      <c r="AN50" s="576"/>
      <c r="AO50" s="188"/>
      <c r="AP50" s="188"/>
      <c r="AQ50" s="185"/>
      <c r="AR50" s="182"/>
      <c r="AS50" s="576"/>
      <c r="AT50" s="188"/>
      <c r="AU50" s="188"/>
      <c r="AV50" s="185"/>
      <c r="AW50" s="182"/>
      <c r="AX50" s="576"/>
    </row>
    <row r="51" spans="2:50" ht="14.25" customHeight="1">
      <c r="B51" s="575"/>
      <c r="C51" s="180">
        <v>5</v>
      </c>
      <c r="D51" s="183"/>
      <c r="E51" s="180"/>
      <c r="F51" s="180"/>
      <c r="G51" s="185"/>
      <c r="H51" s="576"/>
      <c r="I51" s="186"/>
      <c r="J51" s="186"/>
      <c r="K51" s="187"/>
      <c r="L51" s="577"/>
      <c r="M51" s="186"/>
      <c r="N51" s="575"/>
      <c r="O51" s="575"/>
      <c r="P51" s="188"/>
      <c r="Q51" s="188"/>
      <c r="R51" s="185"/>
      <c r="S51" s="182"/>
      <c r="T51" s="576"/>
      <c r="U51" s="188"/>
      <c r="V51" s="188"/>
      <c r="W51" s="185"/>
      <c r="X51" s="182"/>
      <c r="Y51" s="576"/>
      <c r="Z51" s="188"/>
      <c r="AA51" s="188"/>
      <c r="AB51" s="185"/>
      <c r="AC51" s="182"/>
      <c r="AD51" s="576"/>
      <c r="AE51" s="188"/>
      <c r="AF51" s="188"/>
      <c r="AG51" s="185"/>
      <c r="AH51" s="182"/>
      <c r="AI51" s="576"/>
      <c r="AJ51" s="188"/>
      <c r="AK51" s="188"/>
      <c r="AL51" s="185"/>
      <c r="AM51" s="182"/>
      <c r="AN51" s="576"/>
      <c r="AO51" s="188"/>
      <c r="AP51" s="188"/>
      <c r="AQ51" s="185"/>
      <c r="AR51" s="182"/>
      <c r="AS51" s="576"/>
      <c r="AT51" s="188"/>
      <c r="AU51" s="188"/>
      <c r="AV51" s="185"/>
      <c r="AW51" s="182"/>
      <c r="AX51" s="576"/>
    </row>
    <row r="52" spans="2:50" ht="14.25" customHeight="1">
      <c r="B52" s="575"/>
      <c r="C52" s="180">
        <v>6</v>
      </c>
      <c r="D52" s="183"/>
      <c r="E52" s="180"/>
      <c r="F52" s="180"/>
      <c r="G52" s="185"/>
      <c r="H52" s="576"/>
      <c r="I52" s="186"/>
      <c r="J52" s="186"/>
      <c r="K52" s="187"/>
      <c r="L52" s="577"/>
      <c r="M52" s="186"/>
      <c r="N52" s="575"/>
      <c r="O52" s="575"/>
      <c r="P52" s="188"/>
      <c r="Q52" s="188"/>
      <c r="R52" s="185"/>
      <c r="S52" s="182"/>
      <c r="T52" s="576"/>
      <c r="U52" s="188"/>
      <c r="V52" s="188"/>
      <c r="W52" s="185"/>
      <c r="X52" s="182"/>
      <c r="Y52" s="576"/>
      <c r="Z52" s="188"/>
      <c r="AA52" s="188"/>
      <c r="AB52" s="185"/>
      <c r="AC52" s="182"/>
      <c r="AD52" s="576"/>
      <c r="AE52" s="188"/>
      <c r="AF52" s="188"/>
      <c r="AG52" s="185"/>
      <c r="AH52" s="182"/>
      <c r="AI52" s="576"/>
      <c r="AJ52" s="188"/>
      <c r="AK52" s="188"/>
      <c r="AL52" s="185"/>
      <c r="AM52" s="182"/>
      <c r="AN52" s="576"/>
      <c r="AO52" s="188"/>
      <c r="AP52" s="188"/>
      <c r="AQ52" s="185"/>
      <c r="AR52" s="182"/>
      <c r="AS52" s="576"/>
      <c r="AT52" s="188"/>
      <c r="AU52" s="188"/>
      <c r="AV52" s="185"/>
      <c r="AW52" s="182"/>
      <c r="AX52" s="576"/>
    </row>
    <row r="53" spans="2:50" ht="14.25" customHeight="1">
      <c r="B53" s="575"/>
      <c r="C53" s="180">
        <v>7</v>
      </c>
      <c r="D53" s="183"/>
      <c r="E53" s="180"/>
      <c r="F53" s="180"/>
      <c r="G53" s="185"/>
      <c r="H53" s="576"/>
      <c r="I53" s="186"/>
      <c r="J53" s="186"/>
      <c r="K53" s="187"/>
      <c r="L53" s="577"/>
      <c r="M53" s="186"/>
      <c r="N53" s="575"/>
      <c r="O53" s="575"/>
      <c r="P53" s="188"/>
      <c r="Q53" s="188"/>
      <c r="R53" s="185"/>
      <c r="S53" s="182"/>
      <c r="T53" s="576"/>
      <c r="U53" s="188"/>
      <c r="V53" s="188"/>
      <c r="W53" s="185"/>
      <c r="X53" s="182"/>
      <c r="Y53" s="576"/>
      <c r="Z53" s="188"/>
      <c r="AA53" s="188"/>
      <c r="AB53" s="185"/>
      <c r="AC53" s="182"/>
      <c r="AD53" s="576"/>
      <c r="AE53" s="188"/>
      <c r="AF53" s="188"/>
      <c r="AG53" s="185"/>
      <c r="AH53" s="182"/>
      <c r="AI53" s="576"/>
      <c r="AJ53" s="188"/>
      <c r="AK53" s="188"/>
      <c r="AL53" s="185"/>
      <c r="AM53" s="182"/>
      <c r="AN53" s="576"/>
      <c r="AO53" s="188"/>
      <c r="AP53" s="188"/>
      <c r="AQ53" s="185"/>
      <c r="AR53" s="182"/>
      <c r="AS53" s="576"/>
      <c r="AT53" s="188"/>
      <c r="AU53" s="188"/>
      <c r="AV53" s="185"/>
      <c r="AW53" s="182"/>
      <c r="AX53" s="576"/>
    </row>
    <row r="54" spans="2:50" ht="14.25" customHeight="1">
      <c r="B54" s="575"/>
      <c r="C54" s="180">
        <v>8</v>
      </c>
      <c r="D54" s="183"/>
      <c r="E54" s="180"/>
      <c r="F54" s="180"/>
      <c r="G54" s="185"/>
      <c r="H54" s="576"/>
      <c r="I54" s="186"/>
      <c r="J54" s="186"/>
      <c r="K54" s="187"/>
      <c r="L54" s="577"/>
      <c r="M54" s="186"/>
      <c r="N54" s="575"/>
      <c r="O54" s="575"/>
      <c r="P54" s="188"/>
      <c r="Q54" s="188"/>
      <c r="R54" s="185"/>
      <c r="S54" s="182"/>
      <c r="T54" s="576"/>
      <c r="U54" s="188"/>
      <c r="V54" s="188"/>
      <c r="W54" s="185"/>
      <c r="X54" s="182"/>
      <c r="Y54" s="576"/>
      <c r="Z54" s="188"/>
      <c r="AA54" s="188"/>
      <c r="AB54" s="185"/>
      <c r="AC54" s="182"/>
      <c r="AD54" s="576"/>
      <c r="AE54" s="188"/>
      <c r="AF54" s="188"/>
      <c r="AG54" s="185"/>
      <c r="AH54" s="182"/>
      <c r="AI54" s="576"/>
      <c r="AJ54" s="188"/>
      <c r="AK54" s="188"/>
      <c r="AL54" s="185"/>
      <c r="AM54" s="182"/>
      <c r="AN54" s="576"/>
      <c r="AO54" s="188"/>
      <c r="AP54" s="188"/>
      <c r="AQ54" s="185"/>
      <c r="AR54" s="182"/>
      <c r="AS54" s="576"/>
      <c r="AT54" s="188"/>
      <c r="AU54" s="188"/>
      <c r="AV54" s="185"/>
      <c r="AW54" s="182"/>
      <c r="AX54" s="576"/>
    </row>
    <row r="55" spans="2:50" ht="14.25" customHeight="1">
      <c r="B55" s="575"/>
      <c r="C55" s="180">
        <v>9</v>
      </c>
      <c r="D55" s="183"/>
      <c r="E55" s="180"/>
      <c r="F55" s="180"/>
      <c r="G55" s="185"/>
      <c r="H55" s="576"/>
      <c r="I55" s="186"/>
      <c r="J55" s="186"/>
      <c r="K55" s="187"/>
      <c r="L55" s="577"/>
      <c r="M55" s="186"/>
      <c r="N55" s="575"/>
      <c r="O55" s="575"/>
      <c r="P55" s="188"/>
      <c r="Q55" s="188"/>
      <c r="R55" s="185"/>
      <c r="S55" s="182"/>
      <c r="T55" s="576"/>
      <c r="U55" s="188"/>
      <c r="V55" s="188"/>
      <c r="W55" s="185"/>
      <c r="X55" s="182"/>
      <c r="Y55" s="576"/>
      <c r="Z55" s="188"/>
      <c r="AA55" s="188"/>
      <c r="AB55" s="185"/>
      <c r="AC55" s="182"/>
      <c r="AD55" s="576"/>
      <c r="AE55" s="188"/>
      <c r="AF55" s="188"/>
      <c r="AG55" s="185"/>
      <c r="AH55" s="182"/>
      <c r="AI55" s="576"/>
      <c r="AJ55" s="188"/>
      <c r="AK55" s="188"/>
      <c r="AL55" s="185"/>
      <c r="AM55" s="182"/>
      <c r="AN55" s="576"/>
      <c r="AO55" s="188"/>
      <c r="AP55" s="188"/>
      <c r="AQ55" s="185"/>
      <c r="AR55" s="182"/>
      <c r="AS55" s="576"/>
      <c r="AT55" s="188"/>
      <c r="AU55" s="188"/>
      <c r="AV55" s="185"/>
      <c r="AW55" s="182"/>
      <c r="AX55" s="576"/>
    </row>
    <row r="56" spans="2:50" ht="14.25" customHeight="1">
      <c r="B56" s="575"/>
      <c r="C56" s="180">
        <v>10</v>
      </c>
      <c r="D56" s="183"/>
      <c r="E56" s="180"/>
      <c r="F56" s="180"/>
      <c r="G56" s="185"/>
      <c r="H56" s="576"/>
      <c r="I56" s="186"/>
      <c r="J56" s="186"/>
      <c r="K56" s="187"/>
      <c r="L56" s="577"/>
      <c r="M56" s="186"/>
      <c r="N56" s="575"/>
      <c r="O56" s="575"/>
      <c r="P56" s="188"/>
      <c r="Q56" s="188"/>
      <c r="R56" s="185"/>
      <c r="S56" s="182"/>
      <c r="T56" s="576"/>
      <c r="U56" s="188"/>
      <c r="V56" s="188"/>
      <c r="W56" s="185"/>
      <c r="X56" s="182"/>
      <c r="Y56" s="576"/>
      <c r="Z56" s="188"/>
      <c r="AA56" s="188"/>
      <c r="AB56" s="185"/>
      <c r="AC56" s="182"/>
      <c r="AD56" s="576"/>
      <c r="AE56" s="188"/>
      <c r="AF56" s="188"/>
      <c r="AG56" s="185"/>
      <c r="AH56" s="182"/>
      <c r="AI56" s="576"/>
      <c r="AJ56" s="188"/>
      <c r="AK56" s="188"/>
      <c r="AL56" s="185"/>
      <c r="AM56" s="182"/>
      <c r="AN56" s="576"/>
      <c r="AO56" s="188"/>
      <c r="AP56" s="188"/>
      <c r="AQ56" s="185"/>
      <c r="AR56" s="182"/>
      <c r="AS56" s="576"/>
      <c r="AT56" s="188"/>
      <c r="AU56" s="188"/>
      <c r="AV56" s="185"/>
      <c r="AW56" s="182"/>
      <c r="AX56" s="576"/>
    </row>
    <row r="57" spans="2:50" ht="14.25" customHeight="1">
      <c r="B57" s="575"/>
      <c r="C57" s="180">
        <v>11</v>
      </c>
      <c r="D57" s="183"/>
      <c r="E57" s="180"/>
      <c r="F57" s="180"/>
      <c r="G57" s="185"/>
      <c r="H57" s="576"/>
      <c r="I57" s="186"/>
      <c r="J57" s="186"/>
      <c r="K57" s="187"/>
      <c r="L57" s="577"/>
      <c r="M57" s="186"/>
      <c r="N57" s="575"/>
      <c r="O57" s="575"/>
      <c r="P57" s="188"/>
      <c r="Q57" s="188"/>
      <c r="R57" s="185"/>
      <c r="S57" s="182"/>
      <c r="T57" s="576"/>
      <c r="U57" s="188"/>
      <c r="V57" s="188"/>
      <c r="W57" s="185"/>
      <c r="X57" s="182"/>
      <c r="Y57" s="576"/>
      <c r="Z57" s="188"/>
      <c r="AA57" s="188"/>
      <c r="AB57" s="185"/>
      <c r="AC57" s="182"/>
      <c r="AD57" s="576"/>
      <c r="AE57" s="188"/>
      <c r="AF57" s="188"/>
      <c r="AG57" s="185"/>
      <c r="AH57" s="182"/>
      <c r="AI57" s="576"/>
      <c r="AJ57" s="188"/>
      <c r="AK57" s="188"/>
      <c r="AL57" s="185"/>
      <c r="AM57" s="182"/>
      <c r="AN57" s="576"/>
      <c r="AO57" s="188"/>
      <c r="AP57" s="188"/>
      <c r="AQ57" s="185"/>
      <c r="AR57" s="182"/>
      <c r="AS57" s="576"/>
      <c r="AT57" s="188"/>
      <c r="AU57" s="188"/>
      <c r="AV57" s="185"/>
      <c r="AW57" s="182"/>
      <c r="AX57" s="576"/>
    </row>
    <row r="58" spans="2:50" ht="14.25" customHeight="1">
      <c r="B58" s="575"/>
      <c r="C58" s="180">
        <v>12</v>
      </c>
      <c r="D58" s="183"/>
      <c r="E58" s="180"/>
      <c r="F58" s="180"/>
      <c r="G58" s="185"/>
      <c r="H58" s="576"/>
      <c r="I58" s="186"/>
      <c r="J58" s="186"/>
      <c r="K58" s="187"/>
      <c r="L58" s="577"/>
      <c r="M58" s="186"/>
      <c r="N58" s="575"/>
      <c r="O58" s="575"/>
      <c r="P58" s="188"/>
      <c r="Q58" s="188"/>
      <c r="R58" s="185"/>
      <c r="S58" s="182"/>
      <c r="T58" s="576"/>
      <c r="U58" s="188"/>
      <c r="V58" s="188"/>
      <c r="W58" s="185"/>
      <c r="X58" s="182"/>
      <c r="Y58" s="576"/>
      <c r="Z58" s="188"/>
      <c r="AA58" s="188"/>
      <c r="AB58" s="185"/>
      <c r="AC58" s="182"/>
      <c r="AD58" s="576"/>
      <c r="AE58" s="188"/>
      <c r="AF58" s="188"/>
      <c r="AG58" s="185"/>
      <c r="AH58" s="182"/>
      <c r="AI58" s="576"/>
      <c r="AJ58" s="188"/>
      <c r="AK58" s="188"/>
      <c r="AL58" s="185"/>
      <c r="AM58" s="182"/>
      <c r="AN58" s="576"/>
      <c r="AO58" s="188"/>
      <c r="AP58" s="188"/>
      <c r="AQ58" s="185"/>
      <c r="AR58" s="182"/>
      <c r="AS58" s="576"/>
      <c r="AT58" s="188"/>
      <c r="AU58" s="188"/>
      <c r="AV58" s="185"/>
      <c r="AW58" s="182"/>
      <c r="AX58" s="576"/>
    </row>
    <row r="59" spans="2:50" ht="14.25" customHeight="1">
      <c r="B59" s="575"/>
      <c r="C59" s="180">
        <v>13</v>
      </c>
      <c r="D59" s="183"/>
      <c r="E59" s="180"/>
      <c r="F59" s="180"/>
      <c r="G59" s="185"/>
      <c r="H59" s="576"/>
      <c r="I59" s="186"/>
      <c r="J59" s="186"/>
      <c r="K59" s="187"/>
      <c r="L59" s="577"/>
      <c r="M59" s="186"/>
      <c r="N59" s="575"/>
      <c r="O59" s="575"/>
      <c r="P59" s="188"/>
      <c r="Q59" s="188"/>
      <c r="R59" s="185"/>
      <c r="S59" s="182"/>
      <c r="T59" s="576"/>
      <c r="U59" s="188"/>
      <c r="V59" s="188"/>
      <c r="W59" s="185"/>
      <c r="X59" s="182"/>
      <c r="Y59" s="576"/>
      <c r="Z59" s="188"/>
      <c r="AA59" s="188"/>
      <c r="AB59" s="185"/>
      <c r="AC59" s="182"/>
      <c r="AD59" s="576"/>
      <c r="AE59" s="188"/>
      <c r="AF59" s="188"/>
      <c r="AG59" s="185"/>
      <c r="AH59" s="182"/>
      <c r="AI59" s="576"/>
      <c r="AJ59" s="188"/>
      <c r="AK59" s="188"/>
      <c r="AL59" s="185"/>
      <c r="AM59" s="182"/>
      <c r="AN59" s="576"/>
      <c r="AO59" s="188"/>
      <c r="AP59" s="188"/>
      <c r="AQ59" s="185"/>
      <c r="AR59" s="182"/>
      <c r="AS59" s="576"/>
      <c r="AT59" s="188"/>
      <c r="AU59" s="188"/>
      <c r="AV59" s="185"/>
      <c r="AW59" s="182"/>
      <c r="AX59" s="576"/>
    </row>
    <row r="60" spans="2:50" ht="14.25" customHeight="1">
      <c r="B60" s="575"/>
      <c r="C60" s="180">
        <v>14</v>
      </c>
      <c r="D60" s="183"/>
      <c r="E60" s="180"/>
      <c r="F60" s="180"/>
      <c r="G60" s="185"/>
      <c r="H60" s="576"/>
      <c r="I60" s="186"/>
      <c r="J60" s="186"/>
      <c r="K60" s="187"/>
      <c r="L60" s="577"/>
      <c r="M60" s="186"/>
      <c r="N60" s="575"/>
      <c r="O60" s="575"/>
      <c r="P60" s="188"/>
      <c r="Q60" s="188"/>
      <c r="R60" s="185"/>
      <c r="S60" s="182"/>
      <c r="T60" s="576"/>
      <c r="U60" s="188"/>
      <c r="V60" s="188"/>
      <c r="W60" s="185"/>
      <c r="X60" s="182"/>
      <c r="Y60" s="576"/>
      <c r="Z60" s="188"/>
      <c r="AA60" s="188"/>
      <c r="AB60" s="185"/>
      <c r="AC60" s="182"/>
      <c r="AD60" s="576"/>
      <c r="AE60" s="188"/>
      <c r="AF60" s="188"/>
      <c r="AG60" s="185"/>
      <c r="AH60" s="182"/>
      <c r="AI60" s="576"/>
      <c r="AJ60" s="188"/>
      <c r="AK60" s="188"/>
      <c r="AL60" s="185"/>
      <c r="AM60" s="182"/>
      <c r="AN60" s="576"/>
      <c r="AO60" s="188"/>
      <c r="AP60" s="188"/>
      <c r="AQ60" s="185"/>
      <c r="AR60" s="182"/>
      <c r="AS60" s="576"/>
      <c r="AT60" s="188"/>
      <c r="AU60" s="188"/>
      <c r="AV60" s="185"/>
      <c r="AW60" s="182"/>
      <c r="AX60" s="576"/>
    </row>
    <row r="61" spans="2:50" ht="14.25" customHeight="1">
      <c r="B61" s="575"/>
      <c r="C61" s="180">
        <v>15</v>
      </c>
      <c r="D61" s="183"/>
      <c r="E61" s="180"/>
      <c r="F61" s="180"/>
      <c r="G61" s="185"/>
      <c r="H61" s="576"/>
      <c r="I61" s="186"/>
      <c r="J61" s="186"/>
      <c r="K61" s="187"/>
      <c r="L61" s="577"/>
      <c r="M61" s="186"/>
      <c r="N61" s="575"/>
      <c r="O61" s="575"/>
      <c r="P61" s="188"/>
      <c r="Q61" s="188"/>
      <c r="R61" s="185"/>
      <c r="S61" s="182"/>
      <c r="T61" s="576"/>
      <c r="U61" s="188"/>
      <c r="V61" s="188"/>
      <c r="W61" s="185"/>
      <c r="X61" s="182"/>
      <c r="Y61" s="576"/>
      <c r="Z61" s="188"/>
      <c r="AA61" s="188"/>
      <c r="AB61" s="185"/>
      <c r="AC61" s="182"/>
      <c r="AD61" s="576"/>
      <c r="AE61" s="188"/>
      <c r="AF61" s="188"/>
      <c r="AG61" s="185"/>
      <c r="AH61" s="182"/>
      <c r="AI61" s="576"/>
      <c r="AJ61" s="188"/>
      <c r="AK61" s="188"/>
      <c r="AL61" s="185"/>
      <c r="AM61" s="182"/>
      <c r="AN61" s="576"/>
      <c r="AO61" s="188"/>
      <c r="AP61" s="188"/>
      <c r="AQ61" s="185"/>
      <c r="AR61" s="182"/>
      <c r="AS61" s="576"/>
      <c r="AT61" s="188"/>
      <c r="AU61" s="188"/>
      <c r="AV61" s="185"/>
      <c r="AW61" s="182"/>
      <c r="AX61" s="576"/>
    </row>
  </sheetData>
  <mergeCells count="177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80"/>
  <sheetViews>
    <sheetView view="pageBreakPreview" topLeftCell="A47" zoomScale="115" zoomScaleNormal="60" zoomScaleSheetLayoutView="115" workbookViewId="0">
      <selection activeCell="J76" sqref="J76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509" t="s">
        <v>384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189"/>
    </row>
    <row r="2" spans="1:18" s="19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</row>
    <row r="3" spans="1:18" ht="15.75" customHeight="1">
      <c r="A3" s="673" t="s">
        <v>642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  <c r="M3" s="189"/>
    </row>
    <row r="4" spans="1:18" s="190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</row>
    <row r="5" spans="1:18" s="178" customFormat="1" ht="15.75" customHeight="1">
      <c r="A5" s="671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71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355</v>
      </c>
      <c r="G6" s="196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72" t="s">
        <v>188</v>
      </c>
      <c r="B7" s="672"/>
      <c r="C7" s="160" t="s">
        <v>47</v>
      </c>
      <c r="D7" s="672" t="s">
        <v>12</v>
      </c>
      <c r="E7" s="674"/>
      <c r="F7" s="674"/>
      <c r="G7" s="160" t="s">
        <v>46</v>
      </c>
      <c r="H7" s="160" t="s">
        <v>386</v>
      </c>
      <c r="I7" s="160" t="s">
        <v>387</v>
      </c>
      <c r="J7" s="160" t="s">
        <v>332</v>
      </c>
      <c r="K7" s="672" t="s">
        <v>51</v>
      </c>
      <c r="L7" s="674"/>
      <c r="M7" s="193"/>
      <c r="P7" s="427"/>
      <c r="Q7" s="427"/>
    </row>
    <row r="8" spans="1:18" ht="15.75" customHeight="1">
      <c r="A8" s="671">
        <v>1</v>
      </c>
      <c r="B8" s="672" t="s">
        <v>388</v>
      </c>
      <c r="C8" s="200">
        <v>1</v>
      </c>
      <c r="D8" s="667" t="s">
        <v>466</v>
      </c>
      <c r="E8" s="668"/>
      <c r="F8" s="668"/>
      <c r="G8" s="200">
        <v>3</v>
      </c>
      <c r="H8" s="202">
        <v>3180.9857471046348</v>
      </c>
      <c r="I8" s="203">
        <v>1060.3285823682113</v>
      </c>
      <c r="J8" s="221">
        <v>2.072115514430152</v>
      </c>
      <c r="K8" s="667" t="s">
        <v>459</v>
      </c>
      <c r="L8" s="668"/>
      <c r="N8" s="178"/>
      <c r="O8" s="178"/>
      <c r="P8" s="427"/>
      <c r="Q8" s="427"/>
      <c r="R8" s="178"/>
    </row>
    <row r="9" spans="1:18" ht="15.75" customHeight="1">
      <c r="A9" s="671"/>
      <c r="B9" s="672"/>
      <c r="C9" s="200">
        <v>2</v>
      </c>
      <c r="D9" s="667" t="s">
        <v>402</v>
      </c>
      <c r="E9" s="668"/>
      <c r="F9" s="668"/>
      <c r="G9" s="200">
        <v>3</v>
      </c>
      <c r="H9" s="202">
        <v>3178.836210245116</v>
      </c>
      <c r="I9" s="203">
        <v>1059.612070081705</v>
      </c>
      <c r="J9" s="221">
        <v>0.57719549017110694</v>
      </c>
      <c r="K9" s="667" t="s">
        <v>459</v>
      </c>
      <c r="L9" s="668"/>
      <c r="N9" s="178"/>
      <c r="O9" s="178"/>
      <c r="P9" s="427"/>
      <c r="Q9" s="427"/>
      <c r="R9" s="178"/>
    </row>
    <row r="10" spans="1:18" ht="15.75" customHeight="1">
      <c r="A10" s="671"/>
      <c r="B10" s="672"/>
      <c r="C10" s="200">
        <v>3</v>
      </c>
      <c r="D10" s="667" t="s">
        <v>412</v>
      </c>
      <c r="E10" s="668"/>
      <c r="F10" s="668"/>
      <c r="G10" s="200">
        <v>3</v>
      </c>
      <c r="H10" s="202">
        <v>3177.4049349391148</v>
      </c>
      <c r="I10" s="203">
        <v>1059.1349783130386</v>
      </c>
      <c r="J10" s="221">
        <v>0.86590446793798037</v>
      </c>
      <c r="K10" s="667" t="s">
        <v>459</v>
      </c>
      <c r="L10" s="668"/>
      <c r="N10" s="178"/>
      <c r="O10" s="178"/>
      <c r="P10" s="427"/>
      <c r="Q10" s="427"/>
      <c r="R10" s="178"/>
    </row>
    <row r="11" spans="1:18" ht="15.75" customHeight="1">
      <c r="A11" s="671"/>
      <c r="B11" s="672"/>
      <c r="C11" s="200">
        <v>4</v>
      </c>
      <c r="D11" s="667" t="s">
        <v>407</v>
      </c>
      <c r="E11" s="668"/>
      <c r="F11" s="668"/>
      <c r="G11" s="200">
        <v>3</v>
      </c>
      <c r="H11" s="202">
        <v>3176.4997092153685</v>
      </c>
      <c r="I11" s="203">
        <v>1058.8332364051228</v>
      </c>
      <c r="J11" s="221">
        <v>0.28062599143049738</v>
      </c>
      <c r="K11" s="667" t="s">
        <v>459</v>
      </c>
      <c r="L11" s="668"/>
      <c r="O11" s="178"/>
      <c r="P11" s="427"/>
      <c r="Q11" s="427"/>
      <c r="R11" s="178"/>
    </row>
    <row r="12" spans="1:18" ht="15.75" customHeight="1">
      <c r="A12" s="671"/>
      <c r="B12" s="672"/>
      <c r="C12" s="200">
        <v>5</v>
      </c>
      <c r="D12" s="667" t="s">
        <v>411</v>
      </c>
      <c r="E12" s="668"/>
      <c r="F12" s="668"/>
      <c r="G12" s="200">
        <v>3</v>
      </c>
      <c r="H12" s="202">
        <v>3175.6429731826256</v>
      </c>
      <c r="I12" s="203">
        <v>1058.5476577275419</v>
      </c>
      <c r="J12" s="221"/>
      <c r="K12" s="667" t="s">
        <v>459</v>
      </c>
      <c r="L12" s="668"/>
      <c r="N12" s="178"/>
      <c r="O12" s="178"/>
      <c r="P12" s="427"/>
      <c r="Q12" s="427"/>
      <c r="R12" s="178"/>
    </row>
    <row r="13" spans="1:18" ht="15.75" customHeight="1">
      <c r="A13" s="671"/>
      <c r="B13" s="672"/>
      <c r="C13" s="204" t="s">
        <v>204</v>
      </c>
      <c r="D13" s="668" t="s">
        <v>587</v>
      </c>
      <c r="E13" s="668"/>
      <c r="F13" s="668"/>
      <c r="G13" s="201">
        <v>13</v>
      </c>
      <c r="H13" s="205">
        <v>3172.7093415088698</v>
      </c>
      <c r="I13" s="206">
        <v>244.05456473145145</v>
      </c>
      <c r="J13" s="221">
        <v>16.694897371783924</v>
      </c>
      <c r="K13" s="667" t="s">
        <v>558</v>
      </c>
      <c r="L13" s="668"/>
      <c r="N13" s="178"/>
      <c r="O13" s="178"/>
      <c r="P13" s="427"/>
      <c r="Q13" s="427"/>
      <c r="R13" s="178"/>
    </row>
    <row r="14" spans="1:18" ht="15.75" customHeight="1">
      <c r="A14" s="671"/>
      <c r="B14" s="672"/>
      <c r="C14" s="204" t="s">
        <v>209</v>
      </c>
      <c r="D14" s="668" t="s">
        <v>471</v>
      </c>
      <c r="E14" s="668"/>
      <c r="F14" s="668"/>
      <c r="G14" s="201">
        <v>12</v>
      </c>
      <c r="H14" s="205">
        <v>3124.514992674005</v>
      </c>
      <c r="I14" s="206">
        <v>260.3762493895004</v>
      </c>
      <c r="J14" s="221">
        <v>-0.13944860162916939</v>
      </c>
      <c r="K14" s="667" t="s">
        <v>459</v>
      </c>
      <c r="L14" s="668"/>
      <c r="N14" s="178"/>
      <c r="O14" s="178"/>
      <c r="P14" s="427"/>
      <c r="Q14" s="427"/>
      <c r="R14" s="178"/>
    </row>
    <row r="15" spans="1:18" ht="15.75" customHeight="1">
      <c r="A15" s="671"/>
      <c r="B15" s="672"/>
      <c r="C15" s="204" t="s">
        <v>205</v>
      </c>
      <c r="D15" s="668" t="s">
        <v>474</v>
      </c>
      <c r="E15" s="668"/>
      <c r="F15" s="668"/>
      <c r="G15" s="201">
        <v>12</v>
      </c>
      <c r="H15" s="205">
        <v>3125.1402780743629</v>
      </c>
      <c r="I15" s="206">
        <v>260.42835650619696</v>
      </c>
      <c r="J15" s="221">
        <v>-5.6779801262223373E-2</v>
      </c>
      <c r="K15" s="667" t="s">
        <v>459</v>
      </c>
      <c r="L15" s="668"/>
      <c r="N15" s="178"/>
      <c r="O15" s="178"/>
      <c r="P15" s="427"/>
      <c r="Q15" s="427"/>
      <c r="R15" s="178"/>
    </row>
    <row r="16" spans="1:18" ht="15.75" customHeight="1">
      <c r="A16" s="671"/>
      <c r="B16" s="672"/>
      <c r="C16" s="204" t="s">
        <v>210</v>
      </c>
      <c r="D16" s="668" t="s">
        <v>554</v>
      </c>
      <c r="E16" s="668"/>
      <c r="F16" s="668"/>
      <c r="G16" s="201">
        <v>12</v>
      </c>
      <c r="H16" s="205">
        <v>3252.2426521270168</v>
      </c>
      <c r="I16" s="206">
        <v>271.02022101058475</v>
      </c>
      <c r="J16" s="221">
        <v>0.10252283679136553</v>
      </c>
      <c r="K16" s="667" t="s">
        <v>459</v>
      </c>
      <c r="L16" s="668"/>
      <c r="M16" s="189"/>
      <c r="N16" s="178"/>
      <c r="O16" s="178"/>
      <c r="P16" s="427"/>
      <c r="Q16" s="427"/>
      <c r="R16" s="178"/>
    </row>
    <row r="17" spans="1:18" ht="15.75" customHeight="1">
      <c r="A17" s="671"/>
      <c r="B17" s="672"/>
      <c r="C17" s="204" t="s">
        <v>211</v>
      </c>
      <c r="D17" s="668" t="s">
        <v>640</v>
      </c>
      <c r="E17" s="668"/>
      <c r="F17" s="668"/>
      <c r="G17" s="201">
        <v>5</v>
      </c>
      <c r="H17" s="205">
        <v>2460.0856142171519</v>
      </c>
      <c r="I17" s="206">
        <v>492.0171228434304</v>
      </c>
      <c r="J17" s="221"/>
      <c r="K17" s="675" t="s">
        <v>658</v>
      </c>
      <c r="L17" s="668"/>
      <c r="M17" s="189"/>
      <c r="N17" s="178"/>
      <c r="O17" s="178"/>
      <c r="P17" s="427"/>
      <c r="Q17" s="427"/>
      <c r="R17" s="178"/>
    </row>
    <row r="18" spans="1:18" s="199" customFormat="1" ht="15.75" customHeight="1">
      <c r="A18" s="669" t="s">
        <v>188</v>
      </c>
      <c r="B18" s="669"/>
      <c r="C18" s="207" t="s">
        <v>47</v>
      </c>
      <c r="D18" s="669" t="s">
        <v>12</v>
      </c>
      <c r="E18" s="670"/>
      <c r="F18" s="670"/>
      <c r="G18" s="207" t="s">
        <v>46</v>
      </c>
      <c r="H18" s="207" t="s">
        <v>386</v>
      </c>
      <c r="I18" s="207" t="s">
        <v>387</v>
      </c>
      <c r="J18" s="160" t="s">
        <v>332</v>
      </c>
      <c r="K18" s="669" t="s">
        <v>51</v>
      </c>
      <c r="L18" s="670"/>
      <c r="M18" s="208"/>
      <c r="N18" s="178"/>
      <c r="O18" s="178"/>
      <c r="P18" s="427"/>
      <c r="Q18" s="427"/>
      <c r="R18" s="178"/>
    </row>
    <row r="19" spans="1:18" ht="15.75" customHeight="1">
      <c r="A19" s="671">
        <v>2</v>
      </c>
      <c r="B19" s="672" t="s">
        <v>155</v>
      </c>
      <c r="C19" s="200">
        <v>1</v>
      </c>
      <c r="D19" s="667" t="s">
        <v>470</v>
      </c>
      <c r="E19" s="668"/>
      <c r="F19" s="668"/>
      <c r="G19" s="200">
        <v>6</v>
      </c>
      <c r="H19" s="202">
        <v>2340.6250136555805</v>
      </c>
      <c r="I19" s="203">
        <v>390.10416894259663</v>
      </c>
      <c r="J19" s="221">
        <v>2.1889196980225734E-2</v>
      </c>
      <c r="K19" s="667" t="s">
        <v>459</v>
      </c>
      <c r="L19" s="668"/>
      <c r="M19" s="189"/>
      <c r="N19" s="178"/>
      <c r="O19" s="178"/>
      <c r="P19" s="427"/>
      <c r="Q19" s="427"/>
      <c r="R19" s="178"/>
    </row>
    <row r="20" spans="1:18" ht="15.75" customHeight="1">
      <c r="A20" s="671"/>
      <c r="B20" s="672"/>
      <c r="C20" s="200">
        <v>2</v>
      </c>
      <c r="D20" s="667" t="s">
        <v>467</v>
      </c>
      <c r="E20" s="668"/>
      <c r="F20" s="668"/>
      <c r="G20" s="200">
        <v>6</v>
      </c>
      <c r="H20" s="202">
        <v>2340.3482577837344</v>
      </c>
      <c r="I20" s="203">
        <v>390.05804296395581</v>
      </c>
      <c r="J20" s="221">
        <v>3.1010975880633396E-2</v>
      </c>
      <c r="K20" s="667" t="s">
        <v>459</v>
      </c>
      <c r="L20" s="668"/>
      <c r="M20" s="189"/>
      <c r="N20" s="178"/>
      <c r="O20" s="178"/>
      <c r="P20" s="427"/>
      <c r="Q20" s="427"/>
      <c r="R20" s="178"/>
    </row>
    <row r="21" spans="1:18" ht="15.75" customHeight="1">
      <c r="A21" s="671"/>
      <c r="B21" s="672"/>
      <c r="C21" s="200">
        <v>3</v>
      </c>
      <c r="D21" s="667" t="s">
        <v>541</v>
      </c>
      <c r="E21" s="668"/>
      <c r="F21" s="668"/>
      <c r="G21" s="200">
        <v>6</v>
      </c>
      <c r="H21" s="202">
        <v>2258.8431108831473</v>
      </c>
      <c r="I21" s="203">
        <v>376.47385181385789</v>
      </c>
      <c r="J21" s="221">
        <v>0.14911125970701278</v>
      </c>
      <c r="K21" s="667" t="s">
        <v>459</v>
      </c>
      <c r="L21" s="668"/>
      <c r="M21" s="189"/>
      <c r="N21" s="178"/>
      <c r="O21" s="178"/>
      <c r="P21" s="427"/>
      <c r="Q21" s="427"/>
      <c r="R21" s="178"/>
    </row>
    <row r="22" spans="1:18" ht="15.75" customHeight="1">
      <c r="A22" s="671"/>
      <c r="B22" s="672"/>
      <c r="C22" s="200">
        <v>4</v>
      </c>
      <c r="D22" s="667" t="s">
        <v>582</v>
      </c>
      <c r="E22" s="668"/>
      <c r="F22" s="668"/>
      <c r="G22" s="200">
        <v>6</v>
      </c>
      <c r="H22" s="202">
        <v>2258.6161131123072</v>
      </c>
      <c r="I22" s="203">
        <v>376.43601885205123</v>
      </c>
      <c r="J22" s="221">
        <v>0.28698308866802336</v>
      </c>
      <c r="K22" s="667" t="s">
        <v>459</v>
      </c>
      <c r="L22" s="668"/>
      <c r="M22" s="189"/>
      <c r="O22" s="178"/>
      <c r="P22" s="427"/>
      <c r="Q22" s="427"/>
      <c r="R22" s="178"/>
    </row>
    <row r="23" spans="1:18" ht="15.75" customHeight="1">
      <c r="A23" s="671"/>
      <c r="B23" s="672"/>
      <c r="C23" s="200">
        <v>5</v>
      </c>
      <c r="D23" s="667" t="s">
        <v>351</v>
      </c>
      <c r="E23" s="668"/>
      <c r="F23" s="668"/>
      <c r="G23" s="200">
        <v>11</v>
      </c>
      <c r="H23" s="202">
        <v>3183.4538237188617</v>
      </c>
      <c r="I23" s="203">
        <v>289.40489306535113</v>
      </c>
      <c r="J23" s="221">
        <v>0.13475161008705072</v>
      </c>
      <c r="K23" s="667" t="s">
        <v>459</v>
      </c>
      <c r="L23" s="668"/>
      <c r="M23" s="189"/>
      <c r="N23" s="178"/>
      <c r="O23" s="178"/>
      <c r="P23" s="427"/>
      <c r="Q23" s="427"/>
      <c r="R23" s="178"/>
    </row>
    <row r="24" spans="1:18" ht="15.75" customHeight="1">
      <c r="A24" s="671"/>
      <c r="B24" s="672"/>
      <c r="C24" s="204" t="s">
        <v>204</v>
      </c>
      <c r="D24" s="667" t="s">
        <v>352</v>
      </c>
      <c r="E24" s="668"/>
      <c r="F24" s="668"/>
      <c r="G24" s="200">
        <v>12</v>
      </c>
      <c r="H24" s="202">
        <v>3146.4360593420611</v>
      </c>
      <c r="I24" s="203">
        <v>262.20300494517176</v>
      </c>
      <c r="J24" s="221">
        <v>4.2129707262176908E-2</v>
      </c>
      <c r="K24" s="667" t="s">
        <v>459</v>
      </c>
      <c r="L24" s="668"/>
      <c r="M24" s="189"/>
      <c r="N24" s="178"/>
      <c r="O24" s="178"/>
      <c r="P24" s="427"/>
      <c r="Q24" s="427"/>
      <c r="R24" s="178"/>
    </row>
    <row r="25" spans="1:18" ht="15.75" customHeight="1">
      <c r="A25" s="671"/>
      <c r="B25" s="672"/>
      <c r="C25" s="204" t="s">
        <v>209</v>
      </c>
      <c r="D25" s="667" t="s">
        <v>353</v>
      </c>
      <c r="E25" s="668"/>
      <c r="F25" s="668"/>
      <c r="G25" s="200">
        <v>12</v>
      </c>
      <c r="H25" s="202">
        <v>3147.0489006986536</v>
      </c>
      <c r="I25" s="203">
        <v>262.25407505822119</v>
      </c>
      <c r="J25" s="221">
        <v>3.0562640055222801E-3</v>
      </c>
      <c r="K25" s="667" t="s">
        <v>459</v>
      </c>
      <c r="L25" s="668"/>
      <c r="M25" s="189"/>
      <c r="N25" s="178"/>
      <c r="O25" s="178"/>
      <c r="P25" s="427"/>
      <c r="Q25" s="427"/>
      <c r="R25" s="178"/>
    </row>
    <row r="26" spans="1:18" ht="15.75" customHeight="1">
      <c r="A26" s="671"/>
      <c r="B26" s="672"/>
      <c r="C26" s="204" t="s">
        <v>205</v>
      </c>
      <c r="D26" s="667" t="s">
        <v>349</v>
      </c>
      <c r="E26" s="668"/>
      <c r="F26" s="668"/>
      <c r="G26" s="200">
        <v>12</v>
      </c>
      <c r="H26" s="202">
        <v>3147.1343289887091</v>
      </c>
      <c r="I26" s="203">
        <v>262.26119408239236</v>
      </c>
      <c r="J26" s="221">
        <v>1.9772209279835806E-2</v>
      </c>
      <c r="K26" s="667" t="s">
        <v>459</v>
      </c>
      <c r="L26" s="668"/>
      <c r="M26" s="189"/>
      <c r="N26" s="178"/>
      <c r="O26" s="178"/>
      <c r="P26" s="427"/>
      <c r="Q26" s="427"/>
      <c r="R26" s="178"/>
    </row>
    <row r="27" spans="1:18" ht="15.75" customHeight="1">
      <c r="A27" s="671"/>
      <c r="B27" s="672"/>
      <c r="C27" s="204" t="s">
        <v>210</v>
      </c>
      <c r="D27" s="667" t="s">
        <v>350</v>
      </c>
      <c r="E27" s="668"/>
      <c r="F27" s="668"/>
      <c r="G27" s="200">
        <v>12</v>
      </c>
      <c r="H27" s="202">
        <v>3147.3181783382001</v>
      </c>
      <c r="I27" s="203">
        <v>262.27651486151672</v>
      </c>
      <c r="J27" s="221">
        <v>9.6322950178659994E-3</v>
      </c>
      <c r="K27" s="667" t="s">
        <v>459</v>
      </c>
      <c r="L27" s="668"/>
      <c r="M27" s="189"/>
      <c r="N27" s="178"/>
      <c r="O27" s="178"/>
      <c r="P27" s="427"/>
      <c r="Q27" s="427"/>
      <c r="R27" s="178"/>
    </row>
    <row r="28" spans="1:18" ht="15.75" customHeight="1">
      <c r="A28" s="671"/>
      <c r="B28" s="672"/>
      <c r="C28" s="204" t="s">
        <v>211</v>
      </c>
      <c r="D28" s="667" t="s">
        <v>348</v>
      </c>
      <c r="E28" s="668"/>
      <c r="F28" s="668"/>
      <c r="G28" s="200">
        <v>11</v>
      </c>
      <c r="H28" s="202">
        <v>3182.7206885116507</v>
      </c>
      <c r="I28" s="203">
        <v>289.33824441015003</v>
      </c>
      <c r="J28" s="221">
        <v>7.7712235357012105E-2</v>
      </c>
      <c r="K28" s="667" t="s">
        <v>459</v>
      </c>
      <c r="L28" s="668"/>
      <c r="M28" s="189"/>
      <c r="N28" s="178"/>
      <c r="O28" s="178"/>
      <c r="P28" s="427"/>
      <c r="Q28" s="427"/>
      <c r="R28" s="178"/>
    </row>
    <row r="29" spans="1:18" ht="15.75" customHeight="1">
      <c r="A29" s="673" t="s">
        <v>682</v>
      </c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189"/>
    </row>
    <row r="30" spans="1:18" s="190" customFormat="1" ht="15.75" customHeight="1">
      <c r="A30" s="673"/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</row>
    <row r="31" spans="1:18" s="178" customFormat="1" ht="15.75" customHeight="1">
      <c r="A31" s="671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71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355</v>
      </c>
      <c r="G32" s="196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72" t="s">
        <v>188</v>
      </c>
      <c r="B33" s="672"/>
      <c r="C33" s="160" t="s">
        <v>47</v>
      </c>
      <c r="D33" s="672" t="s">
        <v>12</v>
      </c>
      <c r="E33" s="674"/>
      <c r="F33" s="674"/>
      <c r="G33" s="160" t="s">
        <v>46</v>
      </c>
      <c r="H33" s="160" t="s">
        <v>386</v>
      </c>
      <c r="I33" s="160" t="s">
        <v>387</v>
      </c>
      <c r="J33" s="160" t="s">
        <v>332</v>
      </c>
      <c r="K33" s="672" t="s">
        <v>51</v>
      </c>
      <c r="L33" s="674"/>
      <c r="M33" s="193"/>
      <c r="P33" s="427"/>
      <c r="Q33" s="427"/>
    </row>
    <row r="34" spans="1:18" ht="15.75" customHeight="1">
      <c r="A34" s="671">
        <v>1</v>
      </c>
      <c r="B34" s="672" t="s">
        <v>388</v>
      </c>
      <c r="C34" s="200">
        <v>1</v>
      </c>
      <c r="D34" s="667" t="s">
        <v>466</v>
      </c>
      <c r="E34" s="668"/>
      <c r="F34" s="668"/>
      <c r="G34" s="200">
        <v>3</v>
      </c>
      <c r="H34" s="202">
        <v>3180.81923260754</v>
      </c>
      <c r="I34" s="203">
        <v>1060.2730775358466</v>
      </c>
      <c r="J34" s="221">
        <f>I34-I8</f>
        <v>-5.5504832364704271E-2</v>
      </c>
      <c r="K34" s="667" t="s">
        <v>459</v>
      </c>
      <c r="L34" s="668"/>
      <c r="N34" s="178"/>
      <c r="O34" s="178"/>
      <c r="P34" s="427"/>
      <c r="Q34" s="427"/>
      <c r="R34" s="178"/>
    </row>
    <row r="35" spans="1:18" ht="15.75" customHeight="1">
      <c r="A35" s="671"/>
      <c r="B35" s="672"/>
      <c r="C35" s="200">
        <v>2</v>
      </c>
      <c r="D35" s="667" t="s">
        <v>412</v>
      </c>
      <c r="E35" s="668"/>
      <c r="F35" s="668"/>
      <c r="G35" s="200">
        <v>3</v>
      </c>
      <c r="H35" s="202">
        <v>3179.4601484757432</v>
      </c>
      <c r="I35" s="203">
        <v>1059.8200494919145</v>
      </c>
      <c r="J35" s="221">
        <f>I35-I10</f>
        <v>0.6850711788758872</v>
      </c>
      <c r="K35" s="667" t="s">
        <v>459</v>
      </c>
      <c r="L35" s="668"/>
      <c r="N35" s="178"/>
      <c r="O35" s="178"/>
      <c r="P35" s="427"/>
      <c r="Q35" s="427"/>
      <c r="R35" s="178"/>
    </row>
    <row r="36" spans="1:18" ht="15.75" customHeight="1">
      <c r="A36" s="671"/>
      <c r="B36" s="672"/>
      <c r="C36" s="200">
        <v>3</v>
      </c>
      <c r="D36" s="667" t="s">
        <v>411</v>
      </c>
      <c r="E36" s="668"/>
      <c r="F36" s="668"/>
      <c r="G36" s="200">
        <v>3</v>
      </c>
      <c r="H36" s="202">
        <v>3178.9886939782687</v>
      </c>
      <c r="I36" s="203">
        <v>1059.6628979927561</v>
      </c>
      <c r="J36" s="221">
        <f>I36-I12</f>
        <v>1.1152402652141973</v>
      </c>
      <c r="K36" s="667" t="s">
        <v>459</v>
      </c>
      <c r="L36" s="668"/>
      <c r="N36" s="178"/>
      <c r="O36" s="178"/>
      <c r="P36" s="427"/>
      <c r="Q36" s="427"/>
      <c r="R36" s="178"/>
    </row>
    <row r="37" spans="1:18" ht="15.75" customHeight="1">
      <c r="A37" s="671"/>
      <c r="B37" s="672"/>
      <c r="C37" s="200">
        <v>4</v>
      </c>
      <c r="D37" s="667" t="s">
        <v>407</v>
      </c>
      <c r="E37" s="668"/>
      <c r="F37" s="668"/>
      <c r="G37" s="200">
        <v>3</v>
      </c>
      <c r="H37" s="202">
        <v>3178.6656831799928</v>
      </c>
      <c r="I37" s="203">
        <v>1059.5552277266643</v>
      </c>
      <c r="J37" s="221">
        <f>I37-I11</f>
        <v>0.72199132154150902</v>
      </c>
      <c r="K37" s="667" t="s">
        <v>459</v>
      </c>
      <c r="L37" s="668"/>
      <c r="N37" s="178"/>
      <c r="O37" s="178"/>
      <c r="P37" s="427"/>
      <c r="Q37" s="427"/>
      <c r="R37" s="178"/>
    </row>
    <row r="38" spans="1:18" ht="15.75" customHeight="1">
      <c r="A38" s="671"/>
      <c r="B38" s="672"/>
      <c r="C38" s="200">
        <v>5</v>
      </c>
      <c r="D38" s="667" t="s">
        <v>402</v>
      </c>
      <c r="E38" s="668"/>
      <c r="F38" s="668"/>
      <c r="G38" s="200">
        <v>3</v>
      </c>
      <c r="H38" s="202">
        <v>3178.6352347623406</v>
      </c>
      <c r="I38" s="203">
        <v>1059.5450782541136</v>
      </c>
      <c r="J38" s="221">
        <f>I38-I9</f>
        <v>-6.6991827591436959E-2</v>
      </c>
      <c r="K38" s="667" t="s">
        <v>459</v>
      </c>
      <c r="L38" s="668"/>
      <c r="N38" s="178"/>
      <c r="O38" s="178"/>
      <c r="P38" s="427"/>
      <c r="Q38" s="427"/>
      <c r="R38" s="178"/>
    </row>
    <row r="39" spans="1:18" ht="15.75" customHeight="1">
      <c r="A39" s="671"/>
      <c r="B39" s="672"/>
      <c r="C39" s="204" t="s">
        <v>204</v>
      </c>
      <c r="D39" s="676" t="s">
        <v>587</v>
      </c>
      <c r="E39" s="668"/>
      <c r="F39" s="668"/>
      <c r="G39" s="201">
        <v>13</v>
      </c>
      <c r="H39" s="205">
        <v>3253.8594069663673</v>
      </c>
      <c r="I39" s="206">
        <v>250.29687745895131</v>
      </c>
      <c r="J39" s="221">
        <f>I39-I13</f>
        <v>6.2423127274998649</v>
      </c>
      <c r="K39" s="667" t="s">
        <v>558</v>
      </c>
      <c r="L39" s="668"/>
      <c r="N39" s="178"/>
      <c r="O39" s="178"/>
      <c r="P39" s="427"/>
      <c r="Q39" s="427"/>
      <c r="R39" s="178"/>
    </row>
    <row r="40" spans="1:18" ht="15.75" customHeight="1">
      <c r="A40" s="671"/>
      <c r="B40" s="672"/>
      <c r="C40" s="204" t="s">
        <v>209</v>
      </c>
      <c r="D40" s="676" t="s">
        <v>474</v>
      </c>
      <c r="E40" s="668"/>
      <c r="F40" s="668"/>
      <c r="G40" s="201">
        <v>12</v>
      </c>
      <c r="H40" s="205">
        <v>3125.4831529954322</v>
      </c>
      <c r="I40" s="206">
        <v>260.45692941628602</v>
      </c>
      <c r="J40" s="221">
        <f>I40-I15</f>
        <v>2.8572910089053494E-2</v>
      </c>
      <c r="K40" s="667" t="s">
        <v>459</v>
      </c>
      <c r="L40" s="668"/>
      <c r="O40" s="178"/>
      <c r="P40" s="427"/>
      <c r="Q40" s="427"/>
      <c r="R40" s="178"/>
    </row>
    <row r="41" spans="1:18" ht="15.75" customHeight="1">
      <c r="A41" s="671"/>
      <c r="B41" s="672"/>
      <c r="C41" s="204" t="s">
        <v>205</v>
      </c>
      <c r="D41" s="676" t="s">
        <v>471</v>
      </c>
      <c r="E41" s="668"/>
      <c r="F41" s="668"/>
      <c r="G41" s="201">
        <v>12</v>
      </c>
      <c r="H41" s="205">
        <v>3126.008562922219</v>
      </c>
      <c r="I41" s="206">
        <v>260.50071357685158</v>
      </c>
      <c r="J41" s="221">
        <f>I41-I14</f>
        <v>0.12446418735117959</v>
      </c>
      <c r="K41" s="667" t="s">
        <v>459</v>
      </c>
      <c r="L41" s="668"/>
      <c r="N41" s="178"/>
      <c r="O41" s="178"/>
      <c r="P41" s="427"/>
      <c r="Q41" s="427"/>
      <c r="R41" s="178"/>
    </row>
    <row r="42" spans="1:18" ht="15.75" customHeight="1">
      <c r="A42" s="671"/>
      <c r="B42" s="672"/>
      <c r="C42" s="204" t="s">
        <v>210</v>
      </c>
      <c r="D42" s="676" t="s">
        <v>554</v>
      </c>
      <c r="E42" s="668"/>
      <c r="F42" s="668"/>
      <c r="G42" s="201">
        <v>12</v>
      </c>
      <c r="H42" s="205">
        <v>3256.6520702542293</v>
      </c>
      <c r="I42" s="206">
        <v>271.38767252118583</v>
      </c>
      <c r="J42" s="221">
        <f>I42-I16</f>
        <v>0.36745151060108583</v>
      </c>
      <c r="K42" s="667" t="s">
        <v>459</v>
      </c>
      <c r="L42" s="668"/>
      <c r="M42" s="189"/>
      <c r="N42" s="178"/>
      <c r="O42" s="178"/>
      <c r="P42" s="427"/>
      <c r="Q42" s="427"/>
      <c r="R42" s="178"/>
    </row>
    <row r="43" spans="1:18" ht="15.75" customHeight="1">
      <c r="A43" s="671"/>
      <c r="B43" s="672"/>
      <c r="C43" s="204" t="s">
        <v>211</v>
      </c>
      <c r="D43" s="676" t="s">
        <v>640</v>
      </c>
      <c r="E43" s="668"/>
      <c r="F43" s="668"/>
      <c r="G43" s="201">
        <v>5</v>
      </c>
      <c r="H43" s="205">
        <v>2629.682070014439</v>
      </c>
      <c r="I43" s="206">
        <v>525.93641400288777</v>
      </c>
      <c r="J43" s="221">
        <f>I43-I17</f>
        <v>33.919291159457373</v>
      </c>
      <c r="K43" s="667" t="s">
        <v>558</v>
      </c>
      <c r="L43" s="668"/>
      <c r="M43" s="189"/>
      <c r="N43" s="178"/>
      <c r="O43" s="178"/>
      <c r="P43" s="427"/>
      <c r="Q43" s="427"/>
      <c r="R43" s="178"/>
    </row>
    <row r="44" spans="1:18" s="199" customFormat="1" ht="15.75" customHeight="1">
      <c r="A44" s="669" t="s">
        <v>188</v>
      </c>
      <c r="B44" s="669"/>
      <c r="C44" s="207" t="s">
        <v>47</v>
      </c>
      <c r="D44" s="669" t="s">
        <v>12</v>
      </c>
      <c r="E44" s="670"/>
      <c r="F44" s="670"/>
      <c r="G44" s="207" t="s">
        <v>46</v>
      </c>
      <c r="H44" s="207" t="s">
        <v>386</v>
      </c>
      <c r="I44" s="207" t="s">
        <v>387</v>
      </c>
      <c r="J44" s="160" t="s">
        <v>332</v>
      </c>
      <c r="K44" s="669" t="s">
        <v>51</v>
      </c>
      <c r="L44" s="670"/>
      <c r="M44" s="208"/>
      <c r="N44" s="178"/>
      <c r="O44" s="178"/>
      <c r="P44" s="427"/>
      <c r="Q44" s="427"/>
      <c r="R44" s="178"/>
    </row>
    <row r="45" spans="1:18" ht="15.75" customHeight="1">
      <c r="A45" s="671">
        <v>2</v>
      </c>
      <c r="B45" s="672" t="s">
        <v>155</v>
      </c>
      <c r="C45" s="200">
        <v>1</v>
      </c>
      <c r="D45" s="667" t="s">
        <v>467</v>
      </c>
      <c r="E45" s="668"/>
      <c r="F45" s="668"/>
      <c r="G45" s="200">
        <v>6</v>
      </c>
      <c r="H45" s="202">
        <v>2340.1058081467359</v>
      </c>
      <c r="I45" s="203">
        <v>390.01763469112262</v>
      </c>
      <c r="J45" s="221">
        <f>I45-I20</f>
        <v>-4.040827283319004E-2</v>
      </c>
      <c r="K45" s="667" t="s">
        <v>459</v>
      </c>
      <c r="L45" s="668"/>
      <c r="M45" s="189"/>
      <c r="N45" s="178"/>
      <c r="O45" s="178"/>
      <c r="P45" s="427"/>
      <c r="Q45" s="427"/>
      <c r="R45" s="178"/>
    </row>
    <row r="46" spans="1:18" ht="15.75" customHeight="1">
      <c r="A46" s="671"/>
      <c r="B46" s="672"/>
      <c r="C46" s="200">
        <v>2</v>
      </c>
      <c r="D46" s="667" t="s">
        <v>470</v>
      </c>
      <c r="E46" s="668"/>
      <c r="F46" s="668"/>
      <c r="G46" s="200">
        <v>6</v>
      </c>
      <c r="H46" s="202">
        <v>2339.6700246290989</v>
      </c>
      <c r="I46" s="203">
        <v>389.94500410484972</v>
      </c>
      <c r="J46" s="221">
        <f>I46-I19</f>
        <v>-0.15916483774691415</v>
      </c>
      <c r="K46" s="667" t="s">
        <v>459</v>
      </c>
      <c r="L46" s="668"/>
      <c r="M46" s="189"/>
      <c r="N46" s="178"/>
      <c r="O46" s="178"/>
      <c r="P46" s="427"/>
      <c r="Q46" s="427"/>
      <c r="R46" s="178"/>
    </row>
    <row r="47" spans="1:18" ht="15.75" customHeight="1">
      <c r="A47" s="671"/>
      <c r="B47" s="672"/>
      <c r="C47" s="200">
        <v>3</v>
      </c>
      <c r="D47" s="667" t="s">
        <v>582</v>
      </c>
      <c r="E47" s="668"/>
      <c r="F47" s="668"/>
      <c r="G47" s="200">
        <v>6</v>
      </c>
      <c r="H47" s="202">
        <v>2260.2733959398965</v>
      </c>
      <c r="I47" s="203">
        <v>376.71223265664946</v>
      </c>
      <c r="J47" s="221">
        <f>I47-I22</f>
        <v>0.27621380459822831</v>
      </c>
      <c r="K47" s="667" t="s">
        <v>459</v>
      </c>
      <c r="L47" s="668"/>
      <c r="M47" s="189"/>
      <c r="N47" s="178"/>
      <c r="O47" s="178"/>
      <c r="P47" s="427"/>
      <c r="Q47" s="427"/>
      <c r="R47" s="178"/>
    </row>
    <row r="48" spans="1:18" ht="15.75" customHeight="1">
      <c r="A48" s="671"/>
      <c r="B48" s="672"/>
      <c r="C48" s="200">
        <v>4</v>
      </c>
      <c r="D48" s="667" t="s">
        <v>541</v>
      </c>
      <c r="E48" s="668"/>
      <c r="F48" s="668"/>
      <c r="G48" s="200">
        <v>6</v>
      </c>
      <c r="H48" s="202">
        <v>2259.6392489555301</v>
      </c>
      <c r="I48" s="203">
        <v>376.60654149258829</v>
      </c>
      <c r="J48" s="221">
        <f>I48-I21</f>
        <v>0.13268967873040083</v>
      </c>
      <c r="K48" s="667" t="s">
        <v>459</v>
      </c>
      <c r="L48" s="668"/>
      <c r="M48" s="189"/>
      <c r="O48" s="178"/>
      <c r="P48" s="427"/>
      <c r="Q48" s="427"/>
      <c r="R48" s="178"/>
    </row>
    <row r="49" spans="1:18" ht="15.75" customHeight="1">
      <c r="A49" s="671"/>
      <c r="B49" s="672"/>
      <c r="C49" s="200">
        <v>5</v>
      </c>
      <c r="D49" s="667" t="s">
        <v>348</v>
      </c>
      <c r="E49" s="668"/>
      <c r="F49" s="668"/>
      <c r="G49" s="200">
        <v>11</v>
      </c>
      <c r="H49" s="202">
        <v>3183.0783101723177</v>
      </c>
      <c r="I49" s="203">
        <v>289.37075547021067</v>
      </c>
      <c r="J49" s="221">
        <f>I49-I28</f>
        <v>3.2511060060642194E-2</v>
      </c>
      <c r="K49" s="667" t="s">
        <v>459</v>
      </c>
      <c r="L49" s="668"/>
      <c r="M49" s="189"/>
      <c r="N49" s="178"/>
      <c r="O49" s="178"/>
      <c r="P49" s="427"/>
      <c r="Q49" s="427"/>
      <c r="R49" s="178"/>
    </row>
    <row r="50" spans="1:18" ht="15.75" customHeight="1">
      <c r="A50" s="671"/>
      <c r="B50" s="672"/>
      <c r="C50" s="204" t="s">
        <v>204</v>
      </c>
      <c r="D50" s="667" t="s">
        <v>678</v>
      </c>
      <c r="E50" s="668"/>
      <c r="F50" s="668"/>
      <c r="G50" s="200">
        <v>12</v>
      </c>
      <c r="H50" s="202">
        <v>3099.8195967013266</v>
      </c>
      <c r="I50" s="203">
        <v>258.31829972511053</v>
      </c>
      <c r="J50" s="221"/>
      <c r="K50" s="667" t="s">
        <v>658</v>
      </c>
      <c r="L50" s="668"/>
      <c r="M50" s="189"/>
      <c r="N50" s="178"/>
      <c r="O50" s="178"/>
      <c r="P50" s="427"/>
      <c r="Q50" s="427"/>
      <c r="R50" s="178"/>
    </row>
    <row r="51" spans="1:18" ht="15.75" customHeight="1">
      <c r="A51" s="671"/>
      <c r="B51" s="672"/>
      <c r="C51" s="204" t="s">
        <v>209</v>
      </c>
      <c r="D51" s="667" t="s">
        <v>677</v>
      </c>
      <c r="E51" s="668"/>
      <c r="F51" s="668"/>
      <c r="G51" s="200">
        <v>12</v>
      </c>
      <c r="H51" s="202">
        <v>3100.0297565262649</v>
      </c>
      <c r="I51" s="203">
        <v>258.33581304385541</v>
      </c>
      <c r="J51" s="221"/>
      <c r="K51" s="667" t="s">
        <v>658</v>
      </c>
      <c r="L51" s="668"/>
      <c r="M51" s="189"/>
      <c r="N51" s="178"/>
      <c r="O51" s="178"/>
      <c r="P51" s="427"/>
      <c r="Q51" s="427"/>
      <c r="R51" s="178"/>
    </row>
    <row r="52" spans="1:18" ht="15.75" customHeight="1">
      <c r="A52" s="671"/>
      <c r="B52" s="672"/>
      <c r="C52" s="204" t="s">
        <v>205</v>
      </c>
      <c r="D52" s="667" t="s">
        <v>351</v>
      </c>
      <c r="E52" s="668"/>
      <c r="F52" s="668"/>
      <c r="G52" s="200">
        <v>11</v>
      </c>
      <c r="H52" s="202">
        <v>3182.5606165082158</v>
      </c>
      <c r="I52" s="203">
        <v>289.3236924098378</v>
      </c>
      <c r="J52" s="221">
        <f>I52-I23</f>
        <v>-8.1200655513328002E-2</v>
      </c>
      <c r="K52" s="667" t="s">
        <v>459</v>
      </c>
      <c r="L52" s="668"/>
      <c r="M52" s="189"/>
      <c r="N52" s="178"/>
      <c r="O52" s="178"/>
      <c r="P52" s="427"/>
      <c r="Q52" s="427"/>
      <c r="R52" s="178"/>
    </row>
    <row r="53" spans="1:18" ht="15.75" customHeight="1">
      <c r="A53" s="671"/>
      <c r="B53" s="672"/>
      <c r="C53" s="204" t="s">
        <v>210</v>
      </c>
      <c r="D53" s="667"/>
      <c r="E53" s="668"/>
      <c r="F53" s="668"/>
      <c r="G53" s="200"/>
      <c r="H53" s="202"/>
      <c r="I53" s="203"/>
      <c r="J53" s="221"/>
      <c r="K53" s="667"/>
      <c r="L53" s="668"/>
      <c r="M53" s="189"/>
      <c r="N53" s="178"/>
      <c r="O53" s="178"/>
      <c r="P53" s="427"/>
      <c r="Q53" s="427"/>
      <c r="R53" s="178"/>
    </row>
    <row r="54" spans="1:18" ht="15.75" customHeight="1">
      <c r="A54" s="671"/>
      <c r="B54" s="672"/>
      <c r="C54" s="204" t="s">
        <v>211</v>
      </c>
      <c r="D54" s="667"/>
      <c r="E54" s="668"/>
      <c r="F54" s="668"/>
      <c r="G54" s="200"/>
      <c r="H54" s="202"/>
      <c r="I54" s="203"/>
      <c r="J54" s="221"/>
      <c r="K54" s="667"/>
      <c r="L54" s="668"/>
      <c r="M54" s="189"/>
      <c r="N54" s="178"/>
      <c r="O54" s="178"/>
      <c r="P54" s="427"/>
      <c r="Q54" s="427"/>
      <c r="R54" s="178"/>
    </row>
    <row r="55" spans="1:18" ht="15.75" customHeight="1">
      <c r="A55" s="673" t="s">
        <v>745</v>
      </c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189"/>
    </row>
    <row r="56" spans="1:18" s="190" customFormat="1" ht="15.75" customHeight="1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</row>
    <row r="57" spans="1:18" s="178" customFormat="1" ht="15.75" customHeight="1">
      <c r="A57" s="671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71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355</v>
      </c>
      <c r="G58" s="196" t="s">
        <v>136</v>
      </c>
      <c r="H58" s="197" t="s">
        <v>208</v>
      </c>
      <c r="I58" s="196" t="s">
        <v>385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72" t="s">
        <v>188</v>
      </c>
      <c r="B59" s="672"/>
      <c r="C59" s="160" t="s">
        <v>47</v>
      </c>
      <c r="D59" s="672" t="s">
        <v>12</v>
      </c>
      <c r="E59" s="674"/>
      <c r="F59" s="674"/>
      <c r="G59" s="160" t="s">
        <v>46</v>
      </c>
      <c r="H59" s="160" t="s">
        <v>386</v>
      </c>
      <c r="I59" s="160" t="s">
        <v>387</v>
      </c>
      <c r="J59" s="160" t="s">
        <v>332</v>
      </c>
      <c r="K59" s="672" t="s">
        <v>51</v>
      </c>
      <c r="L59" s="674"/>
      <c r="M59" s="193"/>
      <c r="N59" s="189"/>
      <c r="P59" s="427"/>
      <c r="Q59" s="427"/>
    </row>
    <row r="60" spans="1:18" ht="15.75" customHeight="1">
      <c r="A60" s="671">
        <v>1</v>
      </c>
      <c r="B60" s="672" t="s">
        <v>388</v>
      </c>
      <c r="C60" s="200">
        <v>1</v>
      </c>
      <c r="D60" s="667" t="s">
        <v>412</v>
      </c>
      <c r="E60" s="668"/>
      <c r="F60" s="668"/>
      <c r="G60" s="200">
        <v>3</v>
      </c>
      <c r="H60" s="202">
        <v>3182.284062288426</v>
      </c>
      <c r="I60" s="203">
        <v>1060.761354096142</v>
      </c>
      <c r="J60" s="221">
        <f>I60-I35</f>
        <v>0.94130460422752549</v>
      </c>
      <c r="K60" s="667"/>
      <c r="L60" s="668"/>
      <c r="O60" s="178"/>
      <c r="P60" s="427"/>
      <c r="Q60" s="427"/>
      <c r="R60" s="178"/>
    </row>
    <row r="61" spans="1:18" ht="15.75" customHeight="1">
      <c r="A61" s="671"/>
      <c r="B61" s="672"/>
      <c r="C61" s="200">
        <v>2</v>
      </c>
      <c r="D61" s="667" t="s">
        <v>411</v>
      </c>
      <c r="E61" s="668"/>
      <c r="F61" s="668"/>
      <c r="G61" s="200">
        <v>3</v>
      </c>
      <c r="H61" s="202">
        <v>3179.7403161348161</v>
      </c>
      <c r="I61" s="203">
        <v>1059.9134387116057</v>
      </c>
      <c r="J61" s="221">
        <f>I61-I36</f>
        <v>0.25054071884960649</v>
      </c>
      <c r="K61" s="667"/>
      <c r="L61" s="668"/>
      <c r="N61" s="178"/>
      <c r="O61" s="178"/>
      <c r="P61" s="427"/>
      <c r="Q61" s="427"/>
      <c r="R61" s="178"/>
    </row>
    <row r="62" spans="1:18" ht="15.75" customHeight="1">
      <c r="A62" s="671"/>
      <c r="B62" s="672"/>
      <c r="C62" s="200">
        <v>3</v>
      </c>
      <c r="D62" s="667" t="s">
        <v>466</v>
      </c>
      <c r="E62" s="668"/>
      <c r="F62" s="668"/>
      <c r="G62" s="200">
        <v>3</v>
      </c>
      <c r="H62" s="202">
        <v>3178.0810714285703</v>
      </c>
      <c r="I62" s="203">
        <v>1059.3603571428571</v>
      </c>
      <c r="J62" s="221">
        <f>I62-I34</f>
        <v>-0.91272039298951313</v>
      </c>
      <c r="K62" s="667"/>
      <c r="L62" s="668"/>
      <c r="N62" s="178"/>
      <c r="O62" s="178"/>
      <c r="P62" s="427"/>
      <c r="Q62" s="427"/>
      <c r="R62" s="178"/>
    </row>
    <row r="63" spans="1:18" ht="15.75" customHeight="1">
      <c r="A63" s="671"/>
      <c r="B63" s="672"/>
      <c r="C63" s="200">
        <v>4</v>
      </c>
      <c r="D63" s="667" t="s">
        <v>407</v>
      </c>
      <c r="E63" s="668"/>
      <c r="F63" s="668"/>
      <c r="G63" s="200">
        <v>3</v>
      </c>
      <c r="H63" s="202">
        <v>3177.6335756551148</v>
      </c>
      <c r="I63" s="203">
        <v>1059.2111918850383</v>
      </c>
      <c r="J63" s="221">
        <f>I63-I37</f>
        <v>-0.34403584162600964</v>
      </c>
      <c r="K63" s="667"/>
      <c r="L63" s="668"/>
      <c r="N63" s="178"/>
      <c r="O63" s="178"/>
      <c r="P63" s="427"/>
      <c r="Q63" s="427"/>
      <c r="R63" s="178"/>
    </row>
    <row r="64" spans="1:18" ht="15.75" customHeight="1">
      <c r="A64" s="671"/>
      <c r="B64" s="672"/>
      <c r="C64" s="200">
        <v>5</v>
      </c>
      <c r="D64" s="667" t="s">
        <v>402</v>
      </c>
      <c r="E64" s="668"/>
      <c r="F64" s="668"/>
      <c r="G64" s="200">
        <v>3</v>
      </c>
      <c r="H64" s="202">
        <v>3176.5846153846169</v>
      </c>
      <c r="I64" s="203">
        <v>1058.8615384615391</v>
      </c>
      <c r="J64" s="221">
        <f>I64-I38</f>
        <v>-0.68353979257449282</v>
      </c>
      <c r="K64" s="667"/>
      <c r="L64" s="668"/>
      <c r="N64" s="178"/>
      <c r="O64" s="178"/>
      <c r="P64" s="427"/>
      <c r="Q64" s="427"/>
      <c r="R64" s="178"/>
    </row>
    <row r="65" spans="1:18" ht="15.75" customHeight="1">
      <c r="A65" s="671"/>
      <c r="B65" s="672"/>
      <c r="C65" s="204" t="s">
        <v>204</v>
      </c>
      <c r="D65" s="668" t="s">
        <v>587</v>
      </c>
      <c r="E65" s="668"/>
      <c r="F65" s="668"/>
      <c r="G65" s="201">
        <v>13</v>
      </c>
      <c r="H65" s="205">
        <v>3258.8165928223689</v>
      </c>
      <c r="I65" s="206">
        <v>250.67819944787453</v>
      </c>
      <c r="J65" s="221">
        <f>I65-I39</f>
        <v>0.38132198892321867</v>
      </c>
      <c r="K65" s="667"/>
      <c r="L65" s="668"/>
      <c r="N65" s="178"/>
      <c r="O65" s="178"/>
      <c r="P65" s="427"/>
      <c r="Q65" s="427"/>
      <c r="R65" s="178"/>
    </row>
    <row r="66" spans="1:18" ht="15.75" customHeight="1">
      <c r="A66" s="671"/>
      <c r="B66" s="672"/>
      <c r="C66" s="204" t="s">
        <v>209</v>
      </c>
      <c r="D66" s="668" t="s">
        <v>471</v>
      </c>
      <c r="E66" s="668"/>
      <c r="F66" s="668"/>
      <c r="G66" s="201">
        <v>12</v>
      </c>
      <c r="H66" s="205">
        <v>3127.8749590200227</v>
      </c>
      <c r="I66" s="206">
        <v>260.6562465850019</v>
      </c>
      <c r="J66" s="221">
        <f>I66-I41</f>
        <v>0.15553300815031434</v>
      </c>
      <c r="K66" s="667"/>
      <c r="L66" s="668"/>
      <c r="N66" s="178"/>
      <c r="O66" s="178"/>
      <c r="P66" s="427"/>
      <c r="Q66" s="427"/>
      <c r="R66" s="178"/>
    </row>
    <row r="67" spans="1:18" ht="15.75" customHeight="1">
      <c r="A67" s="671"/>
      <c r="B67" s="672"/>
      <c r="C67" s="204" t="s">
        <v>205</v>
      </c>
      <c r="D67" s="668" t="s">
        <v>474</v>
      </c>
      <c r="E67" s="668"/>
      <c r="F67" s="668"/>
      <c r="G67" s="201">
        <v>12</v>
      </c>
      <c r="H67" s="205">
        <v>3128.2037336326098</v>
      </c>
      <c r="I67" s="206">
        <v>260.68364446938409</v>
      </c>
      <c r="J67" s="221">
        <f>I67-I40</f>
        <v>0.22671505309807571</v>
      </c>
      <c r="K67" s="667"/>
      <c r="L67" s="668"/>
      <c r="N67" s="178"/>
      <c r="O67" s="178"/>
      <c r="P67" s="427"/>
      <c r="Q67" s="427"/>
      <c r="R67" s="178"/>
    </row>
    <row r="68" spans="1:18" ht="15.75" customHeight="1">
      <c r="A68" s="671"/>
      <c r="B68" s="672"/>
      <c r="C68" s="204" t="s">
        <v>210</v>
      </c>
      <c r="D68" s="668" t="s">
        <v>554</v>
      </c>
      <c r="E68" s="668"/>
      <c r="F68" s="668"/>
      <c r="G68" s="201">
        <v>12</v>
      </c>
      <c r="H68" s="205">
        <v>3254.9700726392598</v>
      </c>
      <c r="I68" s="206">
        <v>271.24750605327165</v>
      </c>
      <c r="J68" s="221">
        <f>I68-I42</f>
        <v>-0.14016646791418452</v>
      </c>
      <c r="K68" s="667"/>
      <c r="L68" s="668"/>
      <c r="M68" s="189"/>
      <c r="N68" s="178"/>
      <c r="O68" s="178"/>
      <c r="P68" s="427"/>
      <c r="Q68" s="427"/>
      <c r="R68" s="178"/>
    </row>
    <row r="69" spans="1:18" ht="15.75" customHeight="1">
      <c r="A69" s="671"/>
      <c r="B69" s="672"/>
      <c r="C69" s="204" t="s">
        <v>211</v>
      </c>
      <c r="D69" s="668" t="s">
        <v>640</v>
      </c>
      <c r="E69" s="668"/>
      <c r="F69" s="668"/>
      <c r="G69" s="201">
        <v>5</v>
      </c>
      <c r="H69" s="205">
        <v>2683.4571428571421</v>
      </c>
      <c r="I69" s="206">
        <v>536.69142857142833</v>
      </c>
      <c r="J69" s="221">
        <f>I69-I43</f>
        <v>10.75501456854056</v>
      </c>
      <c r="K69" s="667"/>
      <c r="L69" s="668"/>
      <c r="M69" s="189"/>
      <c r="N69" s="178"/>
      <c r="O69" s="178"/>
      <c r="P69" s="427"/>
      <c r="Q69" s="427"/>
      <c r="R69" s="178"/>
    </row>
    <row r="70" spans="1:18" s="199" customFormat="1" ht="15.75" customHeight="1">
      <c r="A70" s="669" t="s">
        <v>188</v>
      </c>
      <c r="B70" s="669"/>
      <c r="C70" s="207" t="s">
        <v>47</v>
      </c>
      <c r="D70" s="669" t="s">
        <v>12</v>
      </c>
      <c r="E70" s="670"/>
      <c r="F70" s="670"/>
      <c r="G70" s="207" t="s">
        <v>46</v>
      </c>
      <c r="H70" s="207" t="s">
        <v>386</v>
      </c>
      <c r="I70" s="207" t="s">
        <v>387</v>
      </c>
      <c r="J70" s="160" t="s">
        <v>332</v>
      </c>
      <c r="K70" s="669" t="s">
        <v>51</v>
      </c>
      <c r="L70" s="670"/>
      <c r="M70" s="208"/>
      <c r="N70" s="178"/>
      <c r="O70" s="178"/>
      <c r="P70" s="427"/>
      <c r="Q70" s="427"/>
      <c r="R70" s="178"/>
    </row>
    <row r="71" spans="1:18" ht="15.75" customHeight="1">
      <c r="A71" s="671">
        <v>2</v>
      </c>
      <c r="B71" s="672" t="s">
        <v>155</v>
      </c>
      <c r="C71" s="200">
        <v>1</v>
      </c>
      <c r="D71" s="667" t="s">
        <v>470</v>
      </c>
      <c r="E71" s="668"/>
      <c r="F71" s="668"/>
      <c r="G71" s="200">
        <v>6</v>
      </c>
      <c r="H71" s="202">
        <v>2340.5536378466591</v>
      </c>
      <c r="I71" s="203">
        <v>390.09227297444323</v>
      </c>
      <c r="J71" s="221">
        <f>I71-I46</f>
        <v>0.14726886959351759</v>
      </c>
      <c r="K71" s="667"/>
      <c r="L71" s="668"/>
      <c r="M71" s="189"/>
      <c r="N71" s="178"/>
      <c r="O71" s="178"/>
      <c r="P71" s="427"/>
      <c r="Q71" s="427"/>
      <c r="R71" s="178"/>
    </row>
    <row r="72" spans="1:18" ht="15.75" customHeight="1">
      <c r="A72" s="671"/>
      <c r="B72" s="672"/>
      <c r="C72" s="200">
        <v>2</v>
      </c>
      <c r="D72" s="667" t="s">
        <v>467</v>
      </c>
      <c r="E72" s="668"/>
      <c r="F72" s="668"/>
      <c r="G72" s="200">
        <v>6</v>
      </c>
      <c r="H72" s="202">
        <v>2340.0610931883798</v>
      </c>
      <c r="I72" s="203">
        <v>390.01018219806326</v>
      </c>
      <c r="J72" s="221">
        <f>I72-I45</f>
        <v>-7.4524930593611316E-3</v>
      </c>
      <c r="K72" s="667"/>
      <c r="L72" s="668"/>
      <c r="M72" s="189"/>
      <c r="N72" s="178"/>
      <c r="O72" s="178"/>
      <c r="P72" s="427"/>
      <c r="Q72" s="427"/>
      <c r="R72" s="178"/>
    </row>
    <row r="73" spans="1:18" ht="15.75" customHeight="1">
      <c r="A73" s="671"/>
      <c r="B73" s="672"/>
      <c r="C73" s="200">
        <v>3</v>
      </c>
      <c r="D73" s="667" t="s">
        <v>348</v>
      </c>
      <c r="E73" s="668"/>
      <c r="F73" s="668"/>
      <c r="G73" s="200">
        <v>11</v>
      </c>
      <c r="H73" s="202">
        <v>3183.4383101723179</v>
      </c>
      <c r="I73" s="203">
        <v>289.40348274293802</v>
      </c>
      <c r="J73" s="221">
        <f>I73-I49</f>
        <v>3.2727272727356649E-2</v>
      </c>
      <c r="K73" s="667"/>
      <c r="L73" s="668"/>
      <c r="M73" s="189"/>
      <c r="N73" s="178"/>
      <c r="O73" s="178"/>
      <c r="P73" s="427"/>
      <c r="Q73" s="427"/>
      <c r="R73" s="178"/>
    </row>
    <row r="74" spans="1:18" ht="15.75" customHeight="1">
      <c r="A74" s="671"/>
      <c r="B74" s="672"/>
      <c r="C74" s="200">
        <v>4</v>
      </c>
      <c r="D74" s="667" t="s">
        <v>678</v>
      </c>
      <c r="E74" s="668"/>
      <c r="F74" s="668"/>
      <c r="G74" s="200">
        <v>12</v>
      </c>
      <c r="H74" s="202">
        <v>3153.3472115643535</v>
      </c>
      <c r="I74" s="203">
        <v>262.77893429702948</v>
      </c>
      <c r="J74" s="221">
        <f>I74-I50</f>
        <v>4.4606345719189449</v>
      </c>
      <c r="K74" s="667"/>
      <c r="L74" s="668"/>
      <c r="M74" s="189"/>
      <c r="N74" s="178"/>
      <c r="O74" s="178"/>
      <c r="P74" s="427"/>
      <c r="Q74" s="427"/>
      <c r="R74" s="178"/>
    </row>
    <row r="75" spans="1:18" ht="15.75" customHeight="1">
      <c r="A75" s="671"/>
      <c r="B75" s="672"/>
      <c r="C75" s="200">
        <v>5</v>
      </c>
      <c r="D75" s="667" t="s">
        <v>677</v>
      </c>
      <c r="E75" s="668"/>
      <c r="F75" s="668"/>
      <c r="G75" s="200">
        <v>12</v>
      </c>
      <c r="H75" s="202">
        <v>3152.7422319839038</v>
      </c>
      <c r="I75" s="203">
        <v>262.728519331992</v>
      </c>
      <c r="J75" s="221">
        <f>I75-I51</f>
        <v>4.3927062881365941</v>
      </c>
      <c r="K75" s="667"/>
      <c r="L75" s="668"/>
      <c r="M75" s="189"/>
      <c r="N75" s="178"/>
      <c r="O75" s="178"/>
      <c r="P75" s="427"/>
      <c r="Q75" s="427"/>
      <c r="R75" s="178"/>
    </row>
    <row r="76" spans="1:18" ht="15.75" customHeight="1">
      <c r="A76" s="671"/>
      <c r="B76" s="672"/>
      <c r="C76" s="204" t="s">
        <v>204</v>
      </c>
      <c r="D76" s="667"/>
      <c r="E76" s="668"/>
      <c r="F76" s="668"/>
      <c r="G76" s="200"/>
      <c r="H76" s="202"/>
      <c r="I76" s="203"/>
      <c r="J76" s="221"/>
      <c r="K76" s="667"/>
      <c r="L76" s="668"/>
      <c r="M76" s="189"/>
      <c r="N76" s="178"/>
      <c r="O76" s="178"/>
      <c r="P76" s="427"/>
      <c r="Q76" s="427"/>
      <c r="R76" s="178"/>
    </row>
    <row r="77" spans="1:18" ht="15.75" customHeight="1">
      <c r="A77" s="671"/>
      <c r="B77" s="672"/>
      <c r="C77" s="204" t="s">
        <v>209</v>
      </c>
      <c r="D77" s="667"/>
      <c r="E77" s="668"/>
      <c r="F77" s="668"/>
      <c r="G77" s="200"/>
      <c r="H77" s="202"/>
      <c r="I77" s="203"/>
      <c r="J77" s="221"/>
      <c r="K77" s="667"/>
      <c r="L77" s="668"/>
      <c r="M77" s="189"/>
      <c r="N77" s="178"/>
      <c r="O77" s="178"/>
      <c r="P77" s="427"/>
      <c r="Q77" s="427"/>
      <c r="R77" s="178"/>
    </row>
    <row r="78" spans="1:18" ht="15.75" customHeight="1">
      <c r="A78" s="671"/>
      <c r="B78" s="672"/>
      <c r="C78" s="204" t="s">
        <v>205</v>
      </c>
      <c r="D78" s="667"/>
      <c r="E78" s="668"/>
      <c r="F78" s="668"/>
      <c r="G78" s="200"/>
      <c r="H78" s="202"/>
      <c r="I78" s="203"/>
      <c r="J78" s="221"/>
      <c r="K78" s="667"/>
      <c r="L78" s="668"/>
      <c r="M78" s="189"/>
      <c r="N78" s="178"/>
      <c r="O78" s="178"/>
      <c r="P78" s="427"/>
      <c r="Q78" s="427"/>
      <c r="R78" s="178"/>
    </row>
    <row r="79" spans="1:18" ht="15.75" customHeight="1">
      <c r="A79" s="671"/>
      <c r="B79" s="672"/>
      <c r="C79" s="204" t="s">
        <v>210</v>
      </c>
      <c r="D79" s="667"/>
      <c r="E79" s="668"/>
      <c r="F79" s="668"/>
      <c r="G79" s="200"/>
      <c r="H79" s="202"/>
      <c r="I79" s="203"/>
      <c r="J79" s="200"/>
      <c r="K79" s="667"/>
      <c r="L79" s="668"/>
      <c r="M79" s="189"/>
      <c r="N79" s="178"/>
      <c r="O79" s="178"/>
      <c r="P79" s="427"/>
      <c r="Q79" s="427"/>
      <c r="R79" s="178"/>
    </row>
    <row r="80" spans="1:18" ht="15.75" customHeight="1">
      <c r="A80" s="671"/>
      <c r="B80" s="672"/>
      <c r="C80" s="204" t="s">
        <v>211</v>
      </c>
      <c r="D80" s="667"/>
      <c r="E80" s="668"/>
      <c r="F80" s="668"/>
      <c r="G80" s="200"/>
      <c r="H80" s="202"/>
      <c r="I80" s="203"/>
      <c r="J80" s="200"/>
      <c r="K80" s="667"/>
      <c r="L80" s="668"/>
      <c r="M80" s="189"/>
      <c r="N80" s="178"/>
      <c r="O80" s="178"/>
      <c r="P80" s="427"/>
      <c r="Q80" s="427"/>
      <c r="R80" s="178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2:F52"/>
    <mergeCell ref="K52:L52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33:F33"/>
    <mergeCell ref="K33:L33"/>
    <mergeCell ref="D51:F51"/>
    <mergeCell ref="K51:L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66:L66"/>
    <mergeCell ref="D67:F67"/>
    <mergeCell ref="K67:L67"/>
    <mergeCell ref="D68:F68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3" manualBreakCount="3">
    <brk id="2" max="11" man="1"/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80"/>
  <sheetViews>
    <sheetView view="pageBreakPreview" topLeftCell="A52" zoomScale="115" zoomScaleNormal="60" zoomScaleSheetLayoutView="115" workbookViewId="0">
      <selection activeCell="J75" sqref="J75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9" t="s">
        <v>384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73" t="s">
        <v>642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</row>
    <row r="4" spans="1:18" s="190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</row>
    <row r="5" spans="1:18" s="178" customFormat="1" ht="16.350000000000001" customHeight="1">
      <c r="A5" s="671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71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355</v>
      </c>
      <c r="G6" s="196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72" t="s">
        <v>188</v>
      </c>
      <c r="B7" s="672"/>
      <c r="C7" s="160" t="s">
        <v>47</v>
      </c>
      <c r="D7" s="672" t="s">
        <v>12</v>
      </c>
      <c r="E7" s="674"/>
      <c r="F7" s="674"/>
      <c r="G7" s="160" t="s">
        <v>46</v>
      </c>
      <c r="H7" s="160" t="s">
        <v>386</v>
      </c>
      <c r="I7" s="160" t="s">
        <v>387</v>
      </c>
      <c r="J7" s="160" t="s">
        <v>332</v>
      </c>
      <c r="K7" s="672" t="s">
        <v>51</v>
      </c>
      <c r="L7" s="674"/>
      <c r="M7" s="193"/>
      <c r="N7" s="189"/>
      <c r="O7" s="199"/>
      <c r="P7" s="428"/>
      <c r="Q7" s="428"/>
      <c r="R7" s="199"/>
    </row>
    <row r="8" spans="1:18" s="189" customFormat="1" ht="15.75" customHeight="1">
      <c r="A8" s="671">
        <v>3</v>
      </c>
      <c r="B8" s="672" t="s">
        <v>389</v>
      </c>
      <c r="C8" s="200">
        <v>1</v>
      </c>
      <c r="D8" s="667" t="s">
        <v>534</v>
      </c>
      <c r="E8" s="668"/>
      <c r="F8" s="668"/>
      <c r="G8" s="200">
        <v>6</v>
      </c>
      <c r="H8" s="202">
        <v>3264.9104044486689</v>
      </c>
      <c r="I8" s="203">
        <v>544.15173407477812</v>
      </c>
      <c r="J8" s="221">
        <v>0.45053927178742015</v>
      </c>
      <c r="K8" s="667" t="s">
        <v>459</v>
      </c>
      <c r="L8" s="668"/>
      <c r="M8" s="190"/>
      <c r="O8" s="199"/>
      <c r="P8" s="428"/>
      <c r="Q8" s="428"/>
      <c r="R8" s="199"/>
    </row>
    <row r="9" spans="1:18" s="189" customFormat="1" ht="15.75" customHeight="1">
      <c r="A9" s="671"/>
      <c r="B9" s="672"/>
      <c r="C9" s="200">
        <v>2</v>
      </c>
      <c r="D9" s="667" t="s">
        <v>354</v>
      </c>
      <c r="E9" s="668"/>
      <c r="F9" s="668"/>
      <c r="G9" s="200">
        <v>21</v>
      </c>
      <c r="H9" s="202">
        <v>2482.5941384975408</v>
      </c>
      <c r="I9" s="203">
        <v>118.21876849988291</v>
      </c>
      <c r="J9" s="221">
        <v>-1.2430347094985734</v>
      </c>
      <c r="K9" s="667" t="s">
        <v>459</v>
      </c>
      <c r="L9" s="668"/>
      <c r="M9" s="190"/>
      <c r="O9" s="199"/>
      <c r="P9" s="428"/>
      <c r="Q9" s="428"/>
      <c r="R9" s="199"/>
    </row>
    <row r="10" spans="1:18" s="189" customFormat="1" ht="15.75" customHeight="1">
      <c r="A10" s="671"/>
      <c r="B10" s="672"/>
      <c r="C10" s="200">
        <v>3</v>
      </c>
      <c r="D10" s="667"/>
      <c r="E10" s="668"/>
      <c r="F10" s="668"/>
      <c r="G10" s="200"/>
      <c r="H10" s="202"/>
      <c r="I10" s="203"/>
      <c r="J10" s="200"/>
      <c r="K10" s="667"/>
      <c r="L10" s="668"/>
      <c r="M10" s="190"/>
      <c r="O10" s="199"/>
      <c r="P10" s="428"/>
      <c r="Q10" s="428"/>
      <c r="R10" s="199"/>
    </row>
    <row r="11" spans="1:18" s="189" customFormat="1" ht="15.75" customHeight="1">
      <c r="A11" s="671"/>
      <c r="B11" s="672"/>
      <c r="C11" s="200">
        <v>4</v>
      </c>
      <c r="D11" s="667"/>
      <c r="E11" s="668"/>
      <c r="F11" s="668"/>
      <c r="G11" s="200"/>
      <c r="H11" s="202"/>
      <c r="I11" s="203"/>
      <c r="J11" s="200"/>
      <c r="K11" s="667"/>
      <c r="L11" s="668"/>
      <c r="M11" s="190"/>
      <c r="O11" s="199"/>
      <c r="P11" s="428"/>
      <c r="Q11" s="428"/>
      <c r="R11" s="199"/>
    </row>
    <row r="12" spans="1:18" s="189" customFormat="1" ht="15.75" customHeight="1">
      <c r="A12" s="671"/>
      <c r="B12" s="672"/>
      <c r="C12" s="200">
        <v>5</v>
      </c>
      <c r="D12" s="667"/>
      <c r="E12" s="668"/>
      <c r="F12" s="668"/>
      <c r="G12" s="200"/>
      <c r="H12" s="202"/>
      <c r="I12" s="203"/>
      <c r="J12" s="200"/>
      <c r="K12" s="667"/>
      <c r="L12" s="668"/>
      <c r="M12" s="190"/>
      <c r="O12" s="199"/>
      <c r="P12" s="428"/>
      <c r="Q12" s="428"/>
      <c r="R12" s="199"/>
    </row>
    <row r="13" spans="1:18" s="189" customFormat="1" ht="15.75" customHeight="1">
      <c r="A13" s="671"/>
      <c r="B13" s="672"/>
      <c r="C13" s="204" t="s">
        <v>204</v>
      </c>
      <c r="D13" s="667"/>
      <c r="E13" s="668"/>
      <c r="F13" s="668"/>
      <c r="G13" s="200"/>
      <c r="H13" s="202"/>
      <c r="I13" s="203"/>
      <c r="J13" s="200"/>
      <c r="K13" s="667"/>
      <c r="L13" s="668"/>
      <c r="M13" s="190"/>
      <c r="O13" s="199"/>
      <c r="P13" s="428"/>
      <c r="Q13" s="428"/>
      <c r="R13" s="199"/>
    </row>
    <row r="14" spans="1:18" s="189" customFormat="1" ht="15.75" customHeight="1">
      <c r="A14" s="671"/>
      <c r="B14" s="672"/>
      <c r="C14" s="204" t="s">
        <v>209</v>
      </c>
      <c r="D14" s="667"/>
      <c r="E14" s="668"/>
      <c r="F14" s="668"/>
      <c r="G14" s="200"/>
      <c r="H14" s="202"/>
      <c r="I14" s="203"/>
      <c r="J14" s="200"/>
      <c r="K14" s="667"/>
      <c r="L14" s="668"/>
      <c r="M14" s="190"/>
      <c r="N14" s="178"/>
      <c r="O14" s="178"/>
      <c r="P14" s="427"/>
      <c r="Q14" s="427"/>
      <c r="R14" s="178"/>
    </row>
    <row r="15" spans="1:18" s="189" customFormat="1" ht="15.75" customHeight="1">
      <c r="A15" s="671"/>
      <c r="B15" s="672"/>
      <c r="C15" s="204" t="s">
        <v>205</v>
      </c>
      <c r="D15" s="667"/>
      <c r="E15" s="668"/>
      <c r="F15" s="668"/>
      <c r="G15" s="202"/>
      <c r="H15" s="202"/>
      <c r="I15" s="203"/>
      <c r="J15" s="200"/>
      <c r="K15" s="667"/>
      <c r="L15" s="668"/>
      <c r="M15" s="190"/>
      <c r="O15" s="199"/>
      <c r="P15" s="428"/>
      <c r="Q15" s="428"/>
      <c r="R15" s="199"/>
    </row>
    <row r="16" spans="1:18" s="189" customFormat="1" ht="15.75" customHeight="1">
      <c r="A16" s="671"/>
      <c r="B16" s="672"/>
      <c r="C16" s="204" t="s">
        <v>210</v>
      </c>
      <c r="D16" s="667"/>
      <c r="E16" s="668"/>
      <c r="F16" s="668"/>
      <c r="G16" s="200"/>
      <c r="H16" s="202"/>
      <c r="I16" s="203"/>
      <c r="J16" s="200"/>
      <c r="K16" s="667"/>
      <c r="L16" s="668"/>
      <c r="O16" s="199"/>
      <c r="P16" s="428"/>
      <c r="Q16" s="428"/>
      <c r="R16" s="199"/>
    </row>
    <row r="17" spans="1:18" s="189" customFormat="1" ht="15.75" customHeight="1">
      <c r="A17" s="671"/>
      <c r="B17" s="672"/>
      <c r="C17" s="204" t="s">
        <v>211</v>
      </c>
      <c r="D17" s="667"/>
      <c r="E17" s="668"/>
      <c r="F17" s="668"/>
      <c r="G17" s="200"/>
      <c r="H17" s="202"/>
      <c r="I17" s="203"/>
      <c r="J17" s="200"/>
      <c r="K17" s="667"/>
      <c r="L17" s="668"/>
      <c r="O17" s="199"/>
      <c r="P17" s="428"/>
      <c r="Q17" s="428"/>
      <c r="R17" s="199"/>
    </row>
    <row r="18" spans="1:18" s="199" customFormat="1" ht="15.75" customHeight="1">
      <c r="A18" s="669" t="s">
        <v>188</v>
      </c>
      <c r="B18" s="669"/>
      <c r="C18" s="207" t="s">
        <v>47</v>
      </c>
      <c r="D18" s="669" t="s">
        <v>12</v>
      </c>
      <c r="E18" s="670"/>
      <c r="F18" s="670"/>
      <c r="G18" s="207" t="s">
        <v>46</v>
      </c>
      <c r="H18" s="207" t="s">
        <v>386</v>
      </c>
      <c r="I18" s="207" t="s">
        <v>387</v>
      </c>
      <c r="J18" s="160" t="s">
        <v>332</v>
      </c>
      <c r="K18" s="669" t="s">
        <v>51</v>
      </c>
      <c r="L18" s="670"/>
      <c r="M18" s="208"/>
      <c r="N18" s="189"/>
      <c r="P18" s="428"/>
      <c r="Q18" s="428"/>
    </row>
    <row r="19" spans="1:18" s="189" customFormat="1" ht="15.75" customHeight="1">
      <c r="A19" s="671">
        <v>4</v>
      </c>
      <c r="B19" s="672" t="s">
        <v>156</v>
      </c>
      <c r="C19" s="200">
        <v>1</v>
      </c>
      <c r="D19" s="667" t="s">
        <v>511</v>
      </c>
      <c r="E19" s="668"/>
      <c r="F19" s="668"/>
      <c r="G19" s="200">
        <v>6</v>
      </c>
      <c r="H19" s="202">
        <v>2964.1246242900002</v>
      </c>
      <c r="I19" s="203">
        <v>494.02077071499991</v>
      </c>
      <c r="J19" s="221">
        <v>0.12844148477682893</v>
      </c>
      <c r="K19" s="667" t="s">
        <v>459</v>
      </c>
      <c r="L19" s="668"/>
      <c r="N19" s="199"/>
      <c r="O19" s="199"/>
      <c r="P19" s="428"/>
      <c r="Q19" s="428"/>
      <c r="R19" s="199"/>
    </row>
    <row r="20" spans="1:18" s="189" customFormat="1" ht="15.75" customHeight="1">
      <c r="A20" s="671"/>
      <c r="B20" s="672"/>
      <c r="C20" s="200">
        <v>2</v>
      </c>
      <c r="D20" s="667" t="s">
        <v>535</v>
      </c>
      <c r="E20" s="668"/>
      <c r="F20" s="668"/>
      <c r="G20" s="200">
        <v>6</v>
      </c>
      <c r="H20" s="202">
        <v>2963.6252276268456</v>
      </c>
      <c r="I20" s="203">
        <v>493.93753793780758</v>
      </c>
      <c r="J20" s="221">
        <v>1.4860379473191188E-2</v>
      </c>
      <c r="K20" s="667" t="s">
        <v>459</v>
      </c>
      <c r="L20" s="668"/>
      <c r="O20" s="199"/>
      <c r="P20" s="428"/>
      <c r="Q20" s="428"/>
      <c r="R20" s="199"/>
    </row>
    <row r="21" spans="1:18" s="189" customFormat="1" ht="15.75" customHeight="1">
      <c r="A21" s="671"/>
      <c r="B21" s="672"/>
      <c r="C21" s="200">
        <v>3</v>
      </c>
      <c r="D21" s="667"/>
      <c r="E21" s="668"/>
      <c r="F21" s="668"/>
      <c r="G21" s="200"/>
      <c r="H21" s="202"/>
      <c r="I21" s="203"/>
      <c r="J21" s="200"/>
      <c r="K21" s="667"/>
      <c r="L21" s="668"/>
      <c r="O21" s="199"/>
      <c r="P21" s="428"/>
      <c r="Q21" s="428"/>
      <c r="R21" s="199"/>
    </row>
    <row r="22" spans="1:18" s="189" customFormat="1" ht="15.75" customHeight="1">
      <c r="A22" s="671"/>
      <c r="B22" s="672"/>
      <c r="C22" s="200">
        <v>4</v>
      </c>
      <c r="D22" s="667"/>
      <c r="E22" s="668"/>
      <c r="F22" s="668"/>
      <c r="G22" s="200"/>
      <c r="H22" s="202"/>
      <c r="I22" s="203"/>
      <c r="J22" s="200"/>
      <c r="K22" s="667"/>
      <c r="L22" s="668"/>
      <c r="O22" s="199"/>
      <c r="P22" s="428"/>
      <c r="Q22" s="428"/>
      <c r="R22" s="199"/>
    </row>
    <row r="23" spans="1:18" s="189" customFormat="1" ht="15.75" customHeight="1">
      <c r="A23" s="671"/>
      <c r="B23" s="672"/>
      <c r="C23" s="200">
        <v>5</v>
      </c>
      <c r="D23" s="667"/>
      <c r="E23" s="668"/>
      <c r="F23" s="668"/>
      <c r="G23" s="200"/>
      <c r="H23" s="202"/>
      <c r="I23" s="203"/>
      <c r="J23" s="200"/>
      <c r="K23" s="667"/>
      <c r="L23" s="668"/>
      <c r="O23" s="199"/>
      <c r="P23" s="428"/>
      <c r="Q23" s="428"/>
      <c r="R23" s="199"/>
    </row>
    <row r="24" spans="1:18" s="189" customFormat="1" ht="15.75" customHeight="1">
      <c r="A24" s="671"/>
      <c r="B24" s="672"/>
      <c r="C24" s="204" t="s">
        <v>204</v>
      </c>
      <c r="D24" s="667"/>
      <c r="E24" s="668"/>
      <c r="F24" s="668"/>
      <c r="G24" s="200"/>
      <c r="H24" s="202"/>
      <c r="I24" s="203"/>
      <c r="J24" s="200"/>
      <c r="K24" s="667"/>
      <c r="L24" s="668"/>
      <c r="O24" s="199"/>
      <c r="P24" s="428"/>
      <c r="Q24" s="428"/>
      <c r="R24" s="199"/>
    </row>
    <row r="25" spans="1:18" s="189" customFormat="1" ht="15.75" customHeight="1">
      <c r="A25" s="671"/>
      <c r="B25" s="672"/>
      <c r="C25" s="204" t="s">
        <v>209</v>
      </c>
      <c r="D25" s="667"/>
      <c r="E25" s="668"/>
      <c r="F25" s="668"/>
      <c r="G25" s="200"/>
      <c r="H25" s="202"/>
      <c r="I25" s="203"/>
      <c r="J25" s="200"/>
      <c r="K25" s="667"/>
      <c r="L25" s="668"/>
      <c r="O25" s="199"/>
      <c r="P25" s="428"/>
      <c r="Q25" s="428"/>
      <c r="R25" s="199"/>
    </row>
    <row r="26" spans="1:18" s="189" customFormat="1" ht="15.75" customHeight="1">
      <c r="A26" s="671"/>
      <c r="B26" s="672"/>
      <c r="C26" s="204" t="s">
        <v>205</v>
      </c>
      <c r="D26" s="667"/>
      <c r="E26" s="668"/>
      <c r="F26" s="668"/>
      <c r="G26" s="200"/>
      <c r="H26" s="202"/>
      <c r="I26" s="203"/>
      <c r="J26" s="200"/>
      <c r="K26" s="667"/>
      <c r="L26" s="668"/>
      <c r="O26" s="199"/>
      <c r="P26" s="428"/>
      <c r="Q26" s="428"/>
      <c r="R26" s="199"/>
    </row>
    <row r="27" spans="1:18" s="189" customFormat="1" ht="15.75" customHeight="1">
      <c r="A27" s="671"/>
      <c r="B27" s="672"/>
      <c r="C27" s="204" t="s">
        <v>210</v>
      </c>
      <c r="D27" s="667"/>
      <c r="E27" s="668"/>
      <c r="F27" s="668"/>
      <c r="G27" s="200"/>
      <c r="H27" s="202"/>
      <c r="I27" s="203"/>
      <c r="J27" s="200"/>
      <c r="K27" s="667"/>
      <c r="L27" s="668"/>
      <c r="O27" s="199"/>
      <c r="P27" s="428"/>
      <c r="Q27" s="428"/>
      <c r="R27" s="199"/>
    </row>
    <row r="28" spans="1:18" s="189" customFormat="1" ht="15.75" customHeight="1">
      <c r="A28" s="671"/>
      <c r="B28" s="672"/>
      <c r="C28" s="204" t="s">
        <v>211</v>
      </c>
      <c r="D28" s="667"/>
      <c r="E28" s="668"/>
      <c r="F28" s="668"/>
      <c r="G28" s="200"/>
      <c r="H28" s="202"/>
      <c r="I28" s="203"/>
      <c r="J28" s="200"/>
      <c r="K28" s="667"/>
      <c r="L28" s="668"/>
      <c r="O28" s="199"/>
      <c r="P28" s="428"/>
      <c r="Q28" s="428"/>
      <c r="R28" s="199"/>
    </row>
    <row r="29" spans="1:18" s="189" customFormat="1" ht="15.75" customHeight="1">
      <c r="A29" s="673" t="s">
        <v>682</v>
      </c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</row>
    <row r="30" spans="1:18" s="190" customFormat="1" ht="15.75" customHeight="1">
      <c r="A30" s="673"/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</row>
    <row r="31" spans="1:18" s="178" customFormat="1" ht="16.350000000000001" customHeight="1">
      <c r="A31" s="671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71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355</v>
      </c>
      <c r="G32" s="196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72" t="s">
        <v>188</v>
      </c>
      <c r="B33" s="672"/>
      <c r="C33" s="160" t="s">
        <v>47</v>
      </c>
      <c r="D33" s="672" t="s">
        <v>12</v>
      </c>
      <c r="E33" s="674"/>
      <c r="F33" s="674"/>
      <c r="G33" s="160" t="s">
        <v>46</v>
      </c>
      <c r="H33" s="160" t="s">
        <v>386</v>
      </c>
      <c r="I33" s="160" t="s">
        <v>387</v>
      </c>
      <c r="J33" s="160" t="s">
        <v>332</v>
      </c>
      <c r="K33" s="672" t="s">
        <v>51</v>
      </c>
      <c r="L33" s="674"/>
      <c r="M33" s="193"/>
      <c r="N33" s="189"/>
      <c r="O33" s="199"/>
      <c r="P33" s="428"/>
      <c r="Q33" s="428"/>
      <c r="R33" s="199"/>
    </row>
    <row r="34" spans="1:18" s="189" customFormat="1" ht="15.75" customHeight="1">
      <c r="A34" s="671">
        <v>3</v>
      </c>
      <c r="B34" s="672" t="s">
        <v>389</v>
      </c>
      <c r="C34" s="200">
        <v>1</v>
      </c>
      <c r="D34" s="667" t="s">
        <v>534</v>
      </c>
      <c r="E34" s="668"/>
      <c r="F34" s="668"/>
      <c r="G34" s="200">
        <v>6</v>
      </c>
      <c r="H34" s="202">
        <v>3264.9522174507902</v>
      </c>
      <c r="I34" s="203">
        <v>544.15870290846499</v>
      </c>
      <c r="J34" s="221">
        <f>I34-I8</f>
        <v>6.9688336868694023E-3</v>
      </c>
      <c r="K34" s="667" t="s">
        <v>459</v>
      </c>
      <c r="L34" s="668"/>
      <c r="M34" s="190"/>
      <c r="O34" s="199"/>
      <c r="P34" s="428"/>
      <c r="Q34" s="428"/>
      <c r="R34" s="199"/>
    </row>
    <row r="35" spans="1:18" s="189" customFormat="1" ht="15.75" customHeight="1">
      <c r="A35" s="671"/>
      <c r="B35" s="672"/>
      <c r="C35" s="200">
        <v>2</v>
      </c>
      <c r="D35" s="667" t="s">
        <v>354</v>
      </c>
      <c r="E35" s="668"/>
      <c r="F35" s="668"/>
      <c r="G35" s="200">
        <v>21</v>
      </c>
      <c r="H35" s="202">
        <v>2484.0059699484254</v>
      </c>
      <c r="I35" s="203">
        <v>118.28599856897263</v>
      </c>
      <c r="J35" s="221">
        <f>I35-I9</f>
        <v>6.7230069089717404E-2</v>
      </c>
      <c r="K35" s="667" t="s">
        <v>459</v>
      </c>
      <c r="L35" s="668"/>
      <c r="M35" s="190"/>
      <c r="O35" s="199"/>
      <c r="P35" s="428"/>
      <c r="Q35" s="428"/>
      <c r="R35" s="199"/>
    </row>
    <row r="36" spans="1:18" s="189" customFormat="1" ht="15.75" customHeight="1">
      <c r="A36" s="671"/>
      <c r="B36" s="672"/>
      <c r="C36" s="200">
        <v>3</v>
      </c>
      <c r="D36" s="667"/>
      <c r="E36" s="668"/>
      <c r="F36" s="668"/>
      <c r="G36" s="200"/>
      <c r="H36" s="202"/>
      <c r="I36" s="203"/>
      <c r="J36" s="200"/>
      <c r="K36" s="667"/>
      <c r="L36" s="668"/>
      <c r="M36" s="190"/>
      <c r="O36" s="199"/>
      <c r="P36" s="428"/>
      <c r="Q36" s="428"/>
      <c r="R36" s="199"/>
    </row>
    <row r="37" spans="1:18" s="189" customFormat="1" ht="15.75" customHeight="1">
      <c r="A37" s="671"/>
      <c r="B37" s="672"/>
      <c r="C37" s="200">
        <v>4</v>
      </c>
      <c r="D37" s="667"/>
      <c r="E37" s="668"/>
      <c r="F37" s="668"/>
      <c r="G37" s="200"/>
      <c r="H37" s="202"/>
      <c r="I37" s="203"/>
      <c r="J37" s="200"/>
      <c r="K37" s="667"/>
      <c r="L37" s="668"/>
      <c r="M37" s="190"/>
      <c r="O37" s="199"/>
      <c r="P37" s="428"/>
      <c r="Q37" s="428"/>
      <c r="R37" s="199"/>
    </row>
    <row r="38" spans="1:18" s="189" customFormat="1" ht="15.75" customHeight="1">
      <c r="A38" s="671"/>
      <c r="B38" s="672"/>
      <c r="C38" s="200">
        <v>5</v>
      </c>
      <c r="D38" s="667"/>
      <c r="E38" s="668"/>
      <c r="F38" s="668"/>
      <c r="G38" s="200"/>
      <c r="H38" s="202"/>
      <c r="I38" s="203"/>
      <c r="J38" s="200"/>
      <c r="K38" s="667"/>
      <c r="L38" s="668"/>
      <c r="M38" s="190"/>
      <c r="O38" s="199"/>
      <c r="P38" s="428"/>
      <c r="Q38" s="428"/>
      <c r="R38" s="199"/>
    </row>
    <row r="39" spans="1:18" s="189" customFormat="1" ht="15.75" customHeight="1">
      <c r="A39" s="671"/>
      <c r="B39" s="672"/>
      <c r="C39" s="204" t="s">
        <v>204</v>
      </c>
      <c r="D39" s="667"/>
      <c r="E39" s="668"/>
      <c r="F39" s="668"/>
      <c r="G39" s="200"/>
      <c r="H39" s="202"/>
      <c r="I39" s="203"/>
      <c r="J39" s="200"/>
      <c r="K39" s="667"/>
      <c r="L39" s="668"/>
      <c r="M39" s="190"/>
      <c r="O39" s="199"/>
      <c r="P39" s="428"/>
      <c r="Q39" s="428"/>
      <c r="R39" s="199"/>
    </row>
    <row r="40" spans="1:18" s="189" customFormat="1" ht="15.75" customHeight="1">
      <c r="A40" s="671"/>
      <c r="B40" s="672"/>
      <c r="C40" s="204" t="s">
        <v>209</v>
      </c>
      <c r="D40" s="667"/>
      <c r="E40" s="668"/>
      <c r="F40" s="668"/>
      <c r="G40" s="200"/>
      <c r="H40" s="202"/>
      <c r="I40" s="203"/>
      <c r="J40" s="200"/>
      <c r="K40" s="667"/>
      <c r="L40" s="668"/>
      <c r="M40" s="190"/>
      <c r="N40" s="178"/>
      <c r="O40" s="178"/>
      <c r="P40" s="427"/>
      <c r="Q40" s="427"/>
      <c r="R40" s="178"/>
    </row>
    <row r="41" spans="1:18" s="189" customFormat="1" ht="15.75" customHeight="1">
      <c r="A41" s="671"/>
      <c r="B41" s="672"/>
      <c r="C41" s="204" t="s">
        <v>205</v>
      </c>
      <c r="D41" s="667"/>
      <c r="E41" s="668"/>
      <c r="F41" s="668"/>
      <c r="G41" s="202"/>
      <c r="H41" s="202"/>
      <c r="I41" s="203"/>
      <c r="J41" s="200"/>
      <c r="K41" s="667"/>
      <c r="L41" s="668"/>
      <c r="M41" s="190"/>
      <c r="O41" s="199"/>
      <c r="P41" s="428"/>
      <c r="Q41" s="428"/>
      <c r="R41" s="199"/>
    </row>
    <row r="42" spans="1:18" s="189" customFormat="1" ht="15.75" customHeight="1">
      <c r="A42" s="671"/>
      <c r="B42" s="672"/>
      <c r="C42" s="204" t="s">
        <v>210</v>
      </c>
      <c r="D42" s="667"/>
      <c r="E42" s="668"/>
      <c r="F42" s="668"/>
      <c r="G42" s="200"/>
      <c r="H42" s="202"/>
      <c r="I42" s="203"/>
      <c r="J42" s="200"/>
      <c r="K42" s="667"/>
      <c r="L42" s="668"/>
      <c r="O42" s="199"/>
      <c r="P42" s="428"/>
      <c r="Q42" s="428"/>
      <c r="R42" s="199"/>
    </row>
    <row r="43" spans="1:18" s="189" customFormat="1" ht="15.75" customHeight="1">
      <c r="A43" s="671"/>
      <c r="B43" s="672"/>
      <c r="C43" s="204" t="s">
        <v>211</v>
      </c>
      <c r="D43" s="667"/>
      <c r="E43" s="668"/>
      <c r="F43" s="668"/>
      <c r="G43" s="200"/>
      <c r="H43" s="202"/>
      <c r="I43" s="203"/>
      <c r="J43" s="200"/>
      <c r="K43" s="667"/>
      <c r="L43" s="668"/>
      <c r="O43" s="199"/>
      <c r="P43" s="428"/>
      <c r="Q43" s="428"/>
      <c r="R43" s="199"/>
    </row>
    <row r="44" spans="1:18" s="199" customFormat="1" ht="15.75" customHeight="1">
      <c r="A44" s="669" t="s">
        <v>188</v>
      </c>
      <c r="B44" s="669"/>
      <c r="C44" s="207" t="s">
        <v>47</v>
      </c>
      <c r="D44" s="669" t="s">
        <v>12</v>
      </c>
      <c r="E44" s="670"/>
      <c r="F44" s="670"/>
      <c r="G44" s="207" t="s">
        <v>46</v>
      </c>
      <c r="H44" s="207" t="s">
        <v>386</v>
      </c>
      <c r="I44" s="207" t="s">
        <v>387</v>
      </c>
      <c r="J44" s="160" t="s">
        <v>332</v>
      </c>
      <c r="K44" s="669" t="s">
        <v>51</v>
      </c>
      <c r="L44" s="670"/>
      <c r="M44" s="208"/>
      <c r="N44" s="189"/>
      <c r="P44" s="428"/>
      <c r="Q44" s="428"/>
    </row>
    <row r="45" spans="1:18" s="189" customFormat="1" ht="15.75" customHeight="1">
      <c r="A45" s="671">
        <v>4</v>
      </c>
      <c r="B45" s="672" t="s">
        <v>156</v>
      </c>
      <c r="C45" s="200">
        <v>1</v>
      </c>
      <c r="D45" s="667" t="s">
        <v>511</v>
      </c>
      <c r="E45" s="668"/>
      <c r="F45" s="668"/>
      <c r="G45" s="200">
        <v>6</v>
      </c>
      <c r="H45" s="202">
        <v>2964.6529653090147</v>
      </c>
      <c r="I45" s="203">
        <v>494.10882755150249</v>
      </c>
      <c r="J45" s="221">
        <f>I45-I20</f>
        <v>0.1712896136949098</v>
      </c>
      <c r="K45" s="667" t="s">
        <v>459</v>
      </c>
      <c r="L45" s="668"/>
      <c r="N45" s="199"/>
      <c r="O45" s="199"/>
      <c r="P45" s="428"/>
      <c r="Q45" s="428"/>
      <c r="R45" s="199"/>
    </row>
    <row r="46" spans="1:18" s="189" customFormat="1" ht="15.75" customHeight="1">
      <c r="A46" s="671"/>
      <c r="B46" s="672"/>
      <c r="C46" s="200">
        <v>2</v>
      </c>
      <c r="D46" s="667" t="s">
        <v>535</v>
      </c>
      <c r="E46" s="668"/>
      <c r="F46" s="668"/>
      <c r="G46" s="200">
        <v>6</v>
      </c>
      <c r="H46" s="202">
        <v>2962.6326621802014</v>
      </c>
      <c r="I46" s="203">
        <v>493.77211036336683</v>
      </c>
      <c r="J46" s="221">
        <f>I46-I19</f>
        <v>-0.24866035163307743</v>
      </c>
      <c r="K46" s="667" t="s">
        <v>459</v>
      </c>
      <c r="L46" s="668"/>
      <c r="O46" s="199"/>
      <c r="P46" s="428"/>
      <c r="Q46" s="428"/>
      <c r="R46" s="199"/>
    </row>
    <row r="47" spans="1:18" s="189" customFormat="1" ht="15.75" customHeight="1">
      <c r="A47" s="671"/>
      <c r="B47" s="672"/>
      <c r="C47" s="200">
        <v>3</v>
      </c>
      <c r="D47" s="667" t="s">
        <v>681</v>
      </c>
      <c r="E47" s="668"/>
      <c r="F47" s="668"/>
      <c r="G47" s="200">
        <v>11</v>
      </c>
      <c r="H47" s="202">
        <v>2581.3882822365895</v>
      </c>
      <c r="I47" s="203">
        <v>234.67166202150818</v>
      </c>
      <c r="J47" s="200"/>
      <c r="K47" s="667" t="s">
        <v>658</v>
      </c>
      <c r="L47" s="668"/>
      <c r="O47" s="199"/>
      <c r="P47" s="428"/>
      <c r="Q47" s="428"/>
      <c r="R47" s="199"/>
    </row>
    <row r="48" spans="1:18" s="189" customFormat="1" ht="15.75" customHeight="1">
      <c r="A48" s="671"/>
      <c r="B48" s="672"/>
      <c r="C48" s="200">
        <v>4</v>
      </c>
      <c r="D48" s="667"/>
      <c r="E48" s="668"/>
      <c r="F48" s="668"/>
      <c r="G48" s="200"/>
      <c r="H48" s="202"/>
      <c r="I48" s="203"/>
      <c r="J48" s="200"/>
      <c r="K48" s="667"/>
      <c r="L48" s="668"/>
      <c r="O48" s="199"/>
      <c r="P48" s="428"/>
      <c r="Q48" s="428"/>
      <c r="R48" s="199"/>
    </row>
    <row r="49" spans="1:18" s="189" customFormat="1" ht="15.75" customHeight="1">
      <c r="A49" s="671"/>
      <c r="B49" s="672"/>
      <c r="C49" s="200">
        <v>5</v>
      </c>
      <c r="D49" s="667"/>
      <c r="E49" s="668"/>
      <c r="F49" s="668"/>
      <c r="G49" s="200"/>
      <c r="H49" s="202"/>
      <c r="I49" s="203"/>
      <c r="J49" s="200"/>
      <c r="K49" s="667"/>
      <c r="L49" s="668"/>
      <c r="O49" s="199"/>
      <c r="P49" s="428"/>
      <c r="Q49" s="428"/>
      <c r="R49" s="199"/>
    </row>
    <row r="50" spans="1:18" s="189" customFormat="1" ht="15.75" customHeight="1">
      <c r="A50" s="671"/>
      <c r="B50" s="672"/>
      <c r="C50" s="204" t="s">
        <v>204</v>
      </c>
      <c r="D50" s="667"/>
      <c r="E50" s="668"/>
      <c r="F50" s="668"/>
      <c r="G50" s="200"/>
      <c r="H50" s="202"/>
      <c r="I50" s="203"/>
      <c r="J50" s="200"/>
      <c r="K50" s="667"/>
      <c r="L50" s="668"/>
      <c r="O50" s="199"/>
      <c r="P50" s="428"/>
      <c r="Q50" s="428"/>
      <c r="R50" s="199"/>
    </row>
    <row r="51" spans="1:18" s="189" customFormat="1" ht="15.75" customHeight="1">
      <c r="A51" s="671"/>
      <c r="B51" s="672"/>
      <c r="C51" s="204" t="s">
        <v>209</v>
      </c>
      <c r="D51" s="667"/>
      <c r="E51" s="668"/>
      <c r="F51" s="668"/>
      <c r="G51" s="200"/>
      <c r="H51" s="202"/>
      <c r="I51" s="203"/>
      <c r="J51" s="200"/>
      <c r="K51" s="667"/>
      <c r="L51" s="668"/>
      <c r="O51" s="199"/>
      <c r="P51" s="428"/>
      <c r="Q51" s="428"/>
      <c r="R51" s="199"/>
    </row>
    <row r="52" spans="1:18" s="189" customFormat="1" ht="15.75" customHeight="1">
      <c r="A52" s="671"/>
      <c r="B52" s="672"/>
      <c r="C52" s="204" t="s">
        <v>205</v>
      </c>
      <c r="D52" s="667"/>
      <c r="E52" s="668"/>
      <c r="F52" s="668"/>
      <c r="G52" s="200"/>
      <c r="H52" s="202"/>
      <c r="I52" s="203"/>
      <c r="J52" s="200"/>
      <c r="K52" s="667"/>
      <c r="L52" s="668"/>
      <c r="O52" s="199"/>
      <c r="P52" s="428"/>
      <c r="Q52" s="428"/>
      <c r="R52" s="199"/>
    </row>
    <row r="53" spans="1:18" s="189" customFormat="1" ht="15.75" customHeight="1">
      <c r="A53" s="671"/>
      <c r="B53" s="672"/>
      <c r="C53" s="204" t="s">
        <v>210</v>
      </c>
      <c r="D53" s="667"/>
      <c r="E53" s="668"/>
      <c r="F53" s="668"/>
      <c r="G53" s="200"/>
      <c r="H53" s="202"/>
      <c r="I53" s="203"/>
      <c r="J53" s="200"/>
      <c r="K53" s="667"/>
      <c r="L53" s="668"/>
      <c r="O53" s="199"/>
      <c r="P53" s="428"/>
      <c r="Q53" s="428"/>
      <c r="R53" s="199"/>
    </row>
    <row r="54" spans="1:18" s="189" customFormat="1" ht="15.75" customHeight="1">
      <c r="A54" s="671"/>
      <c r="B54" s="672"/>
      <c r="C54" s="204" t="s">
        <v>211</v>
      </c>
      <c r="D54" s="667"/>
      <c r="E54" s="668"/>
      <c r="F54" s="668"/>
      <c r="G54" s="200"/>
      <c r="H54" s="202"/>
      <c r="I54" s="203"/>
      <c r="J54" s="200"/>
      <c r="K54" s="667"/>
      <c r="L54" s="668"/>
      <c r="O54" s="199"/>
      <c r="P54" s="428"/>
      <c r="Q54" s="428"/>
      <c r="R54" s="199"/>
    </row>
    <row r="55" spans="1:18" s="189" customFormat="1" ht="15.75" customHeight="1">
      <c r="A55" s="673" t="s">
        <v>745</v>
      </c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</row>
    <row r="56" spans="1:18" s="190" customFormat="1" ht="15.75" customHeight="1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</row>
    <row r="57" spans="1:18" s="178" customFormat="1" ht="16.350000000000001" customHeight="1">
      <c r="A57" s="671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71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355</v>
      </c>
      <c r="G58" s="196" t="s">
        <v>136</v>
      </c>
      <c r="H58" s="197" t="s">
        <v>208</v>
      </c>
      <c r="I58" s="196" t="s">
        <v>385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72" t="s">
        <v>188</v>
      </c>
      <c r="B59" s="672"/>
      <c r="C59" s="160" t="s">
        <v>47</v>
      </c>
      <c r="D59" s="672" t="s">
        <v>12</v>
      </c>
      <c r="E59" s="674"/>
      <c r="F59" s="674"/>
      <c r="G59" s="160" t="s">
        <v>46</v>
      </c>
      <c r="H59" s="160" t="s">
        <v>386</v>
      </c>
      <c r="I59" s="160" t="s">
        <v>387</v>
      </c>
      <c r="J59" s="160" t="s">
        <v>332</v>
      </c>
      <c r="K59" s="672" t="s">
        <v>51</v>
      </c>
      <c r="L59" s="674"/>
      <c r="M59" s="193"/>
      <c r="N59" s="189"/>
      <c r="O59" s="199"/>
      <c r="P59" s="428"/>
      <c r="Q59" s="428"/>
      <c r="R59" s="199"/>
    </row>
    <row r="60" spans="1:18" s="189" customFormat="1" ht="15.75" customHeight="1">
      <c r="A60" s="671">
        <v>3</v>
      </c>
      <c r="B60" s="672" t="s">
        <v>389</v>
      </c>
      <c r="C60" s="200">
        <v>1</v>
      </c>
      <c r="D60" s="667" t="s">
        <v>534</v>
      </c>
      <c r="E60" s="668"/>
      <c r="F60" s="668"/>
      <c r="G60" s="200">
        <v>6</v>
      </c>
      <c r="H60" s="202">
        <v>3265.2778334461705</v>
      </c>
      <c r="I60" s="203">
        <v>544.21297224102841</v>
      </c>
      <c r="J60" s="221">
        <f>I60-I34</f>
        <v>5.4269332563421813E-2</v>
      </c>
      <c r="K60" s="667"/>
      <c r="L60" s="668"/>
      <c r="M60" s="190"/>
      <c r="O60" s="199"/>
      <c r="P60" s="428"/>
      <c r="Q60" s="428"/>
      <c r="R60" s="199"/>
    </row>
    <row r="61" spans="1:18" s="189" customFormat="1" ht="15.75" customHeight="1">
      <c r="A61" s="671"/>
      <c r="B61" s="672"/>
      <c r="C61" s="200">
        <v>2</v>
      </c>
      <c r="D61" s="667" t="s">
        <v>354</v>
      </c>
      <c r="E61" s="668"/>
      <c r="F61" s="668"/>
      <c r="G61" s="200">
        <v>21</v>
      </c>
      <c r="H61" s="202">
        <v>2484.1730769230767</v>
      </c>
      <c r="I61" s="203">
        <v>118.29395604395602</v>
      </c>
      <c r="J61" s="221">
        <f>I61-I35</f>
        <v>7.957474983385282E-3</v>
      </c>
      <c r="K61" s="667"/>
      <c r="L61" s="668"/>
      <c r="M61" s="190"/>
      <c r="O61" s="199"/>
      <c r="P61" s="428"/>
      <c r="Q61" s="428"/>
      <c r="R61" s="199"/>
    </row>
    <row r="62" spans="1:18" s="189" customFormat="1" ht="15.75" customHeight="1">
      <c r="A62" s="671"/>
      <c r="B62" s="672"/>
      <c r="C62" s="200">
        <v>3</v>
      </c>
      <c r="D62" s="667"/>
      <c r="E62" s="668"/>
      <c r="F62" s="668"/>
      <c r="G62" s="200"/>
      <c r="H62" s="202"/>
      <c r="I62" s="203"/>
      <c r="J62" s="200"/>
      <c r="K62" s="667"/>
      <c r="L62" s="668"/>
      <c r="M62" s="190"/>
      <c r="O62" s="199"/>
      <c r="P62" s="428"/>
      <c r="Q62" s="428"/>
      <c r="R62" s="199"/>
    </row>
    <row r="63" spans="1:18" s="189" customFormat="1" ht="15.75" customHeight="1">
      <c r="A63" s="671"/>
      <c r="B63" s="672"/>
      <c r="C63" s="200">
        <v>4</v>
      </c>
      <c r="D63" s="667"/>
      <c r="E63" s="668"/>
      <c r="F63" s="668"/>
      <c r="G63" s="200"/>
      <c r="H63" s="202"/>
      <c r="I63" s="203"/>
      <c r="J63" s="200"/>
      <c r="K63" s="667"/>
      <c r="L63" s="668"/>
      <c r="M63" s="190"/>
      <c r="O63" s="199"/>
      <c r="P63" s="428"/>
      <c r="Q63" s="428"/>
      <c r="R63" s="199"/>
    </row>
    <row r="64" spans="1:18" s="189" customFormat="1" ht="15.75" customHeight="1">
      <c r="A64" s="671"/>
      <c r="B64" s="672"/>
      <c r="C64" s="200">
        <v>5</v>
      </c>
      <c r="D64" s="667"/>
      <c r="E64" s="668"/>
      <c r="F64" s="668"/>
      <c r="G64" s="200"/>
      <c r="H64" s="202"/>
      <c r="I64" s="203"/>
      <c r="J64" s="200"/>
      <c r="K64" s="667"/>
      <c r="L64" s="668"/>
      <c r="M64" s="190"/>
      <c r="O64" s="199"/>
      <c r="P64" s="428"/>
      <c r="Q64" s="428"/>
      <c r="R64" s="199"/>
    </row>
    <row r="65" spans="1:18" s="189" customFormat="1" ht="15.75" customHeight="1">
      <c r="A65" s="671"/>
      <c r="B65" s="672"/>
      <c r="C65" s="204" t="s">
        <v>204</v>
      </c>
      <c r="D65" s="667"/>
      <c r="E65" s="668"/>
      <c r="F65" s="668"/>
      <c r="G65" s="200"/>
      <c r="H65" s="202"/>
      <c r="I65" s="203"/>
      <c r="J65" s="200"/>
      <c r="K65" s="667"/>
      <c r="L65" s="668"/>
      <c r="M65" s="190"/>
      <c r="O65" s="199"/>
      <c r="P65" s="428"/>
      <c r="Q65" s="428"/>
      <c r="R65" s="199"/>
    </row>
    <row r="66" spans="1:18" s="189" customFormat="1" ht="15.75" customHeight="1">
      <c r="A66" s="671"/>
      <c r="B66" s="672"/>
      <c r="C66" s="204" t="s">
        <v>209</v>
      </c>
      <c r="D66" s="667"/>
      <c r="E66" s="668"/>
      <c r="F66" s="668"/>
      <c r="G66" s="200"/>
      <c r="H66" s="202"/>
      <c r="I66" s="203"/>
      <c r="J66" s="200"/>
      <c r="K66" s="667"/>
      <c r="L66" s="668"/>
      <c r="M66" s="190"/>
      <c r="N66" s="178"/>
      <c r="O66" s="178"/>
      <c r="P66" s="427"/>
      <c r="Q66" s="427"/>
      <c r="R66" s="178"/>
    </row>
    <row r="67" spans="1:18" s="189" customFormat="1" ht="15.75" customHeight="1">
      <c r="A67" s="671"/>
      <c r="B67" s="672"/>
      <c r="C67" s="204" t="s">
        <v>205</v>
      </c>
      <c r="D67" s="667"/>
      <c r="E67" s="668"/>
      <c r="F67" s="668"/>
      <c r="G67" s="202"/>
      <c r="H67" s="202"/>
      <c r="I67" s="203"/>
      <c r="J67" s="200"/>
      <c r="K67" s="667"/>
      <c r="L67" s="668"/>
      <c r="M67" s="190"/>
      <c r="O67" s="199"/>
      <c r="P67" s="428"/>
      <c r="Q67" s="428"/>
      <c r="R67" s="199"/>
    </row>
    <row r="68" spans="1:18" s="189" customFormat="1" ht="15.75" customHeight="1">
      <c r="A68" s="671"/>
      <c r="B68" s="672"/>
      <c r="C68" s="204" t="s">
        <v>210</v>
      </c>
      <c r="D68" s="667"/>
      <c r="E68" s="668"/>
      <c r="F68" s="668"/>
      <c r="G68" s="200"/>
      <c r="H68" s="202"/>
      <c r="I68" s="203"/>
      <c r="J68" s="200"/>
      <c r="K68" s="667"/>
      <c r="L68" s="668"/>
      <c r="O68" s="199"/>
      <c r="P68" s="428"/>
      <c r="Q68" s="428"/>
      <c r="R68" s="199"/>
    </row>
    <row r="69" spans="1:18" s="189" customFormat="1" ht="15.75" customHeight="1">
      <c r="A69" s="671"/>
      <c r="B69" s="672"/>
      <c r="C69" s="204" t="s">
        <v>211</v>
      </c>
      <c r="D69" s="667"/>
      <c r="E69" s="668"/>
      <c r="F69" s="668"/>
      <c r="G69" s="200"/>
      <c r="H69" s="202"/>
      <c r="I69" s="203"/>
      <c r="J69" s="200"/>
      <c r="K69" s="667"/>
      <c r="L69" s="668"/>
      <c r="O69" s="199"/>
      <c r="P69" s="428"/>
      <c r="Q69" s="428"/>
      <c r="R69" s="199"/>
    </row>
    <row r="70" spans="1:18" s="199" customFormat="1" ht="15.75" customHeight="1">
      <c r="A70" s="669" t="s">
        <v>188</v>
      </c>
      <c r="B70" s="669"/>
      <c r="C70" s="207" t="s">
        <v>47</v>
      </c>
      <c r="D70" s="669" t="s">
        <v>12</v>
      </c>
      <c r="E70" s="670"/>
      <c r="F70" s="670"/>
      <c r="G70" s="207" t="s">
        <v>46</v>
      </c>
      <c r="H70" s="207" t="s">
        <v>386</v>
      </c>
      <c r="I70" s="207" t="s">
        <v>387</v>
      </c>
      <c r="J70" s="160" t="s">
        <v>332</v>
      </c>
      <c r="K70" s="669" t="s">
        <v>51</v>
      </c>
      <c r="L70" s="670"/>
      <c r="M70" s="208"/>
      <c r="N70" s="189"/>
      <c r="P70" s="428"/>
      <c r="Q70" s="428"/>
    </row>
    <row r="71" spans="1:18" s="189" customFormat="1" ht="15.75" customHeight="1">
      <c r="A71" s="671">
        <v>4</v>
      </c>
      <c r="B71" s="672" t="s">
        <v>156</v>
      </c>
      <c r="C71" s="200">
        <v>1</v>
      </c>
      <c r="D71" s="667" t="s">
        <v>511</v>
      </c>
      <c r="E71" s="668"/>
      <c r="F71" s="668"/>
      <c r="G71" s="200">
        <v>6</v>
      </c>
      <c r="H71" s="202">
        <v>2966.2552183599291</v>
      </c>
      <c r="I71" s="203">
        <v>494.37586972665491</v>
      </c>
      <c r="J71" s="221">
        <f>I71-I45</f>
        <v>0.2670421751524259</v>
      </c>
      <c r="K71" s="667"/>
      <c r="L71" s="668"/>
      <c r="N71" s="199"/>
      <c r="O71" s="199"/>
      <c r="P71" s="428"/>
      <c r="Q71" s="428"/>
      <c r="R71" s="199"/>
    </row>
    <row r="72" spans="1:18" s="189" customFormat="1" ht="15.75" customHeight="1">
      <c r="A72" s="671"/>
      <c r="B72" s="672"/>
      <c r="C72" s="200">
        <v>2</v>
      </c>
      <c r="D72" s="667" t="s">
        <v>535</v>
      </c>
      <c r="E72" s="668"/>
      <c r="F72" s="668"/>
      <c r="G72" s="200">
        <v>6</v>
      </c>
      <c r="H72" s="202">
        <v>2962.2556263350384</v>
      </c>
      <c r="I72" s="203">
        <v>493.70927105583974</v>
      </c>
      <c r="J72" s="221">
        <f>I72-I46</f>
        <v>-6.2839307527099209E-2</v>
      </c>
      <c r="K72" s="667"/>
      <c r="L72" s="668"/>
      <c r="O72" s="199"/>
      <c r="P72" s="428"/>
      <c r="Q72" s="428"/>
      <c r="R72" s="199"/>
    </row>
    <row r="73" spans="1:18" s="189" customFormat="1" ht="15.75" customHeight="1">
      <c r="A73" s="671"/>
      <c r="B73" s="672"/>
      <c r="C73" s="200">
        <v>3</v>
      </c>
      <c r="D73" s="667" t="s">
        <v>740</v>
      </c>
      <c r="E73" s="668"/>
      <c r="F73" s="668"/>
      <c r="G73" s="200">
        <v>6</v>
      </c>
      <c r="H73" s="202">
        <v>2158.3463902975996</v>
      </c>
      <c r="I73" s="203">
        <v>359.7243983829332</v>
      </c>
      <c r="J73" s="221"/>
      <c r="K73" s="667"/>
      <c r="L73" s="668"/>
      <c r="O73" s="199"/>
      <c r="P73" s="428"/>
      <c r="Q73" s="428"/>
      <c r="R73" s="199"/>
    </row>
    <row r="74" spans="1:18" s="189" customFormat="1" ht="15.75" customHeight="1">
      <c r="A74" s="671"/>
      <c r="B74" s="672"/>
      <c r="C74" s="200">
        <v>4</v>
      </c>
      <c r="D74" s="667" t="s">
        <v>681</v>
      </c>
      <c r="E74" s="668"/>
      <c r="F74" s="668"/>
      <c r="G74" s="200">
        <v>11</v>
      </c>
      <c r="H74" s="202">
        <v>2652.203727414897</v>
      </c>
      <c r="I74" s="203">
        <v>241.10942976499069</v>
      </c>
      <c r="J74" s="221">
        <f>I74-I47</f>
        <v>6.4377677434825102</v>
      </c>
      <c r="K74" s="667"/>
      <c r="L74" s="668"/>
      <c r="O74" s="199"/>
      <c r="P74" s="428"/>
      <c r="Q74" s="428"/>
      <c r="R74" s="199"/>
    </row>
    <row r="75" spans="1:18" s="189" customFormat="1" ht="15.75" customHeight="1">
      <c r="A75" s="671"/>
      <c r="B75" s="672"/>
      <c r="C75" s="200">
        <v>5</v>
      </c>
      <c r="D75" s="667"/>
      <c r="E75" s="668"/>
      <c r="F75" s="668"/>
      <c r="G75" s="200"/>
      <c r="H75" s="202"/>
      <c r="I75" s="203"/>
      <c r="J75" s="200"/>
      <c r="K75" s="667"/>
      <c r="L75" s="668"/>
      <c r="O75" s="199"/>
      <c r="P75" s="428"/>
      <c r="Q75" s="428"/>
      <c r="R75" s="199"/>
    </row>
    <row r="76" spans="1:18" s="189" customFormat="1" ht="15.75" customHeight="1">
      <c r="A76" s="671"/>
      <c r="B76" s="672"/>
      <c r="C76" s="204" t="s">
        <v>204</v>
      </c>
      <c r="D76" s="667"/>
      <c r="E76" s="668"/>
      <c r="F76" s="668"/>
      <c r="G76" s="200"/>
      <c r="H76" s="202"/>
      <c r="I76" s="203"/>
      <c r="J76" s="200"/>
      <c r="K76" s="667"/>
      <c r="L76" s="668"/>
      <c r="O76" s="199"/>
      <c r="P76" s="428"/>
      <c r="Q76" s="428"/>
      <c r="R76" s="199"/>
    </row>
    <row r="77" spans="1:18" s="189" customFormat="1" ht="15.75" customHeight="1">
      <c r="A77" s="671"/>
      <c r="B77" s="672"/>
      <c r="C77" s="204" t="s">
        <v>209</v>
      </c>
      <c r="D77" s="667"/>
      <c r="E77" s="668"/>
      <c r="F77" s="668"/>
      <c r="G77" s="200"/>
      <c r="H77" s="202"/>
      <c r="I77" s="203"/>
      <c r="J77" s="200"/>
      <c r="K77" s="667"/>
      <c r="L77" s="668"/>
      <c r="O77" s="199"/>
      <c r="P77" s="428"/>
      <c r="Q77" s="428"/>
      <c r="R77" s="199"/>
    </row>
    <row r="78" spans="1:18" s="189" customFormat="1" ht="15.75" customHeight="1">
      <c r="A78" s="671"/>
      <c r="B78" s="672"/>
      <c r="C78" s="204" t="s">
        <v>205</v>
      </c>
      <c r="D78" s="667"/>
      <c r="E78" s="668"/>
      <c r="F78" s="668"/>
      <c r="G78" s="200"/>
      <c r="H78" s="202"/>
      <c r="I78" s="203"/>
      <c r="J78" s="200"/>
      <c r="K78" s="667"/>
      <c r="L78" s="668"/>
      <c r="O78" s="199"/>
      <c r="P78" s="428"/>
      <c r="Q78" s="428"/>
      <c r="R78" s="199"/>
    </row>
    <row r="79" spans="1:18" s="189" customFormat="1" ht="15.75" customHeight="1">
      <c r="A79" s="671"/>
      <c r="B79" s="672"/>
      <c r="C79" s="204" t="s">
        <v>210</v>
      </c>
      <c r="D79" s="667"/>
      <c r="E79" s="668"/>
      <c r="F79" s="668"/>
      <c r="G79" s="200"/>
      <c r="H79" s="202"/>
      <c r="I79" s="203"/>
      <c r="J79" s="200"/>
      <c r="K79" s="667"/>
      <c r="L79" s="668"/>
      <c r="O79" s="199"/>
      <c r="P79" s="428"/>
      <c r="Q79" s="428"/>
      <c r="R79" s="199"/>
    </row>
    <row r="80" spans="1:18" s="189" customFormat="1" ht="15.75" customHeight="1">
      <c r="A80" s="671"/>
      <c r="B80" s="672"/>
      <c r="C80" s="204" t="s">
        <v>211</v>
      </c>
      <c r="D80" s="667"/>
      <c r="E80" s="668"/>
      <c r="F80" s="668"/>
      <c r="G80" s="200"/>
      <c r="H80" s="202"/>
      <c r="I80" s="203"/>
      <c r="J80" s="200"/>
      <c r="K80" s="667"/>
      <c r="L80" s="668"/>
      <c r="O80" s="199"/>
      <c r="P80" s="428"/>
      <c r="Q80" s="428"/>
      <c r="R80" s="199"/>
    </row>
  </sheetData>
  <mergeCells count="157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A1:L2"/>
    <mergeCell ref="K40:L40"/>
    <mergeCell ref="D41:F41"/>
    <mergeCell ref="K41:L41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A29:L30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D42:F42"/>
    <mergeCell ref="D51:F51"/>
    <mergeCell ref="K51:L51"/>
    <mergeCell ref="D52:F52"/>
    <mergeCell ref="K52:L52"/>
    <mergeCell ref="D53:F53"/>
    <mergeCell ref="K53:L53"/>
    <mergeCell ref="D54:F54"/>
    <mergeCell ref="K54:L5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80"/>
  <sheetViews>
    <sheetView view="pageBreakPreview" topLeftCell="A46" zoomScaleNormal="60" zoomScaleSheetLayoutView="100" workbookViewId="0">
      <selection activeCell="I49" sqref="I49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9" t="s">
        <v>384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73" t="s">
        <v>642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</row>
    <row r="4" spans="1:18" s="190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</row>
    <row r="5" spans="1:18" s="106" customFormat="1" ht="16.350000000000001" customHeight="1">
      <c r="A5" s="671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71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355</v>
      </c>
      <c r="G6" s="209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2" t="s">
        <v>188</v>
      </c>
      <c r="B7" s="672"/>
      <c r="C7" s="160" t="s">
        <v>47</v>
      </c>
      <c r="D7" s="672" t="s">
        <v>12</v>
      </c>
      <c r="E7" s="674"/>
      <c r="F7" s="674"/>
      <c r="G7" s="160" t="s">
        <v>46</v>
      </c>
      <c r="H7" s="160" t="s">
        <v>386</v>
      </c>
      <c r="I7" s="160" t="s">
        <v>387</v>
      </c>
      <c r="J7" s="160" t="s">
        <v>332</v>
      </c>
      <c r="K7" s="672" t="s">
        <v>51</v>
      </c>
      <c r="L7" s="674"/>
      <c r="M7" s="127"/>
      <c r="N7" s="189"/>
      <c r="O7" s="199"/>
      <c r="P7" s="428"/>
      <c r="Q7" s="428"/>
      <c r="R7" s="199"/>
    </row>
    <row r="8" spans="1:18" ht="15.75" customHeight="1">
      <c r="A8" s="671">
        <v>5</v>
      </c>
      <c r="B8" s="672" t="s">
        <v>355</v>
      </c>
      <c r="C8" s="200">
        <v>1</v>
      </c>
      <c r="D8" s="667" t="s">
        <v>476</v>
      </c>
      <c r="E8" s="668"/>
      <c r="F8" s="668"/>
      <c r="G8" s="202">
        <v>20</v>
      </c>
      <c r="H8" s="202">
        <v>1787.6833225479334</v>
      </c>
      <c r="I8" s="203">
        <v>89.384166127396682</v>
      </c>
      <c r="J8" s="376">
        <v>3.7062005609215021E-2</v>
      </c>
      <c r="K8" s="677" t="s">
        <v>459</v>
      </c>
      <c r="L8" s="678"/>
      <c r="O8" s="429"/>
      <c r="P8" s="428"/>
      <c r="Q8" s="428"/>
      <c r="R8" s="199"/>
    </row>
    <row r="9" spans="1:18" ht="15.75" customHeight="1">
      <c r="A9" s="671"/>
      <c r="B9" s="672"/>
      <c r="C9" s="200">
        <v>2</v>
      </c>
      <c r="D9" s="667" t="s">
        <v>537</v>
      </c>
      <c r="E9" s="668"/>
      <c r="F9" s="668"/>
      <c r="G9" s="202">
        <v>20</v>
      </c>
      <c r="H9" s="202">
        <v>1786.6316446739627</v>
      </c>
      <c r="I9" s="203">
        <v>89.331582233698143</v>
      </c>
      <c r="J9" s="376">
        <v>2.9160724998760656E-2</v>
      </c>
      <c r="K9" s="677" t="s">
        <v>459</v>
      </c>
      <c r="L9" s="678"/>
      <c r="O9" s="429"/>
      <c r="P9" s="428"/>
      <c r="Q9" s="428"/>
      <c r="R9" s="199"/>
    </row>
    <row r="10" spans="1:18" ht="15.75" customHeight="1">
      <c r="A10" s="671"/>
      <c r="B10" s="672"/>
      <c r="C10" s="200">
        <v>3</v>
      </c>
      <c r="D10" s="667" t="s">
        <v>498</v>
      </c>
      <c r="E10" s="668"/>
      <c r="F10" s="668"/>
      <c r="G10" s="202">
        <v>19</v>
      </c>
      <c r="H10" s="202">
        <v>1606.138385538095</v>
      </c>
      <c r="I10" s="203">
        <v>84.533599238847117</v>
      </c>
      <c r="J10" s="376">
        <v>9.970887887476465E-3</v>
      </c>
      <c r="K10" s="677" t="s">
        <v>459</v>
      </c>
      <c r="L10" s="678"/>
      <c r="O10" s="429"/>
      <c r="P10" s="428"/>
      <c r="Q10" s="428"/>
      <c r="R10" s="199"/>
    </row>
    <row r="11" spans="1:18" ht="15.75" customHeight="1">
      <c r="A11" s="671"/>
      <c r="B11" s="672"/>
      <c r="C11" s="200">
        <v>4</v>
      </c>
      <c r="D11" s="667" t="s">
        <v>345</v>
      </c>
      <c r="E11" s="668"/>
      <c r="F11" s="668"/>
      <c r="G11" s="202">
        <v>23</v>
      </c>
      <c r="H11" s="202">
        <v>1789.618373605475</v>
      </c>
      <c r="I11" s="203">
        <v>77.809494504585857</v>
      </c>
      <c r="J11" s="376">
        <v>4.8264045693258595E-2</v>
      </c>
      <c r="K11" s="677" t="s">
        <v>459</v>
      </c>
      <c r="L11" s="678"/>
      <c r="O11" s="429"/>
      <c r="P11" s="428"/>
      <c r="Q11" s="428"/>
      <c r="R11" s="199"/>
    </row>
    <row r="12" spans="1:18" ht="15.75" customHeight="1">
      <c r="A12" s="671"/>
      <c r="B12" s="672"/>
      <c r="C12" s="200">
        <v>5</v>
      </c>
      <c r="D12" s="667" t="s">
        <v>343</v>
      </c>
      <c r="E12" s="668"/>
      <c r="F12" s="668"/>
      <c r="G12" s="202">
        <v>23</v>
      </c>
      <c r="H12" s="202">
        <v>1787.7124237029086</v>
      </c>
      <c r="I12" s="203">
        <v>77.726627117517751</v>
      </c>
      <c r="J12" s="376">
        <v>2.1719320075007431E-2</v>
      </c>
      <c r="K12" s="677" t="s">
        <v>459</v>
      </c>
      <c r="L12" s="678"/>
      <c r="O12" s="429"/>
      <c r="P12" s="428"/>
      <c r="Q12" s="428"/>
      <c r="R12" s="199"/>
    </row>
    <row r="13" spans="1:18" ht="15.75" customHeight="1">
      <c r="A13" s="671"/>
      <c r="B13" s="672"/>
      <c r="C13" s="204" t="s">
        <v>204</v>
      </c>
      <c r="D13" s="667" t="s">
        <v>344</v>
      </c>
      <c r="E13" s="668"/>
      <c r="F13" s="668"/>
      <c r="G13" s="202">
        <v>24</v>
      </c>
      <c r="H13" s="202">
        <v>1785.5616371524959</v>
      </c>
      <c r="I13" s="203">
        <v>74.398401548020658</v>
      </c>
      <c r="J13" s="376">
        <v>1.5960358681269327E-2</v>
      </c>
      <c r="K13" s="677" t="s">
        <v>459</v>
      </c>
      <c r="L13" s="678"/>
      <c r="O13" s="429"/>
      <c r="P13" s="428"/>
      <c r="Q13" s="428"/>
      <c r="R13" s="199"/>
    </row>
    <row r="14" spans="1:18" ht="15.75" customHeight="1">
      <c r="A14" s="671"/>
      <c r="B14" s="672"/>
      <c r="C14" s="204" t="s">
        <v>209</v>
      </c>
      <c r="D14" s="667" t="s">
        <v>536</v>
      </c>
      <c r="E14" s="668"/>
      <c r="F14" s="668"/>
      <c r="G14" s="202">
        <v>21</v>
      </c>
      <c r="H14" s="202">
        <v>1606.6644565081072</v>
      </c>
      <c r="I14" s="203">
        <v>76.507831262290807</v>
      </c>
      <c r="J14" s="376">
        <v>2.5940521688383456E-2</v>
      </c>
      <c r="K14" s="677" t="s">
        <v>459</v>
      </c>
      <c r="L14" s="678"/>
      <c r="N14" s="178"/>
      <c r="O14" s="430"/>
      <c r="P14" s="427"/>
      <c r="Q14" s="427"/>
      <c r="R14" s="178"/>
    </row>
    <row r="15" spans="1:18" ht="15.75" customHeight="1">
      <c r="A15" s="671"/>
      <c r="B15" s="672"/>
      <c r="C15" s="204" t="s">
        <v>205</v>
      </c>
      <c r="D15" s="667" t="s">
        <v>356</v>
      </c>
      <c r="E15" s="668"/>
      <c r="F15" s="668"/>
      <c r="G15" s="202">
        <v>23</v>
      </c>
      <c r="H15" s="202">
        <v>1787.6415234531344</v>
      </c>
      <c r="I15" s="203">
        <v>77.723544497962379</v>
      </c>
      <c r="J15" s="376">
        <v>4.9897800569226547E-2</v>
      </c>
      <c r="K15" s="677" t="s">
        <v>459</v>
      </c>
      <c r="L15" s="678"/>
      <c r="O15" s="429"/>
      <c r="P15" s="428"/>
      <c r="Q15" s="428"/>
      <c r="R15" s="199"/>
    </row>
    <row r="16" spans="1:18" ht="15.75" customHeight="1">
      <c r="A16" s="671"/>
      <c r="B16" s="672"/>
      <c r="C16" s="204" t="s">
        <v>210</v>
      </c>
      <c r="D16" s="667"/>
      <c r="E16" s="668"/>
      <c r="F16" s="668"/>
      <c r="G16" s="202"/>
      <c r="H16" s="202"/>
      <c r="I16" s="203"/>
      <c r="J16" s="200"/>
      <c r="K16" s="667"/>
      <c r="L16" s="668"/>
      <c r="M16" s="99"/>
      <c r="O16" s="429"/>
      <c r="P16" s="428"/>
      <c r="Q16" s="428"/>
      <c r="R16" s="199"/>
    </row>
    <row r="17" spans="1:18" ht="15.75" customHeight="1">
      <c r="A17" s="671"/>
      <c r="B17" s="672"/>
      <c r="C17" s="204" t="s">
        <v>211</v>
      </c>
      <c r="D17" s="667"/>
      <c r="E17" s="668"/>
      <c r="F17" s="668"/>
      <c r="G17" s="202"/>
      <c r="H17" s="202"/>
      <c r="I17" s="203"/>
      <c r="J17" s="200"/>
      <c r="K17" s="667"/>
      <c r="L17" s="668"/>
      <c r="M17" s="99"/>
      <c r="O17" s="429"/>
      <c r="P17" s="428"/>
      <c r="Q17" s="428"/>
      <c r="R17" s="199"/>
    </row>
    <row r="18" spans="1:18" s="104" customFormat="1" ht="15.75" customHeight="1">
      <c r="A18" s="669" t="s">
        <v>188</v>
      </c>
      <c r="B18" s="669"/>
      <c r="C18" s="207" t="s">
        <v>47</v>
      </c>
      <c r="D18" s="669" t="s">
        <v>12</v>
      </c>
      <c r="E18" s="670"/>
      <c r="F18" s="670"/>
      <c r="G18" s="207" t="s">
        <v>46</v>
      </c>
      <c r="H18" s="207" t="s">
        <v>386</v>
      </c>
      <c r="I18" s="207" t="s">
        <v>387</v>
      </c>
      <c r="J18" s="160" t="s">
        <v>332</v>
      </c>
      <c r="K18" s="669" t="s">
        <v>51</v>
      </c>
      <c r="L18" s="670"/>
      <c r="M18" s="128"/>
      <c r="N18" s="189"/>
      <c r="O18" s="429"/>
      <c r="P18" s="428"/>
      <c r="Q18" s="428"/>
      <c r="R18" s="199"/>
    </row>
    <row r="19" spans="1:18" ht="15.75" customHeight="1">
      <c r="A19" s="671">
        <v>6</v>
      </c>
      <c r="B19" s="672" t="s">
        <v>136</v>
      </c>
      <c r="C19" s="200">
        <v>1</v>
      </c>
      <c r="D19" s="667" t="s">
        <v>472</v>
      </c>
      <c r="E19" s="668"/>
      <c r="F19" s="668"/>
      <c r="G19" s="200">
        <v>20</v>
      </c>
      <c r="H19" s="202">
        <v>1786.5812924932718</v>
      </c>
      <c r="I19" s="203">
        <v>89.329064624663573</v>
      </c>
      <c r="J19" s="376">
        <v>3.8493592369945873E-3</v>
      </c>
      <c r="K19" s="677" t="s">
        <v>459</v>
      </c>
      <c r="L19" s="678"/>
      <c r="M19" s="99"/>
      <c r="N19" s="199"/>
      <c r="O19" s="199"/>
      <c r="P19" s="428"/>
      <c r="Q19" s="428"/>
      <c r="R19" s="199"/>
    </row>
    <row r="20" spans="1:18" ht="15.75" customHeight="1">
      <c r="A20" s="671"/>
      <c r="B20" s="672"/>
      <c r="C20" s="200">
        <v>2</v>
      </c>
      <c r="D20" s="667" t="s">
        <v>468</v>
      </c>
      <c r="E20" s="668"/>
      <c r="F20" s="668"/>
      <c r="G20" s="202">
        <v>22</v>
      </c>
      <c r="H20" s="202">
        <v>1786.9212392650302</v>
      </c>
      <c r="I20" s="203">
        <v>81.223692693865019</v>
      </c>
      <c r="J20" s="376">
        <v>3.781442174512506E-2</v>
      </c>
      <c r="K20" s="677" t="s">
        <v>459</v>
      </c>
      <c r="L20" s="678"/>
      <c r="M20" s="99"/>
      <c r="O20" s="199"/>
      <c r="P20" s="428"/>
      <c r="Q20" s="428"/>
      <c r="R20" s="199"/>
    </row>
    <row r="21" spans="1:18" ht="15.75" customHeight="1">
      <c r="A21" s="671"/>
      <c r="B21" s="672"/>
      <c r="C21" s="200">
        <v>3</v>
      </c>
      <c r="D21" s="667" t="s">
        <v>358</v>
      </c>
      <c r="E21" s="668"/>
      <c r="F21" s="668"/>
      <c r="G21" s="202">
        <v>22</v>
      </c>
      <c r="H21" s="202">
        <v>1785.620885200128</v>
      </c>
      <c r="I21" s="203">
        <v>81.164585690914919</v>
      </c>
      <c r="J21" s="376">
        <v>2.4842921442555621E-2</v>
      </c>
      <c r="K21" s="677" t="s">
        <v>459</v>
      </c>
      <c r="L21" s="678"/>
      <c r="M21" s="99"/>
      <c r="O21" s="199"/>
      <c r="P21" s="428"/>
      <c r="Q21" s="428"/>
      <c r="R21" s="199"/>
    </row>
    <row r="22" spans="1:18" ht="15.75" customHeight="1">
      <c r="A22" s="671"/>
      <c r="B22" s="672"/>
      <c r="C22" s="200">
        <v>4</v>
      </c>
      <c r="D22" s="667" t="s">
        <v>357</v>
      </c>
      <c r="E22" s="668"/>
      <c r="F22" s="668"/>
      <c r="G22" s="200">
        <v>23</v>
      </c>
      <c r="H22" s="202">
        <v>1787.9928578261026</v>
      </c>
      <c r="I22" s="203">
        <v>77.738819905482728</v>
      </c>
      <c r="J22" s="376">
        <v>2.1695860490993368E-2</v>
      </c>
      <c r="K22" s="677" t="s">
        <v>459</v>
      </c>
      <c r="L22" s="678"/>
      <c r="M22" s="99"/>
      <c r="O22" s="199"/>
      <c r="P22" s="428"/>
      <c r="Q22" s="428"/>
      <c r="R22" s="199"/>
    </row>
    <row r="23" spans="1:18" ht="15.75" customHeight="1">
      <c r="A23" s="671"/>
      <c r="B23" s="672"/>
      <c r="C23" s="200">
        <v>5</v>
      </c>
      <c r="D23" s="667" t="s">
        <v>360</v>
      </c>
      <c r="E23" s="668"/>
      <c r="F23" s="668"/>
      <c r="G23" s="202">
        <v>23</v>
      </c>
      <c r="H23" s="202">
        <v>1787.4499121608512</v>
      </c>
      <c r="I23" s="203">
        <v>77.715213572210914</v>
      </c>
      <c r="J23" s="376">
        <v>2.7288153613994837E-2</v>
      </c>
      <c r="K23" s="677" t="s">
        <v>459</v>
      </c>
      <c r="L23" s="678"/>
      <c r="M23" s="99"/>
      <c r="O23" s="199"/>
      <c r="P23" s="428"/>
      <c r="Q23" s="428"/>
      <c r="R23" s="199"/>
    </row>
    <row r="24" spans="1:18" ht="15.75" customHeight="1">
      <c r="A24" s="671"/>
      <c r="B24" s="672"/>
      <c r="C24" s="204" t="s">
        <v>204</v>
      </c>
      <c r="D24" s="667" t="s">
        <v>641</v>
      </c>
      <c r="E24" s="668"/>
      <c r="F24" s="668"/>
      <c r="G24" s="200">
        <v>26</v>
      </c>
      <c r="H24" s="202">
        <v>1728.4722467230793</v>
      </c>
      <c r="I24" s="203">
        <v>66.4797017970415</v>
      </c>
      <c r="J24" s="376"/>
      <c r="K24" s="679" t="s">
        <v>658</v>
      </c>
      <c r="L24" s="678"/>
      <c r="M24" s="99"/>
      <c r="O24" s="199"/>
      <c r="P24" s="428"/>
      <c r="Q24" s="428"/>
      <c r="R24" s="199"/>
    </row>
    <row r="25" spans="1:18" ht="15.75" customHeight="1">
      <c r="A25" s="671"/>
      <c r="B25" s="672"/>
      <c r="C25" s="204" t="s">
        <v>209</v>
      </c>
      <c r="D25" s="667" t="s">
        <v>359</v>
      </c>
      <c r="E25" s="668"/>
      <c r="F25" s="668"/>
      <c r="G25" s="200">
        <v>24</v>
      </c>
      <c r="H25" s="202">
        <v>1786.1484704633092</v>
      </c>
      <c r="I25" s="203">
        <v>74.422852935971221</v>
      </c>
      <c r="J25" s="376">
        <v>6.2437936596069221E-3</v>
      </c>
      <c r="K25" s="677" t="s">
        <v>459</v>
      </c>
      <c r="L25" s="678"/>
      <c r="M25" s="99"/>
      <c r="O25" s="199"/>
      <c r="P25" s="428"/>
      <c r="Q25" s="428"/>
      <c r="R25" s="199"/>
    </row>
    <row r="26" spans="1:18" ht="15.75" customHeight="1">
      <c r="A26" s="671"/>
      <c r="B26" s="672"/>
      <c r="C26" s="204" t="s">
        <v>205</v>
      </c>
      <c r="D26" s="667" t="s">
        <v>361</v>
      </c>
      <c r="E26" s="668"/>
      <c r="F26" s="668"/>
      <c r="G26" s="200">
        <v>24</v>
      </c>
      <c r="H26" s="202">
        <v>1787.5785261132012</v>
      </c>
      <c r="I26" s="203">
        <v>74.482438588050044</v>
      </c>
      <c r="J26" s="376">
        <v>3.5688459588527621E-2</v>
      </c>
      <c r="K26" s="677" t="s">
        <v>459</v>
      </c>
      <c r="L26" s="678"/>
      <c r="M26" s="99"/>
      <c r="O26" s="199"/>
      <c r="P26" s="428"/>
      <c r="Q26" s="428"/>
      <c r="R26" s="199"/>
    </row>
    <row r="27" spans="1:18" ht="15.75" customHeight="1">
      <c r="A27" s="671"/>
      <c r="B27" s="672"/>
      <c r="C27" s="204" t="s">
        <v>210</v>
      </c>
      <c r="D27" s="667" t="s">
        <v>465</v>
      </c>
      <c r="E27" s="668"/>
      <c r="F27" s="668"/>
      <c r="G27" s="200">
        <v>23</v>
      </c>
      <c r="H27" s="202">
        <v>1786.0387092886963</v>
      </c>
      <c r="I27" s="203">
        <v>77.653856925595505</v>
      </c>
      <c r="J27" s="376">
        <v>2.3604647891456665</v>
      </c>
      <c r="K27" s="667" t="s">
        <v>559</v>
      </c>
      <c r="L27" s="668"/>
      <c r="M27" s="99"/>
      <c r="O27" s="199"/>
      <c r="P27" s="428"/>
      <c r="Q27" s="428"/>
      <c r="R27" s="199"/>
    </row>
    <row r="28" spans="1:18" ht="15.75" customHeight="1">
      <c r="A28" s="671"/>
      <c r="B28" s="672"/>
      <c r="C28" s="204" t="s">
        <v>211</v>
      </c>
      <c r="D28" s="667"/>
      <c r="E28" s="668"/>
      <c r="F28" s="668"/>
      <c r="G28" s="200"/>
      <c r="H28" s="202"/>
      <c r="I28" s="203"/>
      <c r="J28" s="200"/>
      <c r="K28" s="667"/>
      <c r="L28" s="668"/>
      <c r="M28" s="99"/>
      <c r="O28" s="199"/>
      <c r="P28" s="428"/>
      <c r="Q28" s="428"/>
      <c r="R28" s="199"/>
    </row>
    <row r="29" spans="1:18" ht="15.75" customHeight="1">
      <c r="A29" s="673" t="s">
        <v>682</v>
      </c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99"/>
    </row>
    <row r="30" spans="1:18" s="100" customFormat="1" ht="15.75" customHeight="1">
      <c r="A30" s="673"/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N30" s="190"/>
      <c r="O30" s="190"/>
      <c r="P30" s="190"/>
      <c r="Q30" s="190"/>
      <c r="R30" s="190"/>
    </row>
    <row r="31" spans="1:18" s="106" customFormat="1" ht="16.350000000000001" customHeight="1">
      <c r="A31" s="671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71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355</v>
      </c>
      <c r="G32" s="209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2" t="s">
        <v>188</v>
      </c>
      <c r="B33" s="672"/>
      <c r="C33" s="160" t="s">
        <v>47</v>
      </c>
      <c r="D33" s="672" t="s">
        <v>12</v>
      </c>
      <c r="E33" s="674"/>
      <c r="F33" s="674"/>
      <c r="G33" s="160" t="s">
        <v>46</v>
      </c>
      <c r="H33" s="160" t="s">
        <v>386</v>
      </c>
      <c r="I33" s="160" t="s">
        <v>387</v>
      </c>
      <c r="J33" s="160" t="s">
        <v>332</v>
      </c>
      <c r="K33" s="672" t="s">
        <v>51</v>
      </c>
      <c r="L33" s="674"/>
      <c r="M33" s="127"/>
      <c r="N33" s="189"/>
      <c r="O33" s="199"/>
      <c r="P33" s="428"/>
      <c r="Q33" s="428"/>
      <c r="R33" s="199"/>
    </row>
    <row r="34" spans="1:18" ht="15.75" customHeight="1">
      <c r="A34" s="671">
        <v>5</v>
      </c>
      <c r="B34" s="672" t="s">
        <v>355</v>
      </c>
      <c r="C34" s="200">
        <v>1</v>
      </c>
      <c r="D34" s="667" t="s">
        <v>476</v>
      </c>
      <c r="E34" s="668"/>
      <c r="F34" s="668"/>
      <c r="G34" s="202">
        <v>20</v>
      </c>
      <c r="H34" s="202">
        <v>1787.0489243034135</v>
      </c>
      <c r="I34" s="203">
        <v>89.352446215170659</v>
      </c>
      <c r="J34" s="376">
        <f t="shared" ref="J34:J41" si="0">I34-I8</f>
        <v>-3.1719912226023439E-2</v>
      </c>
      <c r="K34" s="677" t="s">
        <v>459</v>
      </c>
      <c r="L34" s="678"/>
      <c r="O34" s="429"/>
      <c r="P34" s="428"/>
      <c r="Q34" s="428"/>
      <c r="R34" s="199"/>
    </row>
    <row r="35" spans="1:18" ht="15.75" customHeight="1">
      <c r="A35" s="671"/>
      <c r="B35" s="672"/>
      <c r="C35" s="200">
        <v>2</v>
      </c>
      <c r="D35" s="667" t="s">
        <v>537</v>
      </c>
      <c r="E35" s="668"/>
      <c r="F35" s="668"/>
      <c r="G35" s="202">
        <v>20</v>
      </c>
      <c r="H35" s="202">
        <v>1786.8484834808712</v>
      </c>
      <c r="I35" s="203">
        <v>89.342424174043572</v>
      </c>
      <c r="J35" s="376">
        <f t="shared" si="0"/>
        <v>1.084194034542918E-2</v>
      </c>
      <c r="K35" s="677" t="s">
        <v>459</v>
      </c>
      <c r="L35" s="678"/>
      <c r="O35" s="429"/>
      <c r="P35" s="428"/>
      <c r="Q35" s="428"/>
      <c r="R35" s="199"/>
    </row>
    <row r="36" spans="1:18" ht="15.75" customHeight="1">
      <c r="A36" s="671"/>
      <c r="B36" s="672"/>
      <c r="C36" s="200">
        <v>3</v>
      </c>
      <c r="D36" s="667" t="s">
        <v>498</v>
      </c>
      <c r="E36" s="668"/>
      <c r="F36" s="668"/>
      <c r="G36" s="202">
        <v>19</v>
      </c>
      <c r="H36" s="202">
        <v>1606.9609559721014</v>
      </c>
      <c r="I36" s="203">
        <v>84.576892419584297</v>
      </c>
      <c r="J36" s="376">
        <f t="shared" si="0"/>
        <v>4.3293180737180137E-2</v>
      </c>
      <c r="K36" s="677" t="s">
        <v>459</v>
      </c>
      <c r="L36" s="678"/>
      <c r="O36" s="429"/>
      <c r="P36" s="428"/>
      <c r="Q36" s="428"/>
      <c r="R36" s="199"/>
    </row>
    <row r="37" spans="1:18" ht="15.75" customHeight="1">
      <c r="A37" s="671"/>
      <c r="B37" s="672"/>
      <c r="C37" s="200">
        <v>4</v>
      </c>
      <c r="D37" s="667" t="s">
        <v>345</v>
      </c>
      <c r="E37" s="668"/>
      <c r="F37" s="668"/>
      <c r="G37" s="202">
        <v>23</v>
      </c>
      <c r="H37" s="202">
        <v>1789.9258533190828</v>
      </c>
      <c r="I37" s="203">
        <v>77.822863187786197</v>
      </c>
      <c r="J37" s="376">
        <f t="shared" si="0"/>
        <v>1.336868320034057E-2</v>
      </c>
      <c r="K37" s="677" t="s">
        <v>459</v>
      </c>
      <c r="L37" s="678"/>
      <c r="O37" s="429"/>
      <c r="P37" s="428"/>
      <c r="Q37" s="428"/>
      <c r="R37" s="199"/>
    </row>
    <row r="38" spans="1:18" ht="15.75" customHeight="1">
      <c r="A38" s="671"/>
      <c r="B38" s="672"/>
      <c r="C38" s="200">
        <v>5</v>
      </c>
      <c r="D38" s="667" t="s">
        <v>343</v>
      </c>
      <c r="E38" s="668"/>
      <c r="F38" s="668"/>
      <c r="G38" s="202">
        <v>23</v>
      </c>
      <c r="H38" s="202">
        <v>1789.1262279315683</v>
      </c>
      <c r="I38" s="203">
        <v>77.788096866589939</v>
      </c>
      <c r="J38" s="376">
        <f t="shared" si="0"/>
        <v>6.1469749072188051E-2</v>
      </c>
      <c r="K38" s="677" t="s">
        <v>459</v>
      </c>
      <c r="L38" s="678"/>
      <c r="O38" s="429"/>
      <c r="P38" s="428"/>
      <c r="Q38" s="428"/>
      <c r="R38" s="199"/>
    </row>
    <row r="39" spans="1:18" ht="15.75" customHeight="1">
      <c r="A39" s="671"/>
      <c r="B39" s="672"/>
      <c r="C39" s="204" t="s">
        <v>204</v>
      </c>
      <c r="D39" s="667" t="s">
        <v>344</v>
      </c>
      <c r="E39" s="668"/>
      <c r="F39" s="668"/>
      <c r="G39" s="202">
        <v>24</v>
      </c>
      <c r="H39" s="202">
        <v>1784.4472714435858</v>
      </c>
      <c r="I39" s="203">
        <v>74.351969643482718</v>
      </c>
      <c r="J39" s="376">
        <f t="shared" si="0"/>
        <v>-4.6431904537939772E-2</v>
      </c>
      <c r="K39" s="677" t="s">
        <v>459</v>
      </c>
      <c r="L39" s="678"/>
      <c r="O39" s="429"/>
      <c r="P39" s="428"/>
      <c r="Q39" s="428"/>
      <c r="R39" s="199"/>
    </row>
    <row r="40" spans="1:18" ht="15.75" customHeight="1">
      <c r="A40" s="671"/>
      <c r="B40" s="672"/>
      <c r="C40" s="204" t="s">
        <v>209</v>
      </c>
      <c r="D40" s="667" t="s">
        <v>536</v>
      </c>
      <c r="E40" s="668"/>
      <c r="F40" s="668"/>
      <c r="G40" s="202">
        <v>21</v>
      </c>
      <c r="H40" s="202">
        <v>1606.7959111775167</v>
      </c>
      <c r="I40" s="203">
        <v>76.514091008453178</v>
      </c>
      <c r="J40" s="376">
        <f t="shared" si="0"/>
        <v>6.259746162371016E-3</v>
      </c>
      <c r="K40" s="677" t="s">
        <v>459</v>
      </c>
      <c r="L40" s="678"/>
      <c r="N40" s="178"/>
      <c r="O40" s="430"/>
      <c r="P40" s="427"/>
      <c r="Q40" s="427"/>
      <c r="R40" s="178"/>
    </row>
    <row r="41" spans="1:18" ht="15.75" customHeight="1">
      <c r="A41" s="671"/>
      <c r="B41" s="672"/>
      <c r="C41" s="204" t="s">
        <v>205</v>
      </c>
      <c r="D41" s="667" t="s">
        <v>356</v>
      </c>
      <c r="E41" s="668"/>
      <c r="F41" s="668"/>
      <c r="G41" s="202">
        <v>23</v>
      </c>
      <c r="H41" s="202">
        <v>1788.8604209252978</v>
      </c>
      <c r="I41" s="203">
        <v>77.776540040230344</v>
      </c>
      <c r="J41" s="376">
        <f t="shared" si="0"/>
        <v>5.2995542267964879E-2</v>
      </c>
      <c r="K41" s="677" t="s">
        <v>459</v>
      </c>
      <c r="L41" s="678"/>
      <c r="O41" s="429"/>
      <c r="P41" s="428"/>
      <c r="Q41" s="428"/>
      <c r="R41" s="199"/>
    </row>
    <row r="42" spans="1:18" ht="15.75" customHeight="1">
      <c r="A42" s="671"/>
      <c r="B42" s="672"/>
      <c r="C42" s="204" t="s">
        <v>210</v>
      </c>
      <c r="D42" s="667"/>
      <c r="E42" s="668"/>
      <c r="F42" s="668"/>
      <c r="G42" s="202"/>
      <c r="H42" s="202"/>
      <c r="I42" s="203"/>
      <c r="J42" s="200"/>
      <c r="K42" s="667"/>
      <c r="L42" s="668"/>
      <c r="M42" s="99"/>
      <c r="O42" s="429"/>
      <c r="P42" s="428"/>
      <c r="Q42" s="428"/>
      <c r="R42" s="199"/>
    </row>
    <row r="43" spans="1:18" ht="15.75" customHeight="1">
      <c r="A43" s="671"/>
      <c r="B43" s="672"/>
      <c r="C43" s="204" t="s">
        <v>211</v>
      </c>
      <c r="D43" s="667"/>
      <c r="E43" s="668"/>
      <c r="F43" s="668"/>
      <c r="G43" s="202"/>
      <c r="H43" s="202"/>
      <c r="I43" s="203"/>
      <c r="J43" s="200"/>
      <c r="K43" s="667"/>
      <c r="L43" s="668"/>
      <c r="M43" s="99"/>
      <c r="O43" s="429"/>
      <c r="P43" s="428"/>
      <c r="Q43" s="428"/>
      <c r="R43" s="199"/>
    </row>
    <row r="44" spans="1:18" s="104" customFormat="1" ht="15.75" customHeight="1">
      <c r="A44" s="669" t="s">
        <v>188</v>
      </c>
      <c r="B44" s="669"/>
      <c r="C44" s="207" t="s">
        <v>47</v>
      </c>
      <c r="D44" s="669" t="s">
        <v>12</v>
      </c>
      <c r="E44" s="670"/>
      <c r="F44" s="670"/>
      <c r="G44" s="207" t="s">
        <v>46</v>
      </c>
      <c r="H44" s="207" t="s">
        <v>386</v>
      </c>
      <c r="I44" s="207" t="s">
        <v>387</v>
      </c>
      <c r="J44" s="160" t="s">
        <v>332</v>
      </c>
      <c r="K44" s="669" t="s">
        <v>51</v>
      </c>
      <c r="L44" s="670"/>
      <c r="M44" s="128"/>
      <c r="N44" s="189"/>
      <c r="O44" s="429"/>
      <c r="P44" s="428"/>
      <c r="Q44" s="428"/>
      <c r="R44" s="199"/>
    </row>
    <row r="45" spans="1:18" ht="15.75" customHeight="1">
      <c r="A45" s="671">
        <v>6</v>
      </c>
      <c r="B45" s="672" t="s">
        <v>136</v>
      </c>
      <c r="C45" s="200">
        <v>1</v>
      </c>
      <c r="D45" s="667" t="s">
        <v>472</v>
      </c>
      <c r="E45" s="668"/>
      <c r="F45" s="668"/>
      <c r="G45" s="200">
        <v>20</v>
      </c>
      <c r="H45" s="202">
        <v>1786.1128226599915</v>
      </c>
      <c r="I45" s="203">
        <v>89.305641132999568</v>
      </c>
      <c r="J45" s="376">
        <f t="shared" ref="J45:J53" si="1">I45-I19</f>
        <v>-2.3423491664004814E-2</v>
      </c>
      <c r="K45" s="677" t="s">
        <v>459</v>
      </c>
      <c r="L45" s="678"/>
      <c r="M45" s="99"/>
      <c r="N45" s="199"/>
      <c r="O45" s="199"/>
      <c r="P45" s="428"/>
      <c r="Q45" s="428"/>
      <c r="R45" s="199"/>
    </row>
    <row r="46" spans="1:18" ht="15.75" customHeight="1">
      <c r="A46" s="671"/>
      <c r="B46" s="672"/>
      <c r="C46" s="200">
        <v>2</v>
      </c>
      <c r="D46" s="667" t="s">
        <v>468</v>
      </c>
      <c r="E46" s="668"/>
      <c r="F46" s="668"/>
      <c r="G46" s="202">
        <v>22</v>
      </c>
      <c r="H46" s="202">
        <v>1788.244769614457</v>
      </c>
      <c r="I46" s="203">
        <v>81.283853164293504</v>
      </c>
      <c r="J46" s="376">
        <f t="shared" si="1"/>
        <v>6.0160470428485269E-2</v>
      </c>
      <c r="K46" s="677" t="s">
        <v>459</v>
      </c>
      <c r="L46" s="678"/>
      <c r="M46" s="99"/>
      <c r="O46" s="199"/>
      <c r="P46" s="428"/>
      <c r="Q46" s="428"/>
      <c r="R46" s="199"/>
    </row>
    <row r="47" spans="1:18" ht="15.75" customHeight="1">
      <c r="A47" s="671"/>
      <c r="B47" s="672"/>
      <c r="C47" s="200">
        <v>3</v>
      </c>
      <c r="D47" s="667" t="s">
        <v>358</v>
      </c>
      <c r="E47" s="668"/>
      <c r="F47" s="668"/>
      <c r="G47" s="202">
        <v>22</v>
      </c>
      <c r="H47" s="202">
        <v>1785.9161297450648</v>
      </c>
      <c r="I47" s="203">
        <v>81.178005897502956</v>
      </c>
      <c r="J47" s="376">
        <f t="shared" si="1"/>
        <v>1.3420206588037331E-2</v>
      </c>
      <c r="K47" s="677" t="s">
        <v>459</v>
      </c>
      <c r="L47" s="678"/>
      <c r="M47" s="99"/>
      <c r="O47" s="199"/>
      <c r="P47" s="428"/>
      <c r="Q47" s="428"/>
      <c r="R47" s="199"/>
    </row>
    <row r="48" spans="1:18" ht="15.75" customHeight="1">
      <c r="A48" s="671"/>
      <c r="B48" s="672"/>
      <c r="C48" s="200">
        <v>4</v>
      </c>
      <c r="D48" s="667" t="s">
        <v>357</v>
      </c>
      <c r="E48" s="668"/>
      <c r="F48" s="668"/>
      <c r="G48" s="200">
        <v>23</v>
      </c>
      <c r="H48" s="202">
        <v>1788.4471917465064</v>
      </c>
      <c r="I48" s="203">
        <v>77.75857355419592</v>
      </c>
      <c r="J48" s="376">
        <f t="shared" si="1"/>
        <v>1.9753648713191296E-2</v>
      </c>
      <c r="K48" s="677" t="s">
        <v>459</v>
      </c>
      <c r="L48" s="678"/>
      <c r="M48" s="99"/>
      <c r="O48" s="199"/>
      <c r="P48" s="428"/>
      <c r="Q48" s="428"/>
      <c r="R48" s="199"/>
    </row>
    <row r="49" spans="1:18" ht="15.75" customHeight="1">
      <c r="A49" s="671"/>
      <c r="B49" s="672"/>
      <c r="C49" s="200">
        <v>5</v>
      </c>
      <c r="D49" s="667" t="s">
        <v>360</v>
      </c>
      <c r="E49" s="668"/>
      <c r="F49" s="668"/>
      <c r="G49" s="202">
        <v>23</v>
      </c>
      <c r="H49" s="202">
        <v>1788.3917239082814</v>
      </c>
      <c r="I49" s="203">
        <v>77.756161909055692</v>
      </c>
      <c r="J49" s="376">
        <f t="shared" si="1"/>
        <v>4.0948336844778055E-2</v>
      </c>
      <c r="K49" s="677" t="s">
        <v>459</v>
      </c>
      <c r="L49" s="678"/>
      <c r="M49" s="99"/>
      <c r="O49" s="199"/>
      <c r="P49" s="428"/>
      <c r="Q49" s="428"/>
      <c r="R49" s="199"/>
    </row>
    <row r="50" spans="1:18" ht="15.75" customHeight="1">
      <c r="A50" s="671"/>
      <c r="B50" s="672"/>
      <c r="C50" s="204" t="s">
        <v>204</v>
      </c>
      <c r="D50" s="680" t="s">
        <v>641</v>
      </c>
      <c r="E50" s="668"/>
      <c r="F50" s="668"/>
      <c r="G50" s="200">
        <v>26</v>
      </c>
      <c r="H50" s="202">
        <v>1787.8988944162677</v>
      </c>
      <c r="I50" s="203">
        <v>68.765342092933366</v>
      </c>
      <c r="J50" s="376">
        <f t="shared" si="1"/>
        <v>2.2856402958918665</v>
      </c>
      <c r="K50" s="667" t="s">
        <v>558</v>
      </c>
      <c r="L50" s="668"/>
      <c r="M50" s="99"/>
      <c r="O50" s="199"/>
      <c r="P50" s="428"/>
      <c r="Q50" s="428"/>
      <c r="R50" s="199"/>
    </row>
    <row r="51" spans="1:18" ht="15.75" customHeight="1">
      <c r="A51" s="671"/>
      <c r="B51" s="672"/>
      <c r="C51" s="204" t="s">
        <v>209</v>
      </c>
      <c r="D51" s="680" t="s">
        <v>359</v>
      </c>
      <c r="E51" s="668"/>
      <c r="F51" s="668"/>
      <c r="G51" s="200">
        <v>24</v>
      </c>
      <c r="H51" s="202">
        <v>1786.8477129593189</v>
      </c>
      <c r="I51" s="203">
        <v>74.451988039971624</v>
      </c>
      <c r="J51" s="376">
        <f t="shared" si="1"/>
        <v>2.9135104000403089E-2</v>
      </c>
      <c r="K51" s="677" t="s">
        <v>459</v>
      </c>
      <c r="L51" s="678"/>
      <c r="M51" s="99"/>
      <c r="O51" s="199"/>
      <c r="P51" s="428"/>
      <c r="Q51" s="428"/>
      <c r="R51" s="199"/>
    </row>
    <row r="52" spans="1:18" ht="15.75" customHeight="1">
      <c r="A52" s="671"/>
      <c r="B52" s="672"/>
      <c r="C52" s="204" t="s">
        <v>205</v>
      </c>
      <c r="D52" s="680" t="s">
        <v>361</v>
      </c>
      <c r="E52" s="668"/>
      <c r="F52" s="668"/>
      <c r="G52" s="200">
        <v>24</v>
      </c>
      <c r="H52" s="202">
        <v>1787.1977553145255</v>
      </c>
      <c r="I52" s="203">
        <v>74.466573138105218</v>
      </c>
      <c r="J52" s="376">
        <f t="shared" si="1"/>
        <v>-1.5865449944826082E-2</v>
      </c>
      <c r="K52" s="677" t="s">
        <v>459</v>
      </c>
      <c r="L52" s="678"/>
      <c r="M52" s="99"/>
      <c r="O52" s="199"/>
      <c r="P52" s="428"/>
      <c r="Q52" s="428"/>
      <c r="R52" s="199"/>
    </row>
    <row r="53" spans="1:18" ht="15.75" customHeight="1">
      <c r="A53" s="671"/>
      <c r="B53" s="672"/>
      <c r="C53" s="204" t="s">
        <v>210</v>
      </c>
      <c r="D53" s="680" t="s">
        <v>465</v>
      </c>
      <c r="E53" s="668"/>
      <c r="F53" s="668"/>
      <c r="G53" s="200">
        <v>23</v>
      </c>
      <c r="H53" s="202">
        <v>1787.3422351812794</v>
      </c>
      <c r="I53" s="203">
        <v>77.710531964403444</v>
      </c>
      <c r="J53" s="376">
        <f t="shared" si="1"/>
        <v>5.6675038807938449E-2</v>
      </c>
      <c r="K53" s="677" t="s">
        <v>459</v>
      </c>
      <c r="L53" s="678"/>
      <c r="M53" s="99"/>
      <c r="O53" s="199"/>
      <c r="P53" s="428"/>
      <c r="Q53" s="428"/>
      <c r="R53" s="199"/>
    </row>
    <row r="54" spans="1:18" ht="15.75" customHeight="1">
      <c r="A54" s="671"/>
      <c r="B54" s="672"/>
      <c r="C54" s="204" t="s">
        <v>211</v>
      </c>
      <c r="D54" s="667"/>
      <c r="E54" s="668"/>
      <c r="F54" s="668"/>
      <c r="G54" s="200"/>
      <c r="H54" s="202"/>
      <c r="I54" s="203"/>
      <c r="J54" s="200"/>
      <c r="K54" s="667"/>
      <c r="L54" s="668"/>
      <c r="M54" s="99"/>
      <c r="O54" s="199"/>
      <c r="P54" s="428"/>
      <c r="Q54" s="428"/>
      <c r="R54" s="199"/>
    </row>
    <row r="55" spans="1:18" s="189" customFormat="1" ht="15.75" customHeight="1">
      <c r="A55" s="673" t="s">
        <v>745</v>
      </c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</row>
    <row r="56" spans="1:18" s="190" customFormat="1" ht="15.75" customHeight="1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</row>
    <row r="57" spans="1:18" s="106" customFormat="1" ht="16.350000000000001" customHeight="1">
      <c r="A57" s="671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71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355</v>
      </c>
      <c r="G58" s="209" t="s">
        <v>136</v>
      </c>
      <c r="H58" s="197" t="s">
        <v>208</v>
      </c>
      <c r="I58" s="196" t="s">
        <v>385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2" t="s">
        <v>188</v>
      </c>
      <c r="B59" s="672"/>
      <c r="C59" s="160" t="s">
        <v>47</v>
      </c>
      <c r="D59" s="672" t="s">
        <v>12</v>
      </c>
      <c r="E59" s="674"/>
      <c r="F59" s="674"/>
      <c r="G59" s="160" t="s">
        <v>46</v>
      </c>
      <c r="H59" s="160" t="s">
        <v>386</v>
      </c>
      <c r="I59" s="160" t="s">
        <v>387</v>
      </c>
      <c r="J59" s="160" t="s">
        <v>332</v>
      </c>
      <c r="K59" s="672" t="s">
        <v>51</v>
      </c>
      <c r="L59" s="674"/>
      <c r="M59" s="127"/>
      <c r="N59" s="189"/>
      <c r="O59" s="199"/>
      <c r="P59" s="428"/>
      <c r="Q59" s="428"/>
      <c r="R59" s="199"/>
    </row>
    <row r="60" spans="1:18" ht="15.75" customHeight="1">
      <c r="A60" s="671">
        <v>5</v>
      </c>
      <c r="B60" s="672" t="s">
        <v>355</v>
      </c>
      <c r="C60" s="200">
        <v>1</v>
      </c>
      <c r="D60" s="667" t="s">
        <v>741</v>
      </c>
      <c r="E60" s="668"/>
      <c r="F60" s="668"/>
      <c r="G60" s="202">
        <v>16</v>
      </c>
      <c r="H60" s="202">
        <v>1630</v>
      </c>
      <c r="I60" s="203">
        <v>101.875</v>
      </c>
      <c r="J60" s="376"/>
      <c r="K60" s="667"/>
      <c r="L60" s="668"/>
      <c r="O60" s="429"/>
      <c r="P60" s="428"/>
      <c r="Q60" s="428"/>
      <c r="R60" s="199"/>
    </row>
    <row r="61" spans="1:18" ht="15.75" customHeight="1">
      <c r="A61" s="671"/>
      <c r="B61" s="672"/>
      <c r="C61" s="200">
        <v>2</v>
      </c>
      <c r="D61" s="667" t="s">
        <v>476</v>
      </c>
      <c r="E61" s="668"/>
      <c r="F61" s="668"/>
      <c r="G61" s="202">
        <v>20</v>
      </c>
      <c r="H61" s="202">
        <v>1786</v>
      </c>
      <c r="I61" s="203">
        <v>89.299999999999983</v>
      </c>
      <c r="J61" s="376">
        <f>I61-I34</f>
        <v>-5.2446215170675714E-2</v>
      </c>
      <c r="K61" s="667"/>
      <c r="L61" s="668"/>
      <c r="O61" s="429"/>
      <c r="P61" s="428"/>
      <c r="Q61" s="428"/>
      <c r="R61" s="199"/>
    </row>
    <row r="62" spans="1:18" ht="15.75" customHeight="1">
      <c r="A62" s="671"/>
      <c r="B62" s="672"/>
      <c r="C62" s="200">
        <v>3</v>
      </c>
      <c r="D62" s="667" t="s">
        <v>537</v>
      </c>
      <c r="E62" s="668"/>
      <c r="F62" s="668"/>
      <c r="G62" s="202">
        <v>20</v>
      </c>
      <c r="H62" s="202">
        <v>1785.6521522145993</v>
      </c>
      <c r="I62" s="203">
        <v>89.282607610729954</v>
      </c>
      <c r="J62" s="376">
        <f>I62-I35</f>
        <v>-5.9816563313617621E-2</v>
      </c>
      <c r="K62" s="667"/>
      <c r="L62" s="668"/>
      <c r="O62" s="429"/>
      <c r="P62" s="428"/>
      <c r="Q62" s="428"/>
      <c r="R62" s="199"/>
    </row>
    <row r="63" spans="1:18" ht="15.75" customHeight="1">
      <c r="A63" s="671"/>
      <c r="B63" s="672"/>
      <c r="C63" s="200">
        <v>4</v>
      </c>
      <c r="D63" s="667" t="s">
        <v>498</v>
      </c>
      <c r="E63" s="668"/>
      <c r="F63" s="668"/>
      <c r="G63" s="202">
        <v>19</v>
      </c>
      <c r="H63" s="202">
        <v>1606.8857142857175</v>
      </c>
      <c r="I63" s="203">
        <v>84.572932330827243</v>
      </c>
      <c r="J63" s="376">
        <f>I63-I36</f>
        <v>-3.9600887570543364E-3</v>
      </c>
      <c r="K63" s="667"/>
      <c r="L63" s="668"/>
      <c r="O63" s="429"/>
      <c r="P63" s="428"/>
      <c r="Q63" s="428"/>
      <c r="R63" s="199"/>
    </row>
    <row r="64" spans="1:18" ht="15.75" customHeight="1">
      <c r="A64" s="671"/>
      <c r="B64" s="672"/>
      <c r="C64" s="200">
        <v>5</v>
      </c>
      <c r="D64" s="667" t="s">
        <v>343</v>
      </c>
      <c r="E64" s="668"/>
      <c r="F64" s="668"/>
      <c r="G64" s="202">
        <v>23</v>
      </c>
      <c r="H64" s="202">
        <v>1790.0464587282399</v>
      </c>
      <c r="I64" s="203">
        <v>77.828106901227827</v>
      </c>
      <c r="J64" s="376">
        <f>I64-I38</f>
        <v>4.001003463788777E-2</v>
      </c>
      <c r="K64" s="667"/>
      <c r="L64" s="668"/>
      <c r="O64" s="429"/>
      <c r="P64" s="428"/>
      <c r="Q64" s="428"/>
      <c r="R64" s="199"/>
    </row>
    <row r="65" spans="1:18" ht="15.75" customHeight="1">
      <c r="A65" s="671"/>
      <c r="B65" s="672"/>
      <c r="C65" s="204" t="s">
        <v>204</v>
      </c>
      <c r="D65" s="667" t="s">
        <v>344</v>
      </c>
      <c r="E65" s="668"/>
      <c r="F65" s="668"/>
      <c r="G65" s="202">
        <v>24</v>
      </c>
      <c r="H65" s="202">
        <v>1781.8156567890328</v>
      </c>
      <c r="I65" s="203">
        <v>74.242319032876367</v>
      </c>
      <c r="J65" s="376">
        <f>I65-I39</f>
        <v>-0.10965061060635151</v>
      </c>
      <c r="K65" s="667"/>
      <c r="L65" s="668"/>
      <c r="N65" s="178"/>
      <c r="O65" s="430"/>
      <c r="P65" s="427"/>
      <c r="Q65" s="427"/>
      <c r="R65" s="178"/>
    </row>
    <row r="66" spans="1:18" ht="15.75" customHeight="1">
      <c r="A66" s="671"/>
      <c r="B66" s="672"/>
      <c r="C66" s="204" t="s">
        <v>209</v>
      </c>
      <c r="D66" s="667" t="s">
        <v>536</v>
      </c>
      <c r="E66" s="668"/>
      <c r="F66" s="668"/>
      <c r="G66" s="202">
        <v>21</v>
      </c>
      <c r="H66" s="202">
        <v>1606.6266496190656</v>
      </c>
      <c r="I66" s="203">
        <v>76.506030934241195</v>
      </c>
      <c r="J66" s="376">
        <f>I66-I40</f>
        <v>-8.0600742119827373E-3</v>
      </c>
      <c r="K66" s="667"/>
      <c r="L66" s="668"/>
      <c r="O66" s="429"/>
      <c r="P66" s="428"/>
      <c r="Q66" s="428"/>
      <c r="R66" s="199"/>
    </row>
    <row r="67" spans="1:18" ht="15.75" customHeight="1">
      <c r="A67" s="671"/>
      <c r="B67" s="672"/>
      <c r="C67" s="204" t="s">
        <v>205</v>
      </c>
      <c r="D67" s="667" t="s">
        <v>345</v>
      </c>
      <c r="E67" s="668"/>
      <c r="F67" s="668"/>
      <c r="G67" s="202">
        <v>23</v>
      </c>
      <c r="H67" s="202">
        <v>1787.5695343330704</v>
      </c>
      <c r="I67" s="203">
        <v>77.72041453622046</v>
      </c>
      <c r="J67" s="376">
        <f>I67-I37</f>
        <v>-0.10244865156573724</v>
      </c>
      <c r="K67" s="667"/>
      <c r="L67" s="668"/>
      <c r="O67" s="429"/>
      <c r="P67" s="428"/>
      <c r="Q67" s="428"/>
      <c r="R67" s="199"/>
    </row>
    <row r="68" spans="1:18" ht="15.75" customHeight="1">
      <c r="A68" s="671"/>
      <c r="B68" s="672"/>
      <c r="C68" s="204" t="s">
        <v>210</v>
      </c>
      <c r="D68" s="667" t="s">
        <v>356</v>
      </c>
      <c r="E68" s="668"/>
      <c r="F68" s="668"/>
      <c r="G68" s="202">
        <v>23</v>
      </c>
      <c r="H68" s="202">
        <v>1789.2212968471126</v>
      </c>
      <c r="I68" s="203">
        <v>77.79223029770057</v>
      </c>
      <c r="J68" s="376">
        <f>I68-I41</f>
        <v>1.5690257470225788E-2</v>
      </c>
      <c r="K68" s="667"/>
      <c r="L68" s="668"/>
      <c r="M68" s="99"/>
      <c r="O68" s="429"/>
      <c r="P68" s="428"/>
      <c r="Q68" s="428"/>
      <c r="R68" s="199"/>
    </row>
    <row r="69" spans="1:18" ht="15.75" customHeight="1">
      <c r="A69" s="671"/>
      <c r="B69" s="672"/>
      <c r="C69" s="204" t="s">
        <v>211</v>
      </c>
      <c r="D69" s="667"/>
      <c r="E69" s="668"/>
      <c r="F69" s="668"/>
      <c r="G69" s="202"/>
      <c r="H69" s="202"/>
      <c r="I69" s="203"/>
      <c r="J69" s="200"/>
      <c r="K69" s="667"/>
      <c r="L69" s="668"/>
      <c r="M69" s="99"/>
      <c r="O69" s="429"/>
      <c r="P69" s="428"/>
      <c r="Q69" s="428"/>
      <c r="R69" s="199"/>
    </row>
    <row r="70" spans="1:18" s="104" customFormat="1" ht="15.75" customHeight="1">
      <c r="A70" s="669" t="s">
        <v>188</v>
      </c>
      <c r="B70" s="669"/>
      <c r="C70" s="207" t="s">
        <v>47</v>
      </c>
      <c r="D70" s="669" t="s">
        <v>12</v>
      </c>
      <c r="E70" s="670"/>
      <c r="F70" s="670"/>
      <c r="G70" s="207" t="s">
        <v>46</v>
      </c>
      <c r="H70" s="207" t="s">
        <v>386</v>
      </c>
      <c r="I70" s="207" t="s">
        <v>387</v>
      </c>
      <c r="J70" s="160" t="s">
        <v>332</v>
      </c>
      <c r="K70" s="669" t="s">
        <v>51</v>
      </c>
      <c r="L70" s="670"/>
      <c r="M70" s="128"/>
      <c r="N70" s="189"/>
      <c r="O70" s="429"/>
      <c r="P70" s="428"/>
      <c r="Q70" s="428"/>
      <c r="R70" s="199"/>
    </row>
    <row r="71" spans="1:18" ht="15.75" customHeight="1">
      <c r="A71" s="671">
        <v>6</v>
      </c>
      <c r="B71" s="672" t="s">
        <v>136</v>
      </c>
      <c r="C71" s="200">
        <v>1</v>
      </c>
      <c r="D71" s="667" t="s">
        <v>472</v>
      </c>
      <c r="E71" s="668"/>
      <c r="F71" s="668"/>
      <c r="G71" s="200">
        <v>20</v>
      </c>
      <c r="H71" s="202">
        <v>1784.467523872554</v>
      </c>
      <c r="I71" s="203">
        <v>89.223376193627715</v>
      </c>
      <c r="J71" s="376">
        <f>I71-I45</f>
        <v>-8.2264939371853529E-2</v>
      </c>
      <c r="K71" s="667"/>
      <c r="L71" s="668"/>
      <c r="M71" s="99"/>
      <c r="N71" s="199"/>
      <c r="O71" s="199"/>
      <c r="P71" s="428"/>
      <c r="Q71" s="428"/>
      <c r="R71" s="199"/>
    </row>
    <row r="72" spans="1:18" ht="15.75" customHeight="1">
      <c r="A72" s="671"/>
      <c r="B72" s="672"/>
      <c r="C72" s="200">
        <v>2</v>
      </c>
      <c r="D72" s="667" t="s">
        <v>358</v>
      </c>
      <c r="E72" s="668"/>
      <c r="F72" s="668"/>
      <c r="G72" s="202">
        <v>21.428571428571427</v>
      </c>
      <c r="H72" s="202">
        <v>1785.8857142857144</v>
      </c>
      <c r="I72" s="203">
        <v>83.385405071119365</v>
      </c>
      <c r="J72" s="376">
        <f>I72-I47</f>
        <v>2.2073991736164089</v>
      </c>
      <c r="K72" s="667"/>
      <c r="L72" s="668"/>
      <c r="M72" s="99"/>
      <c r="O72" s="199"/>
      <c r="P72" s="428"/>
      <c r="Q72" s="428"/>
      <c r="R72" s="199"/>
    </row>
    <row r="73" spans="1:18" ht="15.75" customHeight="1">
      <c r="A73" s="671"/>
      <c r="B73" s="672"/>
      <c r="C73" s="200">
        <v>3</v>
      </c>
      <c r="D73" s="667" t="s">
        <v>468</v>
      </c>
      <c r="E73" s="668"/>
      <c r="F73" s="668"/>
      <c r="G73" s="202">
        <v>22</v>
      </c>
      <c r="H73" s="202">
        <v>1788.1183893305977</v>
      </c>
      <c r="I73" s="203">
        <v>81.278108605936282</v>
      </c>
      <c r="J73" s="376">
        <f>I73-I46</f>
        <v>-5.7445583572217629E-3</v>
      </c>
      <c r="K73" s="667"/>
      <c r="L73" s="668"/>
      <c r="M73" s="99"/>
      <c r="O73" s="199"/>
      <c r="P73" s="428"/>
      <c r="Q73" s="428"/>
      <c r="R73" s="199"/>
    </row>
    <row r="74" spans="1:18" ht="15.75" customHeight="1">
      <c r="A74" s="671"/>
      <c r="B74" s="672"/>
      <c r="C74" s="200">
        <v>4</v>
      </c>
      <c r="D74" s="667" t="s">
        <v>465</v>
      </c>
      <c r="E74" s="668"/>
      <c r="F74" s="668"/>
      <c r="G74" s="200">
        <v>23</v>
      </c>
      <c r="H74" s="202">
        <v>1789.7923250564304</v>
      </c>
      <c r="I74" s="203">
        <v>77.817057611149153</v>
      </c>
      <c r="J74" s="376">
        <f>I74-I53</f>
        <v>0.10652564674570897</v>
      </c>
      <c r="K74" s="667"/>
      <c r="L74" s="668"/>
      <c r="M74" s="99"/>
      <c r="O74" s="199"/>
      <c r="P74" s="428"/>
      <c r="Q74" s="428"/>
      <c r="R74" s="199"/>
    </row>
    <row r="75" spans="1:18" ht="15.75" customHeight="1">
      <c r="A75" s="671"/>
      <c r="B75" s="672"/>
      <c r="C75" s="200">
        <v>5</v>
      </c>
      <c r="D75" s="667" t="s">
        <v>357</v>
      </c>
      <c r="E75" s="668"/>
      <c r="F75" s="668"/>
      <c r="G75" s="202">
        <v>23</v>
      </c>
      <c r="H75" s="202">
        <v>1789.7213139801374</v>
      </c>
      <c r="I75" s="203">
        <v>77.813970173049455</v>
      </c>
      <c r="J75" s="376">
        <f>I75-I48</f>
        <v>5.5396618853535529E-2</v>
      </c>
      <c r="K75" s="667"/>
      <c r="L75" s="668"/>
      <c r="M75" s="99"/>
      <c r="O75" s="199"/>
      <c r="P75" s="428"/>
      <c r="Q75" s="428"/>
      <c r="R75" s="199"/>
    </row>
    <row r="76" spans="1:18" ht="15.75" customHeight="1">
      <c r="A76" s="671"/>
      <c r="B76" s="672"/>
      <c r="C76" s="204" t="s">
        <v>204</v>
      </c>
      <c r="D76" s="667" t="s">
        <v>641</v>
      </c>
      <c r="E76" s="668"/>
      <c r="F76" s="668"/>
      <c r="G76" s="200">
        <v>26</v>
      </c>
      <c r="H76" s="202">
        <v>1789.1947740209851</v>
      </c>
      <c r="I76" s="203">
        <v>68.815183616191732</v>
      </c>
      <c r="J76" s="376">
        <f>I76-I50</f>
        <v>4.9841523258365328E-2</v>
      </c>
      <c r="K76" s="667"/>
      <c r="L76" s="668"/>
      <c r="M76" s="99"/>
      <c r="O76" s="199"/>
      <c r="P76" s="428"/>
      <c r="Q76" s="428"/>
      <c r="R76" s="199"/>
    </row>
    <row r="77" spans="1:18" ht="15.75" customHeight="1">
      <c r="A77" s="671"/>
      <c r="B77" s="672"/>
      <c r="C77" s="204" t="s">
        <v>209</v>
      </c>
      <c r="D77" s="667" t="s">
        <v>361</v>
      </c>
      <c r="E77" s="668"/>
      <c r="F77" s="668"/>
      <c r="G77" s="200">
        <v>24</v>
      </c>
      <c r="H77" s="202">
        <v>1784.8164953622493</v>
      </c>
      <c r="I77" s="203">
        <v>74.367353973427058</v>
      </c>
      <c r="J77" s="376">
        <f>I77-I52</f>
        <v>-9.921916467816061E-2</v>
      </c>
      <c r="K77" s="667"/>
      <c r="L77" s="668"/>
      <c r="M77" s="99"/>
      <c r="O77" s="199"/>
      <c r="P77" s="428"/>
      <c r="Q77" s="428"/>
      <c r="R77" s="199"/>
    </row>
    <row r="78" spans="1:18" ht="15.75" customHeight="1">
      <c r="A78" s="671"/>
      <c r="B78" s="672"/>
      <c r="C78" s="204" t="s">
        <v>205</v>
      </c>
      <c r="D78" s="667" t="s">
        <v>359</v>
      </c>
      <c r="E78" s="668"/>
      <c r="F78" s="668"/>
      <c r="G78" s="200">
        <v>24</v>
      </c>
      <c r="H78" s="202">
        <v>1788.9426216409445</v>
      </c>
      <c r="I78" s="203">
        <v>74.53927590170602</v>
      </c>
      <c r="J78" s="376">
        <f>I78-I51</f>
        <v>8.7287861734395733E-2</v>
      </c>
      <c r="K78" s="667"/>
      <c r="L78" s="668"/>
      <c r="M78" s="99"/>
      <c r="O78" s="199"/>
      <c r="P78" s="428"/>
      <c r="Q78" s="428"/>
      <c r="R78" s="199"/>
    </row>
    <row r="79" spans="1:18" ht="15.75" customHeight="1">
      <c r="A79" s="671"/>
      <c r="B79" s="672"/>
      <c r="C79" s="204" t="s">
        <v>210</v>
      </c>
      <c r="D79" s="667" t="s">
        <v>360</v>
      </c>
      <c r="E79" s="668"/>
      <c r="F79" s="668"/>
      <c r="G79" s="200">
        <v>23</v>
      </c>
      <c r="H79" s="202">
        <v>1787.4056374119148</v>
      </c>
      <c r="I79" s="203">
        <v>77.713288583126726</v>
      </c>
      <c r="J79" s="376">
        <f>I79-I49</f>
        <v>-4.2873325928965755E-2</v>
      </c>
      <c r="K79" s="667"/>
      <c r="L79" s="668"/>
      <c r="M79" s="99"/>
      <c r="O79" s="199"/>
      <c r="P79" s="428"/>
      <c r="Q79" s="428"/>
      <c r="R79" s="199"/>
    </row>
    <row r="80" spans="1:18" ht="15.75" customHeight="1">
      <c r="A80" s="671"/>
      <c r="B80" s="672"/>
      <c r="C80" s="204" t="s">
        <v>211</v>
      </c>
      <c r="D80" s="667"/>
      <c r="E80" s="668"/>
      <c r="F80" s="668"/>
      <c r="G80" s="200"/>
      <c r="H80" s="202"/>
      <c r="I80" s="203"/>
      <c r="J80" s="200"/>
      <c r="K80" s="667"/>
      <c r="L80" s="668"/>
      <c r="M80" s="99"/>
      <c r="O80" s="199"/>
      <c r="P80" s="428"/>
      <c r="Q80" s="428"/>
      <c r="R80" s="199"/>
    </row>
  </sheetData>
  <mergeCells count="157">
    <mergeCell ref="A29:L3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38:L38"/>
    <mergeCell ref="D39:F39"/>
    <mergeCell ref="K39:L39"/>
    <mergeCell ref="D53:F53"/>
    <mergeCell ref="K53:L53"/>
    <mergeCell ref="D54:F54"/>
    <mergeCell ref="K54:L54"/>
    <mergeCell ref="K42:L42"/>
    <mergeCell ref="D43:F43"/>
    <mergeCell ref="K43:L43"/>
    <mergeCell ref="D51:F51"/>
    <mergeCell ref="K51:L51"/>
    <mergeCell ref="D52:F52"/>
    <mergeCell ref="K52:L52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D40:F40"/>
    <mergeCell ref="K40:L40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66:L66"/>
    <mergeCell ref="D67:F67"/>
    <mergeCell ref="K67:L67"/>
    <mergeCell ref="D68:F68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31:A32"/>
    <mergeCell ref="A33:B33"/>
    <mergeCell ref="D33:F3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80"/>
  <sheetViews>
    <sheetView view="pageBreakPreview" topLeftCell="A55" zoomScale="115" zoomScaleNormal="60" zoomScaleSheetLayoutView="115" workbookViewId="0">
      <selection activeCell="M55" sqref="A55:XFD56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9" t="s">
        <v>384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73" t="s">
        <v>642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</row>
    <row r="4" spans="1:18" s="190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</row>
    <row r="5" spans="1:18" s="106" customFormat="1" ht="16.350000000000001" customHeight="1">
      <c r="A5" s="685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8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1" t="s">
        <v>188</v>
      </c>
      <c r="B7" s="692"/>
      <c r="C7" s="160" t="s">
        <v>47</v>
      </c>
      <c r="D7" s="691" t="s">
        <v>12</v>
      </c>
      <c r="E7" s="693"/>
      <c r="F7" s="692"/>
      <c r="G7" s="160" t="s">
        <v>46</v>
      </c>
      <c r="H7" s="160" t="s">
        <v>386</v>
      </c>
      <c r="I7" s="160" t="s">
        <v>387</v>
      </c>
      <c r="J7" s="160" t="s">
        <v>332</v>
      </c>
      <c r="K7" s="691" t="s">
        <v>51</v>
      </c>
      <c r="L7" s="692"/>
      <c r="M7" s="127"/>
      <c r="N7" s="189"/>
      <c r="O7" s="199"/>
      <c r="P7" s="428"/>
      <c r="Q7" s="428"/>
      <c r="R7" s="199"/>
    </row>
    <row r="8" spans="1:18" ht="15.75" customHeight="1">
      <c r="A8" s="685">
        <v>7</v>
      </c>
      <c r="B8" s="688" t="s">
        <v>390</v>
      </c>
      <c r="C8" s="200">
        <v>1</v>
      </c>
      <c r="D8" s="680"/>
      <c r="E8" s="668"/>
      <c r="F8" s="668"/>
      <c r="G8" s="200"/>
      <c r="H8" s="202"/>
      <c r="I8" s="203"/>
      <c r="J8" s="200"/>
      <c r="K8" s="677"/>
      <c r="L8" s="678"/>
      <c r="O8" s="199"/>
      <c r="P8" s="428"/>
      <c r="Q8" s="428"/>
      <c r="R8" s="199"/>
    </row>
    <row r="9" spans="1:18" ht="15.75" customHeight="1">
      <c r="A9" s="686"/>
      <c r="B9" s="689"/>
      <c r="C9" s="200">
        <v>2</v>
      </c>
      <c r="D9" s="680"/>
      <c r="E9" s="668"/>
      <c r="F9" s="668"/>
      <c r="G9" s="200"/>
      <c r="H9" s="202"/>
      <c r="I9" s="203"/>
      <c r="J9" s="200"/>
      <c r="K9" s="677"/>
      <c r="L9" s="678"/>
      <c r="O9" s="199"/>
      <c r="P9" s="428"/>
      <c r="Q9" s="428"/>
      <c r="R9" s="199"/>
    </row>
    <row r="10" spans="1:18" ht="15.75" customHeight="1">
      <c r="A10" s="686"/>
      <c r="B10" s="689"/>
      <c r="C10" s="200">
        <v>3</v>
      </c>
      <c r="D10" s="677"/>
      <c r="E10" s="681"/>
      <c r="F10" s="678"/>
      <c r="G10" s="200"/>
      <c r="H10" s="202"/>
      <c r="I10" s="203"/>
      <c r="J10" s="200"/>
      <c r="K10" s="677"/>
      <c r="L10" s="678"/>
      <c r="N10" s="431"/>
      <c r="O10" s="199"/>
      <c r="P10" s="428"/>
      <c r="Q10" s="428"/>
      <c r="R10" s="199"/>
    </row>
    <row r="11" spans="1:18" ht="15.75" customHeight="1">
      <c r="A11" s="686"/>
      <c r="B11" s="689"/>
      <c r="C11" s="200">
        <v>4</v>
      </c>
      <c r="D11" s="677"/>
      <c r="E11" s="681"/>
      <c r="F11" s="678"/>
      <c r="G11" s="200"/>
      <c r="H11" s="202"/>
      <c r="I11" s="203"/>
      <c r="J11" s="200"/>
      <c r="K11" s="677"/>
      <c r="L11" s="678"/>
      <c r="O11" s="199"/>
      <c r="P11" s="428"/>
      <c r="Q11" s="428"/>
      <c r="R11" s="199"/>
    </row>
    <row r="12" spans="1:18" ht="15.75" customHeight="1">
      <c r="A12" s="686"/>
      <c r="B12" s="689"/>
      <c r="C12" s="200">
        <v>5</v>
      </c>
      <c r="D12" s="677"/>
      <c r="E12" s="681"/>
      <c r="F12" s="678"/>
      <c r="G12" s="200"/>
      <c r="H12" s="202"/>
      <c r="I12" s="203"/>
      <c r="J12" s="200"/>
      <c r="K12" s="677"/>
      <c r="L12" s="678"/>
      <c r="N12" s="178"/>
      <c r="O12" s="199"/>
      <c r="P12" s="428"/>
      <c r="Q12" s="428"/>
      <c r="R12" s="199"/>
    </row>
    <row r="13" spans="1:18" ht="15.75" customHeight="1">
      <c r="A13" s="686"/>
      <c r="B13" s="689"/>
      <c r="C13" s="204" t="s">
        <v>204</v>
      </c>
      <c r="D13" s="677"/>
      <c r="E13" s="681"/>
      <c r="F13" s="678"/>
      <c r="G13" s="200"/>
      <c r="H13" s="202"/>
      <c r="I13" s="203"/>
      <c r="J13" s="200"/>
      <c r="K13" s="677"/>
      <c r="L13" s="678"/>
      <c r="N13" s="431"/>
      <c r="O13" s="199"/>
      <c r="P13" s="428"/>
      <c r="Q13" s="428"/>
      <c r="R13" s="199"/>
    </row>
    <row r="14" spans="1:18" ht="15.75" customHeight="1">
      <c r="A14" s="686"/>
      <c r="B14" s="689"/>
      <c r="C14" s="204" t="s">
        <v>209</v>
      </c>
      <c r="D14" s="677"/>
      <c r="E14" s="681"/>
      <c r="F14" s="678"/>
      <c r="G14" s="200"/>
      <c r="H14" s="202"/>
      <c r="I14" s="203"/>
      <c r="J14" s="200"/>
      <c r="K14" s="677"/>
      <c r="L14" s="678"/>
      <c r="O14" s="199"/>
      <c r="P14" s="428"/>
      <c r="Q14" s="428"/>
      <c r="R14" s="199"/>
    </row>
    <row r="15" spans="1:18" ht="15.75" customHeight="1">
      <c r="A15" s="686"/>
      <c r="B15" s="689"/>
      <c r="C15" s="204" t="s">
        <v>205</v>
      </c>
      <c r="D15" s="677"/>
      <c r="E15" s="681"/>
      <c r="F15" s="678"/>
      <c r="G15" s="200"/>
      <c r="H15" s="202"/>
      <c r="I15" s="203"/>
      <c r="J15" s="200"/>
      <c r="K15" s="677"/>
      <c r="L15" s="678"/>
      <c r="O15" s="199"/>
      <c r="P15" s="428"/>
      <c r="Q15" s="428"/>
      <c r="R15" s="199"/>
    </row>
    <row r="16" spans="1:18" ht="15.75" customHeight="1">
      <c r="A16" s="686"/>
      <c r="B16" s="689"/>
      <c r="C16" s="204" t="s">
        <v>210</v>
      </c>
      <c r="D16" s="677"/>
      <c r="E16" s="681"/>
      <c r="F16" s="678"/>
      <c r="G16" s="200"/>
      <c r="H16" s="202"/>
      <c r="I16" s="203"/>
      <c r="J16" s="200"/>
      <c r="K16" s="677"/>
      <c r="L16" s="678"/>
      <c r="M16" s="99"/>
      <c r="O16" s="199"/>
      <c r="P16" s="428"/>
      <c r="Q16" s="428"/>
      <c r="R16" s="199"/>
    </row>
    <row r="17" spans="1:18" ht="15.75" customHeight="1">
      <c r="A17" s="687"/>
      <c r="B17" s="690"/>
      <c r="C17" s="204" t="s">
        <v>211</v>
      </c>
      <c r="D17" s="677"/>
      <c r="E17" s="681"/>
      <c r="F17" s="678"/>
      <c r="G17" s="200"/>
      <c r="H17" s="202"/>
      <c r="I17" s="203"/>
      <c r="J17" s="200"/>
      <c r="K17" s="677"/>
      <c r="L17" s="678"/>
      <c r="M17" s="99"/>
      <c r="N17" s="199"/>
      <c r="O17" s="199"/>
      <c r="P17" s="428"/>
      <c r="Q17" s="428"/>
      <c r="R17" s="199"/>
    </row>
    <row r="18" spans="1:18" s="104" customFormat="1" ht="15.75" customHeight="1">
      <c r="A18" s="682" t="s">
        <v>188</v>
      </c>
      <c r="B18" s="683"/>
      <c r="C18" s="207" t="s">
        <v>47</v>
      </c>
      <c r="D18" s="682" t="s">
        <v>12</v>
      </c>
      <c r="E18" s="684"/>
      <c r="F18" s="683"/>
      <c r="G18" s="207" t="s">
        <v>46</v>
      </c>
      <c r="H18" s="207" t="s">
        <v>386</v>
      </c>
      <c r="I18" s="207" t="s">
        <v>387</v>
      </c>
      <c r="J18" s="160" t="s">
        <v>332</v>
      </c>
      <c r="K18" s="682" t="s">
        <v>51</v>
      </c>
      <c r="L18" s="683"/>
      <c r="M18" s="128"/>
      <c r="N18" s="189"/>
      <c r="O18" s="199"/>
      <c r="P18" s="428"/>
      <c r="Q18" s="428"/>
      <c r="R18" s="199"/>
    </row>
    <row r="19" spans="1:18" ht="15.75" customHeight="1">
      <c r="A19" s="685">
        <v>8</v>
      </c>
      <c r="B19" s="688" t="s">
        <v>391</v>
      </c>
      <c r="C19" s="200">
        <v>1</v>
      </c>
      <c r="D19" s="677"/>
      <c r="E19" s="681"/>
      <c r="F19" s="678"/>
      <c r="G19" s="200"/>
      <c r="H19" s="202"/>
      <c r="I19" s="203"/>
      <c r="J19" s="200"/>
      <c r="K19" s="677"/>
      <c r="L19" s="678"/>
      <c r="M19" s="99"/>
      <c r="O19" s="199"/>
      <c r="P19" s="428"/>
      <c r="Q19" s="428"/>
      <c r="R19" s="199"/>
    </row>
    <row r="20" spans="1:18" ht="15.75" customHeight="1">
      <c r="A20" s="686"/>
      <c r="B20" s="689"/>
      <c r="C20" s="200">
        <v>2</v>
      </c>
      <c r="D20" s="677"/>
      <c r="E20" s="681"/>
      <c r="F20" s="678"/>
      <c r="G20" s="200"/>
      <c r="H20" s="202"/>
      <c r="I20" s="203"/>
      <c r="J20" s="200"/>
      <c r="K20" s="677"/>
      <c r="L20" s="678"/>
      <c r="M20" s="99"/>
      <c r="O20" s="178"/>
      <c r="P20" s="427"/>
      <c r="Q20" s="427"/>
      <c r="R20" s="178"/>
    </row>
    <row r="21" spans="1:18" ht="15.75" customHeight="1">
      <c r="A21" s="686"/>
      <c r="B21" s="689"/>
      <c r="C21" s="200">
        <v>3</v>
      </c>
      <c r="D21" s="677"/>
      <c r="E21" s="681"/>
      <c r="F21" s="678"/>
      <c r="G21" s="200"/>
      <c r="H21" s="202"/>
      <c r="I21" s="203"/>
      <c r="J21" s="200"/>
      <c r="K21" s="677"/>
      <c r="L21" s="678"/>
      <c r="M21" s="99"/>
      <c r="O21" s="199"/>
      <c r="P21" s="428"/>
      <c r="Q21" s="428"/>
      <c r="R21" s="199"/>
    </row>
    <row r="22" spans="1:18" ht="15.75" customHeight="1">
      <c r="A22" s="686"/>
      <c r="B22" s="689"/>
      <c r="C22" s="200">
        <v>4</v>
      </c>
      <c r="D22" s="677"/>
      <c r="E22" s="681"/>
      <c r="F22" s="678"/>
      <c r="G22" s="200"/>
      <c r="H22" s="202"/>
      <c r="I22" s="203"/>
      <c r="J22" s="200"/>
      <c r="K22" s="677"/>
      <c r="L22" s="678"/>
      <c r="M22" s="99"/>
      <c r="O22" s="199"/>
      <c r="P22" s="428"/>
      <c r="Q22" s="428"/>
      <c r="R22" s="199"/>
    </row>
    <row r="23" spans="1:18" ht="15.75" customHeight="1">
      <c r="A23" s="686"/>
      <c r="B23" s="689"/>
      <c r="C23" s="200">
        <v>5</v>
      </c>
      <c r="D23" s="677"/>
      <c r="E23" s="681"/>
      <c r="F23" s="678"/>
      <c r="G23" s="200"/>
      <c r="H23" s="202"/>
      <c r="I23" s="203"/>
      <c r="J23" s="200"/>
      <c r="K23" s="677"/>
      <c r="L23" s="678"/>
      <c r="M23" s="99"/>
      <c r="O23" s="199"/>
      <c r="P23" s="428"/>
      <c r="Q23" s="428"/>
      <c r="R23" s="199"/>
    </row>
    <row r="24" spans="1:18" ht="15.75" customHeight="1">
      <c r="A24" s="686"/>
      <c r="B24" s="689"/>
      <c r="C24" s="204" t="s">
        <v>204</v>
      </c>
      <c r="D24" s="677"/>
      <c r="E24" s="681"/>
      <c r="F24" s="678"/>
      <c r="G24" s="200"/>
      <c r="H24" s="202"/>
      <c r="I24" s="203"/>
      <c r="J24" s="200"/>
      <c r="K24" s="677"/>
      <c r="L24" s="678"/>
      <c r="M24" s="99"/>
      <c r="O24" s="199"/>
      <c r="P24" s="428"/>
      <c r="Q24" s="428"/>
      <c r="R24" s="199"/>
    </row>
    <row r="25" spans="1:18" ht="15.75" customHeight="1">
      <c r="A25" s="686"/>
      <c r="B25" s="689"/>
      <c r="C25" s="204" t="s">
        <v>209</v>
      </c>
      <c r="D25" s="677"/>
      <c r="E25" s="681"/>
      <c r="F25" s="678"/>
      <c r="G25" s="200"/>
      <c r="H25" s="202"/>
      <c r="I25" s="203"/>
      <c r="J25" s="200"/>
      <c r="K25" s="677"/>
      <c r="L25" s="678"/>
      <c r="M25" s="99"/>
      <c r="O25" s="199"/>
      <c r="P25" s="428"/>
      <c r="Q25" s="428"/>
      <c r="R25" s="199"/>
    </row>
    <row r="26" spans="1:18" ht="15.75" customHeight="1">
      <c r="A26" s="686"/>
      <c r="B26" s="689"/>
      <c r="C26" s="204" t="s">
        <v>205</v>
      </c>
      <c r="D26" s="677"/>
      <c r="E26" s="681"/>
      <c r="F26" s="678"/>
      <c r="G26" s="200"/>
      <c r="H26" s="202"/>
      <c r="I26" s="203"/>
      <c r="J26" s="200"/>
      <c r="K26" s="677"/>
      <c r="L26" s="678"/>
      <c r="M26" s="99"/>
      <c r="O26" s="199"/>
      <c r="P26" s="428"/>
      <c r="Q26" s="428"/>
      <c r="R26" s="199"/>
    </row>
    <row r="27" spans="1:18" ht="15.75" customHeight="1">
      <c r="A27" s="686"/>
      <c r="B27" s="689"/>
      <c r="C27" s="204" t="s">
        <v>210</v>
      </c>
      <c r="D27" s="677"/>
      <c r="E27" s="681"/>
      <c r="F27" s="678"/>
      <c r="G27" s="200"/>
      <c r="H27" s="202"/>
      <c r="I27" s="203"/>
      <c r="J27" s="200"/>
      <c r="K27" s="677"/>
      <c r="L27" s="678"/>
      <c r="M27" s="99"/>
      <c r="O27" s="199"/>
      <c r="P27" s="428"/>
      <c r="Q27" s="428"/>
      <c r="R27" s="199"/>
    </row>
    <row r="28" spans="1:18" ht="15.75" customHeight="1">
      <c r="A28" s="687"/>
      <c r="B28" s="690"/>
      <c r="C28" s="204" t="s">
        <v>211</v>
      </c>
      <c r="D28" s="677"/>
      <c r="E28" s="681"/>
      <c r="F28" s="678"/>
      <c r="G28" s="200"/>
      <c r="H28" s="202"/>
      <c r="I28" s="203"/>
      <c r="J28" s="200"/>
      <c r="K28" s="677"/>
      <c r="L28" s="678"/>
      <c r="M28" s="99"/>
      <c r="O28" s="199"/>
      <c r="P28" s="428"/>
      <c r="Q28" s="428"/>
      <c r="R28" s="199"/>
    </row>
    <row r="29" spans="1:18" s="189" customFormat="1" ht="15.75" customHeight="1">
      <c r="A29" s="673" t="s">
        <v>682</v>
      </c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</row>
    <row r="30" spans="1:18" s="190" customFormat="1" ht="15.75" customHeight="1">
      <c r="A30" s="673"/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</row>
    <row r="31" spans="1:18" s="106" customFormat="1" ht="16.350000000000001" customHeight="1">
      <c r="A31" s="685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8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1" t="s">
        <v>188</v>
      </c>
      <c r="B33" s="692"/>
      <c r="C33" s="160" t="s">
        <v>47</v>
      </c>
      <c r="D33" s="691" t="s">
        <v>12</v>
      </c>
      <c r="E33" s="693"/>
      <c r="F33" s="692"/>
      <c r="G33" s="160" t="s">
        <v>46</v>
      </c>
      <c r="H33" s="160" t="s">
        <v>386</v>
      </c>
      <c r="I33" s="160" t="s">
        <v>387</v>
      </c>
      <c r="J33" s="160" t="s">
        <v>332</v>
      </c>
      <c r="K33" s="691" t="s">
        <v>51</v>
      </c>
      <c r="L33" s="692"/>
      <c r="M33" s="127"/>
      <c r="N33" s="189"/>
      <c r="O33" s="199"/>
      <c r="P33" s="428"/>
      <c r="Q33" s="428"/>
      <c r="R33" s="199"/>
    </row>
    <row r="34" spans="1:18" ht="15.75" customHeight="1">
      <c r="A34" s="685">
        <v>7</v>
      </c>
      <c r="B34" s="688" t="s">
        <v>390</v>
      </c>
      <c r="C34" s="200">
        <v>1</v>
      </c>
      <c r="D34" s="680"/>
      <c r="E34" s="668"/>
      <c r="F34" s="668"/>
      <c r="G34" s="200"/>
      <c r="H34" s="202"/>
      <c r="I34" s="203"/>
      <c r="J34" s="200"/>
      <c r="K34" s="677"/>
      <c r="L34" s="678"/>
      <c r="O34" s="199"/>
      <c r="P34" s="428"/>
      <c r="Q34" s="428"/>
      <c r="R34" s="199"/>
    </row>
    <row r="35" spans="1:18" ht="15.75" customHeight="1">
      <c r="A35" s="686"/>
      <c r="B35" s="689"/>
      <c r="C35" s="200">
        <v>2</v>
      </c>
      <c r="D35" s="680"/>
      <c r="E35" s="668"/>
      <c r="F35" s="668"/>
      <c r="G35" s="200"/>
      <c r="H35" s="202"/>
      <c r="I35" s="203"/>
      <c r="J35" s="200"/>
      <c r="K35" s="677"/>
      <c r="L35" s="678"/>
      <c r="O35" s="199"/>
      <c r="P35" s="428"/>
      <c r="Q35" s="428"/>
      <c r="R35" s="199"/>
    </row>
    <row r="36" spans="1:18" ht="15.75" customHeight="1">
      <c r="A36" s="686"/>
      <c r="B36" s="689"/>
      <c r="C36" s="200">
        <v>3</v>
      </c>
      <c r="D36" s="677"/>
      <c r="E36" s="681"/>
      <c r="F36" s="678"/>
      <c r="G36" s="200"/>
      <c r="H36" s="202"/>
      <c r="I36" s="203"/>
      <c r="J36" s="200"/>
      <c r="K36" s="677"/>
      <c r="L36" s="678"/>
      <c r="N36" s="431"/>
      <c r="O36" s="199"/>
      <c r="P36" s="428"/>
      <c r="Q36" s="428"/>
      <c r="R36" s="199"/>
    </row>
    <row r="37" spans="1:18" ht="15.75" customHeight="1">
      <c r="A37" s="686"/>
      <c r="B37" s="689"/>
      <c r="C37" s="200">
        <v>4</v>
      </c>
      <c r="D37" s="677"/>
      <c r="E37" s="681"/>
      <c r="F37" s="678"/>
      <c r="G37" s="200"/>
      <c r="H37" s="202"/>
      <c r="I37" s="203"/>
      <c r="J37" s="200"/>
      <c r="K37" s="677"/>
      <c r="L37" s="678"/>
      <c r="O37" s="199"/>
      <c r="P37" s="428"/>
      <c r="Q37" s="428"/>
      <c r="R37" s="199"/>
    </row>
    <row r="38" spans="1:18" ht="15.75" customHeight="1">
      <c r="A38" s="686"/>
      <c r="B38" s="689"/>
      <c r="C38" s="200">
        <v>5</v>
      </c>
      <c r="D38" s="677"/>
      <c r="E38" s="681"/>
      <c r="F38" s="678"/>
      <c r="G38" s="200"/>
      <c r="H38" s="202"/>
      <c r="I38" s="203"/>
      <c r="J38" s="200"/>
      <c r="K38" s="677"/>
      <c r="L38" s="678"/>
      <c r="N38" s="178"/>
      <c r="O38" s="199"/>
      <c r="P38" s="428"/>
      <c r="Q38" s="428"/>
      <c r="R38" s="199"/>
    </row>
    <row r="39" spans="1:18" ht="15.75" customHeight="1">
      <c r="A39" s="686"/>
      <c r="B39" s="689"/>
      <c r="C39" s="204" t="s">
        <v>204</v>
      </c>
      <c r="D39" s="677"/>
      <c r="E39" s="681"/>
      <c r="F39" s="678"/>
      <c r="G39" s="200"/>
      <c r="H39" s="202"/>
      <c r="I39" s="203"/>
      <c r="J39" s="200"/>
      <c r="K39" s="677"/>
      <c r="L39" s="678"/>
      <c r="N39" s="431"/>
      <c r="O39" s="199"/>
      <c r="P39" s="428"/>
      <c r="Q39" s="428"/>
      <c r="R39" s="199"/>
    </row>
    <row r="40" spans="1:18" ht="15.75" customHeight="1">
      <c r="A40" s="686"/>
      <c r="B40" s="689"/>
      <c r="C40" s="204" t="s">
        <v>209</v>
      </c>
      <c r="D40" s="677"/>
      <c r="E40" s="681"/>
      <c r="F40" s="678"/>
      <c r="G40" s="200"/>
      <c r="H40" s="202"/>
      <c r="I40" s="203"/>
      <c r="J40" s="200"/>
      <c r="K40" s="677"/>
      <c r="L40" s="678"/>
      <c r="O40" s="199"/>
      <c r="P40" s="428"/>
      <c r="Q40" s="428"/>
      <c r="R40" s="199"/>
    </row>
    <row r="41" spans="1:18" ht="15.75" customHeight="1">
      <c r="A41" s="686"/>
      <c r="B41" s="689"/>
      <c r="C41" s="204" t="s">
        <v>205</v>
      </c>
      <c r="D41" s="677"/>
      <c r="E41" s="681"/>
      <c r="F41" s="678"/>
      <c r="G41" s="200"/>
      <c r="H41" s="202"/>
      <c r="I41" s="203"/>
      <c r="J41" s="200"/>
      <c r="K41" s="677"/>
      <c r="L41" s="678"/>
      <c r="O41" s="199"/>
      <c r="P41" s="428"/>
      <c r="Q41" s="428"/>
      <c r="R41" s="199"/>
    </row>
    <row r="42" spans="1:18" ht="15.75" customHeight="1">
      <c r="A42" s="686"/>
      <c r="B42" s="689"/>
      <c r="C42" s="204" t="s">
        <v>210</v>
      </c>
      <c r="D42" s="677"/>
      <c r="E42" s="681"/>
      <c r="F42" s="678"/>
      <c r="G42" s="200"/>
      <c r="H42" s="202"/>
      <c r="I42" s="203"/>
      <c r="J42" s="200"/>
      <c r="K42" s="677"/>
      <c r="L42" s="678"/>
      <c r="M42" s="99"/>
      <c r="O42" s="199"/>
      <c r="P42" s="428"/>
      <c r="Q42" s="428"/>
      <c r="R42" s="199"/>
    </row>
    <row r="43" spans="1:18" ht="15.75" customHeight="1">
      <c r="A43" s="687"/>
      <c r="B43" s="690"/>
      <c r="C43" s="204" t="s">
        <v>211</v>
      </c>
      <c r="D43" s="677"/>
      <c r="E43" s="681"/>
      <c r="F43" s="678"/>
      <c r="G43" s="200"/>
      <c r="H43" s="202"/>
      <c r="I43" s="203"/>
      <c r="J43" s="200"/>
      <c r="K43" s="677"/>
      <c r="L43" s="678"/>
      <c r="M43" s="99"/>
      <c r="N43" s="199"/>
      <c r="O43" s="199"/>
      <c r="P43" s="428"/>
      <c r="Q43" s="428"/>
      <c r="R43" s="199"/>
    </row>
    <row r="44" spans="1:18" s="104" customFormat="1" ht="15.75" customHeight="1">
      <c r="A44" s="682" t="s">
        <v>188</v>
      </c>
      <c r="B44" s="683"/>
      <c r="C44" s="207" t="s">
        <v>47</v>
      </c>
      <c r="D44" s="682" t="s">
        <v>12</v>
      </c>
      <c r="E44" s="684"/>
      <c r="F44" s="683"/>
      <c r="G44" s="207" t="s">
        <v>46</v>
      </c>
      <c r="H44" s="207" t="s">
        <v>386</v>
      </c>
      <c r="I44" s="207" t="s">
        <v>387</v>
      </c>
      <c r="J44" s="160" t="s">
        <v>332</v>
      </c>
      <c r="K44" s="682" t="s">
        <v>51</v>
      </c>
      <c r="L44" s="683"/>
      <c r="M44" s="128"/>
      <c r="N44" s="189"/>
      <c r="O44" s="199"/>
      <c r="P44" s="428"/>
      <c r="Q44" s="428"/>
      <c r="R44" s="199"/>
    </row>
    <row r="45" spans="1:18" ht="15.75" customHeight="1">
      <c r="A45" s="685">
        <v>8</v>
      </c>
      <c r="B45" s="688" t="s">
        <v>391</v>
      </c>
      <c r="C45" s="200">
        <v>1</v>
      </c>
      <c r="D45" s="677"/>
      <c r="E45" s="681"/>
      <c r="F45" s="678"/>
      <c r="G45" s="200"/>
      <c r="H45" s="202"/>
      <c r="I45" s="203"/>
      <c r="J45" s="200"/>
      <c r="K45" s="677"/>
      <c r="L45" s="678"/>
      <c r="M45" s="99"/>
      <c r="O45" s="199"/>
      <c r="P45" s="428"/>
      <c r="Q45" s="428"/>
      <c r="R45" s="199"/>
    </row>
    <row r="46" spans="1:18" ht="15.75" customHeight="1">
      <c r="A46" s="686"/>
      <c r="B46" s="689"/>
      <c r="C46" s="200">
        <v>2</v>
      </c>
      <c r="D46" s="677"/>
      <c r="E46" s="681"/>
      <c r="F46" s="678"/>
      <c r="G46" s="200"/>
      <c r="H46" s="202"/>
      <c r="I46" s="203"/>
      <c r="J46" s="200"/>
      <c r="K46" s="677"/>
      <c r="L46" s="678"/>
      <c r="M46" s="99"/>
      <c r="O46" s="178"/>
      <c r="P46" s="427"/>
      <c r="Q46" s="427"/>
      <c r="R46" s="178"/>
    </row>
    <row r="47" spans="1:18" ht="15.75" customHeight="1">
      <c r="A47" s="686"/>
      <c r="B47" s="689"/>
      <c r="C47" s="200">
        <v>3</v>
      </c>
      <c r="D47" s="677"/>
      <c r="E47" s="681"/>
      <c r="F47" s="678"/>
      <c r="G47" s="200"/>
      <c r="H47" s="202"/>
      <c r="I47" s="203"/>
      <c r="J47" s="200"/>
      <c r="K47" s="677"/>
      <c r="L47" s="678"/>
      <c r="M47" s="99"/>
      <c r="O47" s="199"/>
      <c r="P47" s="428"/>
      <c r="Q47" s="428"/>
      <c r="R47" s="199"/>
    </row>
    <row r="48" spans="1:18" ht="15.75" customHeight="1">
      <c r="A48" s="686"/>
      <c r="B48" s="689"/>
      <c r="C48" s="200">
        <v>4</v>
      </c>
      <c r="D48" s="677"/>
      <c r="E48" s="681"/>
      <c r="F48" s="678"/>
      <c r="G48" s="200"/>
      <c r="H48" s="202"/>
      <c r="I48" s="203"/>
      <c r="J48" s="200"/>
      <c r="K48" s="677"/>
      <c r="L48" s="678"/>
      <c r="M48" s="99"/>
      <c r="O48" s="199"/>
      <c r="P48" s="428"/>
      <c r="Q48" s="428"/>
      <c r="R48" s="199"/>
    </row>
    <row r="49" spans="1:18" ht="15.75" customHeight="1">
      <c r="A49" s="686"/>
      <c r="B49" s="689"/>
      <c r="C49" s="200">
        <v>5</v>
      </c>
      <c r="D49" s="677"/>
      <c r="E49" s="681"/>
      <c r="F49" s="678"/>
      <c r="G49" s="200"/>
      <c r="H49" s="202"/>
      <c r="I49" s="203"/>
      <c r="J49" s="200"/>
      <c r="K49" s="677"/>
      <c r="L49" s="678"/>
      <c r="M49" s="99"/>
      <c r="O49" s="199"/>
      <c r="P49" s="428"/>
      <c r="Q49" s="428"/>
      <c r="R49" s="199"/>
    </row>
    <row r="50" spans="1:18" ht="15.75" customHeight="1">
      <c r="A50" s="686"/>
      <c r="B50" s="689"/>
      <c r="C50" s="204" t="s">
        <v>204</v>
      </c>
      <c r="D50" s="677"/>
      <c r="E50" s="681"/>
      <c r="F50" s="678"/>
      <c r="G50" s="200"/>
      <c r="H50" s="202"/>
      <c r="I50" s="203"/>
      <c r="J50" s="200"/>
      <c r="K50" s="677"/>
      <c r="L50" s="678"/>
      <c r="M50" s="99"/>
      <c r="O50" s="199"/>
      <c r="P50" s="428"/>
      <c r="Q50" s="428"/>
      <c r="R50" s="199"/>
    </row>
    <row r="51" spans="1:18" ht="15.75" customHeight="1">
      <c r="A51" s="686"/>
      <c r="B51" s="689"/>
      <c r="C51" s="204" t="s">
        <v>209</v>
      </c>
      <c r="D51" s="677"/>
      <c r="E51" s="681"/>
      <c r="F51" s="678"/>
      <c r="G51" s="200"/>
      <c r="H51" s="202"/>
      <c r="I51" s="203"/>
      <c r="J51" s="200"/>
      <c r="K51" s="677"/>
      <c r="L51" s="678"/>
      <c r="M51" s="99"/>
      <c r="O51" s="199"/>
      <c r="P51" s="428"/>
      <c r="Q51" s="428"/>
      <c r="R51" s="199"/>
    </row>
    <row r="52" spans="1:18" ht="15.75" customHeight="1">
      <c r="A52" s="686"/>
      <c r="B52" s="689"/>
      <c r="C52" s="204" t="s">
        <v>205</v>
      </c>
      <c r="D52" s="677"/>
      <c r="E52" s="681"/>
      <c r="F52" s="678"/>
      <c r="G52" s="200"/>
      <c r="H52" s="202"/>
      <c r="I52" s="203"/>
      <c r="J52" s="200"/>
      <c r="K52" s="677"/>
      <c r="L52" s="678"/>
      <c r="M52" s="99"/>
      <c r="O52" s="199"/>
      <c r="P52" s="428"/>
      <c r="Q52" s="428"/>
      <c r="R52" s="199"/>
    </row>
    <row r="53" spans="1:18" ht="15.75" customHeight="1">
      <c r="A53" s="686"/>
      <c r="B53" s="689"/>
      <c r="C53" s="204" t="s">
        <v>210</v>
      </c>
      <c r="D53" s="677"/>
      <c r="E53" s="681"/>
      <c r="F53" s="678"/>
      <c r="G53" s="200"/>
      <c r="H53" s="202"/>
      <c r="I53" s="203"/>
      <c r="J53" s="200"/>
      <c r="K53" s="677"/>
      <c r="L53" s="678"/>
      <c r="M53" s="99"/>
      <c r="O53" s="199"/>
      <c r="P53" s="428"/>
      <c r="Q53" s="428"/>
      <c r="R53" s="199"/>
    </row>
    <row r="54" spans="1:18" ht="15.75" customHeight="1">
      <c r="A54" s="687"/>
      <c r="B54" s="690"/>
      <c r="C54" s="204" t="s">
        <v>211</v>
      </c>
      <c r="D54" s="677"/>
      <c r="E54" s="681"/>
      <c r="F54" s="678"/>
      <c r="G54" s="200"/>
      <c r="H54" s="202"/>
      <c r="I54" s="203"/>
      <c r="J54" s="200"/>
      <c r="K54" s="677"/>
      <c r="L54" s="678"/>
      <c r="M54" s="99"/>
      <c r="O54" s="199"/>
      <c r="P54" s="428"/>
      <c r="Q54" s="428"/>
      <c r="R54" s="199"/>
    </row>
    <row r="55" spans="1:18" s="189" customFormat="1" ht="15.75" customHeight="1">
      <c r="A55" s="673" t="s">
        <v>745</v>
      </c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</row>
    <row r="56" spans="1:18" s="190" customFormat="1" ht="15.75" customHeight="1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</row>
    <row r="57" spans="1:18" s="106" customFormat="1" ht="16.350000000000001" customHeight="1">
      <c r="A57" s="685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87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385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1" t="s">
        <v>188</v>
      </c>
      <c r="B59" s="692"/>
      <c r="C59" s="160" t="s">
        <v>47</v>
      </c>
      <c r="D59" s="691" t="s">
        <v>12</v>
      </c>
      <c r="E59" s="693"/>
      <c r="F59" s="692"/>
      <c r="G59" s="160" t="s">
        <v>46</v>
      </c>
      <c r="H59" s="160" t="s">
        <v>386</v>
      </c>
      <c r="I59" s="160" t="s">
        <v>387</v>
      </c>
      <c r="J59" s="160" t="s">
        <v>332</v>
      </c>
      <c r="K59" s="691" t="s">
        <v>51</v>
      </c>
      <c r="L59" s="692"/>
      <c r="M59" s="127"/>
      <c r="N59" s="189"/>
      <c r="O59" s="199"/>
      <c r="P59" s="428"/>
      <c r="Q59" s="428"/>
      <c r="R59" s="199"/>
    </row>
    <row r="60" spans="1:18" ht="15.75" customHeight="1">
      <c r="A60" s="685">
        <v>7</v>
      </c>
      <c r="B60" s="688" t="s">
        <v>390</v>
      </c>
      <c r="C60" s="200">
        <v>1</v>
      </c>
      <c r="D60" s="680"/>
      <c r="E60" s="668"/>
      <c r="F60" s="668"/>
      <c r="G60" s="200"/>
      <c r="H60" s="202"/>
      <c r="I60" s="203"/>
      <c r="J60" s="200"/>
      <c r="K60" s="677"/>
      <c r="L60" s="678"/>
      <c r="O60" s="199"/>
      <c r="P60" s="428"/>
      <c r="Q60" s="428"/>
      <c r="R60" s="199"/>
    </row>
    <row r="61" spans="1:18" ht="15.75" customHeight="1">
      <c r="A61" s="686"/>
      <c r="B61" s="689"/>
      <c r="C61" s="200">
        <v>2</v>
      </c>
      <c r="D61" s="680"/>
      <c r="E61" s="668"/>
      <c r="F61" s="668"/>
      <c r="G61" s="200"/>
      <c r="H61" s="202"/>
      <c r="I61" s="203"/>
      <c r="J61" s="200"/>
      <c r="K61" s="677"/>
      <c r="L61" s="678"/>
      <c r="O61" s="199"/>
      <c r="P61" s="428"/>
      <c r="Q61" s="428"/>
      <c r="R61" s="199"/>
    </row>
    <row r="62" spans="1:18" ht="15.75" customHeight="1">
      <c r="A62" s="686"/>
      <c r="B62" s="689"/>
      <c r="C62" s="200">
        <v>3</v>
      </c>
      <c r="D62" s="680"/>
      <c r="E62" s="668"/>
      <c r="F62" s="668"/>
      <c r="G62" s="200"/>
      <c r="H62" s="202"/>
      <c r="I62" s="203"/>
      <c r="J62" s="200"/>
      <c r="K62" s="677"/>
      <c r="L62" s="678"/>
      <c r="N62" s="431"/>
      <c r="O62" s="199"/>
      <c r="P62" s="428"/>
      <c r="Q62" s="428"/>
      <c r="R62" s="199"/>
    </row>
    <row r="63" spans="1:18" ht="15.75" customHeight="1">
      <c r="A63" s="686"/>
      <c r="B63" s="689"/>
      <c r="C63" s="200">
        <v>4</v>
      </c>
      <c r="D63" s="677"/>
      <c r="E63" s="681"/>
      <c r="F63" s="678"/>
      <c r="G63" s="200"/>
      <c r="H63" s="202"/>
      <c r="I63" s="203"/>
      <c r="J63" s="200"/>
      <c r="K63" s="677"/>
      <c r="L63" s="678"/>
      <c r="O63" s="199"/>
      <c r="P63" s="428"/>
      <c r="Q63" s="428"/>
      <c r="R63" s="199"/>
    </row>
    <row r="64" spans="1:18" ht="15.75" customHeight="1">
      <c r="A64" s="686"/>
      <c r="B64" s="689"/>
      <c r="C64" s="200">
        <v>5</v>
      </c>
      <c r="D64" s="677"/>
      <c r="E64" s="681"/>
      <c r="F64" s="678"/>
      <c r="G64" s="200"/>
      <c r="H64" s="202"/>
      <c r="I64" s="203"/>
      <c r="J64" s="200"/>
      <c r="K64" s="677"/>
      <c r="L64" s="678"/>
      <c r="N64" s="178"/>
      <c r="O64" s="199"/>
      <c r="P64" s="428"/>
      <c r="Q64" s="428"/>
      <c r="R64" s="199"/>
    </row>
    <row r="65" spans="1:18" ht="15.75" customHeight="1">
      <c r="A65" s="686"/>
      <c r="B65" s="689"/>
      <c r="C65" s="204" t="s">
        <v>204</v>
      </c>
      <c r="D65" s="677"/>
      <c r="E65" s="681"/>
      <c r="F65" s="678"/>
      <c r="G65" s="200"/>
      <c r="H65" s="202"/>
      <c r="I65" s="203"/>
      <c r="J65" s="200"/>
      <c r="K65" s="677"/>
      <c r="L65" s="678"/>
      <c r="N65" s="431"/>
      <c r="O65" s="199"/>
      <c r="P65" s="428"/>
      <c r="Q65" s="428"/>
      <c r="R65" s="199"/>
    </row>
    <row r="66" spans="1:18" ht="15.75" customHeight="1">
      <c r="A66" s="686"/>
      <c r="B66" s="689"/>
      <c r="C66" s="204" t="s">
        <v>209</v>
      </c>
      <c r="D66" s="677"/>
      <c r="E66" s="681"/>
      <c r="F66" s="678"/>
      <c r="G66" s="200"/>
      <c r="H66" s="202"/>
      <c r="I66" s="203"/>
      <c r="J66" s="200"/>
      <c r="K66" s="677"/>
      <c r="L66" s="678"/>
      <c r="O66" s="199"/>
      <c r="P66" s="428"/>
      <c r="Q66" s="428"/>
      <c r="R66" s="199"/>
    </row>
    <row r="67" spans="1:18" ht="15.75" customHeight="1">
      <c r="A67" s="686"/>
      <c r="B67" s="689"/>
      <c r="C67" s="204" t="s">
        <v>205</v>
      </c>
      <c r="D67" s="677"/>
      <c r="E67" s="681"/>
      <c r="F67" s="678"/>
      <c r="G67" s="200"/>
      <c r="H67" s="202"/>
      <c r="I67" s="203"/>
      <c r="J67" s="200"/>
      <c r="K67" s="677"/>
      <c r="L67" s="678"/>
      <c r="O67" s="199"/>
      <c r="P67" s="428"/>
      <c r="Q67" s="428"/>
      <c r="R67" s="199"/>
    </row>
    <row r="68" spans="1:18" ht="15.75" customHeight="1">
      <c r="A68" s="686"/>
      <c r="B68" s="689"/>
      <c r="C68" s="204" t="s">
        <v>210</v>
      </c>
      <c r="D68" s="677"/>
      <c r="E68" s="681"/>
      <c r="F68" s="678"/>
      <c r="G68" s="200"/>
      <c r="H68" s="202"/>
      <c r="I68" s="203"/>
      <c r="J68" s="200"/>
      <c r="K68" s="677"/>
      <c r="L68" s="678"/>
      <c r="M68" s="99"/>
      <c r="O68" s="199"/>
      <c r="P68" s="428"/>
      <c r="Q68" s="428"/>
      <c r="R68" s="199"/>
    </row>
    <row r="69" spans="1:18" ht="15.75" customHeight="1">
      <c r="A69" s="687"/>
      <c r="B69" s="690"/>
      <c r="C69" s="204" t="s">
        <v>211</v>
      </c>
      <c r="D69" s="677"/>
      <c r="E69" s="681"/>
      <c r="F69" s="678"/>
      <c r="G69" s="200"/>
      <c r="H69" s="202"/>
      <c r="I69" s="203"/>
      <c r="J69" s="200"/>
      <c r="K69" s="677"/>
      <c r="L69" s="678"/>
      <c r="M69" s="99"/>
      <c r="N69" s="199"/>
      <c r="O69" s="199"/>
      <c r="P69" s="428"/>
      <c r="Q69" s="428"/>
      <c r="R69" s="199"/>
    </row>
    <row r="70" spans="1:18" s="104" customFormat="1" ht="15.75" customHeight="1">
      <c r="A70" s="682" t="s">
        <v>188</v>
      </c>
      <c r="B70" s="683"/>
      <c r="C70" s="207" t="s">
        <v>47</v>
      </c>
      <c r="D70" s="682" t="s">
        <v>12</v>
      </c>
      <c r="E70" s="684"/>
      <c r="F70" s="683"/>
      <c r="G70" s="207" t="s">
        <v>46</v>
      </c>
      <c r="H70" s="207" t="s">
        <v>386</v>
      </c>
      <c r="I70" s="207" t="s">
        <v>387</v>
      </c>
      <c r="J70" s="160" t="s">
        <v>332</v>
      </c>
      <c r="K70" s="682" t="s">
        <v>51</v>
      </c>
      <c r="L70" s="683"/>
      <c r="M70" s="128"/>
      <c r="N70" s="189"/>
      <c r="O70" s="199"/>
      <c r="P70" s="428"/>
      <c r="Q70" s="428"/>
      <c r="R70" s="199"/>
    </row>
    <row r="71" spans="1:18" ht="15.75" customHeight="1">
      <c r="A71" s="685">
        <v>8</v>
      </c>
      <c r="B71" s="688" t="s">
        <v>391</v>
      </c>
      <c r="C71" s="200">
        <v>1</v>
      </c>
      <c r="D71" s="680" t="s">
        <v>744</v>
      </c>
      <c r="E71" s="668"/>
      <c r="F71" s="668"/>
      <c r="G71" s="200">
        <v>19</v>
      </c>
      <c r="H71" s="202">
        <v>3110.6352141598227</v>
      </c>
      <c r="I71" s="203">
        <v>163.717642850517</v>
      </c>
      <c r="J71" s="200"/>
      <c r="K71" s="677"/>
      <c r="L71" s="678"/>
      <c r="M71" s="99"/>
      <c r="O71" s="199"/>
      <c r="P71" s="428"/>
      <c r="Q71" s="428"/>
      <c r="R71" s="199"/>
    </row>
    <row r="72" spans="1:18" ht="15.75" customHeight="1">
      <c r="A72" s="686"/>
      <c r="B72" s="689"/>
      <c r="C72" s="200">
        <v>2</v>
      </c>
      <c r="D72" s="680" t="s">
        <v>742</v>
      </c>
      <c r="E72" s="668"/>
      <c r="F72" s="668"/>
      <c r="G72" s="200">
        <v>20</v>
      </c>
      <c r="H72" s="202">
        <v>3160.3464189668584</v>
      </c>
      <c r="I72" s="203">
        <v>158.01732094834293</v>
      </c>
      <c r="J72" s="200"/>
      <c r="K72" s="677"/>
      <c r="L72" s="678"/>
      <c r="M72" s="99"/>
      <c r="O72" s="178"/>
      <c r="P72" s="427"/>
      <c r="Q72" s="427"/>
      <c r="R72" s="178"/>
    </row>
    <row r="73" spans="1:18" ht="15.75" customHeight="1">
      <c r="A73" s="686"/>
      <c r="B73" s="689"/>
      <c r="C73" s="200">
        <v>3</v>
      </c>
      <c r="D73" s="680" t="s">
        <v>743</v>
      </c>
      <c r="E73" s="668"/>
      <c r="F73" s="668"/>
      <c r="G73" s="200">
        <v>21</v>
      </c>
      <c r="H73" s="202">
        <v>3160.1115863333475</v>
      </c>
      <c r="I73" s="203">
        <v>150.48150411111178</v>
      </c>
      <c r="J73" s="200"/>
      <c r="K73" s="677"/>
      <c r="L73" s="678"/>
      <c r="M73" s="99"/>
      <c r="O73" s="199"/>
      <c r="P73" s="428"/>
      <c r="Q73" s="428"/>
      <c r="R73" s="199"/>
    </row>
    <row r="74" spans="1:18" ht="15.75" customHeight="1">
      <c r="A74" s="686"/>
      <c r="B74" s="689"/>
      <c r="C74" s="200">
        <v>4</v>
      </c>
      <c r="D74" s="677"/>
      <c r="E74" s="681"/>
      <c r="F74" s="678"/>
      <c r="G74" s="200"/>
      <c r="H74" s="202"/>
      <c r="I74" s="203"/>
      <c r="J74" s="200"/>
      <c r="K74" s="677"/>
      <c r="L74" s="678"/>
      <c r="M74" s="99"/>
      <c r="O74" s="199"/>
      <c r="P74" s="428"/>
      <c r="Q74" s="428"/>
      <c r="R74" s="199"/>
    </row>
    <row r="75" spans="1:18" ht="15.75" customHeight="1">
      <c r="A75" s="686"/>
      <c r="B75" s="689"/>
      <c r="C75" s="200">
        <v>5</v>
      </c>
      <c r="D75" s="677"/>
      <c r="E75" s="681"/>
      <c r="F75" s="678"/>
      <c r="G75" s="200"/>
      <c r="H75" s="202"/>
      <c r="I75" s="203"/>
      <c r="J75" s="200"/>
      <c r="K75" s="677"/>
      <c r="L75" s="678"/>
      <c r="M75" s="99"/>
      <c r="O75" s="199"/>
      <c r="P75" s="428"/>
      <c r="Q75" s="428"/>
      <c r="R75" s="199"/>
    </row>
    <row r="76" spans="1:18" ht="15.75" customHeight="1">
      <c r="A76" s="686"/>
      <c r="B76" s="689"/>
      <c r="C76" s="204" t="s">
        <v>204</v>
      </c>
      <c r="D76" s="677"/>
      <c r="E76" s="681"/>
      <c r="F76" s="678"/>
      <c r="G76" s="200"/>
      <c r="H76" s="202"/>
      <c r="I76" s="203"/>
      <c r="J76" s="200"/>
      <c r="K76" s="677"/>
      <c r="L76" s="678"/>
      <c r="M76" s="99"/>
      <c r="O76" s="199"/>
      <c r="P76" s="428"/>
      <c r="Q76" s="428"/>
      <c r="R76" s="199"/>
    </row>
    <row r="77" spans="1:18" ht="15.75" customHeight="1">
      <c r="A77" s="686"/>
      <c r="B77" s="689"/>
      <c r="C77" s="204" t="s">
        <v>209</v>
      </c>
      <c r="D77" s="677"/>
      <c r="E77" s="681"/>
      <c r="F77" s="678"/>
      <c r="G77" s="200"/>
      <c r="H77" s="202"/>
      <c r="I77" s="203"/>
      <c r="J77" s="200"/>
      <c r="K77" s="677"/>
      <c r="L77" s="678"/>
      <c r="M77" s="99"/>
      <c r="O77" s="199"/>
      <c r="P77" s="428"/>
      <c r="Q77" s="428"/>
      <c r="R77" s="199"/>
    </row>
    <row r="78" spans="1:18" ht="15.75" customHeight="1">
      <c r="A78" s="686"/>
      <c r="B78" s="689"/>
      <c r="C78" s="204" t="s">
        <v>205</v>
      </c>
      <c r="D78" s="677"/>
      <c r="E78" s="681"/>
      <c r="F78" s="678"/>
      <c r="G78" s="200"/>
      <c r="H78" s="202"/>
      <c r="I78" s="203"/>
      <c r="J78" s="200"/>
      <c r="K78" s="677"/>
      <c r="L78" s="678"/>
      <c r="M78" s="99"/>
      <c r="O78" s="199"/>
      <c r="P78" s="428"/>
      <c r="Q78" s="428"/>
      <c r="R78" s="199"/>
    </row>
    <row r="79" spans="1:18" ht="15.75" customHeight="1">
      <c r="A79" s="686"/>
      <c r="B79" s="689"/>
      <c r="C79" s="204" t="s">
        <v>210</v>
      </c>
      <c r="D79" s="677"/>
      <c r="E79" s="681"/>
      <c r="F79" s="678"/>
      <c r="G79" s="200"/>
      <c r="H79" s="202"/>
      <c r="I79" s="203"/>
      <c r="J79" s="200"/>
      <c r="K79" s="677"/>
      <c r="L79" s="678"/>
      <c r="M79" s="99"/>
      <c r="O79" s="199"/>
      <c r="P79" s="428"/>
      <c r="Q79" s="428"/>
      <c r="R79" s="199"/>
    </row>
    <row r="80" spans="1:18" ht="15.75" customHeight="1">
      <c r="A80" s="687"/>
      <c r="B80" s="690"/>
      <c r="C80" s="204" t="s">
        <v>211</v>
      </c>
      <c r="D80" s="677"/>
      <c r="E80" s="681"/>
      <c r="F80" s="678"/>
      <c r="G80" s="200"/>
      <c r="H80" s="202"/>
      <c r="I80" s="203"/>
      <c r="J80" s="200"/>
      <c r="K80" s="677"/>
      <c r="L80" s="678"/>
      <c r="M80" s="99"/>
      <c r="O80" s="199"/>
      <c r="P80" s="428"/>
      <c r="Q80" s="428"/>
      <c r="R80" s="199"/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80"/>
  <sheetViews>
    <sheetView view="pageBreakPreview" topLeftCell="A38" zoomScale="115" zoomScaleNormal="60" zoomScaleSheetLayoutView="115" workbookViewId="0">
      <selection activeCell="J61" sqref="J6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09" t="s">
        <v>384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73" t="s">
        <v>642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</row>
    <row r="4" spans="1:18" s="190" customFormat="1" ht="15.75" customHeight="1">
      <c r="A4" s="673"/>
      <c r="B4" s="673"/>
      <c r="C4" s="673"/>
      <c r="D4" s="673"/>
      <c r="E4" s="673"/>
      <c r="F4" s="673"/>
      <c r="G4" s="673"/>
      <c r="H4" s="673"/>
      <c r="I4" s="673"/>
      <c r="J4" s="673"/>
      <c r="K4" s="673"/>
      <c r="L4" s="673"/>
    </row>
    <row r="5" spans="1:18" s="106" customFormat="1" ht="16.350000000000001" customHeight="1">
      <c r="A5" s="685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8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385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1" t="s">
        <v>188</v>
      </c>
      <c r="B7" s="692"/>
      <c r="C7" s="160" t="s">
        <v>47</v>
      </c>
      <c r="D7" s="691" t="s">
        <v>12</v>
      </c>
      <c r="E7" s="693"/>
      <c r="F7" s="692"/>
      <c r="G7" s="160" t="s">
        <v>46</v>
      </c>
      <c r="H7" s="160" t="s">
        <v>386</v>
      </c>
      <c r="I7" s="160" t="s">
        <v>387</v>
      </c>
      <c r="J7" s="160" t="s">
        <v>332</v>
      </c>
      <c r="K7" s="691" t="s">
        <v>51</v>
      </c>
      <c r="L7" s="692"/>
      <c r="M7" s="127"/>
      <c r="N7" s="189"/>
      <c r="O7" s="199"/>
      <c r="P7" s="428"/>
      <c r="Q7" s="428"/>
      <c r="R7" s="199"/>
    </row>
    <row r="8" spans="1:18" ht="15.75" customHeight="1">
      <c r="A8" s="685">
        <f>J5</f>
        <v>9</v>
      </c>
      <c r="B8" s="688" t="str">
        <f>J6</f>
        <v>微波小吃</v>
      </c>
      <c r="C8" s="200">
        <v>1</v>
      </c>
      <c r="D8" s="677" t="s">
        <v>362</v>
      </c>
      <c r="E8" s="681"/>
      <c r="F8" s="678"/>
      <c r="G8" s="200">
        <v>13</v>
      </c>
      <c r="H8" s="202">
        <v>1079.6277720595806</v>
      </c>
      <c r="I8" s="203">
        <v>83.048290158429268</v>
      </c>
      <c r="J8" s="376">
        <v>1.7124993128021515E-3</v>
      </c>
      <c r="K8" s="694" t="s">
        <v>459</v>
      </c>
      <c r="L8" s="695"/>
      <c r="O8" s="199"/>
      <c r="P8" s="428"/>
      <c r="Q8" s="428"/>
      <c r="R8" s="199"/>
    </row>
    <row r="9" spans="1:18" ht="15.75" customHeight="1">
      <c r="A9" s="686"/>
      <c r="B9" s="689"/>
      <c r="C9" s="200">
        <v>2</v>
      </c>
      <c r="D9" s="677"/>
      <c r="E9" s="681"/>
      <c r="F9" s="678"/>
      <c r="G9" s="200"/>
      <c r="H9" s="202"/>
      <c r="I9" s="203"/>
      <c r="J9" s="200"/>
      <c r="K9" s="677"/>
      <c r="L9" s="678"/>
      <c r="O9" s="199"/>
      <c r="P9" s="428"/>
      <c r="Q9" s="428"/>
      <c r="R9" s="199"/>
    </row>
    <row r="10" spans="1:18" ht="15.75" customHeight="1">
      <c r="A10" s="686"/>
      <c r="B10" s="689"/>
      <c r="C10" s="200">
        <v>3</v>
      </c>
      <c r="D10" s="677"/>
      <c r="E10" s="681"/>
      <c r="F10" s="678"/>
      <c r="G10" s="200"/>
      <c r="H10" s="202"/>
      <c r="I10" s="203"/>
      <c r="J10" s="200"/>
      <c r="K10" s="677"/>
      <c r="L10" s="678"/>
      <c r="O10" s="199"/>
      <c r="P10" s="428"/>
      <c r="Q10" s="428"/>
      <c r="R10" s="199"/>
    </row>
    <row r="11" spans="1:18" ht="15.75" customHeight="1">
      <c r="A11" s="686"/>
      <c r="B11" s="689"/>
      <c r="C11" s="200">
        <v>4</v>
      </c>
      <c r="D11" s="677"/>
      <c r="E11" s="681"/>
      <c r="F11" s="678"/>
      <c r="G11" s="202"/>
      <c r="H11" s="202"/>
      <c r="I11" s="203"/>
      <c r="J11" s="200"/>
      <c r="K11" s="677"/>
      <c r="L11" s="678"/>
      <c r="O11" s="199"/>
      <c r="P11" s="428"/>
      <c r="Q11" s="428"/>
      <c r="R11" s="199"/>
    </row>
    <row r="12" spans="1:18" ht="15.75" customHeight="1">
      <c r="A12" s="686"/>
      <c r="B12" s="689"/>
      <c r="C12" s="200">
        <v>5</v>
      </c>
      <c r="D12" s="677"/>
      <c r="E12" s="681"/>
      <c r="F12" s="678"/>
      <c r="G12" s="200"/>
      <c r="H12" s="202"/>
      <c r="I12" s="203"/>
      <c r="J12" s="200"/>
      <c r="K12" s="677"/>
      <c r="L12" s="678"/>
      <c r="O12" s="199"/>
      <c r="P12" s="428"/>
      <c r="Q12" s="428"/>
      <c r="R12" s="199"/>
    </row>
    <row r="13" spans="1:18" ht="15.75" customHeight="1">
      <c r="A13" s="686"/>
      <c r="B13" s="689"/>
      <c r="C13" s="204" t="s">
        <v>204</v>
      </c>
      <c r="D13" s="677"/>
      <c r="E13" s="681"/>
      <c r="F13" s="678"/>
      <c r="G13" s="200"/>
      <c r="H13" s="202"/>
      <c r="I13" s="203"/>
      <c r="J13" s="200"/>
      <c r="K13" s="677"/>
      <c r="L13" s="678"/>
      <c r="O13" s="199"/>
      <c r="P13" s="428"/>
      <c r="Q13" s="428"/>
      <c r="R13" s="199"/>
    </row>
    <row r="14" spans="1:18" ht="15.75" customHeight="1">
      <c r="A14" s="686"/>
      <c r="B14" s="689"/>
      <c r="C14" s="204" t="s">
        <v>209</v>
      </c>
      <c r="D14" s="677"/>
      <c r="E14" s="681"/>
      <c r="F14" s="678"/>
      <c r="G14" s="200"/>
      <c r="H14" s="202"/>
      <c r="I14" s="203"/>
      <c r="J14" s="200"/>
      <c r="K14" s="677"/>
      <c r="L14" s="678"/>
      <c r="N14" s="178"/>
      <c r="O14" s="178"/>
      <c r="P14" s="427"/>
      <c r="Q14" s="427"/>
      <c r="R14" s="178"/>
    </row>
    <row r="15" spans="1:18" ht="15.75" customHeight="1">
      <c r="A15" s="686"/>
      <c r="B15" s="689"/>
      <c r="C15" s="204" t="s">
        <v>205</v>
      </c>
      <c r="D15" s="677"/>
      <c r="E15" s="681"/>
      <c r="F15" s="678"/>
      <c r="G15" s="200"/>
      <c r="H15" s="202"/>
      <c r="I15" s="203"/>
      <c r="J15" s="200"/>
      <c r="K15" s="677"/>
      <c r="L15" s="678"/>
      <c r="O15" s="199"/>
      <c r="P15" s="428"/>
      <c r="Q15" s="428"/>
      <c r="R15" s="199"/>
    </row>
    <row r="16" spans="1:18" ht="15.75" customHeight="1">
      <c r="A16" s="686"/>
      <c r="B16" s="689"/>
      <c r="C16" s="204" t="s">
        <v>210</v>
      </c>
      <c r="D16" s="677"/>
      <c r="E16" s="681"/>
      <c r="F16" s="678"/>
      <c r="G16" s="200"/>
      <c r="H16" s="202"/>
      <c r="I16" s="203"/>
      <c r="J16" s="200"/>
      <c r="K16" s="677"/>
      <c r="L16" s="678"/>
      <c r="M16" s="99"/>
      <c r="O16" s="199"/>
      <c r="P16" s="428"/>
      <c r="Q16" s="428"/>
      <c r="R16" s="199"/>
    </row>
    <row r="17" spans="1:18" ht="15.75" customHeight="1">
      <c r="A17" s="687"/>
      <c r="B17" s="690"/>
      <c r="C17" s="204" t="s">
        <v>211</v>
      </c>
      <c r="D17" s="677"/>
      <c r="E17" s="681"/>
      <c r="F17" s="678"/>
      <c r="G17" s="200"/>
      <c r="H17" s="202"/>
      <c r="I17" s="203"/>
      <c r="J17" s="200"/>
      <c r="K17" s="677"/>
      <c r="L17" s="678"/>
      <c r="M17" s="99"/>
      <c r="O17" s="199"/>
      <c r="P17" s="428"/>
      <c r="Q17" s="428"/>
      <c r="R17" s="199"/>
    </row>
    <row r="18" spans="1:18" s="104" customFormat="1" ht="15.75" customHeight="1">
      <c r="A18" s="682" t="s">
        <v>188</v>
      </c>
      <c r="B18" s="683"/>
      <c r="C18" s="207" t="s">
        <v>47</v>
      </c>
      <c r="D18" s="682" t="s">
        <v>12</v>
      </c>
      <c r="E18" s="684"/>
      <c r="F18" s="683"/>
      <c r="G18" s="207" t="s">
        <v>46</v>
      </c>
      <c r="H18" s="207" t="s">
        <v>386</v>
      </c>
      <c r="I18" s="207" t="s">
        <v>387</v>
      </c>
      <c r="J18" s="160" t="s">
        <v>332</v>
      </c>
      <c r="K18" s="682" t="s">
        <v>51</v>
      </c>
      <c r="L18" s="683"/>
      <c r="M18" s="128"/>
      <c r="N18" s="189"/>
      <c r="O18" s="199"/>
      <c r="P18" s="428"/>
      <c r="Q18" s="428"/>
      <c r="R18" s="199"/>
    </row>
    <row r="19" spans="1:18" ht="15.75" customHeight="1">
      <c r="A19" s="685"/>
      <c r="B19" s="688"/>
      <c r="C19" s="200">
        <v>1</v>
      </c>
      <c r="D19" s="677"/>
      <c r="E19" s="681"/>
      <c r="F19" s="678"/>
      <c r="G19" s="200"/>
      <c r="H19" s="202"/>
      <c r="I19" s="203"/>
      <c r="J19" s="200"/>
      <c r="K19" s="677"/>
      <c r="L19" s="678"/>
      <c r="M19" s="99"/>
      <c r="N19" s="199"/>
      <c r="O19" s="199"/>
      <c r="P19" s="428"/>
      <c r="Q19" s="428"/>
      <c r="R19" s="199"/>
    </row>
    <row r="20" spans="1:18" ht="15.75" customHeight="1">
      <c r="A20" s="686"/>
      <c r="B20" s="689"/>
      <c r="C20" s="200">
        <v>2</v>
      </c>
      <c r="D20" s="677"/>
      <c r="E20" s="681"/>
      <c r="F20" s="678"/>
      <c r="G20" s="200"/>
      <c r="H20" s="202"/>
      <c r="I20" s="203"/>
      <c r="J20" s="200"/>
      <c r="K20" s="677"/>
      <c r="L20" s="678"/>
      <c r="M20" s="99"/>
      <c r="O20" s="199"/>
      <c r="P20" s="428"/>
      <c r="Q20" s="428"/>
      <c r="R20" s="199"/>
    </row>
    <row r="21" spans="1:18" ht="15.75" customHeight="1">
      <c r="A21" s="686"/>
      <c r="B21" s="689"/>
      <c r="C21" s="200">
        <v>3</v>
      </c>
      <c r="D21" s="677"/>
      <c r="E21" s="681"/>
      <c r="F21" s="678"/>
      <c r="G21" s="200"/>
      <c r="H21" s="202"/>
      <c r="I21" s="203"/>
      <c r="J21" s="200"/>
      <c r="K21" s="677"/>
      <c r="L21" s="678"/>
      <c r="M21" s="99"/>
      <c r="O21" s="199"/>
      <c r="P21" s="428"/>
      <c r="Q21" s="428"/>
      <c r="R21" s="199"/>
    </row>
    <row r="22" spans="1:18" ht="15.75" customHeight="1">
      <c r="A22" s="686"/>
      <c r="B22" s="689"/>
      <c r="C22" s="200">
        <v>4</v>
      </c>
      <c r="D22" s="677"/>
      <c r="E22" s="681"/>
      <c r="F22" s="678"/>
      <c r="G22" s="200"/>
      <c r="H22" s="202"/>
      <c r="I22" s="203"/>
      <c r="J22" s="200"/>
      <c r="K22" s="677"/>
      <c r="L22" s="678"/>
      <c r="M22" s="99"/>
      <c r="O22" s="199"/>
      <c r="P22" s="428"/>
      <c r="Q22" s="428"/>
      <c r="R22" s="199"/>
    </row>
    <row r="23" spans="1:18" ht="15.75" customHeight="1">
      <c r="A23" s="686"/>
      <c r="B23" s="689"/>
      <c r="C23" s="200">
        <v>5</v>
      </c>
      <c r="D23" s="677"/>
      <c r="E23" s="681"/>
      <c r="F23" s="678"/>
      <c r="G23" s="200"/>
      <c r="H23" s="202"/>
      <c r="I23" s="203"/>
      <c r="J23" s="200"/>
      <c r="K23" s="677"/>
      <c r="L23" s="678"/>
      <c r="M23" s="99"/>
      <c r="O23" s="199"/>
      <c r="P23" s="428"/>
      <c r="Q23" s="428"/>
      <c r="R23" s="199"/>
    </row>
    <row r="24" spans="1:18" ht="15.75" customHeight="1">
      <c r="A24" s="686"/>
      <c r="B24" s="689"/>
      <c r="C24" s="204" t="s">
        <v>204</v>
      </c>
      <c r="D24" s="677"/>
      <c r="E24" s="681"/>
      <c r="F24" s="678"/>
      <c r="G24" s="200"/>
      <c r="H24" s="202"/>
      <c r="I24" s="203"/>
      <c r="J24" s="200"/>
      <c r="K24" s="677"/>
      <c r="L24" s="678"/>
      <c r="M24" s="99"/>
      <c r="O24" s="199"/>
      <c r="P24" s="428"/>
      <c r="Q24" s="428"/>
      <c r="R24" s="199"/>
    </row>
    <row r="25" spans="1:18" ht="15.75" customHeight="1">
      <c r="A25" s="686"/>
      <c r="B25" s="689"/>
      <c r="C25" s="204" t="s">
        <v>209</v>
      </c>
      <c r="D25" s="677"/>
      <c r="E25" s="681"/>
      <c r="F25" s="678"/>
      <c r="G25" s="200"/>
      <c r="H25" s="202"/>
      <c r="I25" s="203"/>
      <c r="J25" s="200"/>
      <c r="K25" s="677"/>
      <c r="L25" s="678"/>
      <c r="M25" s="99"/>
      <c r="O25" s="199"/>
      <c r="P25" s="428"/>
      <c r="Q25" s="428"/>
      <c r="R25" s="199"/>
    </row>
    <row r="26" spans="1:18" ht="15.75" customHeight="1">
      <c r="A26" s="686"/>
      <c r="B26" s="689"/>
      <c r="C26" s="204" t="s">
        <v>205</v>
      </c>
      <c r="D26" s="677"/>
      <c r="E26" s="681"/>
      <c r="F26" s="678"/>
      <c r="G26" s="200"/>
      <c r="H26" s="202"/>
      <c r="I26" s="203"/>
      <c r="J26" s="200"/>
      <c r="K26" s="677"/>
      <c r="L26" s="678"/>
      <c r="M26" s="99"/>
      <c r="O26" s="199"/>
      <c r="P26" s="428"/>
      <c r="Q26" s="428"/>
      <c r="R26" s="199"/>
    </row>
    <row r="27" spans="1:18" ht="15.75" customHeight="1">
      <c r="A27" s="686"/>
      <c r="B27" s="689"/>
      <c r="C27" s="204" t="s">
        <v>210</v>
      </c>
      <c r="D27" s="677"/>
      <c r="E27" s="681"/>
      <c r="F27" s="678"/>
      <c r="G27" s="200"/>
      <c r="H27" s="202"/>
      <c r="I27" s="203"/>
      <c r="J27" s="200"/>
      <c r="K27" s="677"/>
      <c r="L27" s="678"/>
      <c r="M27" s="99"/>
      <c r="O27" s="199"/>
      <c r="P27" s="428"/>
      <c r="Q27" s="428"/>
      <c r="R27" s="199"/>
    </row>
    <row r="28" spans="1:18" ht="15.75" customHeight="1">
      <c r="A28" s="687"/>
      <c r="B28" s="690"/>
      <c r="C28" s="204" t="s">
        <v>211</v>
      </c>
      <c r="D28" s="677"/>
      <c r="E28" s="681"/>
      <c r="F28" s="678"/>
      <c r="G28" s="200"/>
      <c r="H28" s="202"/>
      <c r="I28" s="203"/>
      <c r="J28" s="200"/>
      <c r="K28" s="677"/>
      <c r="L28" s="678"/>
      <c r="M28" s="99"/>
      <c r="O28" s="199"/>
      <c r="P28" s="428"/>
      <c r="Q28" s="428"/>
      <c r="R28" s="199"/>
    </row>
    <row r="29" spans="1:18" ht="15.75" customHeight="1">
      <c r="A29" s="673" t="s">
        <v>682</v>
      </c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99"/>
    </row>
    <row r="30" spans="1:18" s="100" customFormat="1" ht="15.75" customHeight="1">
      <c r="A30" s="673"/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N30" s="190"/>
      <c r="O30" s="190"/>
      <c r="P30" s="190"/>
      <c r="Q30" s="190"/>
      <c r="R30" s="190"/>
    </row>
    <row r="31" spans="1:18" s="106" customFormat="1" ht="16.350000000000001" customHeight="1">
      <c r="A31" s="685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8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385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1" t="s">
        <v>188</v>
      </c>
      <c r="B33" s="692"/>
      <c r="C33" s="160" t="s">
        <v>47</v>
      </c>
      <c r="D33" s="691" t="s">
        <v>12</v>
      </c>
      <c r="E33" s="693"/>
      <c r="F33" s="692"/>
      <c r="G33" s="160" t="s">
        <v>46</v>
      </c>
      <c r="H33" s="160" t="s">
        <v>386</v>
      </c>
      <c r="I33" s="160" t="s">
        <v>387</v>
      </c>
      <c r="J33" s="160" t="s">
        <v>332</v>
      </c>
      <c r="K33" s="691" t="s">
        <v>51</v>
      </c>
      <c r="L33" s="692"/>
      <c r="M33" s="127"/>
      <c r="N33" s="189"/>
      <c r="O33" s="199"/>
      <c r="P33" s="428"/>
      <c r="Q33" s="428"/>
      <c r="R33" s="199"/>
    </row>
    <row r="34" spans="1:18" ht="15.75" customHeight="1">
      <c r="A34" s="685">
        <f>J31</f>
        <v>9</v>
      </c>
      <c r="B34" s="688" t="str">
        <f>J32</f>
        <v>微波小吃</v>
      </c>
      <c r="C34" s="200">
        <v>1</v>
      </c>
      <c r="D34" s="677" t="s">
        <v>362</v>
      </c>
      <c r="E34" s="681"/>
      <c r="F34" s="678"/>
      <c r="G34" s="200">
        <v>13</v>
      </c>
      <c r="H34" s="202">
        <v>1079.5009384804985</v>
      </c>
      <c r="I34" s="203">
        <v>83.038533729269133</v>
      </c>
      <c r="J34" s="376">
        <f>I34-I8</f>
        <v>-9.7564291601344166E-3</v>
      </c>
      <c r="K34" s="694" t="s">
        <v>459</v>
      </c>
      <c r="L34" s="695"/>
      <c r="O34" s="199"/>
      <c r="P34" s="428"/>
      <c r="Q34" s="428"/>
      <c r="R34" s="199"/>
    </row>
    <row r="35" spans="1:18" ht="15.75" customHeight="1">
      <c r="A35" s="686"/>
      <c r="B35" s="689"/>
      <c r="C35" s="200">
        <v>2</v>
      </c>
      <c r="D35" s="677"/>
      <c r="E35" s="681"/>
      <c r="F35" s="678"/>
      <c r="G35" s="200"/>
      <c r="H35" s="202"/>
      <c r="I35" s="203"/>
      <c r="J35" s="200"/>
      <c r="K35" s="677"/>
      <c r="L35" s="678"/>
      <c r="O35" s="199"/>
      <c r="P35" s="428"/>
      <c r="Q35" s="428"/>
      <c r="R35" s="199"/>
    </row>
    <row r="36" spans="1:18" ht="15.75" customHeight="1">
      <c r="A36" s="686"/>
      <c r="B36" s="689"/>
      <c r="C36" s="200">
        <v>3</v>
      </c>
      <c r="D36" s="677"/>
      <c r="E36" s="681"/>
      <c r="F36" s="678"/>
      <c r="G36" s="200"/>
      <c r="H36" s="202"/>
      <c r="I36" s="203"/>
      <c r="J36" s="200"/>
      <c r="K36" s="677"/>
      <c r="L36" s="678"/>
      <c r="O36" s="199"/>
      <c r="P36" s="428"/>
      <c r="Q36" s="428"/>
      <c r="R36" s="199"/>
    </row>
    <row r="37" spans="1:18" ht="15.75" customHeight="1">
      <c r="A37" s="686"/>
      <c r="B37" s="689"/>
      <c r="C37" s="200">
        <v>4</v>
      </c>
      <c r="D37" s="677"/>
      <c r="E37" s="681"/>
      <c r="F37" s="678"/>
      <c r="G37" s="202"/>
      <c r="H37" s="202"/>
      <c r="I37" s="203"/>
      <c r="J37" s="200"/>
      <c r="K37" s="677"/>
      <c r="L37" s="678"/>
      <c r="O37" s="199"/>
      <c r="P37" s="428"/>
      <c r="Q37" s="428"/>
      <c r="R37" s="199"/>
    </row>
    <row r="38" spans="1:18" ht="15.75" customHeight="1">
      <c r="A38" s="686"/>
      <c r="B38" s="689"/>
      <c r="C38" s="200">
        <v>5</v>
      </c>
      <c r="D38" s="677"/>
      <c r="E38" s="681"/>
      <c r="F38" s="678"/>
      <c r="G38" s="200"/>
      <c r="H38" s="202"/>
      <c r="I38" s="203"/>
      <c r="J38" s="200"/>
      <c r="K38" s="677"/>
      <c r="L38" s="678"/>
      <c r="O38" s="199"/>
      <c r="P38" s="428"/>
      <c r="Q38" s="428"/>
      <c r="R38" s="199"/>
    </row>
    <row r="39" spans="1:18" ht="15.75" customHeight="1">
      <c r="A39" s="686"/>
      <c r="B39" s="689"/>
      <c r="C39" s="204" t="s">
        <v>204</v>
      </c>
      <c r="D39" s="677"/>
      <c r="E39" s="681"/>
      <c r="F39" s="678"/>
      <c r="G39" s="200"/>
      <c r="H39" s="202"/>
      <c r="I39" s="203"/>
      <c r="J39" s="200"/>
      <c r="K39" s="677"/>
      <c r="L39" s="678"/>
      <c r="O39" s="199"/>
      <c r="P39" s="428"/>
      <c r="Q39" s="428"/>
      <c r="R39" s="199"/>
    </row>
    <row r="40" spans="1:18" ht="15.75" customHeight="1">
      <c r="A40" s="686"/>
      <c r="B40" s="689"/>
      <c r="C40" s="204" t="s">
        <v>209</v>
      </c>
      <c r="D40" s="677"/>
      <c r="E40" s="681"/>
      <c r="F40" s="678"/>
      <c r="G40" s="200"/>
      <c r="H40" s="202"/>
      <c r="I40" s="203"/>
      <c r="J40" s="200"/>
      <c r="K40" s="677"/>
      <c r="L40" s="678"/>
      <c r="N40" s="178"/>
      <c r="O40" s="178"/>
      <c r="P40" s="427"/>
      <c r="Q40" s="427"/>
      <c r="R40" s="178"/>
    </row>
    <row r="41" spans="1:18" ht="15.75" customHeight="1">
      <c r="A41" s="686"/>
      <c r="B41" s="689"/>
      <c r="C41" s="204" t="s">
        <v>205</v>
      </c>
      <c r="D41" s="677"/>
      <c r="E41" s="681"/>
      <c r="F41" s="678"/>
      <c r="G41" s="200"/>
      <c r="H41" s="202"/>
      <c r="I41" s="203"/>
      <c r="J41" s="200"/>
      <c r="K41" s="677"/>
      <c r="L41" s="678"/>
      <c r="O41" s="199"/>
      <c r="P41" s="428"/>
      <c r="Q41" s="428"/>
      <c r="R41" s="199"/>
    </row>
    <row r="42" spans="1:18" ht="15.75" customHeight="1">
      <c r="A42" s="686"/>
      <c r="B42" s="689"/>
      <c r="C42" s="204" t="s">
        <v>210</v>
      </c>
      <c r="D42" s="677"/>
      <c r="E42" s="681"/>
      <c r="F42" s="678"/>
      <c r="G42" s="200"/>
      <c r="H42" s="202"/>
      <c r="I42" s="203"/>
      <c r="J42" s="200"/>
      <c r="K42" s="677"/>
      <c r="L42" s="678"/>
      <c r="M42" s="99"/>
      <c r="O42" s="199"/>
      <c r="P42" s="428"/>
      <c r="Q42" s="428"/>
      <c r="R42" s="199"/>
    </row>
    <row r="43" spans="1:18" ht="15.75" customHeight="1">
      <c r="A43" s="687"/>
      <c r="B43" s="690"/>
      <c r="C43" s="204" t="s">
        <v>211</v>
      </c>
      <c r="D43" s="677"/>
      <c r="E43" s="681"/>
      <c r="F43" s="678"/>
      <c r="G43" s="200"/>
      <c r="H43" s="202"/>
      <c r="I43" s="203"/>
      <c r="J43" s="200"/>
      <c r="K43" s="677"/>
      <c r="L43" s="678"/>
      <c r="M43" s="99"/>
      <c r="O43" s="199"/>
      <c r="P43" s="428"/>
      <c r="Q43" s="428"/>
      <c r="R43" s="199"/>
    </row>
    <row r="44" spans="1:18" s="104" customFormat="1" ht="15.75" customHeight="1">
      <c r="A44" s="682" t="s">
        <v>188</v>
      </c>
      <c r="B44" s="683"/>
      <c r="C44" s="207" t="s">
        <v>47</v>
      </c>
      <c r="D44" s="682" t="s">
        <v>12</v>
      </c>
      <c r="E44" s="684"/>
      <c r="F44" s="683"/>
      <c r="G44" s="207" t="s">
        <v>46</v>
      </c>
      <c r="H44" s="207" t="s">
        <v>386</v>
      </c>
      <c r="I44" s="207" t="s">
        <v>387</v>
      </c>
      <c r="J44" s="160" t="s">
        <v>332</v>
      </c>
      <c r="K44" s="682" t="s">
        <v>51</v>
      </c>
      <c r="L44" s="683"/>
      <c r="M44" s="128"/>
      <c r="N44" s="189"/>
      <c r="O44" s="199"/>
      <c r="P44" s="428"/>
      <c r="Q44" s="428"/>
      <c r="R44" s="199"/>
    </row>
    <row r="45" spans="1:18" ht="15.75" customHeight="1">
      <c r="A45" s="685"/>
      <c r="B45" s="688"/>
      <c r="C45" s="200">
        <v>1</v>
      </c>
      <c r="D45" s="677"/>
      <c r="E45" s="681"/>
      <c r="F45" s="678"/>
      <c r="G45" s="200"/>
      <c r="H45" s="202"/>
      <c r="I45" s="203"/>
      <c r="J45" s="200"/>
      <c r="K45" s="677"/>
      <c r="L45" s="678"/>
      <c r="M45" s="99"/>
      <c r="N45" s="199"/>
      <c r="O45" s="199"/>
      <c r="P45" s="428"/>
      <c r="Q45" s="428"/>
      <c r="R45" s="199"/>
    </row>
    <row r="46" spans="1:18" ht="15.75" customHeight="1">
      <c r="A46" s="686"/>
      <c r="B46" s="689"/>
      <c r="C46" s="200">
        <v>2</v>
      </c>
      <c r="D46" s="677"/>
      <c r="E46" s="681"/>
      <c r="F46" s="678"/>
      <c r="G46" s="200"/>
      <c r="H46" s="202"/>
      <c r="I46" s="203"/>
      <c r="J46" s="200"/>
      <c r="K46" s="677"/>
      <c r="L46" s="678"/>
      <c r="M46" s="99"/>
      <c r="O46" s="199"/>
      <c r="P46" s="428"/>
      <c r="Q46" s="428"/>
      <c r="R46" s="199"/>
    </row>
    <row r="47" spans="1:18" ht="15.75" customHeight="1">
      <c r="A47" s="686"/>
      <c r="B47" s="689"/>
      <c r="C47" s="200">
        <v>3</v>
      </c>
      <c r="D47" s="677"/>
      <c r="E47" s="681"/>
      <c r="F47" s="678"/>
      <c r="G47" s="200"/>
      <c r="H47" s="202"/>
      <c r="I47" s="203"/>
      <c r="J47" s="200"/>
      <c r="K47" s="677"/>
      <c r="L47" s="678"/>
      <c r="M47" s="99"/>
      <c r="O47" s="199"/>
      <c r="P47" s="428"/>
      <c r="Q47" s="428"/>
      <c r="R47" s="199"/>
    </row>
    <row r="48" spans="1:18" ht="15.75" customHeight="1">
      <c r="A48" s="686"/>
      <c r="B48" s="689"/>
      <c r="C48" s="200">
        <v>4</v>
      </c>
      <c r="D48" s="677"/>
      <c r="E48" s="681"/>
      <c r="F48" s="678"/>
      <c r="G48" s="200"/>
      <c r="H48" s="202"/>
      <c r="I48" s="203"/>
      <c r="J48" s="200"/>
      <c r="K48" s="677"/>
      <c r="L48" s="678"/>
      <c r="M48" s="99"/>
      <c r="O48" s="199"/>
      <c r="P48" s="428"/>
      <c r="Q48" s="428"/>
      <c r="R48" s="199"/>
    </row>
    <row r="49" spans="1:18" ht="15.75" customHeight="1">
      <c r="A49" s="686"/>
      <c r="B49" s="689"/>
      <c r="C49" s="200">
        <v>5</v>
      </c>
      <c r="D49" s="677"/>
      <c r="E49" s="681"/>
      <c r="F49" s="678"/>
      <c r="G49" s="200"/>
      <c r="H49" s="202"/>
      <c r="I49" s="203"/>
      <c r="J49" s="200"/>
      <c r="K49" s="677"/>
      <c r="L49" s="678"/>
      <c r="M49" s="99"/>
      <c r="O49" s="199"/>
      <c r="P49" s="428"/>
      <c r="Q49" s="428"/>
      <c r="R49" s="199"/>
    </row>
    <row r="50" spans="1:18" ht="15.75" customHeight="1">
      <c r="A50" s="686"/>
      <c r="B50" s="689"/>
      <c r="C50" s="204" t="s">
        <v>204</v>
      </c>
      <c r="D50" s="677"/>
      <c r="E50" s="681"/>
      <c r="F50" s="678"/>
      <c r="G50" s="200"/>
      <c r="H50" s="202"/>
      <c r="I50" s="203"/>
      <c r="J50" s="200"/>
      <c r="K50" s="677"/>
      <c r="L50" s="678"/>
      <c r="M50" s="99"/>
      <c r="O50" s="199"/>
      <c r="P50" s="428"/>
      <c r="Q50" s="428"/>
      <c r="R50" s="199"/>
    </row>
    <row r="51" spans="1:18" ht="15.75" customHeight="1">
      <c r="A51" s="686"/>
      <c r="B51" s="689"/>
      <c r="C51" s="204" t="s">
        <v>209</v>
      </c>
      <c r="D51" s="677"/>
      <c r="E51" s="681"/>
      <c r="F51" s="678"/>
      <c r="G51" s="200"/>
      <c r="H51" s="202"/>
      <c r="I51" s="203"/>
      <c r="J51" s="200"/>
      <c r="K51" s="677"/>
      <c r="L51" s="678"/>
      <c r="M51" s="99"/>
      <c r="O51" s="199"/>
      <c r="P51" s="428"/>
      <c r="Q51" s="428"/>
      <c r="R51" s="199"/>
    </row>
    <row r="52" spans="1:18" ht="15.75" customHeight="1">
      <c r="A52" s="686"/>
      <c r="B52" s="689"/>
      <c r="C52" s="204" t="s">
        <v>205</v>
      </c>
      <c r="D52" s="677"/>
      <c r="E52" s="681"/>
      <c r="F52" s="678"/>
      <c r="G52" s="200"/>
      <c r="H52" s="202"/>
      <c r="I52" s="203"/>
      <c r="J52" s="200"/>
      <c r="K52" s="677"/>
      <c r="L52" s="678"/>
      <c r="M52" s="99"/>
      <c r="O52" s="199"/>
      <c r="P52" s="428"/>
      <c r="Q52" s="428"/>
      <c r="R52" s="199"/>
    </row>
    <row r="53" spans="1:18" ht="15.75" customHeight="1">
      <c r="A53" s="686"/>
      <c r="B53" s="689"/>
      <c r="C53" s="204" t="s">
        <v>210</v>
      </c>
      <c r="D53" s="677"/>
      <c r="E53" s="681"/>
      <c r="F53" s="678"/>
      <c r="G53" s="200"/>
      <c r="H53" s="202"/>
      <c r="I53" s="203"/>
      <c r="J53" s="200"/>
      <c r="K53" s="677"/>
      <c r="L53" s="678"/>
      <c r="M53" s="99"/>
      <c r="O53" s="199"/>
      <c r="P53" s="428"/>
      <c r="Q53" s="428"/>
      <c r="R53" s="199"/>
    </row>
    <row r="54" spans="1:18" ht="15.75" customHeight="1">
      <c r="A54" s="687"/>
      <c r="B54" s="690"/>
      <c r="C54" s="204" t="s">
        <v>211</v>
      </c>
      <c r="D54" s="677"/>
      <c r="E54" s="681"/>
      <c r="F54" s="678"/>
      <c r="G54" s="200"/>
      <c r="H54" s="202"/>
      <c r="I54" s="203"/>
      <c r="J54" s="200"/>
      <c r="K54" s="677"/>
      <c r="L54" s="678"/>
      <c r="M54" s="99"/>
      <c r="O54" s="199"/>
      <c r="P54" s="428"/>
      <c r="Q54" s="428"/>
      <c r="R54" s="199"/>
    </row>
    <row r="55" spans="1:18" s="189" customFormat="1" ht="15.75" customHeight="1">
      <c r="A55" s="673" t="s">
        <v>745</v>
      </c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</row>
    <row r="56" spans="1:18" s="190" customFormat="1" ht="15.75" customHeight="1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</row>
    <row r="57" spans="1:18" s="106" customFormat="1" ht="16.350000000000001" customHeight="1">
      <c r="A57" s="685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87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385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1" t="s">
        <v>188</v>
      </c>
      <c r="B59" s="692"/>
      <c r="C59" s="160" t="s">
        <v>47</v>
      </c>
      <c r="D59" s="691" t="s">
        <v>12</v>
      </c>
      <c r="E59" s="693"/>
      <c r="F59" s="692"/>
      <c r="G59" s="160" t="s">
        <v>46</v>
      </c>
      <c r="H59" s="160" t="s">
        <v>386</v>
      </c>
      <c r="I59" s="160" t="s">
        <v>387</v>
      </c>
      <c r="J59" s="160" t="s">
        <v>332</v>
      </c>
      <c r="K59" s="691" t="s">
        <v>51</v>
      </c>
      <c r="L59" s="692"/>
      <c r="M59" s="127"/>
      <c r="N59" s="189"/>
      <c r="O59" s="199"/>
      <c r="P59" s="428"/>
      <c r="Q59" s="428"/>
      <c r="R59" s="199"/>
    </row>
    <row r="60" spans="1:18" ht="15.75" customHeight="1">
      <c r="A60" s="685">
        <f>J57</f>
        <v>9</v>
      </c>
      <c r="B60" s="688" t="str">
        <f>J58</f>
        <v>微波小吃</v>
      </c>
      <c r="C60" s="200">
        <v>1</v>
      </c>
      <c r="D60" s="677" t="s">
        <v>362</v>
      </c>
      <c r="E60" s="681"/>
      <c r="F60" s="678"/>
      <c r="G60" s="200">
        <v>13</v>
      </c>
      <c r="H60" s="202">
        <v>1079.8476241000383</v>
      </c>
      <c r="I60" s="203">
        <v>83.065201853849089</v>
      </c>
      <c r="J60" s="376">
        <f>I60-I34</f>
        <v>2.6668124579956043E-2</v>
      </c>
      <c r="K60" s="677"/>
      <c r="L60" s="678"/>
      <c r="O60" s="199"/>
      <c r="P60" s="428"/>
      <c r="Q60" s="428"/>
      <c r="R60" s="199"/>
    </row>
    <row r="61" spans="1:18" ht="15.75" customHeight="1">
      <c r="A61" s="686"/>
      <c r="B61" s="689"/>
      <c r="C61" s="200">
        <v>2</v>
      </c>
      <c r="D61" s="677"/>
      <c r="E61" s="681"/>
      <c r="F61" s="678"/>
      <c r="G61" s="200"/>
      <c r="H61" s="202"/>
      <c r="I61" s="203"/>
      <c r="J61" s="200"/>
      <c r="K61" s="677"/>
      <c r="L61" s="678"/>
      <c r="O61" s="199"/>
      <c r="P61" s="428"/>
      <c r="Q61" s="428"/>
      <c r="R61" s="199"/>
    </row>
    <row r="62" spans="1:18" ht="15.75" customHeight="1">
      <c r="A62" s="686"/>
      <c r="B62" s="689"/>
      <c r="C62" s="200">
        <v>3</v>
      </c>
      <c r="D62" s="677"/>
      <c r="E62" s="681"/>
      <c r="F62" s="678"/>
      <c r="G62" s="200"/>
      <c r="H62" s="202"/>
      <c r="I62" s="203"/>
      <c r="J62" s="200"/>
      <c r="K62" s="677"/>
      <c r="L62" s="678"/>
      <c r="O62" s="199"/>
      <c r="P62" s="428"/>
      <c r="Q62" s="428"/>
      <c r="R62" s="199"/>
    </row>
    <row r="63" spans="1:18" ht="15.75" customHeight="1">
      <c r="A63" s="686"/>
      <c r="B63" s="689"/>
      <c r="C63" s="200">
        <v>4</v>
      </c>
      <c r="D63" s="677"/>
      <c r="E63" s="681"/>
      <c r="F63" s="678"/>
      <c r="G63" s="202"/>
      <c r="H63" s="202"/>
      <c r="I63" s="203"/>
      <c r="J63" s="200"/>
      <c r="K63" s="677"/>
      <c r="L63" s="678"/>
      <c r="O63" s="199"/>
      <c r="P63" s="428"/>
      <c r="Q63" s="428"/>
      <c r="R63" s="199"/>
    </row>
    <row r="64" spans="1:18" ht="15.75" customHeight="1">
      <c r="A64" s="686"/>
      <c r="B64" s="689"/>
      <c r="C64" s="200">
        <v>5</v>
      </c>
      <c r="D64" s="677"/>
      <c r="E64" s="681"/>
      <c r="F64" s="678"/>
      <c r="G64" s="200"/>
      <c r="H64" s="202"/>
      <c r="I64" s="203"/>
      <c r="J64" s="200"/>
      <c r="K64" s="677"/>
      <c r="L64" s="678"/>
      <c r="O64" s="199"/>
      <c r="P64" s="428"/>
      <c r="Q64" s="428"/>
      <c r="R64" s="199"/>
    </row>
    <row r="65" spans="1:18" ht="15.75" customHeight="1">
      <c r="A65" s="686"/>
      <c r="B65" s="689"/>
      <c r="C65" s="204" t="s">
        <v>204</v>
      </c>
      <c r="D65" s="677"/>
      <c r="E65" s="681"/>
      <c r="F65" s="678"/>
      <c r="G65" s="200"/>
      <c r="H65" s="202"/>
      <c r="I65" s="203"/>
      <c r="J65" s="200"/>
      <c r="K65" s="677"/>
      <c r="L65" s="678"/>
      <c r="O65" s="199"/>
      <c r="P65" s="428"/>
      <c r="Q65" s="428"/>
      <c r="R65" s="199"/>
    </row>
    <row r="66" spans="1:18" ht="15.75" customHeight="1">
      <c r="A66" s="686"/>
      <c r="B66" s="689"/>
      <c r="C66" s="204" t="s">
        <v>209</v>
      </c>
      <c r="D66" s="677"/>
      <c r="E66" s="681"/>
      <c r="F66" s="678"/>
      <c r="G66" s="200"/>
      <c r="H66" s="202"/>
      <c r="I66" s="203"/>
      <c r="J66" s="200"/>
      <c r="K66" s="677"/>
      <c r="L66" s="678"/>
      <c r="N66" s="178"/>
      <c r="O66" s="178"/>
      <c r="P66" s="427"/>
      <c r="Q66" s="427"/>
      <c r="R66" s="178"/>
    </row>
    <row r="67" spans="1:18" ht="15.75" customHeight="1">
      <c r="A67" s="686"/>
      <c r="B67" s="689"/>
      <c r="C67" s="204" t="s">
        <v>205</v>
      </c>
      <c r="D67" s="677"/>
      <c r="E67" s="681"/>
      <c r="F67" s="678"/>
      <c r="G67" s="200"/>
      <c r="H67" s="202"/>
      <c r="I67" s="203"/>
      <c r="J67" s="200"/>
      <c r="K67" s="677"/>
      <c r="L67" s="678"/>
      <c r="O67" s="199"/>
      <c r="P67" s="428"/>
      <c r="Q67" s="428"/>
      <c r="R67" s="199"/>
    </row>
    <row r="68" spans="1:18" ht="15.75" customHeight="1">
      <c r="A68" s="686"/>
      <c r="B68" s="689"/>
      <c r="C68" s="204" t="s">
        <v>210</v>
      </c>
      <c r="D68" s="677"/>
      <c r="E68" s="681"/>
      <c r="F68" s="678"/>
      <c r="G68" s="200"/>
      <c r="H68" s="202"/>
      <c r="I68" s="203"/>
      <c r="J68" s="200"/>
      <c r="K68" s="677"/>
      <c r="L68" s="678"/>
      <c r="M68" s="99"/>
      <c r="O68" s="199"/>
      <c r="P68" s="428"/>
      <c r="Q68" s="428"/>
      <c r="R68" s="199"/>
    </row>
    <row r="69" spans="1:18" ht="15.75" customHeight="1">
      <c r="A69" s="687"/>
      <c r="B69" s="690"/>
      <c r="C69" s="204" t="s">
        <v>211</v>
      </c>
      <c r="D69" s="677"/>
      <c r="E69" s="681"/>
      <c r="F69" s="678"/>
      <c r="G69" s="200"/>
      <c r="H69" s="202"/>
      <c r="I69" s="203"/>
      <c r="J69" s="200"/>
      <c r="K69" s="677"/>
      <c r="L69" s="678"/>
      <c r="M69" s="99"/>
      <c r="O69" s="199"/>
      <c r="P69" s="428"/>
      <c r="Q69" s="428"/>
      <c r="R69" s="199"/>
    </row>
    <row r="70" spans="1:18" s="104" customFormat="1" ht="15.75" customHeight="1">
      <c r="A70" s="682" t="s">
        <v>188</v>
      </c>
      <c r="B70" s="683"/>
      <c r="C70" s="207" t="s">
        <v>47</v>
      </c>
      <c r="D70" s="682" t="s">
        <v>12</v>
      </c>
      <c r="E70" s="684"/>
      <c r="F70" s="683"/>
      <c r="G70" s="207" t="s">
        <v>46</v>
      </c>
      <c r="H70" s="207" t="s">
        <v>386</v>
      </c>
      <c r="I70" s="207" t="s">
        <v>387</v>
      </c>
      <c r="J70" s="160" t="s">
        <v>332</v>
      </c>
      <c r="K70" s="682" t="s">
        <v>51</v>
      </c>
      <c r="L70" s="683"/>
      <c r="M70" s="128"/>
      <c r="N70" s="189"/>
      <c r="O70" s="199"/>
      <c r="P70" s="428"/>
      <c r="Q70" s="428"/>
      <c r="R70" s="199"/>
    </row>
    <row r="71" spans="1:18" ht="15.75" customHeight="1">
      <c r="A71" s="685"/>
      <c r="B71" s="688"/>
      <c r="C71" s="200">
        <v>1</v>
      </c>
      <c r="D71" s="677"/>
      <c r="E71" s="681"/>
      <c r="F71" s="678"/>
      <c r="G71" s="200"/>
      <c r="H71" s="202"/>
      <c r="I71" s="203"/>
      <c r="J71" s="200"/>
      <c r="K71" s="677"/>
      <c r="L71" s="678"/>
      <c r="M71" s="99"/>
      <c r="N71" s="199"/>
      <c r="O71" s="199"/>
      <c r="P71" s="428"/>
      <c r="Q71" s="428"/>
      <c r="R71" s="199"/>
    </row>
    <row r="72" spans="1:18" ht="15.75" customHeight="1">
      <c r="A72" s="686"/>
      <c r="B72" s="689"/>
      <c r="C72" s="200">
        <v>2</v>
      </c>
      <c r="D72" s="677"/>
      <c r="E72" s="681"/>
      <c r="F72" s="678"/>
      <c r="G72" s="200"/>
      <c r="H72" s="202"/>
      <c r="I72" s="203"/>
      <c r="J72" s="200"/>
      <c r="K72" s="677"/>
      <c r="L72" s="678"/>
      <c r="M72" s="99"/>
      <c r="O72" s="199"/>
      <c r="P72" s="428"/>
      <c r="Q72" s="428"/>
      <c r="R72" s="199"/>
    </row>
    <row r="73" spans="1:18" ht="15.75" customHeight="1">
      <c r="A73" s="686"/>
      <c r="B73" s="689"/>
      <c r="C73" s="200">
        <v>3</v>
      </c>
      <c r="D73" s="677"/>
      <c r="E73" s="681"/>
      <c r="F73" s="678"/>
      <c r="G73" s="200"/>
      <c r="H73" s="202"/>
      <c r="I73" s="203"/>
      <c r="J73" s="200"/>
      <c r="K73" s="677"/>
      <c r="L73" s="678"/>
      <c r="M73" s="99"/>
      <c r="O73" s="199"/>
      <c r="P73" s="428"/>
      <c r="Q73" s="428"/>
      <c r="R73" s="199"/>
    </row>
    <row r="74" spans="1:18" ht="15.75" customHeight="1">
      <c r="A74" s="686"/>
      <c r="B74" s="689"/>
      <c r="C74" s="200">
        <v>4</v>
      </c>
      <c r="D74" s="677"/>
      <c r="E74" s="681"/>
      <c r="F74" s="678"/>
      <c r="G74" s="200"/>
      <c r="H74" s="202"/>
      <c r="I74" s="203"/>
      <c r="J74" s="200"/>
      <c r="K74" s="677"/>
      <c r="L74" s="678"/>
      <c r="M74" s="99"/>
      <c r="O74" s="199"/>
      <c r="P74" s="428"/>
      <c r="Q74" s="428"/>
      <c r="R74" s="199"/>
    </row>
    <row r="75" spans="1:18" ht="15.75" customHeight="1">
      <c r="A75" s="686"/>
      <c r="B75" s="689"/>
      <c r="C75" s="200">
        <v>5</v>
      </c>
      <c r="D75" s="677"/>
      <c r="E75" s="681"/>
      <c r="F75" s="678"/>
      <c r="G75" s="200"/>
      <c r="H75" s="202"/>
      <c r="I75" s="203"/>
      <c r="J75" s="200"/>
      <c r="K75" s="677"/>
      <c r="L75" s="678"/>
      <c r="M75" s="99"/>
      <c r="O75" s="199"/>
      <c r="P75" s="428"/>
      <c r="Q75" s="428"/>
      <c r="R75" s="199"/>
    </row>
    <row r="76" spans="1:18" ht="15.75" customHeight="1">
      <c r="A76" s="686"/>
      <c r="B76" s="689"/>
      <c r="C76" s="204" t="s">
        <v>204</v>
      </c>
      <c r="D76" s="677"/>
      <c r="E76" s="681"/>
      <c r="F76" s="678"/>
      <c r="G76" s="200"/>
      <c r="H76" s="202"/>
      <c r="I76" s="203"/>
      <c r="J76" s="200"/>
      <c r="K76" s="677"/>
      <c r="L76" s="678"/>
      <c r="M76" s="99"/>
      <c r="O76" s="199"/>
      <c r="P76" s="428"/>
      <c r="Q76" s="428"/>
      <c r="R76" s="199"/>
    </row>
    <row r="77" spans="1:18" ht="15.75" customHeight="1">
      <c r="A77" s="686"/>
      <c r="B77" s="689"/>
      <c r="C77" s="204" t="s">
        <v>209</v>
      </c>
      <c r="D77" s="677"/>
      <c r="E77" s="681"/>
      <c r="F77" s="678"/>
      <c r="G77" s="200"/>
      <c r="H77" s="202"/>
      <c r="I77" s="203"/>
      <c r="J77" s="200"/>
      <c r="K77" s="677"/>
      <c r="L77" s="678"/>
      <c r="M77" s="99"/>
      <c r="O77" s="199"/>
      <c r="P77" s="428"/>
      <c r="Q77" s="428"/>
      <c r="R77" s="199"/>
    </row>
    <row r="78" spans="1:18" ht="15.75" customHeight="1">
      <c r="A78" s="686"/>
      <c r="B78" s="689"/>
      <c r="C78" s="204" t="s">
        <v>205</v>
      </c>
      <c r="D78" s="677"/>
      <c r="E78" s="681"/>
      <c r="F78" s="678"/>
      <c r="G78" s="200"/>
      <c r="H78" s="202"/>
      <c r="I78" s="203"/>
      <c r="J78" s="200"/>
      <c r="K78" s="677"/>
      <c r="L78" s="678"/>
      <c r="M78" s="99"/>
      <c r="O78" s="199"/>
      <c r="P78" s="428"/>
      <c r="Q78" s="428"/>
      <c r="R78" s="199"/>
    </row>
    <row r="79" spans="1:18" ht="15.75" customHeight="1">
      <c r="A79" s="686"/>
      <c r="B79" s="689"/>
      <c r="C79" s="204" t="s">
        <v>210</v>
      </c>
      <c r="D79" s="677"/>
      <c r="E79" s="681"/>
      <c r="F79" s="678"/>
      <c r="G79" s="200"/>
      <c r="H79" s="202"/>
      <c r="I79" s="203"/>
      <c r="J79" s="200"/>
      <c r="K79" s="677"/>
      <c r="L79" s="678"/>
      <c r="M79" s="99"/>
      <c r="O79" s="199"/>
      <c r="P79" s="428"/>
      <c r="Q79" s="428"/>
      <c r="R79" s="199"/>
    </row>
    <row r="80" spans="1:18" ht="15.75" customHeight="1">
      <c r="A80" s="687"/>
      <c r="B80" s="690"/>
      <c r="C80" s="204" t="s">
        <v>211</v>
      </c>
      <c r="D80" s="677"/>
      <c r="E80" s="681"/>
      <c r="F80" s="678"/>
      <c r="G80" s="200"/>
      <c r="H80" s="202"/>
      <c r="I80" s="203"/>
      <c r="J80" s="200"/>
      <c r="K80" s="677"/>
      <c r="L80" s="678"/>
      <c r="M80" s="99"/>
      <c r="O80" s="199"/>
      <c r="P80" s="428"/>
      <c r="Q80" s="428"/>
      <c r="R80" s="199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</row>
    <row r="2" spans="1:13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</row>
    <row r="3" spans="1:13" ht="15.75" customHeight="1">
      <c r="A3" s="697" t="s">
        <v>238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</row>
    <row r="4" spans="1:13" s="137" customFormat="1" ht="15.75" customHeight="1">
      <c r="A4" s="697"/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</row>
    <row r="5" spans="1:13" ht="15.75" customHeight="1">
      <c r="A5" s="226" t="s">
        <v>448</v>
      </c>
      <c r="B5" s="138" t="e">
        <f>'生產管理報表(月)'!B6</f>
        <v>#REF!</v>
      </c>
    </row>
    <row r="6" spans="1:13" ht="15.75" customHeight="1">
      <c r="A6" s="698" t="s">
        <v>239</v>
      </c>
      <c r="B6" s="699" t="s">
        <v>10</v>
      </c>
      <c r="C6" s="699"/>
      <c r="D6" s="700"/>
      <c r="E6" s="698" t="s">
        <v>197</v>
      </c>
      <c r="F6" s="702">
        <v>1</v>
      </c>
      <c r="G6" s="702"/>
      <c r="H6" s="702">
        <v>2</v>
      </c>
      <c r="I6" s="702"/>
      <c r="J6" s="702">
        <v>3</v>
      </c>
      <c r="K6" s="702"/>
      <c r="L6" s="702">
        <v>4</v>
      </c>
      <c r="M6" s="702"/>
    </row>
    <row r="7" spans="1:13" ht="31.35" customHeight="1">
      <c r="A7" s="698"/>
      <c r="B7" s="699"/>
      <c r="C7" s="699"/>
      <c r="D7" s="701"/>
      <c r="E7" s="698"/>
      <c r="F7" s="704" t="s">
        <v>490</v>
      </c>
      <c r="G7" s="704"/>
      <c r="H7" s="704" t="s">
        <v>240</v>
      </c>
      <c r="I7" s="704"/>
      <c r="J7" s="704" t="s">
        <v>166</v>
      </c>
      <c r="K7" s="704"/>
      <c r="L7" s="704" t="s">
        <v>461</v>
      </c>
      <c r="M7" s="704"/>
    </row>
    <row r="8" spans="1:13" ht="15.75" customHeight="1">
      <c r="A8" s="698"/>
      <c r="B8" s="155" t="s">
        <v>11</v>
      </c>
      <c r="C8" s="155" t="s">
        <v>241</v>
      </c>
      <c r="D8" s="701"/>
      <c r="E8" s="698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139" t="s">
        <v>242</v>
      </c>
      <c r="B9" s="140">
        <f>日別報廢率總表!AC3</f>
        <v>175855.17319999999</v>
      </c>
      <c r="C9" s="141" t="e">
        <f>B9/($B$5*1000)</f>
        <v>#REF!</v>
      </c>
      <c r="D9" s="701"/>
      <c r="E9" s="139" t="s">
        <v>242</v>
      </c>
      <c r="F9" s="142">
        <f>'報廢20大－原因別分析'!AB143</f>
        <v>34341.507899999997</v>
      </c>
      <c r="G9" s="382">
        <f>'報廢20大－原因別分析'!AB144</f>
        <v>0.375</v>
      </c>
      <c r="H9" s="142">
        <f>'報廢20大－原因別分析'!AC143</f>
        <v>0</v>
      </c>
      <c r="I9" s="382">
        <f>'報廢20大－原因別分析'!AC144</f>
        <v>0</v>
      </c>
      <c r="J9" s="142">
        <f>'報廢20大－原因別分析'!AD143</f>
        <v>14235.91</v>
      </c>
      <c r="K9" s="382">
        <f>'報廢20大－原因別分析'!AD144</f>
        <v>0.1</v>
      </c>
      <c r="L9" s="142">
        <f>'報廢20大－原因別分析'!AE143</f>
        <v>0</v>
      </c>
      <c r="M9" s="382">
        <f>'報廢20大－原因別分析'!AE144</f>
        <v>0</v>
      </c>
    </row>
    <row r="10" spans="1:13" ht="19.350000000000001" customHeight="1">
      <c r="A10" s="144" t="s">
        <v>243</v>
      </c>
      <c r="B10" s="145">
        <f>日別報廢率總表!AF3</f>
        <v>378482.86910000013</v>
      </c>
      <c r="C10" s="141" t="e">
        <f>B10/($B$5*1000)</f>
        <v>#REF!</v>
      </c>
      <c r="D10" s="701"/>
      <c r="E10" s="144" t="s">
        <v>243</v>
      </c>
      <c r="F10" s="142">
        <f>'超用20大－原因別分析'!AB143</f>
        <v>0</v>
      </c>
      <c r="G10" s="382">
        <f>'超用20大－原因別分析'!AB144</f>
        <v>0</v>
      </c>
      <c r="H10" s="142">
        <f>'超用20大－原因別分析'!AC143</f>
        <v>0</v>
      </c>
      <c r="I10" s="382">
        <f>'超用20大－原因別分析'!AC144</f>
        <v>0</v>
      </c>
      <c r="J10" s="142">
        <f>'超用20大－原因別分析'!AD143</f>
        <v>0</v>
      </c>
      <c r="K10" s="382">
        <f>'超用20大－原因別分析'!AD144</f>
        <v>0</v>
      </c>
      <c r="L10" s="142">
        <f>'超用20大－原因別分析'!AE143</f>
        <v>127530.64739999999</v>
      </c>
      <c r="M10" s="382">
        <f>'超用20大－原因別分析'!AE144</f>
        <v>0.41249999999999998</v>
      </c>
    </row>
    <row r="11" spans="1:13" ht="15.75" customHeight="1">
      <c r="D11" s="701"/>
      <c r="E11" s="698" t="s">
        <v>197</v>
      </c>
      <c r="F11" s="702">
        <v>5</v>
      </c>
      <c r="G11" s="702"/>
      <c r="H11" s="702">
        <v>6</v>
      </c>
      <c r="I11" s="702"/>
      <c r="J11" s="702">
        <v>7</v>
      </c>
      <c r="K11" s="702"/>
      <c r="L11" s="703">
        <v>8</v>
      </c>
      <c r="M11" s="703"/>
    </row>
    <row r="12" spans="1:13" ht="31.35" customHeight="1">
      <c r="D12" s="701"/>
      <c r="E12" s="698"/>
      <c r="F12" s="704" t="s">
        <v>189</v>
      </c>
      <c r="G12" s="704"/>
      <c r="H12" s="704" t="s">
        <v>167</v>
      </c>
      <c r="I12" s="704"/>
      <c r="J12" s="704" t="s">
        <v>190</v>
      </c>
      <c r="K12" s="704"/>
      <c r="L12" s="705"/>
      <c r="M12" s="705"/>
    </row>
    <row r="13" spans="1:13" ht="15.75" customHeight="1">
      <c r="D13" s="701"/>
      <c r="E13" s="698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1"/>
      <c r="E14" s="139" t="s">
        <v>242</v>
      </c>
      <c r="F14" s="142">
        <f>'報廢20大－原因別分析'!AF143</f>
        <v>0</v>
      </c>
      <c r="G14" s="382">
        <f>'報廢20大－原因別分析'!AF144</f>
        <v>0</v>
      </c>
      <c r="H14" s="142">
        <f>'報廢20大－原因別分析'!AG143</f>
        <v>4264.2</v>
      </c>
      <c r="I14" s="382">
        <f>'報廢20大－原因別分析'!AG144</f>
        <v>2.5000000000000001E-2</v>
      </c>
      <c r="J14" s="142">
        <f>'報廢20大－原因別分析'!AH143</f>
        <v>0</v>
      </c>
      <c r="K14" s="382">
        <f>'報廢20大－原因別分析'!AH144</f>
        <v>0</v>
      </c>
      <c r="L14" s="142"/>
      <c r="M14" s="143"/>
    </row>
    <row r="15" spans="1:13" ht="19.350000000000001" customHeight="1">
      <c r="D15" s="701"/>
      <c r="E15" s="144" t="s">
        <v>243</v>
      </c>
      <c r="F15" s="142">
        <f>'超用20大－原因別分析'!AF143</f>
        <v>40652.348200000037</v>
      </c>
      <c r="G15" s="382">
        <f>'超用20大－原因別分析'!AF144</f>
        <v>2.5000000000000001E-2</v>
      </c>
      <c r="H15" s="142">
        <f>'超用20大－原因別分析'!AG143</f>
        <v>26131.167300000037</v>
      </c>
      <c r="I15" s="382">
        <f>'超用20大－原因別分析'!AG144</f>
        <v>6.25E-2</v>
      </c>
      <c r="J15" s="142">
        <f>'超用20大－原因別分析'!AH143</f>
        <v>0</v>
      </c>
      <c r="K15" s="382">
        <f>'超用20大－原因別分析'!AH144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6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55.42578125" style="136" customWidth="1"/>
    <col min="17" max="20" width="12.5703125" style="238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</row>
    <row r="2" spans="1:74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</row>
    <row r="3" spans="1:74" ht="15.75" customHeight="1">
      <c r="A3" s="697" t="s">
        <v>462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</row>
    <row r="4" spans="1:74" s="137" customFormat="1" ht="15.75" customHeight="1">
      <c r="A4" s="723"/>
      <c r="B4" s="723"/>
      <c r="C4" s="723"/>
      <c r="D4" s="723"/>
      <c r="E4" s="723"/>
      <c r="F4" s="723"/>
      <c r="G4" s="723"/>
      <c r="H4" s="723"/>
      <c r="I4" s="723"/>
      <c r="J4" s="723"/>
      <c r="K4" s="723"/>
      <c r="L4" s="723"/>
      <c r="M4" s="723"/>
    </row>
    <row r="5" spans="1:74" ht="15.75" customHeight="1">
      <c r="A5" s="699" t="s">
        <v>191</v>
      </c>
      <c r="B5" s="724">
        <v>1</v>
      </c>
      <c r="C5" s="724"/>
      <c r="D5" s="724">
        <v>2</v>
      </c>
      <c r="E5" s="724"/>
      <c r="F5" s="724">
        <v>3</v>
      </c>
      <c r="G5" s="724"/>
      <c r="H5" s="702">
        <v>4</v>
      </c>
      <c r="I5" s="702"/>
      <c r="J5" s="702">
        <v>5</v>
      </c>
      <c r="K5" s="702"/>
      <c r="L5" s="702">
        <v>6</v>
      </c>
      <c r="M5" s="702"/>
      <c r="N5" s="702">
        <v>7</v>
      </c>
      <c r="O5" s="702"/>
      <c r="P5" s="378">
        <v>8</v>
      </c>
    </row>
    <row r="6" spans="1:74" ht="15.75" customHeight="1">
      <c r="A6" s="699"/>
      <c r="B6" s="725" t="s">
        <v>490</v>
      </c>
      <c r="C6" s="725"/>
      <c r="D6" s="725" t="s">
        <v>212</v>
      </c>
      <c r="E6" s="725"/>
      <c r="F6" s="725" t="s">
        <v>166</v>
      </c>
      <c r="G6" s="725"/>
      <c r="H6" s="699" t="s">
        <v>460</v>
      </c>
      <c r="I6" s="699"/>
      <c r="J6" s="699" t="s">
        <v>189</v>
      </c>
      <c r="K6" s="699"/>
      <c r="L6" s="699" t="s">
        <v>167</v>
      </c>
      <c r="M6" s="699"/>
      <c r="N6" s="699" t="s">
        <v>190</v>
      </c>
      <c r="O6" s="699"/>
      <c r="P6" s="379" t="s">
        <v>217</v>
      </c>
    </row>
    <row r="8" spans="1:74" s="242" customFormat="1" ht="15.75" customHeight="1">
      <c r="A8" s="702" t="s">
        <v>191</v>
      </c>
      <c r="B8" s="702"/>
      <c r="C8" s="241" t="s">
        <v>47</v>
      </c>
      <c r="D8" s="720" t="s">
        <v>12</v>
      </c>
      <c r="E8" s="720"/>
      <c r="F8" s="720"/>
      <c r="G8" s="714" t="s">
        <v>53</v>
      </c>
      <c r="H8" s="715"/>
      <c r="I8" s="716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6" t="s">
        <v>51</v>
      </c>
      <c r="P8" s="706"/>
    </row>
    <row r="9" spans="1:74" ht="54.95" customHeight="1">
      <c r="A9" s="702">
        <v>1</v>
      </c>
      <c r="B9" s="717" t="s">
        <v>491</v>
      </c>
      <c r="C9" s="243">
        <v>1</v>
      </c>
      <c r="D9" s="244" t="s">
        <v>344</v>
      </c>
      <c r="E9" s="245"/>
      <c r="F9" s="246"/>
      <c r="G9" s="313" t="s">
        <v>336</v>
      </c>
      <c r="H9" s="312"/>
      <c r="I9" s="313"/>
      <c r="J9" s="243">
        <v>141.66999999999999</v>
      </c>
      <c r="K9" s="249">
        <v>1.2662808148102538E-2</v>
      </c>
      <c r="L9" s="243">
        <v>31.259999999999998</v>
      </c>
      <c r="M9" s="333">
        <f>L9*J9</f>
        <v>4428.6041999999998</v>
      </c>
      <c r="N9" s="250"/>
      <c r="O9" s="721" t="s">
        <v>600</v>
      </c>
      <c r="P9" s="721"/>
    </row>
    <row r="10" spans="1:74" ht="54.95" customHeight="1">
      <c r="A10" s="702"/>
      <c r="B10" s="717"/>
      <c r="C10" s="243">
        <v>2</v>
      </c>
      <c r="D10" s="244" t="s">
        <v>358</v>
      </c>
      <c r="E10" s="245"/>
      <c r="F10" s="246"/>
      <c r="G10" s="370" t="s">
        <v>365</v>
      </c>
      <c r="H10" s="312"/>
      <c r="I10" s="313"/>
      <c r="J10" s="243">
        <v>183.65</v>
      </c>
      <c r="K10" s="249">
        <v>1.687019523883659E-2</v>
      </c>
      <c r="L10" s="243">
        <v>17.14</v>
      </c>
      <c r="M10" s="333">
        <f t="shared" ref="M10:M13" si="0">L10*J10</f>
        <v>3147.7610000000004</v>
      </c>
      <c r="N10" s="250"/>
      <c r="O10" s="721" t="s">
        <v>601</v>
      </c>
      <c r="P10" s="721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</row>
    <row r="11" spans="1:74" ht="54.95" customHeight="1">
      <c r="A11" s="702"/>
      <c r="B11" s="717"/>
      <c r="C11" s="243">
        <v>3</v>
      </c>
      <c r="D11" s="244" t="s">
        <v>358</v>
      </c>
      <c r="E11" s="245"/>
      <c r="F11" s="246"/>
      <c r="G11" s="313" t="s">
        <v>366</v>
      </c>
      <c r="H11" s="312"/>
      <c r="I11" s="313"/>
      <c r="J11" s="243">
        <v>253.92000000000002</v>
      </c>
      <c r="K11" s="249">
        <v>1.6004537935299365E-2</v>
      </c>
      <c r="L11" s="243">
        <v>17.62</v>
      </c>
      <c r="M11" s="333">
        <f t="shared" si="0"/>
        <v>4474.0704000000005</v>
      </c>
      <c r="N11" s="250"/>
      <c r="O11" s="722" t="s">
        <v>602</v>
      </c>
      <c r="P11" s="722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</row>
    <row r="12" spans="1:74" ht="54.95" customHeight="1">
      <c r="A12" s="702"/>
      <c r="B12" s="717"/>
      <c r="C12" s="243">
        <v>4</v>
      </c>
      <c r="D12" s="244" t="s">
        <v>506</v>
      </c>
      <c r="E12" s="245"/>
      <c r="F12" s="246"/>
      <c r="G12" s="370" t="s">
        <v>505</v>
      </c>
      <c r="H12" s="312"/>
      <c r="I12" s="313"/>
      <c r="J12" s="243">
        <v>153.19000000000003</v>
      </c>
      <c r="K12" s="249">
        <v>2.4486343600072801E-2</v>
      </c>
      <c r="L12" s="243">
        <v>21.91</v>
      </c>
      <c r="M12" s="333">
        <f t="shared" si="0"/>
        <v>3356.3929000000007</v>
      </c>
      <c r="N12" s="250"/>
      <c r="O12" s="722" t="s">
        <v>603</v>
      </c>
      <c r="P12" s="722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</row>
    <row r="13" spans="1:74" ht="54.95" customHeight="1" thickBot="1">
      <c r="A13" s="702"/>
      <c r="B13" s="717"/>
      <c r="C13" s="243">
        <v>5</v>
      </c>
      <c r="D13" s="251" t="s">
        <v>342</v>
      </c>
      <c r="E13" s="252"/>
      <c r="F13" s="253"/>
      <c r="G13" s="386" t="s">
        <v>434</v>
      </c>
      <c r="H13" s="385"/>
      <c r="I13" s="386"/>
      <c r="J13" s="254">
        <v>157.87</v>
      </c>
      <c r="K13" s="255">
        <v>4.3316955780607633E-3</v>
      </c>
      <c r="L13" s="254">
        <v>6.4799999999999995</v>
      </c>
      <c r="M13" s="334">
        <f t="shared" si="0"/>
        <v>1022.9975999999999</v>
      </c>
      <c r="N13" s="250"/>
      <c r="O13" s="722" t="s">
        <v>604</v>
      </c>
      <c r="P13" s="722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</row>
    <row r="14" spans="1:74" ht="15.75" customHeight="1" thickTop="1">
      <c r="A14" s="702"/>
      <c r="B14" s="717"/>
      <c r="C14" s="708"/>
      <c r="D14" s="709"/>
      <c r="E14" s="709"/>
      <c r="F14" s="709"/>
      <c r="G14" s="709"/>
      <c r="H14" s="709"/>
      <c r="I14" s="710"/>
      <c r="J14" s="256" t="s">
        <v>58</v>
      </c>
      <c r="K14" s="353">
        <f>M14/'生產管理報表 7-1(月)'!$B$9</f>
        <v>9.3428164784861739E-2</v>
      </c>
      <c r="L14" s="256" t="s">
        <v>59</v>
      </c>
      <c r="M14" s="380">
        <f>SUM(M9:M13)</f>
        <v>16429.826100000002</v>
      </c>
      <c r="N14" s="719"/>
      <c r="O14" s="719"/>
      <c r="P14" s="719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</row>
    <row r="15" spans="1:74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</row>
    <row r="16" spans="1:74" ht="15.75" customHeight="1">
      <c r="A16" s="702" t="s">
        <v>191</v>
      </c>
      <c r="B16" s="702"/>
      <c r="C16" s="259" t="s">
        <v>47</v>
      </c>
      <c r="D16" s="711" t="s">
        <v>12</v>
      </c>
      <c r="E16" s="712"/>
      <c r="F16" s="713"/>
      <c r="G16" s="714" t="s">
        <v>53</v>
      </c>
      <c r="H16" s="715"/>
      <c r="I16" s="716"/>
      <c r="J16" s="261" t="s">
        <v>54</v>
      </c>
      <c r="K16" s="261" t="s">
        <v>55</v>
      </c>
      <c r="L16" s="261" t="s">
        <v>56</v>
      </c>
      <c r="M16" s="261" t="s">
        <v>11</v>
      </c>
      <c r="N16" s="241" t="s">
        <v>333</v>
      </c>
      <c r="O16" s="706" t="s">
        <v>51</v>
      </c>
      <c r="P16" s="706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ht="20.100000000000001" customHeight="1">
      <c r="A17" s="702">
        <v>2</v>
      </c>
      <c r="B17" s="717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50"/>
      <c r="O17" s="707"/>
      <c r="P17" s="707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</row>
    <row r="18" spans="1:35" ht="20.100000000000001" customHeight="1">
      <c r="A18" s="702"/>
      <c r="B18" s="717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50"/>
      <c r="O18" s="707"/>
      <c r="P18" s="707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35" ht="20.100000000000001" customHeight="1">
      <c r="A19" s="702"/>
      <c r="B19" s="717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50"/>
      <c r="O19" s="726"/>
      <c r="P19" s="726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 spans="1:35" ht="20.100000000000001" customHeight="1">
      <c r="A20" s="702"/>
      <c r="B20" s="717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50"/>
      <c r="O20" s="726"/>
      <c r="P20" s="726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 spans="1:35" ht="20.100000000000001" customHeight="1" thickBot="1">
      <c r="A21" s="702"/>
      <c r="B21" s="717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50"/>
      <c r="O21" s="726"/>
      <c r="P21" s="726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 spans="1:35" ht="15.75" customHeight="1" thickTop="1">
      <c r="A22" s="702"/>
      <c r="B22" s="717"/>
      <c r="C22" s="708"/>
      <c r="D22" s="709"/>
      <c r="E22" s="709"/>
      <c r="F22" s="709"/>
      <c r="G22" s="709"/>
      <c r="H22" s="709"/>
      <c r="I22" s="710"/>
      <c r="J22" s="256" t="s">
        <v>58</v>
      </c>
      <c r="K22" s="353">
        <f>M22/'生產管理報表 7-1(月)'!$B$9</f>
        <v>0</v>
      </c>
      <c r="L22" s="256" t="s">
        <v>59</v>
      </c>
      <c r="M22" s="257">
        <f>SUM(M17:M21)</f>
        <v>0</v>
      </c>
      <c r="N22" s="719"/>
      <c r="O22" s="719"/>
      <c r="P22" s="719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 spans="1:35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 spans="1:35" ht="15.75" customHeight="1">
      <c r="A24" s="702" t="s">
        <v>191</v>
      </c>
      <c r="B24" s="702"/>
      <c r="C24" s="259" t="s">
        <v>47</v>
      </c>
      <c r="D24" s="711" t="s">
        <v>12</v>
      </c>
      <c r="E24" s="712"/>
      <c r="F24" s="713"/>
      <c r="G24" s="714" t="s">
        <v>53</v>
      </c>
      <c r="H24" s="715"/>
      <c r="I24" s="716"/>
      <c r="J24" s="260" t="s">
        <v>54</v>
      </c>
      <c r="K24" s="261" t="s">
        <v>55</v>
      </c>
      <c r="L24" s="261" t="s">
        <v>56</v>
      </c>
      <c r="M24" s="261" t="s">
        <v>11</v>
      </c>
      <c r="N24" s="241" t="s">
        <v>333</v>
      </c>
      <c r="O24" s="706" t="s">
        <v>51</v>
      </c>
      <c r="P24" s="706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</row>
    <row r="25" spans="1:35" ht="39.950000000000003" customHeight="1">
      <c r="A25" s="702">
        <v>3</v>
      </c>
      <c r="B25" s="717" t="s">
        <v>449</v>
      </c>
      <c r="C25" s="263">
        <v>1</v>
      </c>
      <c r="D25" s="244" t="s">
        <v>435</v>
      </c>
      <c r="E25" s="245"/>
      <c r="F25" s="246"/>
      <c r="G25" s="386" t="s">
        <v>451</v>
      </c>
      <c r="H25" s="385"/>
      <c r="I25" s="386"/>
      <c r="J25" s="264">
        <v>122.81999999999996</v>
      </c>
      <c r="K25" s="265">
        <v>1.4161673768863544E-2</v>
      </c>
      <c r="L25" s="264">
        <v>8.84</v>
      </c>
      <c r="M25" s="336">
        <f t="shared" ref="M25:M29" si="2">L25*J25</f>
        <v>1085.7287999999996</v>
      </c>
      <c r="N25" s="250"/>
      <c r="O25" s="707" t="s">
        <v>605</v>
      </c>
      <c r="P25" s="707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</row>
    <row r="26" spans="1:35" ht="39.950000000000003" customHeight="1">
      <c r="A26" s="702"/>
      <c r="B26" s="717"/>
      <c r="C26" s="263">
        <v>2</v>
      </c>
      <c r="D26" s="244" t="s">
        <v>342</v>
      </c>
      <c r="E26" s="245"/>
      <c r="F26" s="246"/>
      <c r="G26" s="386" t="s">
        <v>483</v>
      </c>
      <c r="H26" s="385"/>
      <c r="I26" s="386"/>
      <c r="J26" s="264">
        <v>1.17</v>
      </c>
      <c r="K26" s="265">
        <v>4.5533687881495529E-3</v>
      </c>
      <c r="L26" s="264">
        <v>4803</v>
      </c>
      <c r="M26" s="336">
        <f t="shared" si="2"/>
        <v>5619.5099999999993</v>
      </c>
      <c r="N26" s="250"/>
      <c r="O26" s="707" t="s">
        <v>606</v>
      </c>
      <c r="P26" s="707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</row>
    <row r="27" spans="1:35" ht="39.950000000000003" customHeight="1">
      <c r="A27" s="702"/>
      <c r="B27" s="717"/>
      <c r="C27" s="263">
        <v>3</v>
      </c>
      <c r="D27" s="244" t="s">
        <v>342</v>
      </c>
      <c r="E27" s="245"/>
      <c r="F27" s="246"/>
      <c r="G27" s="386" t="s">
        <v>484</v>
      </c>
      <c r="H27" s="385"/>
      <c r="I27" s="386"/>
      <c r="J27" s="264">
        <v>2.4499999999999997</v>
      </c>
      <c r="K27" s="265">
        <v>4.0029039141176908E-3</v>
      </c>
      <c r="L27" s="264">
        <v>2387</v>
      </c>
      <c r="M27" s="336">
        <f t="shared" si="2"/>
        <v>5848.15</v>
      </c>
      <c r="N27" s="250"/>
      <c r="O27" s="718" t="s">
        <v>607</v>
      </c>
      <c r="P27" s="71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</row>
    <row r="28" spans="1:35" ht="39.950000000000003" customHeight="1">
      <c r="A28" s="702"/>
      <c r="B28" s="717"/>
      <c r="C28" s="263">
        <v>4</v>
      </c>
      <c r="D28" s="244"/>
      <c r="E28" s="245"/>
      <c r="F28" s="246"/>
      <c r="G28" s="251"/>
      <c r="H28" s="252"/>
      <c r="I28" s="253"/>
      <c r="J28" s="264"/>
      <c r="K28" s="265"/>
      <c r="L28" s="264"/>
      <c r="M28" s="336">
        <f t="shared" si="2"/>
        <v>0</v>
      </c>
      <c r="N28" s="250"/>
      <c r="O28" s="718"/>
      <c r="P28" s="71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</row>
    <row r="29" spans="1:35" ht="39.950000000000003" customHeight="1" thickBot="1">
      <c r="A29" s="702"/>
      <c r="B29" s="717"/>
      <c r="C29" s="269">
        <v>5</v>
      </c>
      <c r="D29" s="251"/>
      <c r="E29" s="252"/>
      <c r="F29" s="253"/>
      <c r="G29" s="384"/>
      <c r="H29" s="385"/>
      <c r="I29" s="386"/>
      <c r="J29" s="270"/>
      <c r="K29" s="271"/>
      <c r="L29" s="270"/>
      <c r="M29" s="336">
        <f t="shared" si="2"/>
        <v>0</v>
      </c>
      <c r="N29" s="250"/>
      <c r="O29" s="718"/>
      <c r="P29" s="71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</row>
    <row r="30" spans="1:35" ht="15.75" customHeight="1" thickTop="1">
      <c r="A30" s="702"/>
      <c r="B30" s="717"/>
      <c r="C30" s="708"/>
      <c r="D30" s="709"/>
      <c r="E30" s="709"/>
      <c r="F30" s="709"/>
      <c r="G30" s="709"/>
      <c r="H30" s="709"/>
      <c r="I30" s="710"/>
      <c r="J30" s="281" t="s">
        <v>58</v>
      </c>
      <c r="K30" s="353">
        <f>M30/'生產管理報表 7-1(月)'!$B$9</f>
        <v>7.1384813830429869E-2</v>
      </c>
      <c r="L30" s="281" t="s">
        <v>59</v>
      </c>
      <c r="M30" s="337">
        <f>SUM(M25:M29)</f>
        <v>12553.388799999999</v>
      </c>
      <c r="N30" s="719"/>
      <c r="O30" s="719"/>
      <c r="P30" s="719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8" style="296" customWidth="1"/>
    <col min="17" max="16384" width="12.5703125" style="296"/>
  </cols>
  <sheetData>
    <row r="1" spans="1:20" s="136" customFormat="1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</row>
    <row r="2" spans="1:20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</row>
    <row r="3" spans="1:20" s="136" customFormat="1" ht="15.75" customHeight="1">
      <c r="A3" s="697" t="s">
        <v>462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</row>
    <row r="4" spans="1:20" s="137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</row>
    <row r="5" spans="1:20" s="136" customFormat="1" ht="15.75" customHeight="1">
      <c r="A5" s="793" t="s">
        <v>191</v>
      </c>
      <c r="B5" s="795">
        <v>1</v>
      </c>
      <c r="C5" s="796"/>
      <c r="D5" s="795">
        <v>2</v>
      </c>
      <c r="E5" s="796"/>
      <c r="F5" s="795">
        <v>3</v>
      </c>
      <c r="G5" s="796"/>
      <c r="H5" s="786">
        <v>4</v>
      </c>
      <c r="I5" s="787"/>
      <c r="J5" s="786">
        <v>5</v>
      </c>
      <c r="K5" s="787"/>
      <c r="L5" s="786">
        <v>6</v>
      </c>
      <c r="M5" s="787"/>
      <c r="N5" s="786">
        <v>7</v>
      </c>
      <c r="O5" s="787"/>
      <c r="P5" s="338">
        <v>8</v>
      </c>
    </row>
    <row r="6" spans="1:20" s="136" customFormat="1" ht="15.75" customHeight="1">
      <c r="A6" s="794"/>
      <c r="B6" s="790" t="s">
        <v>490</v>
      </c>
      <c r="C6" s="791"/>
      <c r="D6" s="790" t="s">
        <v>212</v>
      </c>
      <c r="E6" s="791"/>
      <c r="F6" s="790" t="s">
        <v>166</v>
      </c>
      <c r="G6" s="791"/>
      <c r="H6" s="788" t="s">
        <v>460</v>
      </c>
      <c r="I6" s="789"/>
      <c r="J6" s="788" t="s">
        <v>189</v>
      </c>
      <c r="K6" s="789"/>
      <c r="L6" s="788" t="s">
        <v>167</v>
      </c>
      <c r="M6" s="789"/>
      <c r="N6" s="788" t="s">
        <v>190</v>
      </c>
      <c r="O6" s="789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0" t="s">
        <v>191</v>
      </c>
      <c r="B8" s="731"/>
      <c r="C8" s="282" t="s">
        <v>47</v>
      </c>
      <c r="D8" s="758" t="s">
        <v>12</v>
      </c>
      <c r="E8" s="759"/>
      <c r="F8" s="760"/>
      <c r="G8" s="761" t="s">
        <v>53</v>
      </c>
      <c r="H8" s="762"/>
      <c r="I8" s="763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8" t="s">
        <v>51</v>
      </c>
      <c r="P8" s="739"/>
      <c r="R8" s="354"/>
      <c r="S8" s="355"/>
    </row>
    <row r="9" spans="1:20" s="305" customFormat="1" ht="20.100000000000001" customHeight="1">
      <c r="A9" s="740">
        <v>4</v>
      </c>
      <c r="B9" s="774" t="s">
        <v>460</v>
      </c>
      <c r="C9" s="286">
        <v>1</v>
      </c>
      <c r="D9" s="244"/>
      <c r="E9" s="245"/>
      <c r="F9" s="246"/>
      <c r="G9" s="247"/>
      <c r="H9" s="248"/>
      <c r="I9" s="247"/>
      <c r="J9" s="323"/>
      <c r="K9" s="324"/>
      <c r="L9" s="325"/>
      <c r="M9" s="333">
        <f t="shared" ref="M9:M13" si="0">L9*J9</f>
        <v>0</v>
      </c>
      <c r="N9" s="325"/>
      <c r="O9" s="777"/>
      <c r="P9" s="778"/>
      <c r="R9" s="356"/>
      <c r="S9" s="356"/>
    </row>
    <row r="10" spans="1:20" s="305" customFormat="1" ht="20.100000000000001" customHeight="1">
      <c r="A10" s="741"/>
      <c r="B10" s="775"/>
      <c r="C10" s="286">
        <v>2</v>
      </c>
      <c r="D10" s="381"/>
      <c r="E10" s="245"/>
      <c r="F10" s="246"/>
      <c r="G10" s="247"/>
      <c r="H10" s="248"/>
      <c r="I10" s="247"/>
      <c r="J10" s="323"/>
      <c r="K10" s="324"/>
      <c r="L10" s="325"/>
      <c r="M10" s="333">
        <f t="shared" si="0"/>
        <v>0</v>
      </c>
      <c r="N10" s="325"/>
      <c r="O10" s="770"/>
      <c r="P10" s="771"/>
      <c r="R10" s="356"/>
      <c r="S10" s="356"/>
    </row>
    <row r="11" spans="1:20" s="305" customFormat="1" ht="20.100000000000001" customHeight="1">
      <c r="A11" s="741"/>
      <c r="B11" s="775"/>
      <c r="C11" s="286">
        <v>3</v>
      </c>
      <c r="D11" s="244"/>
      <c r="E11" s="245"/>
      <c r="F11" s="246"/>
      <c r="G11" s="247"/>
      <c r="H11" s="248"/>
      <c r="I11" s="247"/>
      <c r="J11" s="323"/>
      <c r="K11" s="324"/>
      <c r="L11" s="325"/>
      <c r="M11" s="333">
        <f t="shared" si="0"/>
        <v>0</v>
      </c>
      <c r="N11" s="325"/>
      <c r="O11" s="779"/>
      <c r="P11" s="780"/>
      <c r="R11" s="356"/>
      <c r="S11" s="354"/>
    </row>
    <row r="12" spans="1:20" s="305" customFormat="1" ht="20.100000000000001" customHeight="1">
      <c r="A12" s="741"/>
      <c r="B12" s="775"/>
      <c r="C12" s="286">
        <v>4</v>
      </c>
      <c r="D12" s="251"/>
      <c r="E12" s="245"/>
      <c r="F12" s="246"/>
      <c r="G12" s="247"/>
      <c r="H12" s="248"/>
      <c r="I12" s="247"/>
      <c r="J12" s="323"/>
      <c r="K12" s="324"/>
      <c r="L12" s="325"/>
      <c r="M12" s="333">
        <f t="shared" si="0"/>
        <v>0</v>
      </c>
      <c r="N12" s="325"/>
      <c r="O12" s="770"/>
      <c r="P12" s="771"/>
      <c r="R12" s="356"/>
      <c r="S12" s="354"/>
    </row>
    <row r="13" spans="1:20" s="305" customFormat="1" ht="20.100000000000001" customHeight="1" thickBot="1">
      <c r="A13" s="741"/>
      <c r="B13" s="775"/>
      <c r="C13" s="286">
        <v>5</v>
      </c>
      <c r="D13" s="244"/>
      <c r="E13" s="252"/>
      <c r="F13" s="253"/>
      <c r="G13" s="247"/>
      <c r="H13" s="248"/>
      <c r="I13" s="247"/>
      <c r="J13" s="327"/>
      <c r="K13" s="271"/>
      <c r="L13" s="328"/>
      <c r="M13" s="333">
        <f t="shared" si="0"/>
        <v>0</v>
      </c>
      <c r="N13" s="325"/>
      <c r="O13" s="781"/>
      <c r="P13" s="782"/>
      <c r="R13" s="357"/>
      <c r="S13" s="354"/>
      <c r="T13" s="296"/>
    </row>
    <row r="14" spans="1:20" ht="15.75" customHeight="1" thickTop="1" thickBot="1">
      <c r="A14" s="742"/>
      <c r="B14" s="776"/>
      <c r="C14" s="783"/>
      <c r="D14" s="784"/>
      <c r="E14" s="784"/>
      <c r="F14" s="784"/>
      <c r="G14" s="784"/>
      <c r="H14" s="784"/>
      <c r="I14" s="785"/>
      <c r="J14" s="302" t="s">
        <v>58</v>
      </c>
      <c r="K14" s="353">
        <f>M14/'生產管理報表 7-1(月)'!$B$9</f>
        <v>0</v>
      </c>
      <c r="L14" s="303" t="s">
        <v>59</v>
      </c>
      <c r="M14" s="345">
        <f>SUM(M9:M13)</f>
        <v>0</v>
      </c>
      <c r="N14" s="727"/>
      <c r="O14" s="728"/>
      <c r="P14" s="729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30" t="s">
        <v>191</v>
      </c>
      <c r="B16" s="731"/>
      <c r="C16" s="282" t="s">
        <v>47</v>
      </c>
      <c r="D16" s="758" t="s">
        <v>12</v>
      </c>
      <c r="E16" s="759"/>
      <c r="F16" s="760"/>
      <c r="G16" s="761" t="s">
        <v>53</v>
      </c>
      <c r="H16" s="762"/>
      <c r="I16" s="763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8" t="s">
        <v>51</v>
      </c>
      <c r="P16" s="739"/>
      <c r="S16" s="355"/>
      <c r="T16" s="305"/>
    </row>
    <row r="17" spans="1:20" s="305" customFormat="1" ht="39.950000000000003" customHeight="1">
      <c r="A17" s="740">
        <v>5</v>
      </c>
      <c r="B17" s="753" t="s">
        <v>215</v>
      </c>
      <c r="C17" s="286">
        <v>1</v>
      </c>
      <c r="D17" s="244" t="s">
        <v>357</v>
      </c>
      <c r="E17" s="245"/>
      <c r="F17" s="246"/>
      <c r="G17" s="313" t="s">
        <v>368</v>
      </c>
      <c r="H17" s="312"/>
      <c r="I17" s="313"/>
      <c r="J17" s="323">
        <v>96</v>
      </c>
      <c r="K17" s="324">
        <v>1.8325771558138429E-2</v>
      </c>
      <c r="L17" s="325">
        <v>32.200000000000003</v>
      </c>
      <c r="M17" s="333">
        <f t="shared" ref="M17:M21" si="1">L17*J17</f>
        <v>3091.2000000000003</v>
      </c>
      <c r="N17" s="325"/>
      <c r="O17" s="764" t="s">
        <v>608</v>
      </c>
      <c r="P17" s="765"/>
      <c r="S17" s="354"/>
    </row>
    <row r="18" spans="1:20" s="305" customFormat="1" ht="20.100000000000001" customHeight="1">
      <c r="A18" s="741"/>
      <c r="B18" s="754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si="1"/>
        <v>0</v>
      </c>
      <c r="N18" s="325"/>
      <c r="O18" s="766"/>
      <c r="P18" s="767"/>
      <c r="S18" s="296"/>
      <c r="T18" s="296"/>
    </row>
    <row r="19" spans="1:20" ht="20.100000000000001" customHeight="1">
      <c r="A19" s="741"/>
      <c r="B19" s="754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68"/>
      <c r="P19" s="769"/>
    </row>
    <row r="20" spans="1:20" ht="20.100000000000001" customHeight="1">
      <c r="A20" s="741"/>
      <c r="B20" s="754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70"/>
      <c r="P20" s="771"/>
    </row>
    <row r="21" spans="1:20" ht="20.100000000000001" customHeight="1" thickBot="1">
      <c r="A21" s="741"/>
      <c r="B21" s="754"/>
      <c r="C21" s="286">
        <v>5</v>
      </c>
      <c r="D21" s="251"/>
      <c r="E21" s="298"/>
      <c r="F21" s="299"/>
      <c r="G21" s="370"/>
      <c r="H21" s="312"/>
      <c r="I21" s="313"/>
      <c r="J21" s="327"/>
      <c r="K21" s="271"/>
      <c r="L21" s="328"/>
      <c r="M21" s="333">
        <f t="shared" si="1"/>
        <v>0</v>
      </c>
      <c r="N21" s="295"/>
      <c r="O21" s="772"/>
      <c r="P21" s="773"/>
      <c r="R21" s="358"/>
    </row>
    <row r="22" spans="1:20" ht="15.75" customHeight="1" thickTop="1" thickBot="1">
      <c r="A22" s="742"/>
      <c r="B22" s="755"/>
      <c r="C22" s="750"/>
      <c r="D22" s="751"/>
      <c r="E22" s="751"/>
      <c r="F22" s="751"/>
      <c r="G22" s="751"/>
      <c r="H22" s="751"/>
      <c r="I22" s="752"/>
      <c r="J22" s="302" t="s">
        <v>58</v>
      </c>
      <c r="K22" s="353">
        <f>M22/'生產管理報表 7-1(月)'!$B$9</f>
        <v>1.7578101023416469E-2</v>
      </c>
      <c r="L22" s="303" t="s">
        <v>59</v>
      </c>
      <c r="M22" s="345">
        <f>SUM(M17:M21)</f>
        <v>3091.2000000000003</v>
      </c>
      <c r="N22" s="727"/>
      <c r="O22" s="728"/>
      <c r="P22" s="729"/>
      <c r="R22" s="354"/>
    </row>
    <row r="23" spans="1:20" ht="15.75" customHeight="1" thickTop="1">
      <c r="M23" s="340"/>
      <c r="R23" s="354"/>
    </row>
    <row r="24" spans="1:20" ht="15.75" customHeight="1">
      <c r="A24" s="730" t="s">
        <v>191</v>
      </c>
      <c r="B24" s="731"/>
      <c r="C24" s="310" t="s">
        <v>47</v>
      </c>
      <c r="D24" s="732" t="s">
        <v>12</v>
      </c>
      <c r="E24" s="733"/>
      <c r="F24" s="734"/>
      <c r="G24" s="735" t="s">
        <v>53</v>
      </c>
      <c r="H24" s="736"/>
      <c r="I24" s="737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8" t="s">
        <v>51</v>
      </c>
      <c r="P24" s="739"/>
      <c r="R24" s="354"/>
    </row>
    <row r="25" spans="1:20" s="305" customFormat="1" ht="60" customHeight="1">
      <c r="A25" s="740">
        <v>6</v>
      </c>
      <c r="B25" s="753" t="s">
        <v>216</v>
      </c>
      <c r="C25" s="286">
        <v>1</v>
      </c>
      <c r="D25" s="244" t="s">
        <v>341</v>
      </c>
      <c r="E25" s="245"/>
      <c r="F25" s="246"/>
      <c r="G25" s="313" t="s">
        <v>335</v>
      </c>
      <c r="H25" s="312"/>
      <c r="I25" s="313"/>
      <c r="J25" s="323">
        <v>15.450000000000001</v>
      </c>
      <c r="K25" s="324">
        <v>4.2339007528691347E-3</v>
      </c>
      <c r="L25" s="325">
        <v>252</v>
      </c>
      <c r="M25" s="333">
        <f t="shared" ref="M25" si="2">L25*J25</f>
        <v>3893.4</v>
      </c>
      <c r="N25" s="325"/>
      <c r="O25" s="756" t="s">
        <v>609</v>
      </c>
      <c r="P25" s="757"/>
    </row>
    <row r="26" spans="1:20" ht="20.100000000000001" customHeight="1">
      <c r="A26" s="741"/>
      <c r="B26" s="754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</row>
    <row r="27" spans="1:20" ht="20.100000000000001" customHeight="1">
      <c r="A27" s="741"/>
      <c r="B27" s="754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</row>
    <row r="28" spans="1:20" ht="20.100000000000001" customHeight="1">
      <c r="A28" s="741"/>
      <c r="B28" s="754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</row>
    <row r="29" spans="1:20" ht="20.100000000000001" customHeight="1" thickBot="1">
      <c r="A29" s="741"/>
      <c r="B29" s="754"/>
      <c r="C29" s="286">
        <v>5</v>
      </c>
      <c r="D29" s="297"/>
      <c r="E29" s="298"/>
      <c r="F29" s="299"/>
      <c r="G29" s="290"/>
      <c r="H29" s="291"/>
      <c r="I29" s="292"/>
      <c r="J29" s="300"/>
      <c r="K29" s="377"/>
      <c r="L29" s="301"/>
      <c r="M29" s="342">
        <v>0</v>
      </c>
      <c r="N29" s="295"/>
      <c r="O29" s="308"/>
      <c r="P29" s="309"/>
    </row>
    <row r="30" spans="1:20" ht="15.75" customHeight="1" thickTop="1" thickBot="1">
      <c r="A30" s="742"/>
      <c r="B30" s="755"/>
      <c r="C30" s="750"/>
      <c r="D30" s="751"/>
      <c r="E30" s="751"/>
      <c r="F30" s="751"/>
      <c r="G30" s="751"/>
      <c r="H30" s="751"/>
      <c r="I30" s="752"/>
      <c r="J30" s="302" t="s">
        <v>58</v>
      </c>
      <c r="K30" s="353">
        <f>M30/'生產管理報表 7-1(月)'!$B$9</f>
        <v>2.2139809305308514E-2</v>
      </c>
      <c r="L30" s="303" t="s">
        <v>59</v>
      </c>
      <c r="M30" s="345">
        <f>SUM(M25:M29)</f>
        <v>3893.4</v>
      </c>
      <c r="N30" s="727"/>
      <c r="O30" s="728"/>
      <c r="P30" s="729"/>
    </row>
    <row r="31" spans="1:20" ht="15.75" customHeight="1" thickTop="1">
      <c r="M31" s="340"/>
    </row>
    <row r="32" spans="1:20" ht="15.75" customHeight="1">
      <c r="A32" s="730" t="s">
        <v>191</v>
      </c>
      <c r="B32" s="731"/>
      <c r="C32" s="310" t="s">
        <v>47</v>
      </c>
      <c r="D32" s="732" t="s">
        <v>12</v>
      </c>
      <c r="E32" s="733"/>
      <c r="F32" s="734"/>
      <c r="G32" s="735" t="s">
        <v>53</v>
      </c>
      <c r="H32" s="736"/>
      <c r="I32" s="737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38" t="s">
        <v>51</v>
      </c>
      <c r="P32" s="739"/>
    </row>
    <row r="33" spans="1:16" ht="20.100000000000001" customHeight="1">
      <c r="A33" s="740">
        <v>7</v>
      </c>
      <c r="B33" s="743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46"/>
      <c r="P33" s="747"/>
    </row>
    <row r="34" spans="1:16" ht="20.100000000000001" customHeight="1">
      <c r="A34" s="741"/>
      <c r="B34" s="744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48"/>
      <c r="P34" s="749"/>
    </row>
    <row r="35" spans="1:16" ht="20.100000000000001" customHeight="1">
      <c r="A35" s="741"/>
      <c r="B35" s="744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48"/>
      <c r="P35" s="749"/>
    </row>
    <row r="36" spans="1:16" ht="20.100000000000001" customHeight="1">
      <c r="A36" s="741"/>
      <c r="B36" s="744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20.100000000000001" customHeight="1" thickBot="1">
      <c r="A37" s="741"/>
      <c r="B37" s="744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42"/>
      <c r="B38" s="745"/>
      <c r="C38" s="750"/>
      <c r="D38" s="751"/>
      <c r="E38" s="751"/>
      <c r="F38" s="751"/>
      <c r="G38" s="751"/>
      <c r="H38" s="751"/>
      <c r="I38" s="752"/>
      <c r="J38" s="302" t="s">
        <v>58</v>
      </c>
      <c r="K38" s="353">
        <f>M38/'生產管理報表 7-1(月)'!$B$9</f>
        <v>0</v>
      </c>
      <c r="L38" s="303" t="s">
        <v>59</v>
      </c>
      <c r="M38" s="345">
        <f>SUM(M33:M37)</f>
        <v>0</v>
      </c>
      <c r="N38" s="727"/>
      <c r="O38" s="728"/>
      <c r="P38" s="729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</row>
    <row r="2" spans="1:75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</row>
    <row r="3" spans="1:75" ht="15.75" customHeight="1">
      <c r="A3" s="697" t="s">
        <v>463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</row>
    <row r="4" spans="1:75" s="137" customFormat="1" ht="15.75" customHeight="1">
      <c r="A4" s="723"/>
      <c r="B4" s="723"/>
      <c r="C4" s="723"/>
      <c r="D4" s="723"/>
      <c r="E4" s="723"/>
      <c r="F4" s="723"/>
      <c r="G4" s="723"/>
      <c r="H4" s="723"/>
      <c r="I4" s="723"/>
      <c r="J4" s="723"/>
      <c r="K4" s="723"/>
      <c r="L4" s="723"/>
      <c r="M4" s="723"/>
    </row>
    <row r="5" spans="1:75" ht="15.75" customHeight="1">
      <c r="A5" s="699" t="s">
        <v>191</v>
      </c>
      <c r="B5" s="724">
        <v>1</v>
      </c>
      <c r="C5" s="724"/>
      <c r="D5" s="724">
        <v>2</v>
      </c>
      <c r="E5" s="724"/>
      <c r="F5" s="724">
        <v>3</v>
      </c>
      <c r="G5" s="724"/>
      <c r="H5" s="702">
        <v>4</v>
      </c>
      <c r="I5" s="702"/>
      <c r="J5" s="702">
        <v>5</v>
      </c>
      <c r="K5" s="702"/>
      <c r="L5" s="702">
        <v>6</v>
      </c>
      <c r="M5" s="702"/>
      <c r="N5" s="702">
        <v>7</v>
      </c>
      <c r="O5" s="702"/>
      <c r="P5" s="702">
        <v>8</v>
      </c>
      <c r="Q5" s="702"/>
    </row>
    <row r="6" spans="1:75" ht="15.75" customHeight="1">
      <c r="A6" s="699"/>
      <c r="B6" s="725" t="s">
        <v>490</v>
      </c>
      <c r="C6" s="725"/>
      <c r="D6" s="725" t="s">
        <v>212</v>
      </c>
      <c r="E6" s="725"/>
      <c r="F6" s="725" t="s">
        <v>166</v>
      </c>
      <c r="G6" s="725"/>
      <c r="H6" s="699" t="s">
        <v>460</v>
      </c>
      <c r="I6" s="699"/>
      <c r="J6" s="699" t="s">
        <v>189</v>
      </c>
      <c r="K6" s="699"/>
      <c r="L6" s="699" t="s">
        <v>167</v>
      </c>
      <c r="M6" s="699"/>
      <c r="N6" s="699" t="s">
        <v>190</v>
      </c>
      <c r="O6" s="699"/>
      <c r="P6" s="816" t="s">
        <v>217</v>
      </c>
      <c r="Q6" s="699"/>
    </row>
    <row r="8" spans="1:75" s="242" customFormat="1" ht="15.75" customHeight="1">
      <c r="A8" s="702" t="s">
        <v>191</v>
      </c>
      <c r="B8" s="702"/>
      <c r="C8" s="241" t="s">
        <v>47</v>
      </c>
      <c r="D8" s="720" t="s">
        <v>12</v>
      </c>
      <c r="E8" s="720"/>
      <c r="F8" s="720"/>
      <c r="G8" s="714" t="s">
        <v>53</v>
      </c>
      <c r="H8" s="715"/>
      <c r="I8" s="716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06" t="s">
        <v>51</v>
      </c>
      <c r="P8" s="706"/>
    </row>
    <row r="9" spans="1:75" ht="24.95" customHeight="1">
      <c r="A9" s="702">
        <v>1</v>
      </c>
      <c r="B9" s="717" t="s">
        <v>491</v>
      </c>
      <c r="C9" s="243">
        <v>1</v>
      </c>
      <c r="D9" s="244"/>
      <c r="E9" s="245"/>
      <c r="F9" s="246"/>
      <c r="G9" s="275"/>
      <c r="H9" s="245"/>
      <c r="I9" s="275"/>
      <c r="J9" s="243"/>
      <c r="K9" s="249"/>
      <c r="L9" s="243"/>
      <c r="M9" s="333">
        <f>L9*J9</f>
        <v>0</v>
      </c>
      <c r="N9" s="250"/>
      <c r="O9" s="777"/>
      <c r="P9" s="778"/>
    </row>
    <row r="10" spans="1:75" ht="24.95" customHeight="1">
      <c r="A10" s="702"/>
      <c r="B10" s="717"/>
      <c r="C10" s="243">
        <v>2</v>
      </c>
      <c r="D10" s="244"/>
      <c r="E10" s="245"/>
      <c r="F10" s="246"/>
      <c r="G10" s="244"/>
      <c r="H10" s="245"/>
      <c r="I10" s="275"/>
      <c r="J10" s="243"/>
      <c r="K10" s="249"/>
      <c r="L10" s="243"/>
      <c r="M10" s="333">
        <f t="shared" ref="M10:M13" si="0">L10*J10</f>
        <v>0</v>
      </c>
      <c r="N10" s="250"/>
      <c r="O10" s="811"/>
      <c r="P10" s="812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4.95" customHeight="1">
      <c r="A11" s="702"/>
      <c r="B11" s="717"/>
      <c r="C11" s="243">
        <v>3</v>
      </c>
      <c r="D11" s="244"/>
      <c r="E11" s="245"/>
      <c r="F11" s="246"/>
      <c r="G11" s="320"/>
      <c r="H11" s="321"/>
      <c r="I11" s="322"/>
      <c r="J11" s="243"/>
      <c r="K11" s="249"/>
      <c r="L11" s="243"/>
      <c r="M11" s="333">
        <f t="shared" si="0"/>
        <v>0</v>
      </c>
      <c r="N11" s="250"/>
      <c r="O11" s="811"/>
      <c r="P11" s="812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4.95" customHeight="1">
      <c r="A12" s="702"/>
      <c r="B12" s="717"/>
      <c r="C12" s="243">
        <v>4</v>
      </c>
      <c r="D12" s="244"/>
      <c r="E12" s="245"/>
      <c r="F12" s="246"/>
      <c r="G12" s="384"/>
      <c r="H12" s="385"/>
      <c r="I12" s="386"/>
      <c r="J12" s="243"/>
      <c r="K12" s="249"/>
      <c r="L12" s="243"/>
      <c r="M12" s="333">
        <f t="shared" si="0"/>
        <v>0</v>
      </c>
      <c r="N12" s="250"/>
      <c r="O12" s="811"/>
      <c r="P12" s="812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4.95" customHeight="1" thickBot="1">
      <c r="A13" s="702"/>
      <c r="B13" s="717"/>
      <c r="C13" s="243">
        <v>5</v>
      </c>
      <c r="D13" s="251"/>
      <c r="E13" s="252"/>
      <c r="F13" s="253"/>
      <c r="G13" s="384"/>
      <c r="H13" s="385"/>
      <c r="I13" s="386"/>
      <c r="J13" s="254"/>
      <c r="K13" s="255"/>
      <c r="L13" s="254"/>
      <c r="M13" s="334">
        <f t="shared" si="0"/>
        <v>0</v>
      </c>
      <c r="N13" s="250"/>
      <c r="O13" s="811"/>
      <c r="P13" s="812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>
      <c r="A14" s="702"/>
      <c r="B14" s="717"/>
      <c r="C14" s="708"/>
      <c r="D14" s="709"/>
      <c r="E14" s="709"/>
      <c r="F14" s="709"/>
      <c r="G14" s="709"/>
      <c r="H14" s="709"/>
      <c r="I14" s="710"/>
      <c r="J14" s="256" t="s">
        <v>58</v>
      </c>
      <c r="K14" s="353">
        <f>M14/'生產管理報表 7-1(月)'!$B$10</f>
        <v>0</v>
      </c>
      <c r="L14" s="256" t="s">
        <v>59</v>
      </c>
      <c r="M14" s="335">
        <f>SUM(M9:M13)</f>
        <v>0</v>
      </c>
      <c r="N14" s="813"/>
      <c r="O14" s="814"/>
      <c r="P14" s="815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02" t="s">
        <v>191</v>
      </c>
      <c r="B16" s="702"/>
      <c r="C16" s="259" t="s">
        <v>47</v>
      </c>
      <c r="D16" s="711" t="s">
        <v>12</v>
      </c>
      <c r="E16" s="712"/>
      <c r="F16" s="713"/>
      <c r="G16" s="714" t="s">
        <v>53</v>
      </c>
      <c r="H16" s="715"/>
      <c r="I16" s="716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4" t="s">
        <v>51</v>
      </c>
      <c r="P16" s="805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702">
        <v>2</v>
      </c>
      <c r="B17" s="717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6"/>
      <c r="P17" s="807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702"/>
      <c r="B18" s="717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6"/>
      <c r="P18" s="807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702"/>
      <c r="B19" s="717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6"/>
      <c r="P19" s="807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702"/>
      <c r="B20" s="717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6"/>
      <c r="P20" s="807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702"/>
      <c r="B21" s="717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6"/>
      <c r="P21" s="807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>
      <c r="A22" s="702"/>
      <c r="B22" s="717"/>
      <c r="C22" s="708"/>
      <c r="D22" s="709"/>
      <c r="E22" s="709"/>
      <c r="F22" s="709"/>
      <c r="G22" s="709"/>
      <c r="H22" s="709"/>
      <c r="I22" s="710"/>
      <c r="J22" s="256" t="s">
        <v>58</v>
      </c>
      <c r="K22" s="353">
        <f>M22/'生產管理報表 7-1(月)'!$B$10</f>
        <v>0</v>
      </c>
      <c r="L22" s="256" t="s">
        <v>59</v>
      </c>
      <c r="M22" s="257">
        <f>SUM(M17:M21)</f>
        <v>0</v>
      </c>
      <c r="N22" s="808"/>
      <c r="O22" s="809"/>
      <c r="P22" s="810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02" t="s">
        <v>191</v>
      </c>
      <c r="B24" s="702"/>
      <c r="C24" s="259" t="s">
        <v>47</v>
      </c>
      <c r="D24" s="711" t="s">
        <v>12</v>
      </c>
      <c r="E24" s="712"/>
      <c r="F24" s="713"/>
      <c r="G24" s="714" t="s">
        <v>53</v>
      </c>
      <c r="H24" s="715"/>
      <c r="I24" s="716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02" t="s">
        <v>51</v>
      </c>
      <c r="P24" s="803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4.95" customHeight="1">
      <c r="A25" s="702">
        <v>3</v>
      </c>
      <c r="B25" s="717" t="s">
        <v>449</v>
      </c>
      <c r="C25" s="263">
        <v>1</v>
      </c>
      <c r="D25" s="244"/>
      <c r="E25" s="245"/>
      <c r="F25" s="246"/>
      <c r="G25" s="384"/>
      <c r="H25" s="385"/>
      <c r="I25" s="386"/>
      <c r="J25" s="276"/>
      <c r="K25" s="265"/>
      <c r="L25" s="264"/>
      <c r="M25" s="336">
        <f t="shared" ref="M25:M29" si="2">L25*J25</f>
        <v>0</v>
      </c>
      <c r="N25" s="277"/>
      <c r="O25" s="797"/>
      <c r="P25" s="79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4.95" customHeight="1">
      <c r="A26" s="702"/>
      <c r="B26" s="717"/>
      <c r="C26" s="263">
        <v>2</v>
      </c>
      <c r="D26" s="244"/>
      <c r="E26" s="245"/>
      <c r="F26" s="246"/>
      <c r="G26" s="384"/>
      <c r="H26" s="385"/>
      <c r="I26" s="386"/>
      <c r="J26" s="276"/>
      <c r="K26" s="265"/>
      <c r="L26" s="264"/>
      <c r="M26" s="336">
        <f t="shared" si="2"/>
        <v>0</v>
      </c>
      <c r="N26" s="277"/>
      <c r="O26" s="797"/>
      <c r="P26" s="79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4.95" customHeight="1">
      <c r="A27" s="702"/>
      <c r="B27" s="717"/>
      <c r="C27" s="263">
        <v>3</v>
      </c>
      <c r="D27" s="244"/>
      <c r="E27" s="245"/>
      <c r="F27" s="246"/>
      <c r="G27" s="384"/>
      <c r="H27" s="385"/>
      <c r="I27" s="386"/>
      <c r="J27" s="276"/>
      <c r="K27" s="265"/>
      <c r="L27" s="264"/>
      <c r="M27" s="336">
        <f t="shared" si="2"/>
        <v>0</v>
      </c>
      <c r="N27" s="277"/>
      <c r="O27" s="797"/>
      <c r="P27" s="79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4.95" customHeight="1">
      <c r="A28" s="702"/>
      <c r="B28" s="717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797"/>
      <c r="P28" s="79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4.95" customHeight="1" thickBot="1">
      <c r="A29" s="702"/>
      <c r="B29" s="717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797"/>
      <c r="P29" s="79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>
      <c r="A30" s="702"/>
      <c r="B30" s="717"/>
      <c r="C30" s="708"/>
      <c r="D30" s="709"/>
      <c r="E30" s="709"/>
      <c r="F30" s="709"/>
      <c r="G30" s="709"/>
      <c r="H30" s="709"/>
      <c r="I30" s="710"/>
      <c r="J30" s="281" t="s">
        <v>58</v>
      </c>
      <c r="K30" s="353">
        <f>M30/'生產管理報表 7-1(月)'!$B$10</f>
        <v>0</v>
      </c>
      <c r="L30" s="281" t="s">
        <v>59</v>
      </c>
      <c r="M30" s="337">
        <f>SUM(M25:M29)</f>
        <v>0</v>
      </c>
      <c r="N30" s="799"/>
      <c r="O30" s="800"/>
      <c r="P30" s="801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52" style="296" customWidth="1"/>
    <col min="17" max="16384" width="12.5703125" style="296"/>
  </cols>
  <sheetData>
    <row r="1" spans="1:20" s="136" customFormat="1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</row>
    <row r="2" spans="1:20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</row>
    <row r="3" spans="1:20" s="136" customFormat="1" ht="15.75" customHeight="1">
      <c r="A3" s="697" t="s">
        <v>463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</row>
    <row r="4" spans="1:20" s="137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</row>
    <row r="5" spans="1:20" s="136" customFormat="1" ht="15.75" customHeight="1">
      <c r="A5" s="793" t="s">
        <v>191</v>
      </c>
      <c r="B5" s="795">
        <v>1</v>
      </c>
      <c r="C5" s="796"/>
      <c r="D5" s="795">
        <v>2</v>
      </c>
      <c r="E5" s="796"/>
      <c r="F5" s="795">
        <v>3</v>
      </c>
      <c r="G5" s="796"/>
      <c r="H5" s="786">
        <v>4</v>
      </c>
      <c r="I5" s="787"/>
      <c r="J5" s="786">
        <v>5</v>
      </c>
      <c r="K5" s="787"/>
      <c r="L5" s="786">
        <v>6</v>
      </c>
      <c r="M5" s="787"/>
      <c r="N5" s="786">
        <v>7</v>
      </c>
      <c r="O5" s="787"/>
      <c r="P5" s="338">
        <v>8</v>
      </c>
    </row>
    <row r="6" spans="1:20" s="136" customFormat="1" ht="15.75" customHeight="1">
      <c r="A6" s="794"/>
      <c r="B6" s="790" t="s">
        <v>490</v>
      </c>
      <c r="C6" s="791"/>
      <c r="D6" s="790" t="s">
        <v>212</v>
      </c>
      <c r="E6" s="791"/>
      <c r="F6" s="790" t="s">
        <v>166</v>
      </c>
      <c r="G6" s="791"/>
      <c r="H6" s="788" t="s">
        <v>460</v>
      </c>
      <c r="I6" s="789"/>
      <c r="J6" s="788" t="s">
        <v>189</v>
      </c>
      <c r="K6" s="789"/>
      <c r="L6" s="788" t="s">
        <v>167</v>
      </c>
      <c r="M6" s="789"/>
      <c r="N6" s="788" t="s">
        <v>190</v>
      </c>
      <c r="O6" s="789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0" t="s">
        <v>191</v>
      </c>
      <c r="B8" s="731"/>
      <c r="C8" s="282" t="s">
        <v>47</v>
      </c>
      <c r="D8" s="821" t="s">
        <v>12</v>
      </c>
      <c r="E8" s="822"/>
      <c r="F8" s="823"/>
      <c r="G8" s="824" t="s">
        <v>53</v>
      </c>
      <c r="H8" s="825"/>
      <c r="I8" s="826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8" t="s">
        <v>51</v>
      </c>
      <c r="P8" s="739"/>
      <c r="R8" s="354"/>
      <c r="S8" s="355"/>
    </row>
    <row r="9" spans="1:20" s="305" customFormat="1" ht="60" customHeight="1">
      <c r="A9" s="740">
        <v>4</v>
      </c>
      <c r="B9" s="774" t="s">
        <v>460</v>
      </c>
      <c r="C9" s="286">
        <v>1</v>
      </c>
      <c r="D9" s="412" t="s">
        <v>342</v>
      </c>
      <c r="E9" s="385"/>
      <c r="F9" s="419"/>
      <c r="G9" s="247" t="s">
        <v>398</v>
      </c>
      <c r="H9" s="248"/>
      <c r="I9" s="247"/>
      <c r="J9" s="323">
        <v>127.84000000000002</v>
      </c>
      <c r="K9" s="324">
        <v>3.7345296615126471E-4</v>
      </c>
      <c r="L9" s="325">
        <v>260.25000000000006</v>
      </c>
      <c r="M9" s="333">
        <f t="shared" ref="M9:M13" si="0">L9*J9</f>
        <v>33270.360000000015</v>
      </c>
      <c r="N9" s="325"/>
      <c r="O9" s="770" t="s">
        <v>610</v>
      </c>
      <c r="P9" s="771"/>
      <c r="R9" s="356"/>
      <c r="S9" s="356"/>
    </row>
    <row r="10" spans="1:20" s="305" customFormat="1" ht="60" customHeight="1">
      <c r="A10" s="741"/>
      <c r="B10" s="775"/>
      <c r="C10" s="286">
        <v>2</v>
      </c>
      <c r="D10" s="381" t="s">
        <v>370</v>
      </c>
      <c r="E10" s="245"/>
      <c r="F10" s="246"/>
      <c r="G10" s="247" t="s">
        <v>369</v>
      </c>
      <c r="H10" s="248"/>
      <c r="I10" s="247"/>
      <c r="J10" s="323">
        <v>426.69</v>
      </c>
      <c r="K10" s="324">
        <v>6.67443506827674E-4</v>
      </c>
      <c r="L10" s="325">
        <v>54.390000000000114</v>
      </c>
      <c r="M10" s="333">
        <f t="shared" si="0"/>
        <v>23207.66910000005</v>
      </c>
      <c r="N10" s="325"/>
      <c r="O10" s="770" t="s">
        <v>611</v>
      </c>
      <c r="P10" s="771"/>
      <c r="R10" s="356"/>
      <c r="S10" s="356"/>
    </row>
    <row r="11" spans="1:20" s="305" customFormat="1" ht="60" customHeight="1">
      <c r="A11" s="741"/>
      <c r="B11" s="775"/>
      <c r="C11" s="286">
        <v>3</v>
      </c>
      <c r="D11" s="381" t="s">
        <v>536</v>
      </c>
      <c r="E11" s="245"/>
      <c r="F11" s="246"/>
      <c r="G11" s="313" t="s">
        <v>546</v>
      </c>
      <c r="H11" s="312"/>
      <c r="I11" s="313"/>
      <c r="J11" s="323">
        <v>118.30999999999997</v>
      </c>
      <c r="K11" s="324">
        <v>8.9741185045723901E-4</v>
      </c>
      <c r="L11" s="325">
        <v>161.0199999999993</v>
      </c>
      <c r="M11" s="333">
        <f t="shared" si="0"/>
        <v>19050.276199999913</v>
      </c>
      <c r="N11" s="325"/>
      <c r="O11" s="770" t="s">
        <v>612</v>
      </c>
      <c r="P11" s="771"/>
      <c r="R11" s="356"/>
      <c r="S11" s="354"/>
    </row>
    <row r="12" spans="1:20" s="305" customFormat="1" ht="60" customHeight="1">
      <c r="A12" s="741"/>
      <c r="B12" s="775"/>
      <c r="C12" s="286">
        <v>4</v>
      </c>
      <c r="D12" s="420" t="s">
        <v>537</v>
      </c>
      <c r="E12" s="245"/>
      <c r="F12" s="246"/>
      <c r="G12" s="247" t="s">
        <v>545</v>
      </c>
      <c r="H12" s="248"/>
      <c r="I12" s="247"/>
      <c r="J12" s="323">
        <v>84.3</v>
      </c>
      <c r="K12" s="324">
        <v>1.1783604664612542E-3</v>
      </c>
      <c r="L12" s="325">
        <v>211.34000000000032</v>
      </c>
      <c r="M12" s="333">
        <f t="shared" si="0"/>
        <v>17815.962000000025</v>
      </c>
      <c r="N12" s="325"/>
      <c r="O12" s="770" t="s">
        <v>613</v>
      </c>
      <c r="P12" s="771"/>
      <c r="R12" s="356"/>
      <c r="S12" s="354"/>
    </row>
    <row r="13" spans="1:20" s="305" customFormat="1" ht="60" customHeight="1" thickBot="1">
      <c r="A13" s="741"/>
      <c r="B13" s="775"/>
      <c r="C13" s="286">
        <v>5</v>
      </c>
      <c r="D13" s="420" t="s">
        <v>356</v>
      </c>
      <c r="E13" s="252"/>
      <c r="F13" s="253"/>
      <c r="G13" s="370" t="s">
        <v>458</v>
      </c>
      <c r="H13" s="312"/>
      <c r="I13" s="313"/>
      <c r="J13" s="327">
        <v>99.51</v>
      </c>
      <c r="K13" s="271">
        <v>1.6826302897874801E-3</v>
      </c>
      <c r="L13" s="328">
        <v>176.75999999999993</v>
      </c>
      <c r="M13" s="333">
        <f t="shared" si="0"/>
        <v>17589.387599999995</v>
      </c>
      <c r="N13" s="325"/>
      <c r="O13" s="770" t="s">
        <v>614</v>
      </c>
      <c r="P13" s="771"/>
      <c r="R13" s="357"/>
      <c r="S13" s="354"/>
      <c r="T13" s="296"/>
    </row>
    <row r="14" spans="1:20" ht="15.75" customHeight="1" thickTop="1" thickBot="1">
      <c r="A14" s="742"/>
      <c r="B14" s="776"/>
      <c r="C14" s="783"/>
      <c r="D14" s="784"/>
      <c r="E14" s="784"/>
      <c r="F14" s="784"/>
      <c r="G14" s="784"/>
      <c r="H14" s="784"/>
      <c r="I14" s="785"/>
      <c r="J14" s="302" t="s">
        <v>58</v>
      </c>
      <c r="K14" s="353">
        <f>M14/'生產管理報表 7-1(月)'!$B$10</f>
        <v>0.29310086124582263</v>
      </c>
      <c r="L14" s="303" t="s">
        <v>59</v>
      </c>
      <c r="M14" s="345">
        <f>SUM(M9:M13)</f>
        <v>110933.65489999999</v>
      </c>
      <c r="N14" s="727"/>
      <c r="O14" s="728"/>
      <c r="P14" s="729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30" t="s">
        <v>191</v>
      </c>
      <c r="B16" s="731"/>
      <c r="C16" s="282" t="s">
        <v>47</v>
      </c>
      <c r="D16" s="758" t="s">
        <v>12</v>
      </c>
      <c r="E16" s="759"/>
      <c r="F16" s="760"/>
      <c r="G16" s="761" t="s">
        <v>53</v>
      </c>
      <c r="H16" s="762"/>
      <c r="I16" s="763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8" t="s">
        <v>51</v>
      </c>
      <c r="P16" s="739"/>
      <c r="S16" s="355"/>
      <c r="T16" s="305"/>
    </row>
    <row r="17" spans="1:20" s="305" customFormat="1" ht="50.1" customHeight="1">
      <c r="A17" s="740">
        <v>5</v>
      </c>
      <c r="B17" s="753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3">
        <v>147.43000000000004</v>
      </c>
      <c r="K17" s="324">
        <v>1.1377087107014115E-4</v>
      </c>
      <c r="L17" s="325">
        <v>513.05999999999972</v>
      </c>
      <c r="M17" s="333">
        <f t="shared" ref="M17:M19" si="1">L17*J17</f>
        <v>75640.435799999977</v>
      </c>
      <c r="N17" s="325"/>
      <c r="O17" s="819" t="s">
        <v>615</v>
      </c>
      <c r="P17" s="820"/>
      <c r="S17" s="354"/>
    </row>
    <row r="18" spans="1:20" s="305" customFormat="1" ht="20.100000000000001" customHeight="1">
      <c r="A18" s="741"/>
      <c r="B18" s="754"/>
      <c r="C18" s="286">
        <v>2</v>
      </c>
      <c r="D18" s="244"/>
      <c r="E18" s="245"/>
      <c r="F18" s="246"/>
      <c r="G18" s="290"/>
      <c r="H18" s="291"/>
      <c r="I18" s="292"/>
      <c r="J18" s="323"/>
      <c r="K18" s="324"/>
      <c r="L18" s="325"/>
      <c r="M18" s="333">
        <f t="shared" si="1"/>
        <v>0</v>
      </c>
      <c r="N18" s="325"/>
      <c r="O18" s="766"/>
      <c r="P18" s="767"/>
      <c r="S18" s="296"/>
      <c r="T18" s="296"/>
    </row>
    <row r="19" spans="1:20" ht="20.100000000000001" customHeight="1">
      <c r="A19" s="741"/>
      <c r="B19" s="754"/>
      <c r="C19" s="286">
        <v>3</v>
      </c>
      <c r="D19" s="287"/>
      <c r="E19" s="288"/>
      <c r="F19" s="289"/>
      <c r="G19" s="290"/>
      <c r="H19" s="291"/>
      <c r="I19" s="292"/>
      <c r="J19" s="293"/>
      <c r="K19" s="294"/>
      <c r="L19" s="295"/>
      <c r="M19" s="342">
        <f t="shared" si="1"/>
        <v>0</v>
      </c>
      <c r="N19" s="295"/>
      <c r="O19" s="748"/>
      <c r="P19" s="749"/>
    </row>
    <row r="20" spans="1:20" ht="20.100000000000001" customHeight="1">
      <c r="A20" s="741"/>
      <c r="B20" s="754"/>
      <c r="C20" s="286">
        <v>4</v>
      </c>
      <c r="D20" s="287"/>
      <c r="E20" s="288"/>
      <c r="F20" s="289"/>
      <c r="G20" s="290"/>
      <c r="H20" s="291"/>
      <c r="I20" s="292"/>
      <c r="J20" s="293"/>
      <c r="K20" s="294"/>
      <c r="L20" s="295"/>
      <c r="M20" s="343">
        <v>0</v>
      </c>
      <c r="N20" s="295"/>
      <c r="O20" s="306"/>
      <c r="P20" s="307"/>
    </row>
    <row r="21" spans="1:20" ht="20.100000000000001" customHeight="1" thickBot="1">
      <c r="A21" s="741"/>
      <c r="B21" s="754"/>
      <c r="C21" s="286">
        <v>5</v>
      </c>
      <c r="D21" s="297"/>
      <c r="E21" s="298"/>
      <c r="F21" s="299"/>
      <c r="G21" s="290"/>
      <c r="H21" s="291"/>
      <c r="I21" s="292"/>
      <c r="J21" s="300"/>
      <c r="K21" s="271"/>
      <c r="L21" s="301"/>
      <c r="M21" s="344">
        <v>0</v>
      </c>
      <c r="N21" s="295"/>
      <c r="O21" s="308"/>
      <c r="P21" s="309"/>
      <c r="R21" s="358"/>
    </row>
    <row r="22" spans="1:20" ht="15.75" customHeight="1" thickTop="1" thickBot="1">
      <c r="A22" s="742"/>
      <c r="B22" s="755"/>
      <c r="C22" s="750"/>
      <c r="D22" s="751"/>
      <c r="E22" s="751"/>
      <c r="F22" s="751"/>
      <c r="G22" s="751"/>
      <c r="H22" s="751"/>
      <c r="I22" s="752"/>
      <c r="J22" s="302" t="s">
        <v>58</v>
      </c>
      <c r="K22" s="353">
        <f>M22/'生產管理報表 7-1(月)'!$B$10</f>
        <v>0.199851676193077</v>
      </c>
      <c r="L22" s="303" t="s">
        <v>59</v>
      </c>
      <c r="M22" s="345">
        <f>SUM(M17:M21)</f>
        <v>75640.435799999977</v>
      </c>
      <c r="N22" s="727"/>
      <c r="O22" s="728"/>
      <c r="P22" s="729"/>
      <c r="R22" s="354"/>
    </row>
    <row r="23" spans="1:20" ht="15.75" customHeight="1" thickTop="1">
      <c r="M23" s="340"/>
      <c r="R23" s="354"/>
    </row>
    <row r="24" spans="1:20" ht="15.75" customHeight="1">
      <c r="A24" s="730" t="s">
        <v>191</v>
      </c>
      <c r="B24" s="731"/>
      <c r="C24" s="310" t="s">
        <v>47</v>
      </c>
      <c r="D24" s="732" t="s">
        <v>12</v>
      </c>
      <c r="E24" s="733"/>
      <c r="F24" s="734"/>
      <c r="G24" s="735" t="s">
        <v>53</v>
      </c>
      <c r="H24" s="736"/>
      <c r="I24" s="737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8" t="s">
        <v>51</v>
      </c>
      <c r="P24" s="739"/>
      <c r="R24" s="354"/>
    </row>
    <row r="25" spans="1:20" ht="60" customHeight="1">
      <c r="A25" s="740">
        <v>6</v>
      </c>
      <c r="B25" s="753" t="s">
        <v>216</v>
      </c>
      <c r="C25" s="286">
        <v>1</v>
      </c>
      <c r="D25" s="244" t="s">
        <v>344</v>
      </c>
      <c r="E25" s="288"/>
      <c r="F25" s="288"/>
      <c r="G25" s="383" t="s">
        <v>507</v>
      </c>
      <c r="H25" s="312"/>
      <c r="I25" s="313"/>
      <c r="J25" s="323">
        <v>605.77999999999986</v>
      </c>
      <c r="K25" s="324">
        <v>4.2366513776097032E-4</v>
      </c>
      <c r="L25" s="325">
        <v>30.919999999999895</v>
      </c>
      <c r="M25" s="333">
        <f t="shared" ref="M25:M28" si="2">L25*J25</f>
        <v>18730.717599999931</v>
      </c>
      <c r="N25" s="295"/>
      <c r="O25" s="817" t="s">
        <v>616</v>
      </c>
      <c r="P25" s="818"/>
    </row>
    <row r="26" spans="1:20" ht="60" customHeight="1">
      <c r="A26" s="741"/>
      <c r="B26" s="754"/>
      <c r="C26" s="286">
        <v>2</v>
      </c>
      <c r="D26" s="244" t="s">
        <v>342</v>
      </c>
      <c r="E26" s="288"/>
      <c r="F26" s="288"/>
      <c r="G26" s="383" t="s">
        <v>499</v>
      </c>
      <c r="H26" s="312"/>
      <c r="I26" s="313"/>
      <c r="J26" s="323">
        <v>3.2199999999999998</v>
      </c>
      <c r="K26" s="324">
        <v>0</v>
      </c>
      <c r="L26" s="325">
        <v>3713</v>
      </c>
      <c r="M26" s="333">
        <f t="shared" si="2"/>
        <v>11955.859999999999</v>
      </c>
      <c r="N26" s="295"/>
      <c r="O26" s="817" t="s">
        <v>617</v>
      </c>
      <c r="P26" s="818"/>
    </row>
    <row r="27" spans="1:20" ht="60" customHeight="1">
      <c r="A27" s="741"/>
      <c r="B27" s="754"/>
      <c r="C27" s="286">
        <v>3</v>
      </c>
      <c r="D27" s="244" t="s">
        <v>514</v>
      </c>
      <c r="E27" s="288"/>
      <c r="F27" s="288"/>
      <c r="G27" s="383" t="s">
        <v>512</v>
      </c>
      <c r="H27" s="312"/>
      <c r="I27" s="313"/>
      <c r="J27" s="323">
        <v>407.74000000000007</v>
      </c>
      <c r="K27" s="324">
        <v>9.3933456068706438E-4</v>
      </c>
      <c r="L27" s="325">
        <v>27.680000000000117</v>
      </c>
      <c r="M27" s="333">
        <f t="shared" si="2"/>
        <v>11286.24320000005</v>
      </c>
      <c r="N27" s="295"/>
      <c r="O27" s="817" t="s">
        <v>618</v>
      </c>
      <c r="P27" s="818"/>
    </row>
    <row r="28" spans="1:20" ht="120" customHeight="1">
      <c r="A28" s="741"/>
      <c r="B28" s="754"/>
      <c r="C28" s="286">
        <v>4</v>
      </c>
      <c r="D28" s="244" t="s">
        <v>498</v>
      </c>
      <c r="E28" s="288"/>
      <c r="F28" s="288"/>
      <c r="G28" s="383" t="s">
        <v>500</v>
      </c>
      <c r="H28" s="312"/>
      <c r="I28" s="313"/>
      <c r="J28" s="323">
        <v>327.16000000000003</v>
      </c>
      <c r="K28" s="324">
        <v>6.9029850746268667E-3</v>
      </c>
      <c r="L28" s="325">
        <v>8.8999999999999559</v>
      </c>
      <c r="M28" s="333">
        <f t="shared" si="2"/>
        <v>2911.7239999999856</v>
      </c>
      <c r="N28" s="295"/>
      <c r="O28" s="817" t="s">
        <v>619</v>
      </c>
      <c r="P28" s="818"/>
    </row>
    <row r="29" spans="1:20" ht="60" customHeight="1" thickBot="1">
      <c r="A29" s="741"/>
      <c r="B29" s="754"/>
      <c r="C29" s="286">
        <v>5</v>
      </c>
      <c r="D29" s="251"/>
      <c r="E29" s="298"/>
      <c r="F29" s="298"/>
      <c r="G29" s="417"/>
      <c r="H29" s="312"/>
      <c r="I29" s="313"/>
      <c r="J29" s="327"/>
      <c r="K29" s="271"/>
      <c r="L29" s="328"/>
      <c r="M29" s="333">
        <f>L29*J29</f>
        <v>0</v>
      </c>
      <c r="N29" s="295"/>
      <c r="O29" s="817"/>
      <c r="P29" s="818"/>
    </row>
    <row r="30" spans="1:20" ht="15.75" customHeight="1" thickTop="1" thickBot="1">
      <c r="A30" s="742"/>
      <c r="B30" s="755"/>
      <c r="C30" s="750"/>
      <c r="D30" s="751"/>
      <c r="E30" s="751"/>
      <c r="F30" s="751"/>
      <c r="G30" s="751"/>
      <c r="H30" s="751"/>
      <c r="I30" s="752"/>
      <c r="J30" s="302" t="s">
        <v>58</v>
      </c>
      <c r="K30" s="353">
        <f>M30/'生產管理報表 7-1(月)'!$B$10</f>
        <v>0.1185906905290894</v>
      </c>
      <c r="L30" s="303" t="s">
        <v>59</v>
      </c>
      <c r="M30" s="345">
        <f>SUM(M25:M29)</f>
        <v>44884.544799999967</v>
      </c>
      <c r="N30" s="727"/>
      <c r="O30" s="728"/>
      <c r="P30" s="729"/>
    </row>
    <row r="31" spans="1:20" ht="15.75" customHeight="1" thickTop="1">
      <c r="M31" s="340"/>
    </row>
    <row r="32" spans="1:20" ht="15.75" customHeight="1">
      <c r="A32" s="730" t="s">
        <v>191</v>
      </c>
      <c r="B32" s="731"/>
      <c r="C32" s="310" t="s">
        <v>47</v>
      </c>
      <c r="D32" s="732" t="s">
        <v>12</v>
      </c>
      <c r="E32" s="733"/>
      <c r="F32" s="734"/>
      <c r="G32" s="735" t="s">
        <v>53</v>
      </c>
      <c r="H32" s="736"/>
      <c r="I32" s="737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38" t="s">
        <v>51</v>
      </c>
      <c r="P32" s="739"/>
    </row>
    <row r="33" spans="1:16" ht="15.75" customHeight="1">
      <c r="A33" s="740">
        <v>7</v>
      </c>
      <c r="B33" s="743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46"/>
      <c r="P33" s="747"/>
    </row>
    <row r="34" spans="1:16" ht="15.75" customHeight="1">
      <c r="A34" s="741"/>
      <c r="B34" s="744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48"/>
      <c r="P34" s="749"/>
    </row>
    <row r="35" spans="1:16" ht="15.75" customHeight="1">
      <c r="A35" s="741"/>
      <c r="B35" s="744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48"/>
      <c r="P35" s="749"/>
    </row>
    <row r="36" spans="1:16" ht="15.75" customHeight="1">
      <c r="A36" s="741"/>
      <c r="B36" s="744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15.75" customHeight="1" thickBot="1">
      <c r="A37" s="741"/>
      <c r="B37" s="744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42"/>
      <c r="B38" s="745"/>
      <c r="C38" s="750"/>
      <c r="D38" s="751"/>
      <c r="E38" s="751"/>
      <c r="F38" s="751"/>
      <c r="G38" s="751"/>
      <c r="H38" s="751"/>
      <c r="I38" s="752"/>
      <c r="J38" s="302" t="s">
        <v>58</v>
      </c>
      <c r="K38" s="353">
        <f>M38/'生產管理報表 7-1(月)'!$B$10</f>
        <v>0</v>
      </c>
      <c r="L38" s="303" t="s">
        <v>59</v>
      </c>
      <c r="M38" s="345">
        <f>SUM(M33:M37)</f>
        <v>0</v>
      </c>
      <c r="N38" s="727"/>
      <c r="O38" s="728"/>
      <c r="P38" s="729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M70"/>
  <sheetViews>
    <sheetView view="pageBreakPreview" topLeftCell="A19" zoomScale="115" zoomScaleNormal="60" zoomScaleSheetLayoutView="115" workbookViewId="0">
      <selection activeCell="B16" sqref="B16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</row>
    <row r="2" spans="1:13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</row>
    <row r="3" spans="1:13" ht="15.75" customHeight="1">
      <c r="A3" s="697" t="s">
        <v>488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</row>
    <row r="4" spans="1:13" s="137" customFormat="1" ht="15.75" customHeight="1">
      <c r="A4" s="697"/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</row>
    <row r="5" spans="1:13" ht="15.75" customHeight="1">
      <c r="A5" s="226" t="s">
        <v>448</v>
      </c>
      <c r="B5" s="227">
        <v>30121.754649999999</v>
      </c>
      <c r="E5" s="827" t="s">
        <v>489</v>
      </c>
      <c r="F5" s="828"/>
      <c r="G5" s="828"/>
      <c r="H5" s="828"/>
      <c r="I5" s="828"/>
      <c r="J5" s="828"/>
      <c r="K5" s="828"/>
      <c r="L5" s="828"/>
      <c r="M5" s="828"/>
    </row>
    <row r="6" spans="1:13" ht="15.75" customHeight="1">
      <c r="A6" s="829" t="s">
        <v>197</v>
      </c>
      <c r="B6" s="699" t="s">
        <v>10</v>
      </c>
      <c r="C6" s="699"/>
      <c r="D6" s="700"/>
      <c r="E6" s="698" t="s">
        <v>197</v>
      </c>
      <c r="F6" s="702">
        <v>1</v>
      </c>
      <c r="G6" s="702"/>
      <c r="H6" s="702">
        <v>2</v>
      </c>
      <c r="I6" s="702"/>
      <c r="J6" s="702">
        <v>3</v>
      </c>
      <c r="K6" s="702"/>
      <c r="L6" s="702">
        <v>4</v>
      </c>
      <c r="M6" s="702"/>
    </row>
    <row r="7" spans="1:13" ht="31.35" customHeight="1">
      <c r="A7" s="829"/>
      <c r="B7" s="699"/>
      <c r="C7" s="699"/>
      <c r="D7" s="701"/>
      <c r="E7" s="698"/>
      <c r="F7" s="704" t="s">
        <v>490</v>
      </c>
      <c r="G7" s="704"/>
      <c r="H7" s="704" t="s">
        <v>240</v>
      </c>
      <c r="I7" s="704"/>
      <c r="J7" s="704" t="s">
        <v>166</v>
      </c>
      <c r="K7" s="704"/>
      <c r="L7" s="704" t="s">
        <v>460</v>
      </c>
      <c r="M7" s="704"/>
    </row>
    <row r="8" spans="1:13" ht="15.75" customHeight="1">
      <c r="A8" s="829"/>
      <c r="B8" s="155" t="s">
        <v>11</v>
      </c>
      <c r="C8" s="155" t="s">
        <v>41</v>
      </c>
      <c r="D8" s="701"/>
      <c r="E8" s="698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228" t="s">
        <v>242</v>
      </c>
      <c r="B9" s="140">
        <f>日別報廢率總表!M4</f>
        <v>60576.4522</v>
      </c>
      <c r="C9" s="236">
        <f>B9/($B$5*1000)</f>
        <v>2.0110532372323137E-3</v>
      </c>
      <c r="D9" s="701"/>
      <c r="E9" s="139" t="s">
        <v>242</v>
      </c>
      <c r="F9" s="142">
        <f>'報廢20大－原因別分析'!AB8</f>
        <v>17420.757000000005</v>
      </c>
      <c r="G9" s="143">
        <f>'報廢20大－原因別分析'!AB9</f>
        <v>0.8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3765.37</v>
      </c>
      <c r="K9" s="143">
        <f>'報廢20大－原因別分析'!AD9</f>
        <v>0.15</v>
      </c>
      <c r="L9" s="142">
        <f>'報廢20大－原因別分析'!AE8</f>
        <v>0</v>
      </c>
      <c r="M9" s="143">
        <f>'報廢20大－原因別分析'!AE9</f>
        <v>0</v>
      </c>
    </row>
    <row r="10" spans="1:13" ht="19.350000000000001" customHeight="1">
      <c r="A10" s="229" t="s">
        <v>243</v>
      </c>
      <c r="B10" s="145">
        <f>日別報廢率總表!N4</f>
        <v>133821.05619999993</v>
      </c>
      <c r="C10" s="141">
        <f>B10/($B$5*1000)</f>
        <v>4.4426713435168344E-3</v>
      </c>
      <c r="D10" s="701"/>
      <c r="E10" s="144" t="s">
        <v>243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52450.623499999943</v>
      </c>
      <c r="M10" s="143">
        <f>'超用20大－原因別分析'!AE9</f>
        <v>0.8</v>
      </c>
    </row>
    <row r="11" spans="1:13" ht="15.75" customHeight="1">
      <c r="A11" s="225" t="s">
        <v>431</v>
      </c>
      <c r="B11" s="422" t="s">
        <v>539</v>
      </c>
      <c r="C11" s="224"/>
      <c r="D11" s="701"/>
      <c r="E11" s="836" t="s">
        <v>197</v>
      </c>
      <c r="F11" s="795">
        <v>5</v>
      </c>
      <c r="G11" s="796"/>
      <c r="H11" s="795">
        <v>6</v>
      </c>
      <c r="I11" s="796"/>
      <c r="J11" s="795">
        <v>7</v>
      </c>
      <c r="K11" s="796"/>
      <c r="L11" s="830"/>
      <c r="M11" s="831"/>
    </row>
    <row r="12" spans="1:13" ht="31.35" customHeight="1">
      <c r="A12" s="136" t="s">
        <v>432</v>
      </c>
      <c r="B12" s="422" t="s">
        <v>539</v>
      </c>
      <c r="C12" s="224"/>
      <c r="D12" s="701"/>
      <c r="E12" s="837"/>
      <c r="F12" s="832" t="s">
        <v>189</v>
      </c>
      <c r="G12" s="833"/>
      <c r="H12" s="832" t="s">
        <v>167</v>
      </c>
      <c r="I12" s="833"/>
      <c r="J12" s="832" t="s">
        <v>190</v>
      </c>
      <c r="K12" s="833"/>
      <c r="L12" s="834"/>
      <c r="M12" s="835"/>
    </row>
    <row r="13" spans="1:13" ht="15.75" customHeight="1">
      <c r="D13" s="701"/>
      <c r="E13" s="838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1"/>
      <c r="E14" s="139" t="s">
        <v>242</v>
      </c>
      <c r="F14" s="142">
        <f>'報廢20大－原因別分析'!AF8</f>
        <v>0</v>
      </c>
      <c r="G14" s="143">
        <f>'報廢20大－原因別分析'!AF9</f>
        <v>0</v>
      </c>
      <c r="H14" s="142">
        <f>'報廢20大－原因別分析'!AG8</f>
        <v>1467.75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50000000000001" customHeight="1">
      <c r="D15" s="701"/>
      <c r="E15" s="144" t="s">
        <v>243</v>
      </c>
      <c r="F15" s="142">
        <f>'超用20大－原因別分析'!AF8</f>
        <v>18592.397300000004</v>
      </c>
      <c r="G15" s="143">
        <f>'超用20大－原因別分析'!AF9</f>
        <v>0.05</v>
      </c>
      <c r="H15" s="142">
        <f>'超用20大－原因別分析'!AG8</f>
        <v>12788.929400000023</v>
      </c>
      <c r="I15" s="143">
        <f>'超用20大－原因別分析'!AG9</f>
        <v>0.15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6" t="s">
        <v>448</v>
      </c>
      <c r="B16" s="227">
        <v>35260.12975</v>
      </c>
      <c r="E16" s="827" t="s">
        <v>489</v>
      </c>
      <c r="F16" s="828"/>
      <c r="G16" s="828"/>
      <c r="H16" s="828"/>
      <c r="I16" s="828"/>
      <c r="J16" s="828"/>
      <c r="K16" s="828"/>
      <c r="L16" s="828"/>
      <c r="M16" s="828"/>
    </row>
    <row r="17" spans="1:13" ht="15.75" customHeight="1">
      <c r="A17" s="829" t="s">
        <v>197</v>
      </c>
      <c r="B17" s="699" t="s">
        <v>10</v>
      </c>
      <c r="C17" s="699"/>
      <c r="D17" s="700"/>
      <c r="E17" s="698" t="s">
        <v>197</v>
      </c>
      <c r="F17" s="702">
        <v>1</v>
      </c>
      <c r="G17" s="702"/>
      <c r="H17" s="702">
        <v>2</v>
      </c>
      <c r="I17" s="702"/>
      <c r="J17" s="702">
        <v>3</v>
      </c>
      <c r="K17" s="702"/>
      <c r="L17" s="702">
        <v>4</v>
      </c>
      <c r="M17" s="702"/>
    </row>
    <row r="18" spans="1:13" ht="31.35" customHeight="1">
      <c r="A18" s="829"/>
      <c r="B18" s="699"/>
      <c r="C18" s="699"/>
      <c r="D18" s="701"/>
      <c r="E18" s="698"/>
      <c r="F18" s="704" t="s">
        <v>490</v>
      </c>
      <c r="G18" s="704"/>
      <c r="H18" s="704" t="s">
        <v>240</v>
      </c>
      <c r="I18" s="704"/>
      <c r="J18" s="704" t="s">
        <v>166</v>
      </c>
      <c r="K18" s="704"/>
      <c r="L18" s="704" t="s">
        <v>460</v>
      </c>
      <c r="M18" s="704"/>
    </row>
    <row r="19" spans="1:13" ht="15.75" customHeight="1">
      <c r="A19" s="829"/>
      <c r="B19" s="155" t="s">
        <v>11</v>
      </c>
      <c r="C19" s="155" t="s">
        <v>41</v>
      </c>
      <c r="D19" s="701"/>
      <c r="E19" s="698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50000000000001" customHeight="1">
      <c r="A20" s="228" t="s">
        <v>242</v>
      </c>
      <c r="B20" s="140">
        <f>日別報廢率總表!M11</f>
        <v>71083.854800000001</v>
      </c>
      <c r="C20" s="236">
        <f>B20/($B$16*1000)</f>
        <v>2.0159839258674312E-3</v>
      </c>
      <c r="D20" s="701"/>
      <c r="E20" s="139" t="s">
        <v>242</v>
      </c>
      <c r="F20" s="142">
        <f>'報廢20大－原因別分析'!AB32</f>
        <v>16166.722199999998</v>
      </c>
      <c r="G20" s="143">
        <f>'報廢20大－原因別分析'!AB33</f>
        <v>0.75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6782</v>
      </c>
      <c r="K20" s="143">
        <f>'報廢20大－原因別分析'!AD33</f>
        <v>0.2</v>
      </c>
      <c r="L20" s="142">
        <f>'報廢20大－原因別分析'!AE32</f>
        <v>0</v>
      </c>
      <c r="M20" s="143">
        <f>'報廢20大－原因別分析'!AE33</f>
        <v>0</v>
      </c>
    </row>
    <row r="21" spans="1:13" ht="19.350000000000001" customHeight="1">
      <c r="A21" s="229" t="s">
        <v>243</v>
      </c>
      <c r="B21" s="145">
        <f>日別報廢率總表!N11</f>
        <v>152862.11080000008</v>
      </c>
      <c r="C21" s="141">
        <f>B21/($B$16*1000)</f>
        <v>4.3352679608333004E-3</v>
      </c>
      <c r="D21" s="701"/>
      <c r="E21" s="144" t="s">
        <v>243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62898.585099999997</v>
      </c>
      <c r="M21" s="143">
        <f>'超用20大－原因別分析'!AE33</f>
        <v>0.85</v>
      </c>
    </row>
    <row r="22" spans="1:13" ht="15.75" customHeight="1">
      <c r="A22" s="225" t="s">
        <v>431</v>
      </c>
      <c r="B22" s="422" t="s">
        <v>688</v>
      </c>
      <c r="C22" s="224"/>
      <c r="D22" s="701"/>
      <c r="E22" s="698" t="s">
        <v>197</v>
      </c>
      <c r="F22" s="795">
        <v>5</v>
      </c>
      <c r="G22" s="796"/>
      <c r="H22" s="795">
        <v>6</v>
      </c>
      <c r="I22" s="796"/>
      <c r="J22" s="795">
        <v>7</v>
      </c>
      <c r="K22" s="796"/>
      <c r="L22" s="830"/>
      <c r="M22" s="831"/>
    </row>
    <row r="23" spans="1:13" ht="31.35" customHeight="1">
      <c r="A23" s="136" t="s">
        <v>432</v>
      </c>
      <c r="B23" s="422" t="s">
        <v>688</v>
      </c>
      <c r="C23" s="224"/>
      <c r="D23" s="701"/>
      <c r="E23" s="698"/>
      <c r="F23" s="832" t="s">
        <v>189</v>
      </c>
      <c r="G23" s="833"/>
      <c r="H23" s="832" t="s">
        <v>167</v>
      </c>
      <c r="I23" s="833"/>
      <c r="J23" s="832" t="s">
        <v>190</v>
      </c>
      <c r="K23" s="833"/>
      <c r="L23" s="834"/>
      <c r="M23" s="835"/>
    </row>
    <row r="24" spans="1:13" ht="15.75" customHeight="1">
      <c r="D24" s="701"/>
      <c r="E24" s="698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50000000000001" customHeight="1">
      <c r="D25" s="701"/>
      <c r="E25" s="139" t="s">
        <v>242</v>
      </c>
      <c r="F25" s="142">
        <f>'報廢20大－原因別分析'!AF32</f>
        <v>0</v>
      </c>
      <c r="G25" s="143">
        <f>'報廢20大－原因別分析'!AF33</f>
        <v>0</v>
      </c>
      <c r="H25" s="142">
        <f>'報廢20大－原因別分析'!AG32</f>
        <v>1699.5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50000000000001" customHeight="1">
      <c r="D26" s="701"/>
      <c r="E26" s="144" t="s">
        <v>243</v>
      </c>
      <c r="F26" s="142">
        <f>'超用20大－原因別分析'!AF32</f>
        <v>18414.007000000049</v>
      </c>
      <c r="G26" s="143">
        <f>'超用20大－原因別分析'!AF33</f>
        <v>0.05</v>
      </c>
      <c r="H26" s="142">
        <f>'超用20大－原因別分析'!AG32</f>
        <v>8165.9530000000341</v>
      </c>
      <c r="I26" s="143">
        <f>'超用20大－原因別分析'!AG33</f>
        <v>0.1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6" t="s">
        <v>448</v>
      </c>
      <c r="B27" s="227">
        <f>'生產管理報表(週) '!B6</f>
        <v>42842.57084</v>
      </c>
      <c r="E27" s="827" t="s">
        <v>489</v>
      </c>
      <c r="F27" s="828"/>
      <c r="G27" s="828"/>
      <c r="H27" s="828"/>
      <c r="I27" s="828"/>
      <c r="J27" s="828"/>
      <c r="K27" s="828"/>
      <c r="L27" s="828"/>
      <c r="M27" s="828"/>
    </row>
    <row r="28" spans="1:13" ht="15.75" customHeight="1">
      <c r="A28" s="829" t="s">
        <v>197</v>
      </c>
      <c r="B28" s="699" t="s">
        <v>10</v>
      </c>
      <c r="C28" s="699"/>
      <c r="D28" s="700"/>
      <c r="E28" s="698" t="s">
        <v>197</v>
      </c>
      <c r="F28" s="702">
        <v>1</v>
      </c>
      <c r="G28" s="702"/>
      <c r="H28" s="702">
        <v>2</v>
      </c>
      <c r="I28" s="702"/>
      <c r="J28" s="702">
        <v>3</v>
      </c>
      <c r="K28" s="702"/>
      <c r="L28" s="702">
        <v>4</v>
      </c>
      <c r="M28" s="702"/>
    </row>
    <row r="29" spans="1:13" ht="31.35" customHeight="1">
      <c r="A29" s="829"/>
      <c r="B29" s="699"/>
      <c r="C29" s="699"/>
      <c r="D29" s="701"/>
      <c r="E29" s="698"/>
      <c r="F29" s="704" t="s">
        <v>490</v>
      </c>
      <c r="G29" s="704"/>
      <c r="H29" s="704" t="s">
        <v>240</v>
      </c>
      <c r="I29" s="704"/>
      <c r="J29" s="704" t="s">
        <v>166</v>
      </c>
      <c r="K29" s="704"/>
      <c r="L29" s="704" t="s">
        <v>460</v>
      </c>
      <c r="M29" s="704"/>
    </row>
    <row r="30" spans="1:13" ht="15.75" customHeight="1">
      <c r="A30" s="829"/>
      <c r="B30" s="155" t="s">
        <v>11</v>
      </c>
      <c r="C30" s="155" t="s">
        <v>41</v>
      </c>
      <c r="D30" s="701"/>
      <c r="E30" s="698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50000000000001" customHeight="1">
      <c r="A31" s="228" t="s">
        <v>242</v>
      </c>
      <c r="B31" s="140">
        <f>日別報廢率總表!M18</f>
        <v>86344.891999999993</v>
      </c>
      <c r="C31" s="236">
        <f>B31/($B$27*1000)</f>
        <v>2.0153994101442673E-3</v>
      </c>
      <c r="D31" s="701"/>
      <c r="E31" s="139" t="s">
        <v>242</v>
      </c>
      <c r="F31" s="142">
        <f>'報廢20大－原因別分析'!AB56</f>
        <v>18174.7857</v>
      </c>
      <c r="G31" s="143">
        <f>'報廢20大－原因別分析'!AB57</f>
        <v>0.75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7453.9099999999989</v>
      </c>
      <c r="K31" s="143">
        <f>'報廢20大－原因別分析'!AD57</f>
        <v>0.2</v>
      </c>
      <c r="L31" s="142">
        <f>'報廢20大－原因別分析'!AE56</f>
        <v>0</v>
      </c>
      <c r="M31" s="143">
        <f>'報廢20大－原因別分析'!AE57</f>
        <v>0</v>
      </c>
    </row>
    <row r="32" spans="1:13" ht="19.350000000000001" customHeight="1">
      <c r="A32" s="229" t="s">
        <v>243</v>
      </c>
      <c r="B32" s="145">
        <f>日別報廢率總表!N18</f>
        <v>184880.85320000001</v>
      </c>
      <c r="C32" s="141">
        <f>B32/($B$27*1000)</f>
        <v>4.3153538542413019E-3</v>
      </c>
      <c r="D32" s="701"/>
      <c r="E32" s="144" t="s">
        <v>243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64632.062299999998</v>
      </c>
      <c r="M32" s="143">
        <f>'超用20大－原因別分析'!AE57</f>
        <v>0.8</v>
      </c>
    </row>
    <row r="33" spans="1:13" ht="15.75" customHeight="1">
      <c r="A33" s="225" t="s">
        <v>431</v>
      </c>
      <c r="B33" s="422" t="s">
        <v>689</v>
      </c>
      <c r="C33" s="224"/>
      <c r="D33" s="701"/>
      <c r="E33" s="698" t="s">
        <v>197</v>
      </c>
      <c r="F33" s="795">
        <v>5</v>
      </c>
      <c r="G33" s="796"/>
      <c r="H33" s="795">
        <v>6</v>
      </c>
      <c r="I33" s="796"/>
      <c r="J33" s="795">
        <v>7</v>
      </c>
      <c r="K33" s="796"/>
      <c r="L33" s="830"/>
      <c r="M33" s="831"/>
    </row>
    <row r="34" spans="1:13" ht="31.35" customHeight="1">
      <c r="A34" s="136" t="s">
        <v>432</v>
      </c>
      <c r="B34" s="422" t="s">
        <v>689</v>
      </c>
      <c r="C34" s="224"/>
      <c r="D34" s="701"/>
      <c r="E34" s="698"/>
      <c r="F34" s="832" t="s">
        <v>189</v>
      </c>
      <c r="G34" s="833"/>
      <c r="H34" s="832" t="s">
        <v>167</v>
      </c>
      <c r="I34" s="833"/>
      <c r="J34" s="832" t="s">
        <v>190</v>
      </c>
      <c r="K34" s="833"/>
      <c r="L34" s="834"/>
      <c r="M34" s="835"/>
    </row>
    <row r="35" spans="1:13" ht="15.75" customHeight="1">
      <c r="D35" s="701"/>
      <c r="E35" s="698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50000000000001" customHeight="1">
      <c r="D36" s="701"/>
      <c r="E36" s="139" t="s">
        <v>242</v>
      </c>
      <c r="F36" s="142">
        <f>'報廢20大－原因別分析'!AF56</f>
        <v>0</v>
      </c>
      <c r="G36" s="143">
        <f>'報廢20大－原因別分析'!AF57</f>
        <v>0</v>
      </c>
      <c r="H36" s="142">
        <f>'報廢20大－原因別分析'!AG56</f>
        <v>2564.6999999999998</v>
      </c>
      <c r="I36" s="143">
        <f>'報廢20大－原因別分析'!AG57</f>
        <v>0.05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50000000000001" customHeight="1">
      <c r="D37" s="701"/>
      <c r="E37" s="144" t="s">
        <v>243</v>
      </c>
      <c r="F37" s="142">
        <f>'超用20大－原因別分析'!AF56</f>
        <v>22238.341199999988</v>
      </c>
      <c r="G37" s="143">
        <f>'超用20大－原因別分析'!AF57</f>
        <v>0.05</v>
      </c>
      <c r="H37" s="142">
        <f>'超用20大－原因別分析'!AG56</f>
        <v>17965.214300000003</v>
      </c>
      <c r="I37" s="143">
        <f>'超用20大－原因別分析'!AG57</f>
        <v>0.15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6" t="s">
        <v>448</v>
      </c>
      <c r="B38" s="227"/>
      <c r="E38" s="827" t="s">
        <v>489</v>
      </c>
      <c r="F38" s="828"/>
      <c r="G38" s="828"/>
      <c r="H38" s="828"/>
      <c r="I38" s="828"/>
      <c r="J38" s="828"/>
      <c r="K38" s="828"/>
      <c r="L38" s="828"/>
      <c r="M38" s="828"/>
    </row>
    <row r="39" spans="1:13" ht="15.75" customHeight="1">
      <c r="A39" s="829" t="s">
        <v>197</v>
      </c>
      <c r="B39" s="699" t="s">
        <v>10</v>
      </c>
      <c r="C39" s="699"/>
      <c r="D39" s="700"/>
      <c r="E39" s="698" t="s">
        <v>197</v>
      </c>
      <c r="F39" s="702">
        <v>1</v>
      </c>
      <c r="G39" s="702"/>
      <c r="H39" s="702">
        <v>2</v>
      </c>
      <c r="I39" s="702"/>
      <c r="J39" s="702">
        <v>3</v>
      </c>
      <c r="K39" s="702"/>
      <c r="L39" s="702">
        <v>4</v>
      </c>
      <c r="M39" s="702"/>
    </row>
    <row r="40" spans="1:13" ht="31.35" customHeight="1">
      <c r="A40" s="829"/>
      <c r="B40" s="699"/>
      <c r="C40" s="699"/>
      <c r="D40" s="701"/>
      <c r="E40" s="698"/>
      <c r="F40" s="704" t="s">
        <v>490</v>
      </c>
      <c r="G40" s="704"/>
      <c r="H40" s="704" t="s">
        <v>240</v>
      </c>
      <c r="I40" s="704"/>
      <c r="J40" s="704" t="s">
        <v>166</v>
      </c>
      <c r="K40" s="704"/>
      <c r="L40" s="704" t="s">
        <v>460</v>
      </c>
      <c r="M40" s="704"/>
    </row>
    <row r="41" spans="1:13" ht="15.75" customHeight="1">
      <c r="A41" s="829"/>
      <c r="B41" s="155" t="s">
        <v>11</v>
      </c>
      <c r="C41" s="155" t="s">
        <v>41</v>
      </c>
      <c r="D41" s="701"/>
      <c r="E41" s="698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50000000000001" customHeight="1">
      <c r="A42" s="228" t="s">
        <v>242</v>
      </c>
      <c r="B42" s="140">
        <f>日別報廢率總表!M25</f>
        <v>0</v>
      </c>
      <c r="C42" s="236" t="e">
        <f>B42/($B$38*1000)</f>
        <v>#DIV/0!</v>
      </c>
      <c r="D42" s="701"/>
      <c r="E42" s="139" t="s">
        <v>242</v>
      </c>
      <c r="F42" s="142">
        <f>'報廢20大－原因別分析'!AB80</f>
        <v>0</v>
      </c>
      <c r="G42" s="143">
        <f>'報廢20大－原因別分析'!AB81</f>
        <v>0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0</v>
      </c>
      <c r="K42" s="143">
        <f>'報廢20大－原因別分析'!AD81</f>
        <v>0</v>
      </c>
      <c r="L42" s="142">
        <f>'報廢20大－原因別分析'!AE80</f>
        <v>0</v>
      </c>
      <c r="M42" s="143">
        <f>'報廢20大－原因別分析'!AE81</f>
        <v>0</v>
      </c>
    </row>
    <row r="43" spans="1:13" ht="19.350000000000001" customHeight="1">
      <c r="A43" s="229" t="s">
        <v>243</v>
      </c>
      <c r="B43" s="145">
        <f>日別報廢率總表!N25</f>
        <v>0</v>
      </c>
      <c r="C43" s="141" t="e">
        <f>B43/($B$38*1000)</f>
        <v>#DIV/0!</v>
      </c>
      <c r="D43" s="701"/>
      <c r="E43" s="144" t="s">
        <v>243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0</v>
      </c>
      <c r="M43" s="143">
        <f>'超用20大－原因別分析'!AE81</f>
        <v>0</v>
      </c>
    </row>
    <row r="44" spans="1:13" ht="15.75" customHeight="1">
      <c r="A44" s="225" t="s">
        <v>431</v>
      </c>
      <c r="B44" s="422" t="s">
        <v>690</v>
      </c>
      <c r="C44" s="224"/>
      <c r="D44" s="701"/>
      <c r="E44" s="698" t="s">
        <v>197</v>
      </c>
      <c r="F44" s="795">
        <v>5</v>
      </c>
      <c r="G44" s="796"/>
      <c r="H44" s="795">
        <v>6</v>
      </c>
      <c r="I44" s="796"/>
      <c r="J44" s="795">
        <v>7</v>
      </c>
      <c r="K44" s="796"/>
      <c r="L44" s="830"/>
      <c r="M44" s="831"/>
    </row>
    <row r="45" spans="1:13" ht="31.35" customHeight="1">
      <c r="A45" s="136" t="s">
        <v>432</v>
      </c>
      <c r="B45" s="422" t="s">
        <v>690</v>
      </c>
      <c r="C45" s="224"/>
      <c r="D45" s="701"/>
      <c r="E45" s="698"/>
      <c r="F45" s="832" t="s">
        <v>189</v>
      </c>
      <c r="G45" s="833"/>
      <c r="H45" s="832" t="s">
        <v>167</v>
      </c>
      <c r="I45" s="833"/>
      <c r="J45" s="832" t="s">
        <v>190</v>
      </c>
      <c r="K45" s="833"/>
      <c r="L45" s="834"/>
      <c r="M45" s="835"/>
    </row>
    <row r="46" spans="1:13" ht="15.75" customHeight="1">
      <c r="D46" s="701"/>
      <c r="E46" s="698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50000000000001" customHeight="1">
      <c r="D47" s="701"/>
      <c r="E47" s="139" t="s">
        <v>242</v>
      </c>
      <c r="F47" s="142">
        <f>'報廢20大－原因別分析'!AF80</f>
        <v>0</v>
      </c>
      <c r="G47" s="143">
        <f>'報廢20大－原因別分析'!AF81</f>
        <v>0</v>
      </c>
      <c r="H47" s="142">
        <f>'報廢20大－原因別分析'!AG80</f>
        <v>0</v>
      </c>
      <c r="I47" s="143">
        <f>'報廢20大－原因別分析'!AG81</f>
        <v>0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50000000000001" customHeight="1">
      <c r="D48" s="701"/>
      <c r="E48" s="144" t="s">
        <v>243</v>
      </c>
      <c r="F48" s="142">
        <f>'超用20大－原因別分析'!AF80</f>
        <v>0</v>
      </c>
      <c r="G48" s="143">
        <f>'超用20大－原因別分析'!AF81</f>
        <v>0</v>
      </c>
      <c r="H48" s="142">
        <f>'超用20大－原因別分析'!AG80</f>
        <v>0</v>
      </c>
      <c r="I48" s="143">
        <f>'超用20大－原因別分析'!AG81</f>
        <v>0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6" t="s">
        <v>448</v>
      </c>
      <c r="B49" s="227"/>
      <c r="E49" s="827" t="s">
        <v>489</v>
      </c>
      <c r="F49" s="828"/>
      <c r="G49" s="828"/>
      <c r="H49" s="828"/>
      <c r="I49" s="828"/>
      <c r="J49" s="828"/>
      <c r="K49" s="828"/>
      <c r="L49" s="828"/>
      <c r="M49" s="828"/>
    </row>
    <row r="50" spans="1:13" ht="15.75" customHeight="1">
      <c r="A50" s="829" t="s">
        <v>197</v>
      </c>
      <c r="B50" s="699" t="s">
        <v>10</v>
      </c>
      <c r="C50" s="699"/>
      <c r="D50" s="700"/>
      <c r="E50" s="698" t="s">
        <v>197</v>
      </c>
      <c r="F50" s="702">
        <v>1</v>
      </c>
      <c r="G50" s="702"/>
      <c r="H50" s="702">
        <v>2</v>
      </c>
      <c r="I50" s="702"/>
      <c r="J50" s="702">
        <v>3</v>
      </c>
      <c r="K50" s="702"/>
      <c r="L50" s="702">
        <v>4</v>
      </c>
      <c r="M50" s="702"/>
    </row>
    <row r="51" spans="1:13" ht="31.35" customHeight="1">
      <c r="A51" s="829"/>
      <c r="B51" s="699"/>
      <c r="C51" s="699"/>
      <c r="D51" s="701"/>
      <c r="E51" s="698"/>
      <c r="F51" s="704" t="s">
        <v>490</v>
      </c>
      <c r="G51" s="704"/>
      <c r="H51" s="704" t="s">
        <v>240</v>
      </c>
      <c r="I51" s="704"/>
      <c r="J51" s="704" t="s">
        <v>166</v>
      </c>
      <c r="K51" s="704"/>
      <c r="L51" s="704" t="s">
        <v>460</v>
      </c>
      <c r="M51" s="704"/>
    </row>
    <row r="52" spans="1:13" ht="15.75" customHeight="1">
      <c r="A52" s="829"/>
      <c r="B52" s="155" t="s">
        <v>11</v>
      </c>
      <c r="C52" s="155" t="s">
        <v>41</v>
      </c>
      <c r="D52" s="701"/>
      <c r="E52" s="698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3" ht="19.350000000000001" customHeight="1">
      <c r="A53" s="228" t="s">
        <v>242</v>
      </c>
      <c r="B53" s="140">
        <f>日別報廢率總表!M32</f>
        <v>0</v>
      </c>
      <c r="C53" s="236" t="e">
        <f>B53/($B$49*1000)</f>
        <v>#DIV/0!</v>
      </c>
      <c r="D53" s="701"/>
      <c r="E53" s="139" t="s">
        <v>242</v>
      </c>
      <c r="F53" s="142">
        <f>'報廢20大－原因別分析'!AB104</f>
        <v>0</v>
      </c>
      <c r="G53" s="143">
        <f>'報廢20大－原因別分析'!AB105</f>
        <v>0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0</v>
      </c>
      <c r="K53" s="143">
        <f>'報廢20大－原因別分析'!AD105</f>
        <v>0</v>
      </c>
      <c r="L53" s="142">
        <f>'報廢20大－原因別分析'!AE104</f>
        <v>0</v>
      </c>
      <c r="M53" s="143">
        <f>'報廢20大－原因別分析'!AE105</f>
        <v>0</v>
      </c>
    </row>
    <row r="54" spans="1:13" ht="19.350000000000001" customHeight="1">
      <c r="A54" s="229" t="s">
        <v>243</v>
      </c>
      <c r="B54" s="145">
        <f>日別報廢率總表!N32</f>
        <v>0</v>
      </c>
      <c r="C54" s="141" t="e">
        <f>B54/($B$49*1000)</f>
        <v>#DIV/0!</v>
      </c>
      <c r="D54" s="701"/>
      <c r="E54" s="144" t="s">
        <v>243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0</v>
      </c>
      <c r="M54" s="143">
        <f>'超用20大－原因別分析'!AE105</f>
        <v>0</v>
      </c>
    </row>
    <row r="55" spans="1:13" ht="15.75" customHeight="1">
      <c r="A55" s="225" t="s">
        <v>431</v>
      </c>
      <c r="B55" s="422" t="s">
        <v>691</v>
      </c>
      <c r="C55" s="224"/>
      <c r="D55" s="701"/>
      <c r="E55" s="698" t="s">
        <v>197</v>
      </c>
      <c r="F55" s="795">
        <v>5</v>
      </c>
      <c r="G55" s="796"/>
      <c r="H55" s="795">
        <v>6</v>
      </c>
      <c r="I55" s="796"/>
      <c r="J55" s="795">
        <v>7</v>
      </c>
      <c r="K55" s="796"/>
      <c r="L55" s="830"/>
      <c r="M55" s="831"/>
    </row>
    <row r="56" spans="1:13" ht="31.35" customHeight="1">
      <c r="A56" s="136" t="s">
        <v>432</v>
      </c>
      <c r="B56" s="422" t="s">
        <v>691</v>
      </c>
      <c r="C56" s="224"/>
      <c r="D56" s="701"/>
      <c r="E56" s="698"/>
      <c r="F56" s="832" t="s">
        <v>189</v>
      </c>
      <c r="G56" s="833"/>
      <c r="H56" s="832" t="s">
        <v>167</v>
      </c>
      <c r="I56" s="833"/>
      <c r="J56" s="832" t="s">
        <v>190</v>
      </c>
      <c r="K56" s="833"/>
      <c r="L56" s="834"/>
      <c r="M56" s="835"/>
    </row>
    <row r="57" spans="1:13" ht="15.75" customHeight="1">
      <c r="D57" s="701"/>
      <c r="E57" s="698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3" ht="19.350000000000001" customHeight="1">
      <c r="D58" s="701"/>
      <c r="E58" s="139" t="s">
        <v>242</v>
      </c>
      <c r="F58" s="142">
        <f>'報廢20大－原因別分析'!AF104</f>
        <v>0</v>
      </c>
      <c r="G58" s="143">
        <f>'報廢20大－原因別分析'!AF105</f>
        <v>0</v>
      </c>
      <c r="H58" s="142">
        <f>'報廢20大－原因別分析'!AG104</f>
        <v>0</v>
      </c>
      <c r="I58" s="143">
        <f>'報廢20大－原因別分析'!AG105</f>
        <v>0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50000000000001" customHeight="1">
      <c r="D59" s="701"/>
      <c r="E59" s="144" t="s">
        <v>243</v>
      </c>
      <c r="F59" s="142">
        <f>'超用20大－原因別分析'!AF104</f>
        <v>0</v>
      </c>
      <c r="G59" s="143">
        <f>'超用20大－原因別分析'!AF105</f>
        <v>0</v>
      </c>
      <c r="H59" s="142">
        <f>'超用20大－原因別分析'!AG104</f>
        <v>0</v>
      </c>
      <c r="I59" s="143">
        <f>'超用20大－原因別分析'!AG105</f>
        <v>0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  <row r="60" spans="1:13" ht="15.75" customHeight="1">
      <c r="A60" s="226" t="s">
        <v>448</v>
      </c>
      <c r="B60" s="227"/>
      <c r="E60" s="827" t="s">
        <v>489</v>
      </c>
      <c r="F60" s="828"/>
      <c r="G60" s="828"/>
      <c r="H60" s="828"/>
      <c r="I60" s="828"/>
      <c r="J60" s="828"/>
      <c r="K60" s="828"/>
      <c r="L60" s="828"/>
      <c r="M60" s="828"/>
    </row>
    <row r="61" spans="1:13" ht="15.75" customHeight="1">
      <c r="A61" s="829" t="s">
        <v>197</v>
      </c>
      <c r="B61" s="699" t="s">
        <v>10</v>
      </c>
      <c r="C61" s="699"/>
      <c r="D61" s="700"/>
      <c r="E61" s="698" t="s">
        <v>197</v>
      </c>
      <c r="F61" s="702">
        <v>1</v>
      </c>
      <c r="G61" s="702"/>
      <c r="H61" s="702">
        <v>2</v>
      </c>
      <c r="I61" s="702"/>
      <c r="J61" s="702">
        <v>3</v>
      </c>
      <c r="K61" s="702"/>
      <c r="L61" s="702">
        <v>4</v>
      </c>
      <c r="M61" s="702"/>
    </row>
    <row r="62" spans="1:13" ht="31.35" customHeight="1">
      <c r="A62" s="829"/>
      <c r="B62" s="699"/>
      <c r="C62" s="699"/>
      <c r="D62" s="701"/>
      <c r="E62" s="698"/>
      <c r="F62" s="704" t="s">
        <v>490</v>
      </c>
      <c r="G62" s="704"/>
      <c r="H62" s="704" t="s">
        <v>240</v>
      </c>
      <c r="I62" s="704"/>
      <c r="J62" s="704" t="s">
        <v>166</v>
      </c>
      <c r="K62" s="704"/>
      <c r="L62" s="704" t="s">
        <v>460</v>
      </c>
      <c r="M62" s="704"/>
    </row>
    <row r="63" spans="1:13" ht="15.75" customHeight="1">
      <c r="A63" s="829"/>
      <c r="B63" s="155" t="s">
        <v>11</v>
      </c>
      <c r="C63" s="155" t="s">
        <v>41</v>
      </c>
      <c r="D63" s="701"/>
      <c r="E63" s="698"/>
      <c r="F63" s="155" t="s">
        <v>11</v>
      </c>
      <c r="G63" s="155" t="s">
        <v>41</v>
      </c>
      <c r="H63" s="155" t="s">
        <v>11</v>
      </c>
      <c r="I63" s="155" t="s">
        <v>41</v>
      </c>
      <c r="J63" s="155" t="s">
        <v>11</v>
      </c>
      <c r="K63" s="155" t="s">
        <v>41</v>
      </c>
      <c r="L63" s="155" t="s">
        <v>11</v>
      </c>
      <c r="M63" s="155" t="s">
        <v>41</v>
      </c>
    </row>
    <row r="64" spans="1:13" ht="19.350000000000001" customHeight="1">
      <c r="A64" s="228" t="s">
        <v>242</v>
      </c>
      <c r="B64" s="140">
        <f>日別報廢率總表!M39</f>
        <v>0</v>
      </c>
      <c r="C64" s="236" t="e">
        <f>B64/($B$60*1000)</f>
        <v>#DIV/0!</v>
      </c>
      <c r="D64" s="701"/>
      <c r="E64" s="139" t="s">
        <v>242</v>
      </c>
      <c r="F64" s="142">
        <f>'報廢20大－原因別分析'!AB128</f>
        <v>0</v>
      </c>
      <c r="G64" s="143">
        <f>'報廢20大－原因別分析'!AB129</f>
        <v>0</v>
      </c>
      <c r="H64" s="142">
        <f>'報廢20大－原因別分析'!AC128</f>
        <v>0</v>
      </c>
      <c r="I64" s="143">
        <f>'報廢20大－原因別分析'!AC129</f>
        <v>0</v>
      </c>
      <c r="J64" s="142">
        <f>'報廢20大－原因別分析'!AD128</f>
        <v>0</v>
      </c>
      <c r="K64" s="143">
        <f>'報廢20大－原因別分析'!AD129</f>
        <v>0</v>
      </c>
      <c r="L64" s="142">
        <f>'報廢20大－原因別分析'!AE128</f>
        <v>0</v>
      </c>
      <c r="M64" s="143">
        <f>'報廢20大－原因別分析'!AE129</f>
        <v>0</v>
      </c>
    </row>
    <row r="65" spans="1:13" ht="19.350000000000001" customHeight="1">
      <c r="A65" s="229" t="s">
        <v>243</v>
      </c>
      <c r="B65" s="145">
        <f>日別報廢率總表!N39</f>
        <v>0</v>
      </c>
      <c r="C65" s="141" t="e">
        <f>B65/($B$60*1000)</f>
        <v>#DIV/0!</v>
      </c>
      <c r="D65" s="701"/>
      <c r="E65" s="144" t="s">
        <v>243</v>
      </c>
      <c r="F65" s="142">
        <f>'超用20大－原因別分析'!AB128</f>
        <v>0</v>
      </c>
      <c r="G65" s="143">
        <f>'超用20大－原因別分析'!AB129</f>
        <v>0</v>
      </c>
      <c r="H65" s="142">
        <f>'超用20大－原因別分析'!AC128</f>
        <v>0</v>
      </c>
      <c r="I65" s="143">
        <f>'超用20大－原因別分析'!AC129</f>
        <v>0</v>
      </c>
      <c r="J65" s="142">
        <f>'超用20大－原因別分析'!AD128</f>
        <v>0</v>
      </c>
      <c r="K65" s="143">
        <f>'超用20大－原因別分析'!AD129</f>
        <v>0</v>
      </c>
      <c r="L65" s="142">
        <f>'超用20大－原因別分析'!AE128</f>
        <v>0</v>
      </c>
      <c r="M65" s="143">
        <f>'超用20大－原因別分析'!AE129</f>
        <v>0</v>
      </c>
    </row>
    <row r="66" spans="1:13" ht="15.75" customHeight="1">
      <c r="A66" s="225" t="s">
        <v>431</v>
      </c>
      <c r="B66" s="422" t="s">
        <v>692</v>
      </c>
      <c r="C66" s="224"/>
      <c r="D66" s="701"/>
      <c r="E66" s="698" t="s">
        <v>197</v>
      </c>
      <c r="F66" s="795">
        <v>5</v>
      </c>
      <c r="G66" s="796"/>
      <c r="H66" s="795">
        <v>6</v>
      </c>
      <c r="I66" s="796"/>
      <c r="J66" s="795">
        <v>7</v>
      </c>
      <c r="K66" s="796"/>
      <c r="L66" s="830"/>
      <c r="M66" s="831"/>
    </row>
    <row r="67" spans="1:13" ht="31.35" customHeight="1">
      <c r="A67" s="136" t="s">
        <v>432</v>
      </c>
      <c r="B67" s="422" t="s">
        <v>692</v>
      </c>
      <c r="C67" s="224"/>
      <c r="D67" s="701"/>
      <c r="E67" s="698"/>
      <c r="F67" s="832" t="s">
        <v>189</v>
      </c>
      <c r="G67" s="833"/>
      <c r="H67" s="832" t="s">
        <v>167</v>
      </c>
      <c r="I67" s="833"/>
      <c r="J67" s="832" t="s">
        <v>190</v>
      </c>
      <c r="K67" s="833"/>
      <c r="L67" s="834"/>
      <c r="M67" s="835"/>
    </row>
    <row r="68" spans="1:13" ht="15.75" customHeight="1">
      <c r="D68" s="701"/>
      <c r="E68" s="698"/>
      <c r="F68" s="155" t="s">
        <v>11</v>
      </c>
      <c r="G68" s="155" t="s">
        <v>41</v>
      </c>
      <c r="H68" s="155" t="s">
        <v>11</v>
      </c>
      <c r="I68" s="155" t="s">
        <v>41</v>
      </c>
      <c r="J68" s="155" t="s">
        <v>11</v>
      </c>
      <c r="K68" s="155" t="s">
        <v>41</v>
      </c>
      <c r="L68" s="155"/>
      <c r="M68" s="155"/>
    </row>
    <row r="69" spans="1:13" ht="19.350000000000001" customHeight="1">
      <c r="D69" s="701"/>
      <c r="E69" s="139" t="s">
        <v>242</v>
      </c>
      <c r="F69" s="142">
        <f>'報廢20大－原因別分析'!AF128</f>
        <v>0</v>
      </c>
      <c r="G69" s="143">
        <f>'報廢20大－原因別分析'!AF129</f>
        <v>0</v>
      </c>
      <c r="H69" s="142">
        <f>'報廢20大－原因別分析'!AG128</f>
        <v>0</v>
      </c>
      <c r="I69" s="143">
        <f>'報廢20大－原因別分析'!AG129</f>
        <v>0</v>
      </c>
      <c r="J69" s="142">
        <f>'報廢20大－原因別分析'!AH128</f>
        <v>0</v>
      </c>
      <c r="K69" s="143">
        <f>'報廢20大－原因別分析'!AH129</f>
        <v>0</v>
      </c>
      <c r="L69" s="142"/>
      <c r="M69" s="143"/>
    </row>
    <row r="70" spans="1:13" ht="19.350000000000001" customHeight="1">
      <c r="D70" s="701"/>
      <c r="E70" s="144" t="s">
        <v>243</v>
      </c>
      <c r="F70" s="142">
        <f>'超用20大－原因別分析'!AF128</f>
        <v>0</v>
      </c>
      <c r="G70" s="143">
        <f>'超用20大－原因別分析'!AF129</f>
        <v>0</v>
      </c>
      <c r="H70" s="142">
        <f>'超用20大－原因別分析'!AG128</f>
        <v>0</v>
      </c>
      <c r="I70" s="143">
        <f>'超用20大－原因別分析'!AG129</f>
        <v>0</v>
      </c>
      <c r="J70" s="142">
        <f>'超用20大－原因別分析'!AH128</f>
        <v>0</v>
      </c>
      <c r="K70" s="143">
        <f>'超用20大－原因別分析'!AH129</f>
        <v>0</v>
      </c>
      <c r="L70" s="142"/>
      <c r="M70" s="143"/>
    </row>
  </sheetData>
  <mergeCells count="134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86"/>
  <sheetViews>
    <sheetView view="pageBreakPreview" topLeftCell="A58" zoomScaleNormal="60" zoomScaleSheetLayoutView="100" workbookViewId="0">
      <selection activeCell="S38" sqref="S38:V44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509" t="s">
        <v>373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75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75" s="136" customFormat="1" ht="15.75" customHeight="1">
      <c r="A3" s="859" t="s">
        <v>667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R3" s="238"/>
      <c r="S3" s="238"/>
      <c r="T3" s="238"/>
      <c r="U3" s="238"/>
    </row>
    <row r="4" spans="1:75" s="137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</row>
    <row r="5" spans="1:75" s="136" customFormat="1" ht="15.75" customHeight="1">
      <c r="A5" s="793" t="s">
        <v>191</v>
      </c>
      <c r="B5" s="786">
        <v>1</v>
      </c>
      <c r="C5" s="787"/>
      <c r="D5" s="786">
        <v>2</v>
      </c>
      <c r="E5" s="787"/>
      <c r="F5" s="786">
        <v>3</v>
      </c>
      <c r="G5" s="787"/>
      <c r="H5" s="795">
        <v>4</v>
      </c>
      <c r="I5" s="796"/>
      <c r="J5" s="795">
        <v>5</v>
      </c>
      <c r="K5" s="796"/>
      <c r="L5" s="795">
        <v>6</v>
      </c>
      <c r="M5" s="796"/>
      <c r="N5" s="795">
        <v>7</v>
      </c>
      <c r="O5" s="796"/>
      <c r="P5" s="795">
        <v>8</v>
      </c>
      <c r="Q5" s="796"/>
      <c r="R5" s="238"/>
      <c r="S5" s="238"/>
      <c r="T5" s="238"/>
      <c r="U5" s="238"/>
    </row>
    <row r="6" spans="1:75" s="136" customFormat="1" ht="15.75" customHeight="1">
      <c r="A6" s="794"/>
      <c r="B6" s="788" t="s">
        <v>490</v>
      </c>
      <c r="C6" s="789"/>
      <c r="D6" s="788" t="s">
        <v>212</v>
      </c>
      <c r="E6" s="789"/>
      <c r="F6" s="788" t="s">
        <v>166</v>
      </c>
      <c r="G6" s="789"/>
      <c r="H6" s="790" t="s">
        <v>460</v>
      </c>
      <c r="I6" s="791"/>
      <c r="J6" s="790" t="s">
        <v>189</v>
      </c>
      <c r="K6" s="791"/>
      <c r="L6" s="790" t="s">
        <v>167</v>
      </c>
      <c r="M6" s="791"/>
      <c r="N6" s="790" t="s">
        <v>190</v>
      </c>
      <c r="O6" s="791"/>
      <c r="P6" s="857" t="s">
        <v>217</v>
      </c>
      <c r="Q6" s="858"/>
      <c r="R6" s="238"/>
      <c r="S6" s="238"/>
      <c r="T6" s="238"/>
      <c r="U6" s="238"/>
    </row>
    <row r="7" spans="1:75" s="136" customFormat="1" ht="15.75" customHeight="1">
      <c r="B7" s="239"/>
      <c r="C7" s="240"/>
      <c r="R7" s="238"/>
      <c r="S7" s="238"/>
      <c r="T7" s="238"/>
      <c r="U7" s="238"/>
    </row>
    <row r="8" spans="1:75" s="242" customFormat="1" ht="15.75" customHeight="1">
      <c r="A8" s="795" t="s">
        <v>191</v>
      </c>
      <c r="B8" s="796"/>
      <c r="C8" s="241" t="s">
        <v>47</v>
      </c>
      <c r="D8" s="849" t="s">
        <v>12</v>
      </c>
      <c r="E8" s="712"/>
      <c r="F8" s="839"/>
      <c r="G8" s="850" t="s">
        <v>53</v>
      </c>
      <c r="H8" s="851"/>
      <c r="I8" s="852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3" t="s">
        <v>51</v>
      </c>
      <c r="P8" s="854"/>
    </row>
    <row r="9" spans="1:75" s="136" customFormat="1" ht="50.1" customHeight="1">
      <c r="A9" s="840">
        <v>1</v>
      </c>
      <c r="B9" s="843" t="s">
        <v>491</v>
      </c>
      <c r="C9" s="243">
        <v>1</v>
      </c>
      <c r="D9" s="244" t="s">
        <v>344</v>
      </c>
      <c r="E9" s="245"/>
      <c r="F9" s="245"/>
      <c r="G9" s="383" t="s">
        <v>336</v>
      </c>
      <c r="H9" s="312"/>
      <c r="I9" s="313"/>
      <c r="J9" s="243">
        <v>141.66999999999999</v>
      </c>
      <c r="K9" s="249">
        <v>1.606122668966261E-2</v>
      </c>
      <c r="L9" s="243">
        <v>8.94</v>
      </c>
      <c r="M9" s="333">
        <f>L9*J9</f>
        <v>1266.5297999999998</v>
      </c>
      <c r="N9" s="250"/>
      <c r="O9" s="777" t="s">
        <v>516</v>
      </c>
      <c r="P9" s="778"/>
      <c r="R9" s="238"/>
      <c r="S9" s="434"/>
      <c r="T9" s="268"/>
      <c r="U9" s="238"/>
    </row>
    <row r="10" spans="1:75" s="136" customFormat="1" ht="50.1" customHeight="1">
      <c r="A10" s="841"/>
      <c r="B10" s="844"/>
      <c r="C10" s="243">
        <v>2</v>
      </c>
      <c r="D10" s="244" t="s">
        <v>641</v>
      </c>
      <c r="E10" s="245"/>
      <c r="F10" s="245"/>
      <c r="G10" s="383" t="s">
        <v>643</v>
      </c>
      <c r="H10" s="312"/>
      <c r="I10" s="313"/>
      <c r="J10" s="243">
        <v>98.470000000000013</v>
      </c>
      <c r="K10" s="249">
        <v>8.2886837518559159E-3</v>
      </c>
      <c r="L10" s="243">
        <v>12.839999999999998</v>
      </c>
      <c r="M10" s="333">
        <f t="shared" ref="M10:M13" si="0">L10*J10</f>
        <v>1264.3548000000001</v>
      </c>
      <c r="N10" s="250"/>
      <c r="O10" s="855" t="s">
        <v>669</v>
      </c>
      <c r="P10" s="847"/>
      <c r="R10" s="238"/>
      <c r="S10" s="435"/>
      <c r="T10" s="435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s="136" customFormat="1" ht="50.1" customHeight="1">
      <c r="A11" s="841"/>
      <c r="B11" s="844"/>
      <c r="C11" s="243">
        <v>3</v>
      </c>
      <c r="D11" s="244" t="s">
        <v>641</v>
      </c>
      <c r="E11" s="245"/>
      <c r="F11" s="245"/>
      <c r="G11" s="383" t="s">
        <v>644</v>
      </c>
      <c r="H11" s="312"/>
      <c r="I11" s="313"/>
      <c r="J11" s="243">
        <v>139.97999999999999</v>
      </c>
      <c r="K11" s="249">
        <v>4.7107998192498874E-3</v>
      </c>
      <c r="L11" s="243">
        <v>8.34</v>
      </c>
      <c r="M11" s="333">
        <f t="shared" si="0"/>
        <v>1167.4331999999999</v>
      </c>
      <c r="N11" s="250"/>
      <c r="O11" s="856" t="s">
        <v>669</v>
      </c>
      <c r="P11" s="798"/>
      <c r="R11" s="238"/>
      <c r="S11" s="434"/>
      <c r="T11" s="434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s="136" customFormat="1" ht="50.1" customHeight="1">
      <c r="A12" s="841"/>
      <c r="B12" s="844"/>
      <c r="C12" s="243">
        <v>4</v>
      </c>
      <c r="D12" s="244" t="s">
        <v>358</v>
      </c>
      <c r="E12" s="245"/>
      <c r="F12" s="245"/>
      <c r="G12" s="383" t="s">
        <v>366</v>
      </c>
      <c r="H12" s="312"/>
      <c r="I12" s="313"/>
      <c r="J12" s="243">
        <v>253.92000000000002</v>
      </c>
      <c r="K12" s="249">
        <v>1.9366868669746157E-2</v>
      </c>
      <c r="L12" s="243">
        <v>4.57</v>
      </c>
      <c r="M12" s="333">
        <f t="shared" si="0"/>
        <v>1160.4144000000001</v>
      </c>
      <c r="N12" s="250"/>
      <c r="O12" s="856" t="s">
        <v>593</v>
      </c>
      <c r="P12" s="798"/>
      <c r="R12" s="238"/>
      <c r="S12" s="435"/>
      <c r="T12" s="435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s="136" customFormat="1" ht="50.1" customHeight="1" thickBot="1">
      <c r="A13" s="841"/>
      <c r="B13" s="844"/>
      <c r="C13" s="243">
        <v>5</v>
      </c>
      <c r="D13" s="251" t="s">
        <v>358</v>
      </c>
      <c r="E13" s="252"/>
      <c r="F13" s="252"/>
      <c r="G13" s="417" t="s">
        <v>365</v>
      </c>
      <c r="H13" s="312"/>
      <c r="I13" s="313"/>
      <c r="J13" s="254">
        <v>183.65000000000003</v>
      </c>
      <c r="K13" s="255">
        <v>2.146231258985418E-2</v>
      </c>
      <c r="L13" s="254">
        <v>6.27</v>
      </c>
      <c r="M13" s="334">
        <f t="shared" si="0"/>
        <v>1151.4855000000002</v>
      </c>
      <c r="N13" s="250"/>
      <c r="O13" s="856" t="s">
        <v>508</v>
      </c>
      <c r="P13" s="798"/>
      <c r="R13" s="238"/>
      <c r="S13" s="434"/>
      <c r="T13" s="434"/>
      <c r="U13" s="238"/>
      <c r="V13" s="436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s="136" customFormat="1" ht="15.75" customHeight="1" thickTop="1">
      <c r="A14" s="842"/>
      <c r="B14" s="845"/>
      <c r="C14" s="714"/>
      <c r="D14" s="715"/>
      <c r="E14" s="715"/>
      <c r="F14" s="715"/>
      <c r="G14" s="715"/>
      <c r="H14" s="715"/>
      <c r="I14" s="848"/>
      <c r="J14" s="256" t="s">
        <v>58</v>
      </c>
      <c r="K14" s="213">
        <f>M14/'生產管理報表 7-1 (週)'!$B$9</f>
        <v>9.9217063425183577E-2</v>
      </c>
      <c r="L14" s="256" t="s">
        <v>59</v>
      </c>
      <c r="M14" s="335">
        <f>SUM(M9:M13)</f>
        <v>6010.2177000000011</v>
      </c>
      <c r="N14" s="813"/>
      <c r="O14" s="814"/>
      <c r="P14" s="815"/>
      <c r="R14" s="238"/>
      <c r="S14" s="211"/>
      <c r="T14" s="211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s="136" customFormat="1" ht="15.75" customHeight="1">
      <c r="B15" s="239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R15" s="238"/>
      <c r="S15" s="268"/>
      <c r="T15" s="26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s="136" customFormat="1" ht="15.75" customHeight="1">
      <c r="A16" s="795" t="s">
        <v>191</v>
      </c>
      <c r="B16" s="796"/>
      <c r="C16" s="259" t="s">
        <v>47</v>
      </c>
      <c r="D16" s="711" t="s">
        <v>12</v>
      </c>
      <c r="E16" s="712"/>
      <c r="F16" s="713"/>
      <c r="G16" s="711" t="s">
        <v>53</v>
      </c>
      <c r="H16" s="712"/>
      <c r="I16" s="713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4" t="s">
        <v>51</v>
      </c>
      <c r="P16" s="805"/>
      <c r="R16" s="238"/>
      <c r="S16" s="211"/>
      <c r="T16" s="211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s="136" customFormat="1" ht="20.100000000000001" customHeight="1">
      <c r="A17" s="840">
        <v>2</v>
      </c>
      <c r="B17" s="84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6"/>
      <c r="P17" s="807"/>
      <c r="R17" s="238"/>
      <c r="S17" s="268"/>
      <c r="T17" s="26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s="136" customFormat="1" ht="20.100000000000001" customHeight="1">
      <c r="A18" s="841"/>
      <c r="B18" s="84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6"/>
      <c r="P18" s="807"/>
      <c r="R18" s="238"/>
      <c r="S18" s="211"/>
      <c r="T18" s="21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s="136" customFormat="1" ht="20.100000000000001" customHeight="1">
      <c r="A19" s="841"/>
      <c r="B19" s="844"/>
      <c r="C19" s="263">
        <v>3</v>
      </c>
      <c r="D19" s="244"/>
      <c r="E19" s="245"/>
      <c r="F19" s="246"/>
      <c r="G19" s="244"/>
      <c r="H19" s="245"/>
      <c r="I19" s="275"/>
      <c r="J19" s="264"/>
      <c r="K19" s="265"/>
      <c r="L19" s="264"/>
      <c r="M19" s="266">
        <f t="shared" si="1"/>
        <v>0</v>
      </c>
      <c r="N19" s="267"/>
      <c r="O19" s="806"/>
      <c r="P19" s="807"/>
      <c r="R19" s="238"/>
      <c r="S19" s="268"/>
      <c r="T19" s="26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s="136" customFormat="1" ht="20.100000000000001" customHeight="1">
      <c r="A20" s="841"/>
      <c r="B20" s="84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6"/>
      <c r="P20" s="807"/>
      <c r="R20" s="238"/>
      <c r="S20" s="211"/>
      <c r="T20" s="211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s="136" customFormat="1" ht="20.100000000000001" customHeight="1" thickBot="1">
      <c r="A21" s="841"/>
      <c r="B21" s="844"/>
      <c r="C21" s="269">
        <v>5</v>
      </c>
      <c r="D21" s="251"/>
      <c r="E21" s="252"/>
      <c r="F21" s="253"/>
      <c r="G21" s="244"/>
      <c r="H21" s="245"/>
      <c r="I21" s="246"/>
      <c r="J21" s="270"/>
      <c r="K21" s="271"/>
      <c r="L21" s="270"/>
      <c r="M21" s="272">
        <f t="shared" si="1"/>
        <v>0</v>
      </c>
      <c r="N21" s="273"/>
      <c r="O21" s="806"/>
      <c r="P21" s="807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s="136" customFormat="1" ht="15.75" customHeight="1" thickTop="1">
      <c r="A22" s="842"/>
      <c r="B22" s="845"/>
      <c r="C22" s="714"/>
      <c r="D22" s="715"/>
      <c r="E22" s="715"/>
      <c r="F22" s="715"/>
      <c r="G22" s="715"/>
      <c r="H22" s="715"/>
      <c r="I22" s="848"/>
      <c r="J22" s="256" t="s">
        <v>58</v>
      </c>
      <c r="K22" s="213">
        <f>M22/'生產管理報表 7-1 (週)'!$B$9</f>
        <v>0</v>
      </c>
      <c r="L22" s="256" t="s">
        <v>59</v>
      </c>
      <c r="M22" s="257">
        <f>SUM(M17:M21)</f>
        <v>0</v>
      </c>
      <c r="N22" s="808"/>
      <c r="O22" s="809"/>
      <c r="P22" s="810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s="136" customFormat="1" ht="15.75" customHeight="1">
      <c r="B23" s="239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s="136" customFormat="1" ht="15.75" customHeight="1">
      <c r="A24" s="795" t="s">
        <v>191</v>
      </c>
      <c r="B24" s="796"/>
      <c r="C24" s="259" t="s">
        <v>47</v>
      </c>
      <c r="D24" s="711" t="s">
        <v>12</v>
      </c>
      <c r="E24" s="712"/>
      <c r="F24" s="713"/>
      <c r="G24" s="711" t="s">
        <v>53</v>
      </c>
      <c r="H24" s="712"/>
      <c r="I24" s="839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02" t="s">
        <v>51</v>
      </c>
      <c r="P24" s="803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s="136" customFormat="1" ht="50.1" customHeight="1">
      <c r="A25" s="840">
        <v>3</v>
      </c>
      <c r="B25" s="843" t="s">
        <v>449</v>
      </c>
      <c r="C25" s="263">
        <v>1</v>
      </c>
      <c r="D25" s="244" t="s">
        <v>342</v>
      </c>
      <c r="E25" s="245"/>
      <c r="F25" s="246"/>
      <c r="G25" s="253" t="s">
        <v>484</v>
      </c>
      <c r="H25" s="252"/>
      <c r="I25" s="253"/>
      <c r="J25" s="264">
        <v>2.4499999999999997</v>
      </c>
      <c r="K25" s="265">
        <v>4.3454725889393439E-3</v>
      </c>
      <c r="L25" s="264">
        <v>578</v>
      </c>
      <c r="M25" s="336">
        <f t="shared" ref="M25:M29" si="2">L25*J25</f>
        <v>1416.1</v>
      </c>
      <c r="N25" s="277"/>
      <c r="O25" s="846" t="s">
        <v>509</v>
      </c>
      <c r="P25" s="847"/>
      <c r="R25" s="238"/>
      <c r="S25" s="436"/>
      <c r="T25" s="436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s="136" customFormat="1" ht="50.1" customHeight="1">
      <c r="A26" s="841"/>
      <c r="B26" s="844"/>
      <c r="C26" s="263">
        <v>2</v>
      </c>
      <c r="D26" s="244" t="s">
        <v>342</v>
      </c>
      <c r="E26" s="245"/>
      <c r="F26" s="246"/>
      <c r="G26" s="253" t="s">
        <v>483</v>
      </c>
      <c r="H26" s="252"/>
      <c r="I26" s="253"/>
      <c r="J26" s="264">
        <v>1.17</v>
      </c>
      <c r="K26" s="265">
        <v>3.4642838708893887E-3</v>
      </c>
      <c r="L26" s="264">
        <v>1141</v>
      </c>
      <c r="M26" s="336">
        <f t="shared" si="2"/>
        <v>1334.97</v>
      </c>
      <c r="N26" s="277"/>
      <c r="O26" s="797" t="s">
        <v>553</v>
      </c>
      <c r="P26" s="798"/>
      <c r="R26" s="238"/>
      <c r="S26" s="436"/>
      <c r="T26" s="443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s="136" customFormat="1" ht="50.1" customHeight="1">
      <c r="A27" s="841"/>
      <c r="B27" s="844"/>
      <c r="C27" s="263">
        <v>3</v>
      </c>
      <c r="D27" s="244" t="s">
        <v>641</v>
      </c>
      <c r="E27" s="245"/>
      <c r="F27" s="246"/>
      <c r="G27" s="253" t="s">
        <v>646</v>
      </c>
      <c r="H27" s="252"/>
      <c r="I27" s="253"/>
      <c r="J27" s="264">
        <v>16.099999999999998</v>
      </c>
      <c r="K27" s="265">
        <v>2.8468142792589246E-3</v>
      </c>
      <c r="L27" s="264">
        <v>63</v>
      </c>
      <c r="M27" s="336">
        <f t="shared" si="2"/>
        <v>1014.2999999999998</v>
      </c>
      <c r="N27" s="277"/>
      <c r="O27" s="797" t="s">
        <v>668</v>
      </c>
      <c r="P27" s="798"/>
      <c r="R27" s="238"/>
      <c r="S27" s="436"/>
      <c r="T27" s="443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s="136" customFormat="1" ht="50.1" customHeight="1">
      <c r="A28" s="841"/>
      <c r="B28" s="844"/>
      <c r="C28" s="263">
        <v>4</v>
      </c>
      <c r="D28" s="244"/>
      <c r="E28" s="245"/>
      <c r="F28" s="246"/>
      <c r="G28" s="251"/>
      <c r="H28" s="252"/>
      <c r="I28" s="253"/>
      <c r="J28" s="276"/>
      <c r="K28" s="265"/>
      <c r="L28" s="264"/>
      <c r="M28" s="336">
        <f t="shared" si="2"/>
        <v>0</v>
      </c>
      <c r="N28" s="277"/>
      <c r="O28" s="797"/>
      <c r="P28" s="798"/>
      <c r="R28" s="238"/>
      <c r="S28" s="238"/>
      <c r="T2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s="136" customFormat="1" ht="30" customHeight="1" thickBot="1">
      <c r="A29" s="841"/>
      <c r="B29" s="844"/>
      <c r="C29" s="269">
        <v>5</v>
      </c>
      <c r="D29" s="251"/>
      <c r="E29" s="252"/>
      <c r="F29" s="253"/>
      <c r="G29" s="414"/>
      <c r="H29" s="415"/>
      <c r="I29" s="416"/>
      <c r="J29" s="279"/>
      <c r="K29" s="271"/>
      <c r="L29" s="280"/>
      <c r="M29" s="336">
        <f t="shared" si="2"/>
        <v>0</v>
      </c>
      <c r="N29" s="277"/>
      <c r="O29" s="797"/>
      <c r="P29" s="798"/>
      <c r="R29" s="238"/>
      <c r="S29" s="238"/>
      <c r="T29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s="136" customFormat="1" ht="15.75" customHeight="1" thickTop="1">
      <c r="A30" s="842"/>
      <c r="B30" s="845"/>
      <c r="C30" s="714"/>
      <c r="D30" s="715"/>
      <c r="E30" s="715"/>
      <c r="F30" s="715"/>
      <c r="G30" s="715"/>
      <c r="H30" s="715"/>
      <c r="I30" s="848"/>
      <c r="J30" s="281" t="s">
        <v>58</v>
      </c>
      <c r="K30" s="213">
        <f>M30/'生產管理報表 7-1 (週)'!$B$9</f>
        <v>6.2158972063405184E-2</v>
      </c>
      <c r="L30" s="281" t="s">
        <v>59</v>
      </c>
      <c r="M30" s="337">
        <f>SUM(M25:M29)</f>
        <v>3765.3699999999994</v>
      </c>
      <c r="N30" s="799"/>
      <c r="O30" s="800"/>
      <c r="P30" s="801"/>
      <c r="R30" s="238"/>
      <c r="S30" s="238"/>
      <c r="T30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s="136" customFormat="1" ht="15.75" customHeight="1">
      <c r="A31" s="859" t="s">
        <v>720</v>
      </c>
      <c r="B31" s="859"/>
      <c r="C31" s="859"/>
      <c r="D31" s="859"/>
      <c r="E31" s="859"/>
      <c r="F31" s="859"/>
      <c r="G31" s="859"/>
      <c r="H31" s="859"/>
      <c r="I31" s="859"/>
      <c r="J31" s="859"/>
      <c r="K31" s="859"/>
      <c r="L31" s="859"/>
      <c r="M31" s="859"/>
      <c r="R31" s="238"/>
      <c r="S31" s="238"/>
      <c r="T31" s="238"/>
      <c r="U31" s="238"/>
    </row>
    <row r="32" spans="1:36" s="137" customFormat="1" ht="15.75" customHeight="1">
      <c r="A32" s="792"/>
      <c r="B32" s="792"/>
      <c r="C32" s="792"/>
      <c r="D32" s="792"/>
      <c r="E32" s="792"/>
      <c r="F32" s="792"/>
      <c r="G32" s="792"/>
      <c r="H32" s="792"/>
      <c r="I32" s="792"/>
      <c r="J32" s="792"/>
      <c r="K32" s="792"/>
      <c r="L32" s="792"/>
      <c r="M32" s="792"/>
    </row>
    <row r="33" spans="1:75" s="136" customFormat="1" ht="15.75" customHeight="1">
      <c r="A33" s="793" t="s">
        <v>191</v>
      </c>
      <c r="B33" s="786">
        <v>1</v>
      </c>
      <c r="C33" s="787"/>
      <c r="D33" s="786">
        <v>2</v>
      </c>
      <c r="E33" s="787"/>
      <c r="F33" s="786">
        <v>3</v>
      </c>
      <c r="G33" s="787"/>
      <c r="H33" s="795">
        <v>4</v>
      </c>
      <c r="I33" s="796"/>
      <c r="J33" s="795">
        <v>5</v>
      </c>
      <c r="K33" s="796"/>
      <c r="L33" s="795">
        <v>6</v>
      </c>
      <c r="M33" s="796"/>
      <c r="N33" s="795">
        <v>7</v>
      </c>
      <c r="O33" s="796"/>
      <c r="P33" s="795">
        <v>8</v>
      </c>
      <c r="Q33" s="796"/>
      <c r="R33" s="238"/>
      <c r="S33" s="238"/>
      <c r="T33" s="238"/>
      <c r="U33" s="238"/>
    </row>
    <row r="34" spans="1:75" s="136" customFormat="1" ht="15.75" customHeight="1">
      <c r="A34" s="794"/>
      <c r="B34" s="788" t="s">
        <v>490</v>
      </c>
      <c r="C34" s="789"/>
      <c r="D34" s="788" t="s">
        <v>212</v>
      </c>
      <c r="E34" s="789"/>
      <c r="F34" s="788" t="s">
        <v>166</v>
      </c>
      <c r="G34" s="789"/>
      <c r="H34" s="790" t="s">
        <v>460</v>
      </c>
      <c r="I34" s="791"/>
      <c r="J34" s="790" t="s">
        <v>189</v>
      </c>
      <c r="K34" s="791"/>
      <c r="L34" s="790" t="s">
        <v>167</v>
      </c>
      <c r="M34" s="791"/>
      <c r="N34" s="790" t="s">
        <v>190</v>
      </c>
      <c r="O34" s="791"/>
      <c r="P34" s="857" t="s">
        <v>217</v>
      </c>
      <c r="Q34" s="858"/>
      <c r="R34" s="238"/>
      <c r="S34" s="238"/>
      <c r="T34" s="238"/>
      <c r="U34" s="238"/>
    </row>
    <row r="35" spans="1:75" s="136" customFormat="1" ht="15.75" customHeight="1">
      <c r="B35" s="239"/>
      <c r="C35" s="240"/>
      <c r="R35" s="238"/>
      <c r="S35" s="238"/>
      <c r="T35" s="238"/>
      <c r="U35" s="238"/>
    </row>
    <row r="36" spans="1:75" s="242" customFormat="1" ht="15.75" customHeight="1">
      <c r="A36" s="795" t="s">
        <v>191</v>
      </c>
      <c r="B36" s="796"/>
      <c r="C36" s="241" t="s">
        <v>47</v>
      </c>
      <c r="D36" s="849" t="s">
        <v>12</v>
      </c>
      <c r="E36" s="712"/>
      <c r="F36" s="839"/>
      <c r="G36" s="850" t="s">
        <v>53</v>
      </c>
      <c r="H36" s="851"/>
      <c r="I36" s="852"/>
      <c r="J36" s="241" t="s">
        <v>54</v>
      </c>
      <c r="K36" s="241" t="s">
        <v>55</v>
      </c>
      <c r="L36" s="241" t="s">
        <v>56</v>
      </c>
      <c r="M36" s="241" t="s">
        <v>11</v>
      </c>
      <c r="N36" s="241" t="s">
        <v>333</v>
      </c>
      <c r="O36" s="853" t="s">
        <v>51</v>
      </c>
      <c r="P36" s="854"/>
    </row>
    <row r="37" spans="1:75" s="136" customFormat="1" ht="50.1" customHeight="1">
      <c r="A37" s="840">
        <v>1</v>
      </c>
      <c r="B37" s="843" t="s">
        <v>491</v>
      </c>
      <c r="C37" s="243">
        <v>1</v>
      </c>
      <c r="D37" s="244" t="s">
        <v>641</v>
      </c>
      <c r="E37" s="245"/>
      <c r="F37" s="245"/>
      <c r="G37" s="383" t="s">
        <v>643</v>
      </c>
      <c r="H37" s="312"/>
      <c r="I37" s="313"/>
      <c r="J37" s="243">
        <v>98.470000000000013</v>
      </c>
      <c r="K37" s="249">
        <v>1.3354200247404132E-2</v>
      </c>
      <c r="L37" s="243">
        <v>14.25</v>
      </c>
      <c r="M37" s="333">
        <f>L37*J37</f>
        <v>1403.1975000000002</v>
      </c>
      <c r="N37" s="250"/>
      <c r="O37" s="777" t="s">
        <v>669</v>
      </c>
      <c r="P37" s="778"/>
      <c r="R37" s="238"/>
      <c r="S37" s="434"/>
      <c r="T37" s="268"/>
      <c r="U37" s="238"/>
    </row>
    <row r="38" spans="1:75" s="136" customFormat="1" ht="50.1" customHeight="1">
      <c r="A38" s="841"/>
      <c r="B38" s="844"/>
      <c r="C38" s="243">
        <v>2</v>
      </c>
      <c r="D38" s="244" t="s">
        <v>344</v>
      </c>
      <c r="E38" s="245"/>
      <c r="F38" s="245"/>
      <c r="G38" s="383" t="s">
        <v>336</v>
      </c>
      <c r="H38" s="312"/>
      <c r="I38" s="313"/>
      <c r="J38" s="243">
        <v>141.66999999999999</v>
      </c>
      <c r="K38" s="249">
        <v>1.1934943438746314E-2</v>
      </c>
      <c r="L38" s="243">
        <v>8.0500000000000007</v>
      </c>
      <c r="M38" s="333">
        <f t="shared" ref="M38:M41" si="3">L38*J38</f>
        <v>1140.4435000000001</v>
      </c>
      <c r="N38" s="250"/>
      <c r="O38" s="855" t="s">
        <v>516</v>
      </c>
      <c r="P38" s="847"/>
      <c r="R38" s="238"/>
      <c r="S38" s="435"/>
      <c r="T38" s="435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</row>
    <row r="39" spans="1:75" s="136" customFormat="1" ht="50.1" customHeight="1">
      <c r="A39" s="841"/>
      <c r="B39" s="844"/>
      <c r="C39" s="243">
        <v>3</v>
      </c>
      <c r="D39" s="244" t="s">
        <v>472</v>
      </c>
      <c r="E39" s="245"/>
      <c r="F39" s="245"/>
      <c r="G39" s="383" t="s">
        <v>473</v>
      </c>
      <c r="H39" s="312"/>
      <c r="I39" s="313"/>
      <c r="J39" s="243">
        <v>181.60999999999999</v>
      </c>
      <c r="K39" s="249">
        <v>1.2510742050882349E-2</v>
      </c>
      <c r="L39" s="243">
        <v>6.2600000000000007</v>
      </c>
      <c r="M39" s="333">
        <f t="shared" si="3"/>
        <v>1136.8786</v>
      </c>
      <c r="N39" s="250"/>
      <c r="O39" s="856" t="s">
        <v>728</v>
      </c>
      <c r="P39" s="798"/>
      <c r="R39" s="238"/>
      <c r="S39" s="434"/>
      <c r="T39" s="434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38"/>
      <c r="BM39" s="238"/>
      <c r="BN39" s="238"/>
      <c r="BO39" s="238"/>
      <c r="BP39" s="238"/>
      <c r="BQ39" s="238"/>
      <c r="BR39" s="238"/>
      <c r="BS39" s="238"/>
      <c r="BT39" s="238"/>
      <c r="BU39" s="238"/>
      <c r="BV39" s="238"/>
      <c r="BW39" s="238"/>
    </row>
    <row r="40" spans="1:75" s="136" customFormat="1" ht="50.1" customHeight="1">
      <c r="A40" s="841"/>
      <c r="B40" s="844"/>
      <c r="C40" s="243">
        <v>4</v>
      </c>
      <c r="D40" s="244" t="s">
        <v>358</v>
      </c>
      <c r="E40" s="245"/>
      <c r="F40" s="245"/>
      <c r="G40" s="383" t="s">
        <v>366</v>
      </c>
      <c r="H40" s="312"/>
      <c r="I40" s="313"/>
      <c r="J40" s="243">
        <v>253.92000000000002</v>
      </c>
      <c r="K40" s="249">
        <v>1.6225226893869234E-2</v>
      </c>
      <c r="L40" s="243">
        <v>4.38</v>
      </c>
      <c r="M40" s="333">
        <f t="shared" si="3"/>
        <v>1112.1695999999999</v>
      </c>
      <c r="N40" s="250"/>
      <c r="O40" s="856" t="s">
        <v>593</v>
      </c>
      <c r="P40" s="798"/>
      <c r="R40" s="238"/>
      <c r="S40" s="435"/>
      <c r="T40" s="435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</row>
    <row r="41" spans="1:75" s="136" customFormat="1" ht="50.1" customHeight="1" thickBot="1">
      <c r="A41" s="841"/>
      <c r="B41" s="844"/>
      <c r="C41" s="243">
        <v>5</v>
      </c>
      <c r="D41" s="251" t="s">
        <v>506</v>
      </c>
      <c r="E41" s="252"/>
      <c r="F41" s="252"/>
      <c r="G41" s="383" t="s">
        <v>505</v>
      </c>
      <c r="H41" s="312"/>
      <c r="I41" s="313"/>
      <c r="J41" s="254">
        <v>153.19000000000003</v>
      </c>
      <c r="K41" s="255">
        <v>2.4432032347599632E-2</v>
      </c>
      <c r="L41" s="254">
        <v>7.13</v>
      </c>
      <c r="M41" s="334">
        <f t="shared" si="3"/>
        <v>1092.2447000000002</v>
      </c>
      <c r="N41" s="250"/>
      <c r="O41" s="856" t="s">
        <v>729</v>
      </c>
      <c r="P41" s="798"/>
      <c r="R41" s="238"/>
      <c r="S41" s="434"/>
      <c r="T41" s="434"/>
      <c r="U41" s="238"/>
      <c r="V41" s="436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38"/>
      <c r="BP41" s="238"/>
      <c r="BQ41" s="238"/>
      <c r="BR41" s="238"/>
      <c r="BS41" s="238"/>
      <c r="BT41" s="238"/>
      <c r="BU41" s="238"/>
      <c r="BV41" s="238"/>
      <c r="BW41" s="238"/>
    </row>
    <row r="42" spans="1:75" s="136" customFormat="1" ht="15.75" customHeight="1" thickTop="1">
      <c r="A42" s="842"/>
      <c r="B42" s="845"/>
      <c r="C42" s="714"/>
      <c r="D42" s="715"/>
      <c r="E42" s="715"/>
      <c r="F42" s="715"/>
      <c r="G42" s="715"/>
      <c r="H42" s="715"/>
      <c r="I42" s="848"/>
      <c r="J42" s="256" t="s">
        <v>58</v>
      </c>
      <c r="K42" s="213">
        <f>M42/'生產管理報表 7-1 (週)'!$B$20</f>
        <v>8.2788615172288055E-2</v>
      </c>
      <c r="L42" s="256" t="s">
        <v>59</v>
      </c>
      <c r="M42" s="335">
        <f>SUM(M37:M41)</f>
        <v>5884.9339000000009</v>
      </c>
      <c r="N42" s="813"/>
      <c r="O42" s="814"/>
      <c r="P42" s="815"/>
      <c r="R42" s="238"/>
      <c r="S42" s="211"/>
      <c r="T42" s="211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38"/>
      <c r="BP42" s="238"/>
      <c r="BQ42" s="238"/>
      <c r="BR42" s="238"/>
      <c r="BS42" s="238"/>
      <c r="BT42" s="238"/>
      <c r="BU42" s="238"/>
      <c r="BV42" s="238"/>
      <c r="BW42" s="238"/>
    </row>
    <row r="43" spans="1:75" s="136" customFormat="1" ht="15.75" customHeight="1">
      <c r="B43" s="239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8"/>
      <c r="O43" s="258"/>
      <c r="P43" s="258"/>
      <c r="R43" s="238"/>
      <c r="S43" s="268"/>
      <c r="T43" s="26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38"/>
      <c r="BP43" s="238"/>
      <c r="BQ43" s="238"/>
      <c r="BR43" s="238"/>
      <c r="BS43" s="238"/>
      <c r="BT43" s="238"/>
      <c r="BU43" s="238"/>
      <c r="BV43" s="238"/>
      <c r="BW43" s="238"/>
    </row>
    <row r="44" spans="1:75" s="136" customFormat="1" ht="15.75" customHeight="1">
      <c r="A44" s="795" t="s">
        <v>191</v>
      </c>
      <c r="B44" s="796"/>
      <c r="C44" s="259" t="s">
        <v>47</v>
      </c>
      <c r="D44" s="711" t="s">
        <v>12</v>
      </c>
      <c r="E44" s="712"/>
      <c r="F44" s="713"/>
      <c r="G44" s="711" t="s">
        <v>53</v>
      </c>
      <c r="H44" s="712"/>
      <c r="I44" s="713"/>
      <c r="J44" s="261" t="s">
        <v>54</v>
      </c>
      <c r="K44" s="261" t="s">
        <v>55</v>
      </c>
      <c r="L44" s="261" t="s">
        <v>56</v>
      </c>
      <c r="M44" s="261" t="s">
        <v>11</v>
      </c>
      <c r="N44" s="262" t="s">
        <v>333</v>
      </c>
      <c r="O44" s="804" t="s">
        <v>51</v>
      </c>
      <c r="P44" s="805"/>
      <c r="R44" s="238"/>
      <c r="S44" s="211"/>
      <c r="T44" s="211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</row>
    <row r="45" spans="1:75" s="136" customFormat="1" ht="20.100000000000001" customHeight="1">
      <c r="A45" s="840">
        <v>2</v>
      </c>
      <c r="B45" s="843" t="s">
        <v>213</v>
      </c>
      <c r="C45" s="263">
        <v>1</v>
      </c>
      <c r="D45" s="244"/>
      <c r="E45" s="245"/>
      <c r="F45" s="246"/>
      <c r="G45" s="244"/>
      <c r="H45" s="245"/>
      <c r="I45" s="246"/>
      <c r="J45" s="264"/>
      <c r="K45" s="265"/>
      <c r="L45" s="264"/>
      <c r="M45" s="266">
        <f t="shared" ref="M45:M49" si="4">L45*J45</f>
        <v>0</v>
      </c>
      <c r="N45" s="267"/>
      <c r="O45" s="806"/>
      <c r="P45" s="807"/>
      <c r="R45" s="238"/>
      <c r="S45" s="268"/>
      <c r="T45" s="26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</row>
    <row r="46" spans="1:75" s="136" customFormat="1" ht="20.100000000000001" customHeight="1">
      <c r="A46" s="841"/>
      <c r="B46" s="844"/>
      <c r="C46" s="263">
        <v>2</v>
      </c>
      <c r="D46" s="244"/>
      <c r="E46" s="245"/>
      <c r="F46" s="246"/>
      <c r="G46" s="244"/>
      <c r="H46" s="245"/>
      <c r="I46" s="246"/>
      <c r="J46" s="264"/>
      <c r="K46" s="265"/>
      <c r="L46" s="264"/>
      <c r="M46" s="266">
        <f t="shared" si="4"/>
        <v>0</v>
      </c>
      <c r="N46" s="267"/>
      <c r="O46" s="806"/>
      <c r="P46" s="807"/>
      <c r="R46" s="238"/>
      <c r="S46" s="211"/>
      <c r="T46" s="211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</row>
    <row r="47" spans="1:75" s="136" customFormat="1" ht="20.100000000000001" customHeight="1">
      <c r="A47" s="841"/>
      <c r="B47" s="844"/>
      <c r="C47" s="263">
        <v>3</v>
      </c>
      <c r="D47" s="244"/>
      <c r="E47" s="245"/>
      <c r="F47" s="246"/>
      <c r="G47" s="244"/>
      <c r="H47" s="245"/>
      <c r="I47" s="275"/>
      <c r="J47" s="264"/>
      <c r="K47" s="265"/>
      <c r="L47" s="264"/>
      <c r="M47" s="266">
        <f t="shared" si="4"/>
        <v>0</v>
      </c>
      <c r="N47" s="267"/>
      <c r="O47" s="806"/>
      <c r="P47" s="807"/>
      <c r="R47" s="238"/>
      <c r="S47" s="268"/>
      <c r="T47" s="26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</row>
    <row r="48" spans="1:75" s="136" customFormat="1" ht="20.100000000000001" customHeight="1">
      <c r="A48" s="841"/>
      <c r="B48" s="844"/>
      <c r="C48" s="263">
        <v>4</v>
      </c>
      <c r="D48" s="244"/>
      <c r="E48" s="245"/>
      <c r="F48" s="246"/>
      <c r="G48" s="244"/>
      <c r="H48" s="245"/>
      <c r="I48" s="246"/>
      <c r="J48" s="264"/>
      <c r="K48" s="265"/>
      <c r="L48" s="264"/>
      <c r="M48" s="266">
        <f t="shared" si="4"/>
        <v>0</v>
      </c>
      <c r="N48" s="267"/>
      <c r="O48" s="806"/>
      <c r="P48" s="807"/>
      <c r="R48" s="238"/>
      <c r="S48" s="211"/>
      <c r="T48" s="211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</row>
    <row r="49" spans="1:36" s="136" customFormat="1" ht="20.100000000000001" customHeight="1" thickBot="1">
      <c r="A49" s="841"/>
      <c r="B49" s="844"/>
      <c r="C49" s="269">
        <v>5</v>
      </c>
      <c r="D49" s="251"/>
      <c r="E49" s="252"/>
      <c r="F49" s="253"/>
      <c r="G49" s="244"/>
      <c r="H49" s="245"/>
      <c r="I49" s="246"/>
      <c r="J49" s="270"/>
      <c r="K49" s="271"/>
      <c r="L49" s="270"/>
      <c r="M49" s="272">
        <f t="shared" si="4"/>
        <v>0</v>
      </c>
      <c r="N49" s="273"/>
      <c r="O49" s="806"/>
      <c r="P49" s="807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</row>
    <row r="50" spans="1:36" s="136" customFormat="1" ht="15.75" customHeight="1" thickTop="1">
      <c r="A50" s="842"/>
      <c r="B50" s="845"/>
      <c r="C50" s="714"/>
      <c r="D50" s="715"/>
      <c r="E50" s="715"/>
      <c r="F50" s="715"/>
      <c r="G50" s="715"/>
      <c r="H50" s="715"/>
      <c r="I50" s="848"/>
      <c r="J50" s="256" t="s">
        <v>58</v>
      </c>
      <c r="K50" s="213">
        <f>M50/'生產管理報表 7-1 (週)'!$B$20</f>
        <v>0</v>
      </c>
      <c r="L50" s="256" t="s">
        <v>59</v>
      </c>
      <c r="M50" s="257">
        <f>SUM(M45:M49)</f>
        <v>0</v>
      </c>
      <c r="N50" s="808"/>
      <c r="O50" s="809"/>
      <c r="P50" s="810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</row>
    <row r="51" spans="1:36" s="136" customFormat="1" ht="15.75" customHeight="1">
      <c r="B51" s="239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74"/>
      <c r="O51" s="274"/>
      <c r="P51" s="274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</row>
    <row r="52" spans="1:36" s="136" customFormat="1" ht="15.75" customHeight="1">
      <c r="A52" s="795" t="s">
        <v>191</v>
      </c>
      <c r="B52" s="796"/>
      <c r="C52" s="259" t="s">
        <v>47</v>
      </c>
      <c r="D52" s="711" t="s">
        <v>12</v>
      </c>
      <c r="E52" s="712"/>
      <c r="F52" s="713"/>
      <c r="G52" s="711" t="s">
        <v>53</v>
      </c>
      <c r="H52" s="712"/>
      <c r="I52" s="839"/>
      <c r="J52" s="260" t="s">
        <v>54</v>
      </c>
      <c r="K52" s="261" t="s">
        <v>55</v>
      </c>
      <c r="L52" s="261" t="s">
        <v>56</v>
      </c>
      <c r="M52" s="261" t="s">
        <v>11</v>
      </c>
      <c r="N52" s="262" t="s">
        <v>333</v>
      </c>
      <c r="O52" s="802" t="s">
        <v>51</v>
      </c>
      <c r="P52" s="803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</row>
    <row r="53" spans="1:36" s="136" customFormat="1" ht="50.1" customHeight="1">
      <c r="A53" s="840">
        <v>3</v>
      </c>
      <c r="B53" s="843" t="s">
        <v>449</v>
      </c>
      <c r="C53" s="263">
        <v>1</v>
      </c>
      <c r="D53" s="244" t="s">
        <v>641</v>
      </c>
      <c r="E53" s="245"/>
      <c r="F53" s="246"/>
      <c r="G53" s="253" t="s">
        <v>646</v>
      </c>
      <c r="H53" s="252"/>
      <c r="I53" s="253"/>
      <c r="J53" s="264">
        <v>16.099999999999998</v>
      </c>
      <c r="K53" s="265">
        <v>7.5439517187090004E-3</v>
      </c>
      <c r="L53" s="264">
        <v>115</v>
      </c>
      <c r="M53" s="336">
        <f t="shared" ref="M53:M57" si="5">L53*J53</f>
        <v>1851.4999999999998</v>
      </c>
      <c r="N53" s="277"/>
      <c r="O53" s="846" t="s">
        <v>724</v>
      </c>
      <c r="P53" s="847"/>
      <c r="R53" s="238"/>
      <c r="S53" s="436"/>
      <c r="T53" s="436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</row>
    <row r="54" spans="1:36" s="136" customFormat="1" ht="50.1" customHeight="1">
      <c r="A54" s="841"/>
      <c r="B54" s="844"/>
      <c r="C54" s="263">
        <v>2</v>
      </c>
      <c r="D54" s="244" t="s">
        <v>342</v>
      </c>
      <c r="E54" s="245"/>
      <c r="F54" s="246"/>
      <c r="G54" s="253" t="s">
        <v>693</v>
      </c>
      <c r="H54" s="252"/>
      <c r="I54" s="253"/>
      <c r="J54" s="264">
        <v>1.1599999999999999</v>
      </c>
      <c r="K54" s="265">
        <v>8.0389351909441464E-3</v>
      </c>
      <c r="L54" s="264">
        <v>1551</v>
      </c>
      <c r="M54" s="336">
        <f t="shared" si="5"/>
        <v>1799.1599999999999</v>
      </c>
      <c r="N54" s="277"/>
      <c r="O54" s="797" t="s">
        <v>725</v>
      </c>
      <c r="P54" s="798"/>
      <c r="R54" s="238"/>
      <c r="S54" s="436"/>
      <c r="T54" s="443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</row>
    <row r="55" spans="1:36" s="136" customFormat="1" ht="50.1" customHeight="1">
      <c r="A55" s="841"/>
      <c r="B55" s="844"/>
      <c r="C55" s="263">
        <v>3</v>
      </c>
      <c r="D55" s="244" t="s">
        <v>342</v>
      </c>
      <c r="E55" s="245"/>
      <c r="F55" s="246"/>
      <c r="G55" s="253" t="s">
        <v>484</v>
      </c>
      <c r="H55" s="252"/>
      <c r="I55" s="253"/>
      <c r="J55" s="264">
        <v>2.4499999999999997</v>
      </c>
      <c r="K55" s="265">
        <v>4.07417279061798E-3</v>
      </c>
      <c r="L55" s="264">
        <v>642</v>
      </c>
      <c r="M55" s="336">
        <f t="shared" si="5"/>
        <v>1572.8999999999999</v>
      </c>
      <c r="N55" s="277"/>
      <c r="O55" s="797" t="s">
        <v>509</v>
      </c>
      <c r="P55" s="798"/>
      <c r="R55" s="238"/>
      <c r="S55" s="436"/>
      <c r="T55" s="443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</row>
    <row r="56" spans="1:36" s="136" customFormat="1" ht="50.1" customHeight="1">
      <c r="A56" s="841"/>
      <c r="B56" s="844"/>
      <c r="C56" s="263">
        <v>4</v>
      </c>
      <c r="D56" s="244" t="s">
        <v>342</v>
      </c>
      <c r="E56" s="245"/>
      <c r="F56" s="246"/>
      <c r="G56" s="253" t="s">
        <v>483</v>
      </c>
      <c r="H56" s="252"/>
      <c r="I56" s="253"/>
      <c r="J56" s="276">
        <v>1.17</v>
      </c>
      <c r="K56" s="265">
        <v>3.8583197191421319E-3</v>
      </c>
      <c r="L56" s="264">
        <v>1332</v>
      </c>
      <c r="M56" s="336">
        <f t="shared" si="5"/>
        <v>1558.4399999999998</v>
      </c>
      <c r="N56" s="277"/>
      <c r="O56" s="797" t="s">
        <v>726</v>
      </c>
      <c r="P56" s="798"/>
      <c r="R56" s="238"/>
      <c r="S56" s="238"/>
      <c r="T56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</row>
    <row r="57" spans="1:36" s="136" customFormat="1" ht="30" customHeight="1" thickBot="1">
      <c r="A57" s="841"/>
      <c r="B57" s="844"/>
      <c r="C57" s="269">
        <v>5</v>
      </c>
      <c r="D57" s="251"/>
      <c r="E57" s="252"/>
      <c r="F57" s="253"/>
      <c r="G57" s="414"/>
      <c r="H57" s="415"/>
      <c r="I57" s="416"/>
      <c r="J57" s="279"/>
      <c r="K57" s="271"/>
      <c r="L57" s="280"/>
      <c r="M57" s="336">
        <f t="shared" si="5"/>
        <v>0</v>
      </c>
      <c r="N57" s="277"/>
      <c r="O57" s="797"/>
      <c r="P57" s="798"/>
      <c r="R57" s="238"/>
      <c r="S57" s="238"/>
      <c r="T57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</row>
    <row r="58" spans="1:36" s="136" customFormat="1" ht="15.75" customHeight="1" thickTop="1">
      <c r="A58" s="842"/>
      <c r="B58" s="845"/>
      <c r="C58" s="714"/>
      <c r="D58" s="715"/>
      <c r="E58" s="715"/>
      <c r="F58" s="715"/>
      <c r="G58" s="715"/>
      <c r="H58" s="715"/>
      <c r="I58" s="848"/>
      <c r="J58" s="281" t="s">
        <v>58</v>
      </c>
      <c r="K58" s="213">
        <f>M58/'生產管理報表 7-1 (週)'!$B$20</f>
        <v>9.5408444281499472E-2</v>
      </c>
      <c r="L58" s="281" t="s">
        <v>59</v>
      </c>
      <c r="M58" s="337">
        <f>SUM(M53:M57)</f>
        <v>6781.9999999999991</v>
      </c>
      <c r="N58" s="799"/>
      <c r="O58" s="800"/>
      <c r="P58" s="801"/>
      <c r="R58" s="238"/>
      <c r="S58" s="238"/>
      <c r="T5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</row>
    <row r="59" spans="1:36" s="136" customFormat="1" ht="15.75" customHeight="1">
      <c r="A59" s="859" t="s">
        <v>721</v>
      </c>
      <c r="B59" s="859"/>
      <c r="C59" s="859"/>
      <c r="D59" s="859"/>
      <c r="E59" s="859"/>
      <c r="F59" s="859"/>
      <c r="G59" s="859"/>
      <c r="H59" s="859"/>
      <c r="I59" s="859"/>
      <c r="J59" s="859"/>
      <c r="K59" s="859"/>
      <c r="L59" s="859"/>
      <c r="M59" s="859"/>
      <c r="R59" s="238"/>
      <c r="S59" s="238"/>
      <c r="T59" s="238"/>
      <c r="U59" s="238"/>
    </row>
    <row r="60" spans="1:36" s="137" customFormat="1" ht="15.75" customHeight="1">
      <c r="A60" s="792"/>
      <c r="B60" s="792"/>
      <c r="C60" s="792"/>
      <c r="D60" s="792"/>
      <c r="E60" s="792"/>
      <c r="F60" s="792"/>
      <c r="G60" s="792"/>
      <c r="H60" s="792"/>
      <c r="I60" s="792"/>
      <c r="J60" s="792"/>
      <c r="K60" s="792"/>
      <c r="L60" s="792"/>
      <c r="M60" s="792"/>
    </row>
    <row r="61" spans="1:36" s="136" customFormat="1" ht="15.75" customHeight="1">
      <c r="A61" s="793" t="s">
        <v>191</v>
      </c>
      <c r="B61" s="786">
        <v>1</v>
      </c>
      <c r="C61" s="787"/>
      <c r="D61" s="786">
        <v>2</v>
      </c>
      <c r="E61" s="787"/>
      <c r="F61" s="786">
        <v>3</v>
      </c>
      <c r="G61" s="787"/>
      <c r="H61" s="795">
        <v>4</v>
      </c>
      <c r="I61" s="796"/>
      <c r="J61" s="795">
        <v>5</v>
      </c>
      <c r="K61" s="796"/>
      <c r="L61" s="795">
        <v>6</v>
      </c>
      <c r="M61" s="796"/>
      <c r="N61" s="795">
        <v>7</v>
      </c>
      <c r="O61" s="796"/>
      <c r="P61" s="795">
        <v>8</v>
      </c>
      <c r="Q61" s="796"/>
      <c r="R61" s="238"/>
      <c r="S61" s="238"/>
      <c r="T61" s="238"/>
      <c r="U61" s="238"/>
    </row>
    <row r="62" spans="1:36" s="136" customFormat="1" ht="15.75" customHeight="1">
      <c r="A62" s="794"/>
      <c r="B62" s="788" t="s">
        <v>490</v>
      </c>
      <c r="C62" s="789"/>
      <c r="D62" s="788" t="s">
        <v>212</v>
      </c>
      <c r="E62" s="789"/>
      <c r="F62" s="788" t="s">
        <v>166</v>
      </c>
      <c r="G62" s="789"/>
      <c r="H62" s="790" t="s">
        <v>460</v>
      </c>
      <c r="I62" s="791"/>
      <c r="J62" s="790" t="s">
        <v>189</v>
      </c>
      <c r="K62" s="791"/>
      <c r="L62" s="790" t="s">
        <v>167</v>
      </c>
      <c r="M62" s="791"/>
      <c r="N62" s="790" t="s">
        <v>190</v>
      </c>
      <c r="O62" s="791"/>
      <c r="P62" s="857" t="s">
        <v>217</v>
      </c>
      <c r="Q62" s="858"/>
      <c r="R62" s="238"/>
      <c r="S62" s="238"/>
      <c r="T62" s="238"/>
      <c r="U62" s="238"/>
    </row>
    <row r="63" spans="1:36" s="136" customFormat="1" ht="15.75" customHeight="1">
      <c r="B63" s="239"/>
      <c r="C63" s="240"/>
      <c r="R63" s="238"/>
      <c r="S63" s="238"/>
      <c r="T63" s="238"/>
      <c r="U63" s="238"/>
    </row>
    <row r="64" spans="1:36" s="242" customFormat="1" ht="15.75" customHeight="1">
      <c r="A64" s="795" t="s">
        <v>191</v>
      </c>
      <c r="B64" s="796"/>
      <c r="C64" s="241" t="s">
        <v>47</v>
      </c>
      <c r="D64" s="849" t="s">
        <v>12</v>
      </c>
      <c r="E64" s="712"/>
      <c r="F64" s="839"/>
      <c r="G64" s="850" t="s">
        <v>53</v>
      </c>
      <c r="H64" s="851"/>
      <c r="I64" s="852"/>
      <c r="J64" s="241" t="s">
        <v>54</v>
      </c>
      <c r="K64" s="241" t="s">
        <v>55</v>
      </c>
      <c r="L64" s="241" t="s">
        <v>56</v>
      </c>
      <c r="M64" s="241" t="s">
        <v>11</v>
      </c>
      <c r="N64" s="241" t="s">
        <v>333</v>
      </c>
      <c r="O64" s="853" t="s">
        <v>51</v>
      </c>
      <c r="P64" s="854"/>
    </row>
    <row r="65" spans="1:75" s="136" customFormat="1" ht="50.1" customHeight="1">
      <c r="A65" s="840">
        <v>1</v>
      </c>
      <c r="B65" s="843" t="s">
        <v>491</v>
      </c>
      <c r="C65" s="243">
        <v>1</v>
      </c>
      <c r="D65" s="244"/>
      <c r="E65" s="245"/>
      <c r="F65" s="245"/>
      <c r="G65" s="383"/>
      <c r="H65" s="312"/>
      <c r="I65" s="313"/>
      <c r="J65" s="243"/>
      <c r="K65" s="249"/>
      <c r="L65" s="243"/>
      <c r="M65" s="333">
        <f>L65*J65</f>
        <v>0</v>
      </c>
      <c r="N65" s="250"/>
      <c r="O65" s="777"/>
      <c r="P65" s="778"/>
      <c r="R65" s="238"/>
      <c r="S65" s="434"/>
      <c r="T65" s="268"/>
      <c r="U65" s="238"/>
    </row>
    <row r="66" spans="1:75" s="136" customFormat="1" ht="50.1" customHeight="1">
      <c r="A66" s="841"/>
      <c r="B66" s="844"/>
      <c r="C66" s="243">
        <v>2</v>
      </c>
      <c r="D66" s="244"/>
      <c r="E66" s="245"/>
      <c r="F66" s="245"/>
      <c r="G66" s="383"/>
      <c r="H66" s="312"/>
      <c r="I66" s="313"/>
      <c r="J66" s="243"/>
      <c r="K66" s="249"/>
      <c r="L66" s="243"/>
      <c r="M66" s="333">
        <f t="shared" ref="M66:M69" si="6">L66*J66</f>
        <v>0</v>
      </c>
      <c r="N66" s="250"/>
      <c r="O66" s="855"/>
      <c r="P66" s="847"/>
      <c r="R66" s="238"/>
      <c r="S66" s="435"/>
      <c r="T66" s="435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8"/>
      <c r="AY66" s="238"/>
      <c r="AZ66" s="238"/>
      <c r="BA66" s="238"/>
      <c r="BB66" s="238"/>
      <c r="BC66" s="238"/>
      <c r="BD66" s="238"/>
      <c r="BE66" s="238"/>
      <c r="BF66" s="238"/>
      <c r="BG66" s="238"/>
      <c r="BH66" s="238"/>
      <c r="BI66" s="238"/>
      <c r="BJ66" s="238"/>
      <c r="BK66" s="238"/>
      <c r="BL66" s="238"/>
      <c r="BM66" s="238"/>
      <c r="BN66" s="238"/>
      <c r="BO66" s="238"/>
      <c r="BP66" s="238"/>
      <c r="BQ66" s="238"/>
      <c r="BR66" s="238"/>
      <c r="BS66" s="238"/>
      <c r="BT66" s="238"/>
      <c r="BU66" s="238"/>
      <c r="BV66" s="238"/>
      <c r="BW66" s="238"/>
    </row>
    <row r="67" spans="1:75" s="136" customFormat="1" ht="50.1" customHeight="1">
      <c r="A67" s="841"/>
      <c r="B67" s="844"/>
      <c r="C67" s="243">
        <v>3</v>
      </c>
      <c r="D67" s="244"/>
      <c r="E67" s="245"/>
      <c r="F67" s="245"/>
      <c r="G67" s="383"/>
      <c r="H67" s="312"/>
      <c r="I67" s="313"/>
      <c r="J67" s="243"/>
      <c r="K67" s="249"/>
      <c r="L67" s="243"/>
      <c r="M67" s="333">
        <f t="shared" si="6"/>
        <v>0</v>
      </c>
      <c r="N67" s="250"/>
      <c r="O67" s="856"/>
      <c r="P67" s="798"/>
      <c r="R67" s="238"/>
      <c r="S67" s="434"/>
      <c r="T67" s="434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8"/>
      <c r="BI67" s="238"/>
      <c r="BJ67" s="238"/>
      <c r="BK67" s="238"/>
      <c r="BL67" s="238"/>
      <c r="BM67" s="238"/>
      <c r="BN67" s="238"/>
      <c r="BO67" s="238"/>
      <c r="BP67" s="238"/>
      <c r="BQ67" s="238"/>
      <c r="BR67" s="238"/>
      <c r="BS67" s="238"/>
      <c r="BT67" s="238"/>
      <c r="BU67" s="238"/>
      <c r="BV67" s="238"/>
      <c r="BW67" s="238"/>
    </row>
    <row r="68" spans="1:75" s="136" customFormat="1" ht="50.1" customHeight="1">
      <c r="A68" s="841"/>
      <c r="B68" s="844"/>
      <c r="C68" s="243">
        <v>4</v>
      </c>
      <c r="D68" s="244"/>
      <c r="E68" s="245"/>
      <c r="F68" s="245"/>
      <c r="G68" s="383"/>
      <c r="H68" s="312"/>
      <c r="I68" s="313"/>
      <c r="J68" s="243"/>
      <c r="K68" s="249"/>
      <c r="L68" s="243"/>
      <c r="M68" s="333">
        <f t="shared" si="6"/>
        <v>0</v>
      </c>
      <c r="N68" s="250"/>
      <c r="O68" s="856"/>
      <c r="P68" s="798"/>
      <c r="R68" s="238"/>
      <c r="S68" s="435"/>
      <c r="T68" s="435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8"/>
      <c r="BI68" s="238"/>
      <c r="BJ68" s="238"/>
      <c r="BK68" s="238"/>
      <c r="BL68" s="238"/>
      <c r="BM68" s="238"/>
      <c r="BN68" s="238"/>
      <c r="BO68" s="238"/>
      <c r="BP68" s="238"/>
      <c r="BQ68" s="238"/>
      <c r="BR68" s="238"/>
      <c r="BS68" s="238"/>
      <c r="BT68" s="238"/>
      <c r="BU68" s="238"/>
      <c r="BV68" s="238"/>
      <c r="BW68" s="238"/>
    </row>
    <row r="69" spans="1:75" s="136" customFormat="1" ht="50.1" customHeight="1" thickBot="1">
      <c r="A69" s="841"/>
      <c r="B69" s="844"/>
      <c r="C69" s="243">
        <v>5</v>
      </c>
      <c r="D69" s="251"/>
      <c r="E69" s="252"/>
      <c r="F69" s="252"/>
      <c r="G69" s="417"/>
      <c r="H69" s="312"/>
      <c r="I69" s="313"/>
      <c r="J69" s="254"/>
      <c r="K69" s="255"/>
      <c r="L69" s="254"/>
      <c r="M69" s="334">
        <f t="shared" si="6"/>
        <v>0</v>
      </c>
      <c r="N69" s="250"/>
      <c r="O69" s="856"/>
      <c r="P69" s="798"/>
      <c r="R69" s="238"/>
      <c r="S69" s="434"/>
      <c r="T69" s="434"/>
      <c r="U69" s="238"/>
      <c r="V69" s="436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238"/>
      <c r="BG69" s="238"/>
      <c r="BH69" s="238"/>
      <c r="BI69" s="238"/>
      <c r="BJ69" s="238"/>
      <c r="BK69" s="238"/>
      <c r="BL69" s="238"/>
      <c r="BM69" s="238"/>
      <c r="BN69" s="238"/>
      <c r="BO69" s="238"/>
      <c r="BP69" s="238"/>
      <c r="BQ69" s="238"/>
      <c r="BR69" s="238"/>
      <c r="BS69" s="238"/>
      <c r="BT69" s="238"/>
      <c r="BU69" s="238"/>
      <c r="BV69" s="238"/>
      <c r="BW69" s="238"/>
    </row>
    <row r="70" spans="1:75" s="136" customFormat="1" ht="15.75" customHeight="1" thickTop="1">
      <c r="A70" s="842"/>
      <c r="B70" s="845"/>
      <c r="C70" s="714"/>
      <c r="D70" s="715"/>
      <c r="E70" s="715"/>
      <c r="F70" s="715"/>
      <c r="G70" s="715"/>
      <c r="H70" s="715"/>
      <c r="I70" s="848"/>
      <c r="J70" s="256" t="s">
        <v>58</v>
      </c>
      <c r="K70" s="213">
        <f>M70/'生產管理報表 7-1 (週)'!$B$31</f>
        <v>0</v>
      </c>
      <c r="L70" s="256" t="s">
        <v>59</v>
      </c>
      <c r="M70" s="335">
        <f>SUM(M65:M69)</f>
        <v>0</v>
      </c>
      <c r="N70" s="813"/>
      <c r="O70" s="814"/>
      <c r="P70" s="815"/>
      <c r="R70" s="238"/>
      <c r="S70" s="211"/>
      <c r="T70" s="211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238"/>
      <c r="BG70" s="238"/>
      <c r="BH70" s="238"/>
      <c r="BI70" s="238"/>
      <c r="BJ70" s="238"/>
      <c r="BK70" s="238"/>
      <c r="BL70" s="238"/>
      <c r="BM70" s="238"/>
      <c r="BN70" s="238"/>
      <c r="BO70" s="238"/>
      <c r="BP70" s="238"/>
      <c r="BQ70" s="238"/>
      <c r="BR70" s="238"/>
      <c r="BS70" s="238"/>
      <c r="BT70" s="238"/>
      <c r="BU70" s="238"/>
      <c r="BV70" s="238"/>
      <c r="BW70" s="238"/>
    </row>
    <row r="71" spans="1:75" s="136" customFormat="1" ht="15.75" customHeight="1">
      <c r="B71" s="239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8"/>
      <c r="O71" s="258"/>
      <c r="P71" s="258"/>
      <c r="R71" s="238"/>
      <c r="S71" s="268"/>
      <c r="T71" s="26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38"/>
      <c r="BM71" s="238"/>
      <c r="BN71" s="238"/>
      <c r="BO71" s="238"/>
      <c r="BP71" s="238"/>
      <c r="BQ71" s="238"/>
      <c r="BR71" s="238"/>
      <c r="BS71" s="238"/>
      <c r="BT71" s="238"/>
      <c r="BU71" s="238"/>
      <c r="BV71" s="238"/>
      <c r="BW71" s="238"/>
    </row>
    <row r="72" spans="1:75" s="136" customFormat="1" ht="15.75" customHeight="1">
      <c r="A72" s="795" t="s">
        <v>191</v>
      </c>
      <c r="B72" s="796"/>
      <c r="C72" s="259" t="s">
        <v>47</v>
      </c>
      <c r="D72" s="711" t="s">
        <v>12</v>
      </c>
      <c r="E72" s="712"/>
      <c r="F72" s="713"/>
      <c r="G72" s="711" t="s">
        <v>53</v>
      </c>
      <c r="H72" s="712"/>
      <c r="I72" s="713"/>
      <c r="J72" s="261" t="s">
        <v>54</v>
      </c>
      <c r="K72" s="261" t="s">
        <v>55</v>
      </c>
      <c r="L72" s="261" t="s">
        <v>56</v>
      </c>
      <c r="M72" s="261" t="s">
        <v>11</v>
      </c>
      <c r="N72" s="262" t="s">
        <v>333</v>
      </c>
      <c r="O72" s="804" t="s">
        <v>51</v>
      </c>
      <c r="P72" s="805"/>
      <c r="R72" s="238"/>
      <c r="S72" s="211"/>
      <c r="T72" s="211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</row>
    <row r="73" spans="1:75" s="136" customFormat="1" ht="20.100000000000001" customHeight="1">
      <c r="A73" s="840">
        <v>2</v>
      </c>
      <c r="B73" s="843" t="s">
        <v>213</v>
      </c>
      <c r="C73" s="263">
        <v>1</v>
      </c>
      <c r="D73" s="244"/>
      <c r="E73" s="245"/>
      <c r="F73" s="246"/>
      <c r="G73" s="244"/>
      <c r="H73" s="245"/>
      <c r="I73" s="246"/>
      <c r="J73" s="264"/>
      <c r="K73" s="265"/>
      <c r="L73" s="264"/>
      <c r="M73" s="266">
        <f t="shared" ref="M73:M77" si="7">L73*J73</f>
        <v>0</v>
      </c>
      <c r="N73" s="267"/>
      <c r="O73" s="806"/>
      <c r="P73" s="807"/>
      <c r="R73" s="238"/>
      <c r="S73" s="268"/>
      <c r="T73" s="26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</row>
    <row r="74" spans="1:75" s="136" customFormat="1" ht="20.100000000000001" customHeight="1">
      <c r="A74" s="841"/>
      <c r="B74" s="844"/>
      <c r="C74" s="263">
        <v>2</v>
      </c>
      <c r="D74" s="244"/>
      <c r="E74" s="245"/>
      <c r="F74" s="246"/>
      <c r="G74" s="244"/>
      <c r="H74" s="245"/>
      <c r="I74" s="246"/>
      <c r="J74" s="264"/>
      <c r="K74" s="265"/>
      <c r="L74" s="264"/>
      <c r="M74" s="266">
        <f t="shared" si="7"/>
        <v>0</v>
      </c>
      <c r="N74" s="267"/>
      <c r="O74" s="806"/>
      <c r="P74" s="807"/>
      <c r="R74" s="238"/>
      <c r="S74" s="211"/>
      <c r="T74" s="211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</row>
    <row r="75" spans="1:75" s="136" customFormat="1" ht="20.100000000000001" customHeight="1">
      <c r="A75" s="841"/>
      <c r="B75" s="844"/>
      <c r="C75" s="263">
        <v>3</v>
      </c>
      <c r="D75" s="244"/>
      <c r="E75" s="245"/>
      <c r="F75" s="246"/>
      <c r="G75" s="244"/>
      <c r="H75" s="245"/>
      <c r="I75" s="275"/>
      <c r="J75" s="264"/>
      <c r="K75" s="265"/>
      <c r="L75" s="264"/>
      <c r="M75" s="266">
        <f t="shared" si="7"/>
        <v>0</v>
      </c>
      <c r="N75" s="267"/>
      <c r="O75" s="806"/>
      <c r="P75" s="807"/>
      <c r="R75" s="238"/>
      <c r="S75" s="268"/>
      <c r="T75" s="26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</row>
    <row r="76" spans="1:75" s="136" customFormat="1" ht="20.100000000000001" customHeight="1">
      <c r="A76" s="841"/>
      <c r="B76" s="844"/>
      <c r="C76" s="263">
        <v>4</v>
      </c>
      <c r="D76" s="244"/>
      <c r="E76" s="245"/>
      <c r="F76" s="246"/>
      <c r="G76" s="244"/>
      <c r="H76" s="245"/>
      <c r="I76" s="246"/>
      <c r="J76" s="264"/>
      <c r="K76" s="265"/>
      <c r="L76" s="264"/>
      <c r="M76" s="266">
        <f t="shared" si="7"/>
        <v>0</v>
      </c>
      <c r="N76" s="267"/>
      <c r="O76" s="806"/>
      <c r="P76" s="807"/>
      <c r="R76" s="238"/>
      <c r="S76" s="211"/>
      <c r="T76" s="211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</row>
    <row r="77" spans="1:75" s="136" customFormat="1" ht="20.100000000000001" customHeight="1" thickBot="1">
      <c r="A77" s="841"/>
      <c r="B77" s="844"/>
      <c r="C77" s="269">
        <v>5</v>
      </c>
      <c r="D77" s="251"/>
      <c r="E77" s="252"/>
      <c r="F77" s="253"/>
      <c r="G77" s="244"/>
      <c r="H77" s="245"/>
      <c r="I77" s="246"/>
      <c r="J77" s="270"/>
      <c r="K77" s="271"/>
      <c r="L77" s="270"/>
      <c r="M77" s="272">
        <f t="shared" si="7"/>
        <v>0</v>
      </c>
      <c r="N77" s="273"/>
      <c r="O77" s="806"/>
      <c r="P77" s="807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</row>
    <row r="78" spans="1:75" s="136" customFormat="1" ht="15.75" customHeight="1" thickTop="1">
      <c r="A78" s="842"/>
      <c r="B78" s="845"/>
      <c r="C78" s="714"/>
      <c r="D78" s="715"/>
      <c r="E78" s="715"/>
      <c r="F78" s="715"/>
      <c r="G78" s="715"/>
      <c r="H78" s="715"/>
      <c r="I78" s="848"/>
      <c r="J78" s="256" t="s">
        <v>58</v>
      </c>
      <c r="K78" s="213">
        <f>M78/'生產管理報表 7-1 (週)'!$B$31</f>
        <v>0</v>
      </c>
      <c r="L78" s="256" t="s">
        <v>59</v>
      </c>
      <c r="M78" s="257">
        <f>SUM(M73:M77)</f>
        <v>0</v>
      </c>
      <c r="N78" s="808"/>
      <c r="O78" s="809"/>
      <c r="P78" s="810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</row>
    <row r="79" spans="1:75" s="136" customFormat="1" ht="15.75" customHeight="1">
      <c r="B79" s="239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74"/>
      <c r="O79" s="274"/>
      <c r="P79" s="274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</row>
    <row r="80" spans="1:75" s="136" customFormat="1" ht="15.75" customHeight="1">
      <c r="A80" s="795" t="s">
        <v>191</v>
      </c>
      <c r="B80" s="796"/>
      <c r="C80" s="259" t="s">
        <v>47</v>
      </c>
      <c r="D80" s="711" t="s">
        <v>12</v>
      </c>
      <c r="E80" s="712"/>
      <c r="F80" s="713"/>
      <c r="G80" s="711" t="s">
        <v>53</v>
      </c>
      <c r="H80" s="712"/>
      <c r="I80" s="839"/>
      <c r="J80" s="260" t="s">
        <v>54</v>
      </c>
      <c r="K80" s="261" t="s">
        <v>55</v>
      </c>
      <c r="L80" s="261" t="s">
        <v>56</v>
      </c>
      <c r="M80" s="261" t="s">
        <v>11</v>
      </c>
      <c r="N80" s="262" t="s">
        <v>333</v>
      </c>
      <c r="O80" s="802" t="s">
        <v>51</v>
      </c>
      <c r="P80" s="803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</row>
    <row r="81" spans="1:36" s="136" customFormat="1" ht="50.1" customHeight="1">
      <c r="A81" s="840">
        <v>3</v>
      </c>
      <c r="B81" s="843" t="s">
        <v>449</v>
      </c>
      <c r="C81" s="263">
        <v>1</v>
      </c>
      <c r="D81" s="244"/>
      <c r="E81" s="245"/>
      <c r="F81" s="246"/>
      <c r="G81" s="253"/>
      <c r="H81" s="252"/>
      <c r="I81" s="253"/>
      <c r="J81" s="264"/>
      <c r="K81" s="265"/>
      <c r="L81" s="264"/>
      <c r="M81" s="336">
        <f t="shared" ref="M81:M85" si="8">L81*J81</f>
        <v>0</v>
      </c>
      <c r="N81" s="277"/>
      <c r="O81" s="846"/>
      <c r="P81" s="847"/>
      <c r="R81" s="238"/>
      <c r="S81" s="436"/>
      <c r="T81" s="436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</row>
    <row r="82" spans="1:36" s="136" customFormat="1" ht="50.1" customHeight="1">
      <c r="A82" s="841"/>
      <c r="B82" s="844"/>
      <c r="C82" s="263">
        <v>2</v>
      </c>
      <c r="D82" s="244"/>
      <c r="E82" s="245"/>
      <c r="F82" s="246"/>
      <c r="G82" s="253"/>
      <c r="H82" s="252"/>
      <c r="I82" s="253"/>
      <c r="J82" s="264"/>
      <c r="K82" s="265"/>
      <c r="L82" s="264"/>
      <c r="M82" s="336">
        <f t="shared" si="8"/>
        <v>0</v>
      </c>
      <c r="N82" s="277"/>
      <c r="O82" s="797"/>
      <c r="P82" s="798"/>
      <c r="R82" s="238"/>
      <c r="S82" s="436"/>
      <c r="T82" s="443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</row>
    <row r="83" spans="1:36" s="136" customFormat="1" ht="50.1" customHeight="1">
      <c r="A83" s="841"/>
      <c r="B83" s="844"/>
      <c r="C83" s="263">
        <v>3</v>
      </c>
      <c r="D83" s="244"/>
      <c r="E83" s="245"/>
      <c r="F83" s="246"/>
      <c r="G83" s="253"/>
      <c r="H83" s="252"/>
      <c r="I83" s="253"/>
      <c r="J83" s="264"/>
      <c r="K83" s="265"/>
      <c r="L83" s="264"/>
      <c r="M83" s="336">
        <f t="shared" si="8"/>
        <v>0</v>
      </c>
      <c r="N83" s="277"/>
      <c r="O83" s="797"/>
      <c r="P83" s="798"/>
      <c r="R83" s="238"/>
      <c r="S83" s="436"/>
      <c r="T83" s="443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</row>
    <row r="84" spans="1:36" s="136" customFormat="1" ht="50.1" customHeight="1">
      <c r="A84" s="841"/>
      <c r="B84" s="844"/>
      <c r="C84" s="263">
        <v>4</v>
      </c>
      <c r="D84" s="244"/>
      <c r="E84" s="245"/>
      <c r="F84" s="246"/>
      <c r="G84" s="251"/>
      <c r="H84" s="252"/>
      <c r="I84" s="253"/>
      <c r="J84" s="276"/>
      <c r="K84" s="265"/>
      <c r="L84" s="264"/>
      <c r="M84" s="336">
        <f t="shared" si="8"/>
        <v>0</v>
      </c>
      <c r="N84" s="277"/>
      <c r="O84" s="797"/>
      <c r="P84" s="798"/>
      <c r="R84" s="238"/>
      <c r="S84" s="238"/>
      <c r="T84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</row>
    <row r="85" spans="1:36" s="136" customFormat="1" ht="30" customHeight="1" thickBot="1">
      <c r="A85" s="841"/>
      <c r="B85" s="844"/>
      <c r="C85" s="269">
        <v>5</v>
      </c>
      <c r="D85" s="251"/>
      <c r="E85" s="252"/>
      <c r="F85" s="253"/>
      <c r="G85" s="414"/>
      <c r="H85" s="415"/>
      <c r="I85" s="416"/>
      <c r="J85" s="279"/>
      <c r="K85" s="271"/>
      <c r="L85" s="280"/>
      <c r="M85" s="336">
        <f t="shared" si="8"/>
        <v>0</v>
      </c>
      <c r="N85" s="277"/>
      <c r="O85" s="797"/>
      <c r="P85" s="798"/>
      <c r="R85" s="238"/>
      <c r="S85" s="238"/>
      <c r="T85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</row>
    <row r="86" spans="1:36" s="136" customFormat="1" ht="15.75" customHeight="1" thickTop="1">
      <c r="A86" s="842"/>
      <c r="B86" s="845"/>
      <c r="C86" s="714"/>
      <c r="D86" s="715"/>
      <c r="E86" s="715"/>
      <c r="F86" s="715"/>
      <c r="G86" s="715"/>
      <c r="H86" s="715"/>
      <c r="I86" s="848"/>
      <c r="J86" s="281" t="s">
        <v>58</v>
      </c>
      <c r="K86" s="213">
        <f>M86/'生產管理報表 7-1 (週)'!$B$31</f>
        <v>0</v>
      </c>
      <c r="L86" s="281" t="s">
        <v>59</v>
      </c>
      <c r="M86" s="337">
        <f>SUM(M81:M85)</f>
        <v>0</v>
      </c>
      <c r="N86" s="799"/>
      <c r="O86" s="800"/>
      <c r="P86" s="801"/>
      <c r="R86" s="238"/>
      <c r="S86" s="238"/>
      <c r="T86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</row>
  </sheetData>
  <mergeCells count="172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11"/>
  <sheetViews>
    <sheetView view="pageBreakPreview" topLeftCell="A52" zoomScale="91" zoomScaleNormal="60" zoomScaleSheetLayoutView="91" workbookViewId="0">
      <selection activeCell="R61" sqref="R61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509" t="s">
        <v>373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</row>
    <row r="2" spans="1:21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</row>
    <row r="3" spans="1:21" s="136" customFormat="1" ht="15.75" customHeight="1">
      <c r="A3" s="859" t="s">
        <v>667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R3" s="238"/>
      <c r="S3" s="238"/>
      <c r="T3" s="238"/>
      <c r="U3" s="238"/>
    </row>
    <row r="4" spans="1:21" s="137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</row>
    <row r="5" spans="1:21" s="136" customFormat="1" ht="15.75" customHeight="1">
      <c r="A5" s="793" t="s">
        <v>191</v>
      </c>
      <c r="B5" s="795">
        <v>1</v>
      </c>
      <c r="C5" s="796"/>
      <c r="D5" s="795">
        <v>2</v>
      </c>
      <c r="E5" s="796"/>
      <c r="F5" s="795">
        <v>3</v>
      </c>
      <c r="G5" s="796"/>
      <c r="H5" s="786">
        <v>4</v>
      </c>
      <c r="I5" s="787"/>
      <c r="J5" s="786">
        <v>5</v>
      </c>
      <c r="K5" s="787"/>
      <c r="L5" s="786">
        <v>6</v>
      </c>
      <c r="M5" s="787"/>
      <c r="N5" s="786">
        <v>7</v>
      </c>
      <c r="O5" s="787"/>
      <c r="P5" s="338">
        <v>8</v>
      </c>
    </row>
    <row r="6" spans="1:21" s="136" customFormat="1" ht="15.75" customHeight="1">
      <c r="A6" s="794"/>
      <c r="B6" s="790" t="s">
        <v>490</v>
      </c>
      <c r="C6" s="791"/>
      <c r="D6" s="790" t="s">
        <v>212</v>
      </c>
      <c r="E6" s="791"/>
      <c r="F6" s="790" t="s">
        <v>166</v>
      </c>
      <c r="G6" s="791"/>
      <c r="H6" s="788" t="s">
        <v>460</v>
      </c>
      <c r="I6" s="789"/>
      <c r="J6" s="788" t="s">
        <v>189</v>
      </c>
      <c r="K6" s="789"/>
      <c r="L6" s="788" t="s">
        <v>167</v>
      </c>
      <c r="M6" s="789"/>
      <c r="N6" s="788" t="s">
        <v>190</v>
      </c>
      <c r="O6" s="789"/>
      <c r="P6" s="339" t="s">
        <v>217</v>
      </c>
    </row>
    <row r="7" spans="1:21" s="136" customFormat="1" ht="15.75" customHeight="1">
      <c r="B7" s="239"/>
      <c r="C7" s="240"/>
    </row>
    <row r="8" spans="1:21" s="285" customFormat="1" ht="15.75" customHeight="1">
      <c r="A8" s="730" t="s">
        <v>191</v>
      </c>
      <c r="B8" s="731"/>
      <c r="C8" s="282" t="s">
        <v>47</v>
      </c>
      <c r="D8" s="758" t="s">
        <v>12</v>
      </c>
      <c r="E8" s="759"/>
      <c r="F8" s="760"/>
      <c r="G8" s="761" t="s">
        <v>53</v>
      </c>
      <c r="H8" s="762"/>
      <c r="I8" s="763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8" t="s">
        <v>51</v>
      </c>
      <c r="P8" s="739"/>
      <c r="R8" s="211"/>
      <c r="S8" s="268"/>
    </row>
    <row r="9" spans="1:21" s="305" customFormat="1" ht="20.100000000000001" customHeight="1">
      <c r="A9" s="740">
        <v>4</v>
      </c>
      <c r="B9" s="774" t="s">
        <v>460</v>
      </c>
      <c r="C9" s="286">
        <v>1</v>
      </c>
      <c r="D9" s="244"/>
      <c r="E9" s="245"/>
      <c r="F9" s="246"/>
      <c r="G9" s="370"/>
      <c r="H9" s="312"/>
      <c r="I9" s="313"/>
      <c r="J9" s="323"/>
      <c r="K9" s="324"/>
      <c r="L9" s="325"/>
      <c r="M9" s="333">
        <f t="shared" ref="M9:M13" si="0">L9*J9</f>
        <v>0</v>
      </c>
      <c r="N9" s="325"/>
      <c r="O9" s="777"/>
      <c r="P9" s="778"/>
      <c r="R9" s="326"/>
      <c r="S9" s="268"/>
    </row>
    <row r="10" spans="1:21" s="305" customFormat="1" ht="20.100000000000001" customHeight="1">
      <c r="A10" s="741"/>
      <c r="B10" s="775"/>
      <c r="C10" s="286">
        <v>2</v>
      </c>
      <c r="D10" s="244"/>
      <c r="E10" s="245"/>
      <c r="F10" s="246"/>
      <c r="G10" s="370"/>
      <c r="H10" s="312"/>
      <c r="I10" s="313"/>
      <c r="J10" s="323"/>
      <c r="K10" s="324"/>
      <c r="L10" s="325"/>
      <c r="M10" s="333">
        <f t="shared" si="0"/>
        <v>0</v>
      </c>
      <c r="N10" s="325"/>
      <c r="O10" s="770"/>
      <c r="P10" s="771"/>
      <c r="R10" s="326"/>
      <c r="S10" s="211"/>
      <c r="T10" s="350"/>
    </row>
    <row r="11" spans="1:21" s="305" customFormat="1" ht="20.100000000000001" customHeight="1">
      <c r="A11" s="741"/>
      <c r="B11" s="775"/>
      <c r="C11" s="286">
        <v>3</v>
      </c>
      <c r="D11" s="244"/>
      <c r="E11" s="245"/>
      <c r="F11" s="246"/>
      <c r="G11" s="370"/>
      <c r="H11" s="312"/>
      <c r="I11" s="313"/>
      <c r="J11" s="323"/>
      <c r="K11" s="324"/>
      <c r="L11" s="325"/>
      <c r="M11" s="333">
        <f t="shared" si="0"/>
        <v>0</v>
      </c>
      <c r="N11" s="325"/>
      <c r="O11" s="777"/>
      <c r="P11" s="778"/>
      <c r="R11" s="326"/>
      <c r="S11" s="268"/>
    </row>
    <row r="12" spans="1:21" s="305" customFormat="1" ht="20.100000000000001" customHeight="1">
      <c r="A12" s="741"/>
      <c r="B12" s="775"/>
      <c r="C12" s="286">
        <v>4</v>
      </c>
      <c r="D12" s="244"/>
      <c r="E12" s="245"/>
      <c r="F12" s="246"/>
      <c r="G12" s="370"/>
      <c r="H12" s="312"/>
      <c r="I12" s="313"/>
      <c r="J12" s="323"/>
      <c r="K12" s="324"/>
      <c r="L12" s="325"/>
      <c r="M12" s="333">
        <f t="shared" si="0"/>
        <v>0</v>
      </c>
      <c r="N12" s="325"/>
      <c r="O12" s="777"/>
      <c r="P12" s="778"/>
      <c r="R12" s="326"/>
      <c r="S12" s="211"/>
      <c r="T12" s="350"/>
    </row>
    <row r="13" spans="1:21" s="305" customFormat="1" ht="20.100000000000001" customHeight="1" thickBot="1">
      <c r="A13" s="741"/>
      <c r="B13" s="775"/>
      <c r="C13" s="286">
        <v>5</v>
      </c>
      <c r="D13" s="244"/>
      <c r="E13" s="252"/>
      <c r="F13" s="253"/>
      <c r="G13" s="370"/>
      <c r="H13" s="312"/>
      <c r="I13" s="313"/>
      <c r="J13" s="432"/>
      <c r="K13" s="426"/>
      <c r="L13" s="328"/>
      <c r="M13" s="333">
        <f t="shared" si="0"/>
        <v>0</v>
      </c>
      <c r="N13" s="325"/>
      <c r="O13" s="777"/>
      <c r="P13" s="778"/>
      <c r="R13" s="329"/>
      <c r="S13" s="268"/>
      <c r="T13" s="296"/>
    </row>
    <row r="14" spans="1:21" s="296" customFormat="1" ht="15.75" customHeight="1" thickTop="1" thickBot="1">
      <c r="A14" s="742"/>
      <c r="B14" s="776"/>
      <c r="C14" s="783"/>
      <c r="D14" s="784"/>
      <c r="E14" s="784"/>
      <c r="F14" s="784"/>
      <c r="G14" s="784"/>
      <c r="H14" s="784"/>
      <c r="I14" s="785"/>
      <c r="J14" s="363" t="s">
        <v>58</v>
      </c>
      <c r="K14" s="213">
        <f>M14/'生產管理報表 7-1 (週)'!$B$9</f>
        <v>0</v>
      </c>
      <c r="L14" s="364" t="s">
        <v>59</v>
      </c>
      <c r="M14" s="433">
        <f>SUM(M9:M13)</f>
        <v>0</v>
      </c>
      <c r="N14" s="727"/>
      <c r="O14" s="728"/>
      <c r="P14" s="729"/>
      <c r="R14" s="211"/>
      <c r="S14" s="211"/>
    </row>
    <row r="15" spans="1:21" s="296" customFormat="1" ht="15.75" customHeight="1" thickTop="1">
      <c r="B15" s="304"/>
      <c r="C15" s="305"/>
      <c r="M15" s="340"/>
      <c r="S15" s="268"/>
    </row>
    <row r="16" spans="1:21" s="296" customFormat="1" ht="15.75" customHeight="1">
      <c r="A16" s="730" t="s">
        <v>191</v>
      </c>
      <c r="B16" s="731"/>
      <c r="C16" s="282" t="s">
        <v>47</v>
      </c>
      <c r="D16" s="758" t="s">
        <v>12</v>
      </c>
      <c r="E16" s="759"/>
      <c r="F16" s="760"/>
      <c r="G16" s="761" t="s">
        <v>53</v>
      </c>
      <c r="H16" s="762"/>
      <c r="I16" s="763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8" t="s">
        <v>51</v>
      </c>
      <c r="P16" s="739"/>
      <c r="S16" s="211"/>
      <c r="T16" s="350"/>
    </row>
    <row r="17" spans="1:20" s="305" customFormat="1" ht="39.950000000000003" customHeight="1">
      <c r="A17" s="740">
        <v>5</v>
      </c>
      <c r="B17" s="753" t="s">
        <v>215</v>
      </c>
      <c r="C17" s="286">
        <v>1</v>
      </c>
      <c r="D17" s="244"/>
      <c r="E17" s="245"/>
      <c r="F17" s="246"/>
      <c r="G17" s="313"/>
      <c r="H17" s="312"/>
      <c r="I17" s="313"/>
      <c r="J17" s="323"/>
      <c r="K17" s="324"/>
      <c r="L17" s="325"/>
      <c r="M17" s="333">
        <f>L17*J17</f>
        <v>0</v>
      </c>
      <c r="N17" s="325"/>
      <c r="O17" s="770"/>
      <c r="P17" s="771"/>
      <c r="R17" s="441"/>
      <c r="S17" s="434"/>
    </row>
    <row r="18" spans="1:20" s="305" customFormat="1" ht="20.100000000000001" customHeight="1">
      <c r="A18" s="741"/>
      <c r="B18" s="754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70"/>
      <c r="P18" s="771"/>
      <c r="S18" s="211"/>
      <c r="T18" s="351"/>
    </row>
    <row r="19" spans="1:20" s="296" customFormat="1" ht="20.100000000000001" customHeight="1">
      <c r="A19" s="741"/>
      <c r="B19" s="754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66"/>
      <c r="P19" s="767"/>
    </row>
    <row r="20" spans="1:20" s="296" customFormat="1" ht="20.100000000000001" customHeight="1">
      <c r="A20" s="741"/>
      <c r="B20" s="754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70"/>
      <c r="P20" s="771"/>
    </row>
    <row r="21" spans="1:20" s="296" customFormat="1" ht="20.100000000000001" customHeight="1" thickBot="1">
      <c r="A21" s="741"/>
      <c r="B21" s="754"/>
      <c r="C21" s="286">
        <v>5</v>
      </c>
      <c r="D21" s="251"/>
      <c r="E21" s="298"/>
      <c r="F21" s="299"/>
      <c r="G21" s="370"/>
      <c r="H21" s="312"/>
      <c r="I21" s="313"/>
      <c r="J21" s="432"/>
      <c r="K21" s="426"/>
      <c r="L21" s="328"/>
      <c r="M21" s="333">
        <f t="shared" si="1"/>
        <v>0</v>
      </c>
      <c r="N21" s="295"/>
      <c r="O21" s="860"/>
      <c r="P21" s="861"/>
      <c r="R21" s="212"/>
    </row>
    <row r="22" spans="1:20" s="296" customFormat="1" ht="15.75" customHeight="1" thickTop="1" thickBot="1">
      <c r="A22" s="742"/>
      <c r="B22" s="755"/>
      <c r="C22" s="750"/>
      <c r="D22" s="751"/>
      <c r="E22" s="751"/>
      <c r="F22" s="751"/>
      <c r="G22" s="751"/>
      <c r="H22" s="751"/>
      <c r="I22" s="752"/>
      <c r="J22" s="363" t="s">
        <v>58</v>
      </c>
      <c r="K22" s="213">
        <f>M22/'生產管理報表 7-1 (週)'!$B$9</f>
        <v>0</v>
      </c>
      <c r="L22" s="364" t="s">
        <v>59</v>
      </c>
      <c r="M22" s="433">
        <f>SUM(M17:M21)</f>
        <v>0</v>
      </c>
      <c r="N22" s="727"/>
      <c r="O22" s="728"/>
      <c r="P22" s="729"/>
      <c r="R22" s="211"/>
    </row>
    <row r="23" spans="1:20" s="296" customFormat="1" ht="15.75" customHeight="1" thickTop="1">
      <c r="B23" s="304"/>
      <c r="C23" s="305"/>
      <c r="M23" s="340"/>
      <c r="R23" s="211"/>
    </row>
    <row r="24" spans="1:20" s="296" customFormat="1" ht="15.75" customHeight="1">
      <c r="A24" s="730" t="s">
        <v>191</v>
      </c>
      <c r="B24" s="731"/>
      <c r="C24" s="310" t="s">
        <v>47</v>
      </c>
      <c r="D24" s="732" t="s">
        <v>12</v>
      </c>
      <c r="E24" s="733"/>
      <c r="F24" s="734"/>
      <c r="G24" s="735" t="s">
        <v>53</v>
      </c>
      <c r="H24" s="736"/>
      <c r="I24" s="737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8" t="s">
        <v>51</v>
      </c>
      <c r="P24" s="739"/>
      <c r="R24" s="211"/>
      <c r="S24" s="2"/>
    </row>
    <row r="25" spans="1:20" s="296" customFormat="1" ht="39.950000000000003" customHeight="1">
      <c r="A25" s="740">
        <v>6</v>
      </c>
      <c r="B25" s="753" t="s">
        <v>216</v>
      </c>
      <c r="C25" s="286">
        <v>1</v>
      </c>
      <c r="D25" s="352" t="s">
        <v>341</v>
      </c>
      <c r="E25" s="288"/>
      <c r="F25" s="289"/>
      <c r="G25" s="313" t="s">
        <v>335</v>
      </c>
      <c r="H25" s="312"/>
      <c r="I25" s="313"/>
      <c r="J25" s="323">
        <v>15.450000000000001</v>
      </c>
      <c r="K25" s="324">
        <v>5.0821163002193331E-3</v>
      </c>
      <c r="L25" s="325">
        <v>95</v>
      </c>
      <c r="M25" s="333">
        <f t="shared" ref="M25" si="2">L25*J25</f>
        <v>1467.75</v>
      </c>
      <c r="N25" s="295"/>
      <c r="O25" s="766" t="s">
        <v>528</v>
      </c>
      <c r="P25" s="767"/>
      <c r="R25" s="351"/>
      <c r="S25" s="442"/>
    </row>
    <row r="26" spans="1:20" s="296" customFormat="1" ht="20.100000000000001" customHeight="1">
      <c r="A26" s="741"/>
      <c r="B26" s="754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  <c r="S26" s="2"/>
    </row>
    <row r="27" spans="1:20" s="296" customFormat="1" ht="20.100000000000001" customHeight="1">
      <c r="A27" s="741"/>
      <c r="B27" s="754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  <c r="S27" s="2"/>
    </row>
    <row r="28" spans="1:20" s="296" customFormat="1" ht="20.100000000000001" customHeight="1">
      <c r="A28" s="741"/>
      <c r="B28" s="754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  <c r="R28" s="2"/>
      <c r="S28" s="2"/>
    </row>
    <row r="29" spans="1:20" s="296" customFormat="1" ht="20.100000000000001" customHeight="1" thickBot="1">
      <c r="A29" s="741"/>
      <c r="B29" s="754"/>
      <c r="C29" s="286">
        <v>5</v>
      </c>
      <c r="D29" s="297"/>
      <c r="E29" s="298"/>
      <c r="F29" s="299"/>
      <c r="G29" s="290"/>
      <c r="H29" s="291"/>
      <c r="I29" s="292"/>
      <c r="J29" s="432"/>
      <c r="K29" s="426"/>
      <c r="L29" s="328"/>
      <c r="M29" s="333">
        <v>0</v>
      </c>
      <c r="N29" s="295"/>
      <c r="O29" s="308"/>
      <c r="P29" s="309"/>
      <c r="R29" s="2"/>
      <c r="S29" s="2"/>
    </row>
    <row r="30" spans="1:20" s="296" customFormat="1" ht="15.75" customHeight="1" thickTop="1" thickBot="1">
      <c r="A30" s="742"/>
      <c r="B30" s="755"/>
      <c r="C30" s="750"/>
      <c r="D30" s="751"/>
      <c r="E30" s="751"/>
      <c r="F30" s="751"/>
      <c r="G30" s="751"/>
      <c r="H30" s="751"/>
      <c r="I30" s="752"/>
      <c r="J30" s="363" t="s">
        <v>58</v>
      </c>
      <c r="K30" s="213">
        <f>M30/'生產管理報表 7-1 (週)'!$B$9</f>
        <v>2.4229712152076151E-2</v>
      </c>
      <c r="L30" s="364" t="s">
        <v>59</v>
      </c>
      <c r="M30" s="433">
        <f>SUM(M25:M29)</f>
        <v>1467.75</v>
      </c>
      <c r="N30" s="727"/>
      <c r="O30" s="728"/>
      <c r="P30" s="729"/>
      <c r="R30" s="2"/>
      <c r="S30" s="2"/>
    </row>
    <row r="31" spans="1:20" s="296" customFormat="1" ht="15.75" customHeight="1" thickTop="1">
      <c r="B31" s="304"/>
      <c r="C31" s="305"/>
      <c r="M31" s="340"/>
      <c r="R31" s="2"/>
      <c r="S31" s="2"/>
    </row>
    <row r="32" spans="1:20" s="296" customFormat="1" ht="15.75" customHeight="1">
      <c r="A32" s="730" t="s">
        <v>191</v>
      </c>
      <c r="B32" s="731"/>
      <c r="C32" s="310" t="s">
        <v>47</v>
      </c>
      <c r="D32" s="732" t="s">
        <v>12</v>
      </c>
      <c r="E32" s="733"/>
      <c r="F32" s="734"/>
      <c r="G32" s="735" t="s">
        <v>53</v>
      </c>
      <c r="H32" s="736"/>
      <c r="I32" s="737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38" t="s">
        <v>51</v>
      </c>
      <c r="P32" s="739"/>
      <c r="R32" s="2"/>
      <c r="S32" s="2"/>
    </row>
    <row r="33" spans="1:21" s="296" customFormat="1" ht="20.100000000000001" customHeight="1">
      <c r="A33" s="740">
        <v>7</v>
      </c>
      <c r="B33" s="743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46"/>
      <c r="P33" s="747"/>
      <c r="R33" s="2"/>
      <c r="S33" s="2"/>
    </row>
    <row r="34" spans="1:21" s="296" customFormat="1" ht="20.100000000000001" customHeight="1">
      <c r="A34" s="741"/>
      <c r="B34" s="744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48"/>
      <c r="P34" s="749"/>
      <c r="R34" s="2"/>
      <c r="S34" s="2"/>
    </row>
    <row r="35" spans="1:21" s="296" customFormat="1" ht="20.100000000000001" customHeight="1">
      <c r="A35" s="741"/>
      <c r="B35" s="744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48"/>
      <c r="P35" s="749"/>
      <c r="R35" s="2"/>
      <c r="S35" s="2"/>
    </row>
    <row r="36" spans="1:21" s="296" customFormat="1" ht="20.100000000000001" customHeight="1">
      <c r="A36" s="741"/>
      <c r="B36" s="744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  <c r="R36" s="2"/>
      <c r="S36" s="2"/>
    </row>
    <row r="37" spans="1:21" s="296" customFormat="1" ht="20.100000000000001" customHeight="1" thickBot="1">
      <c r="A37" s="741"/>
      <c r="B37" s="744"/>
      <c r="C37" s="286">
        <v>5</v>
      </c>
      <c r="D37" s="297"/>
      <c r="E37" s="298"/>
      <c r="F37" s="299"/>
      <c r="G37" s="290"/>
      <c r="H37" s="291"/>
      <c r="I37" s="292"/>
      <c r="J37" s="432"/>
      <c r="K37" s="426"/>
      <c r="L37" s="328"/>
      <c r="M37" s="344">
        <v>0</v>
      </c>
      <c r="N37" s="295"/>
      <c r="O37" s="308"/>
      <c r="P37" s="309"/>
      <c r="R37" s="2"/>
      <c r="S37" s="2"/>
    </row>
    <row r="38" spans="1:21" s="296" customFormat="1" ht="15.75" customHeight="1" thickTop="1" thickBot="1">
      <c r="A38" s="742"/>
      <c r="B38" s="745"/>
      <c r="C38" s="750"/>
      <c r="D38" s="751"/>
      <c r="E38" s="751"/>
      <c r="F38" s="751"/>
      <c r="G38" s="751"/>
      <c r="H38" s="751"/>
      <c r="I38" s="752"/>
      <c r="J38" s="363" t="s">
        <v>58</v>
      </c>
      <c r="K38" s="213">
        <f>M38/'生產管理報表 7-1 (週)'!$B$9</f>
        <v>0</v>
      </c>
      <c r="L38" s="364" t="s">
        <v>59</v>
      </c>
      <c r="M38" s="433">
        <f>SUM(M33:M37)</f>
        <v>0</v>
      </c>
      <c r="N38" s="727"/>
      <c r="O38" s="728"/>
      <c r="P38" s="729"/>
      <c r="R38" s="2"/>
      <c r="S38" s="2"/>
      <c r="T38" s="2"/>
    </row>
    <row r="39" spans="1:21" s="136" customFormat="1" ht="15.75" customHeight="1" thickTop="1">
      <c r="A39" s="859" t="s">
        <v>720</v>
      </c>
      <c r="B39" s="859"/>
      <c r="C39" s="859"/>
      <c r="D39" s="859"/>
      <c r="E39" s="859"/>
      <c r="F39" s="859"/>
      <c r="G39" s="859"/>
      <c r="H39" s="859"/>
      <c r="I39" s="859"/>
      <c r="J39" s="859"/>
      <c r="K39" s="859"/>
      <c r="L39" s="859"/>
      <c r="M39" s="859"/>
      <c r="R39" s="238"/>
      <c r="S39" s="238"/>
      <c r="T39" s="238"/>
      <c r="U39" s="238"/>
    </row>
    <row r="40" spans="1:21" s="137" customFormat="1" ht="15.75" customHeight="1">
      <c r="A40" s="792"/>
      <c r="B40" s="792"/>
      <c r="C40" s="792"/>
      <c r="D40" s="792"/>
      <c r="E40" s="792"/>
      <c r="F40" s="792"/>
      <c r="G40" s="792"/>
      <c r="H40" s="792"/>
      <c r="I40" s="792"/>
      <c r="J40" s="792"/>
      <c r="K40" s="792"/>
      <c r="L40" s="792"/>
      <c r="M40" s="792"/>
    </row>
    <row r="41" spans="1:21" s="136" customFormat="1" ht="15.75" customHeight="1">
      <c r="A41" s="793" t="s">
        <v>191</v>
      </c>
      <c r="B41" s="795">
        <v>1</v>
      </c>
      <c r="C41" s="796"/>
      <c r="D41" s="795">
        <v>2</v>
      </c>
      <c r="E41" s="796"/>
      <c r="F41" s="795">
        <v>3</v>
      </c>
      <c r="G41" s="796"/>
      <c r="H41" s="786">
        <v>4</v>
      </c>
      <c r="I41" s="787"/>
      <c r="J41" s="786">
        <v>5</v>
      </c>
      <c r="K41" s="787"/>
      <c r="L41" s="786">
        <v>6</v>
      </c>
      <c r="M41" s="787"/>
      <c r="N41" s="786">
        <v>7</v>
      </c>
      <c r="O41" s="787"/>
      <c r="P41" s="338">
        <v>8</v>
      </c>
    </row>
    <row r="42" spans="1:21" s="136" customFormat="1" ht="15.75" customHeight="1">
      <c r="A42" s="794"/>
      <c r="B42" s="790" t="s">
        <v>490</v>
      </c>
      <c r="C42" s="791"/>
      <c r="D42" s="790" t="s">
        <v>212</v>
      </c>
      <c r="E42" s="791"/>
      <c r="F42" s="790" t="s">
        <v>166</v>
      </c>
      <c r="G42" s="791"/>
      <c r="H42" s="788" t="s">
        <v>460</v>
      </c>
      <c r="I42" s="789"/>
      <c r="J42" s="788" t="s">
        <v>189</v>
      </c>
      <c r="K42" s="789"/>
      <c r="L42" s="788" t="s">
        <v>167</v>
      </c>
      <c r="M42" s="789"/>
      <c r="N42" s="788" t="s">
        <v>190</v>
      </c>
      <c r="O42" s="789"/>
      <c r="P42" s="339" t="s">
        <v>217</v>
      </c>
    </row>
    <row r="43" spans="1:21" s="136" customFormat="1" ht="15.75" customHeight="1">
      <c r="B43" s="239"/>
      <c r="C43" s="240"/>
    </row>
    <row r="44" spans="1:21" s="285" customFormat="1" ht="15.75" customHeight="1">
      <c r="A44" s="730" t="s">
        <v>191</v>
      </c>
      <c r="B44" s="731"/>
      <c r="C44" s="282" t="s">
        <v>47</v>
      </c>
      <c r="D44" s="758" t="s">
        <v>12</v>
      </c>
      <c r="E44" s="759"/>
      <c r="F44" s="760"/>
      <c r="G44" s="761" t="s">
        <v>53</v>
      </c>
      <c r="H44" s="762"/>
      <c r="I44" s="763"/>
      <c r="J44" s="283" t="s">
        <v>54</v>
      </c>
      <c r="K44" s="283" t="s">
        <v>55</v>
      </c>
      <c r="L44" s="283" t="s">
        <v>56</v>
      </c>
      <c r="M44" s="284" t="s">
        <v>11</v>
      </c>
      <c r="N44" s="284" t="s">
        <v>333</v>
      </c>
      <c r="O44" s="738" t="s">
        <v>51</v>
      </c>
      <c r="P44" s="739"/>
      <c r="R44" s="211"/>
      <c r="S44" s="268"/>
    </row>
    <row r="45" spans="1:21" s="305" customFormat="1" ht="20.100000000000001" customHeight="1">
      <c r="A45" s="740">
        <v>4</v>
      </c>
      <c r="B45" s="774" t="s">
        <v>460</v>
      </c>
      <c r="C45" s="286">
        <v>1</v>
      </c>
      <c r="D45" s="244"/>
      <c r="E45" s="245"/>
      <c r="F45" s="246"/>
      <c r="G45" s="370"/>
      <c r="H45" s="312"/>
      <c r="I45" s="313"/>
      <c r="J45" s="323"/>
      <c r="K45" s="324"/>
      <c r="L45" s="325"/>
      <c r="M45" s="333">
        <f t="shared" ref="M45:M49" si="4">L45*J45</f>
        <v>0</v>
      </c>
      <c r="N45" s="325"/>
      <c r="O45" s="777"/>
      <c r="P45" s="778"/>
      <c r="R45" s="326"/>
      <c r="S45" s="268"/>
    </row>
    <row r="46" spans="1:21" s="305" customFormat="1" ht="20.100000000000001" customHeight="1">
      <c r="A46" s="741"/>
      <c r="B46" s="775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si="4"/>
        <v>0</v>
      </c>
      <c r="N46" s="325"/>
      <c r="O46" s="770"/>
      <c r="P46" s="771"/>
      <c r="R46" s="326"/>
      <c r="S46" s="211"/>
      <c r="T46" s="350"/>
    </row>
    <row r="47" spans="1:21" s="305" customFormat="1" ht="20.100000000000001" customHeight="1">
      <c r="A47" s="741"/>
      <c r="B47" s="775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325"/>
      <c r="O47" s="777"/>
      <c r="P47" s="778"/>
      <c r="R47" s="326"/>
      <c r="S47" s="268"/>
    </row>
    <row r="48" spans="1:21" s="305" customFormat="1" ht="20.100000000000001" customHeight="1">
      <c r="A48" s="741"/>
      <c r="B48" s="775"/>
      <c r="C48" s="286">
        <v>4</v>
      </c>
      <c r="D48" s="244"/>
      <c r="E48" s="245"/>
      <c r="F48" s="246"/>
      <c r="G48" s="370"/>
      <c r="H48" s="312"/>
      <c r="I48" s="313"/>
      <c r="J48" s="323"/>
      <c r="K48" s="324"/>
      <c r="L48" s="325"/>
      <c r="M48" s="333">
        <f t="shared" si="4"/>
        <v>0</v>
      </c>
      <c r="N48" s="325"/>
      <c r="O48" s="777"/>
      <c r="P48" s="778"/>
      <c r="R48" s="326"/>
      <c r="S48" s="211"/>
      <c r="T48" s="350"/>
    </row>
    <row r="49" spans="1:20" s="305" customFormat="1" ht="20.100000000000001" customHeight="1" thickBot="1">
      <c r="A49" s="741"/>
      <c r="B49" s="775"/>
      <c r="C49" s="286">
        <v>5</v>
      </c>
      <c r="D49" s="244"/>
      <c r="E49" s="252"/>
      <c r="F49" s="253"/>
      <c r="G49" s="370"/>
      <c r="H49" s="312"/>
      <c r="I49" s="313"/>
      <c r="J49" s="432"/>
      <c r="K49" s="426"/>
      <c r="L49" s="328"/>
      <c r="M49" s="333">
        <f t="shared" si="4"/>
        <v>0</v>
      </c>
      <c r="N49" s="325"/>
      <c r="O49" s="777"/>
      <c r="P49" s="778"/>
      <c r="R49" s="329"/>
      <c r="S49" s="268"/>
      <c r="T49" s="296"/>
    </row>
    <row r="50" spans="1:20" s="296" customFormat="1" ht="15.75" customHeight="1" thickTop="1" thickBot="1">
      <c r="A50" s="742"/>
      <c r="B50" s="776"/>
      <c r="C50" s="783"/>
      <c r="D50" s="784"/>
      <c r="E50" s="784"/>
      <c r="F50" s="784"/>
      <c r="G50" s="784"/>
      <c r="H50" s="784"/>
      <c r="I50" s="785"/>
      <c r="J50" s="363" t="s">
        <v>58</v>
      </c>
      <c r="K50" s="213">
        <f>M50/'生產管理報表 7-1 (週)'!$B$20</f>
        <v>0</v>
      </c>
      <c r="L50" s="364" t="s">
        <v>59</v>
      </c>
      <c r="M50" s="433">
        <f>SUM(M45:M49)</f>
        <v>0</v>
      </c>
      <c r="N50" s="727"/>
      <c r="O50" s="728"/>
      <c r="P50" s="729"/>
      <c r="R50" s="211"/>
      <c r="S50" s="211"/>
    </row>
    <row r="51" spans="1:20" s="296" customFormat="1" ht="15.75" customHeight="1" thickTop="1">
      <c r="B51" s="304"/>
      <c r="C51" s="305"/>
      <c r="M51" s="340"/>
      <c r="S51" s="268"/>
    </row>
    <row r="52" spans="1:20" s="296" customFormat="1" ht="15.75" customHeight="1">
      <c r="A52" s="730" t="s">
        <v>191</v>
      </c>
      <c r="B52" s="731"/>
      <c r="C52" s="282" t="s">
        <v>47</v>
      </c>
      <c r="D52" s="758" t="s">
        <v>12</v>
      </c>
      <c r="E52" s="759"/>
      <c r="F52" s="760"/>
      <c r="G52" s="761" t="s">
        <v>53</v>
      </c>
      <c r="H52" s="762"/>
      <c r="I52" s="763"/>
      <c r="J52" s="283" t="s">
        <v>54</v>
      </c>
      <c r="K52" s="283" t="s">
        <v>55</v>
      </c>
      <c r="L52" s="283" t="s">
        <v>56</v>
      </c>
      <c r="M52" s="341" t="s">
        <v>11</v>
      </c>
      <c r="N52" s="284" t="s">
        <v>333</v>
      </c>
      <c r="O52" s="738" t="s">
        <v>51</v>
      </c>
      <c r="P52" s="739"/>
      <c r="S52" s="211"/>
      <c r="T52" s="350"/>
    </row>
    <row r="53" spans="1:20" s="305" customFormat="1" ht="39.950000000000003" customHeight="1">
      <c r="A53" s="740">
        <v>5</v>
      </c>
      <c r="B53" s="753" t="s">
        <v>215</v>
      </c>
      <c r="C53" s="286">
        <v>1</v>
      </c>
      <c r="D53" s="244"/>
      <c r="E53" s="245"/>
      <c r="F53" s="246"/>
      <c r="G53" s="313"/>
      <c r="H53" s="312"/>
      <c r="I53" s="313"/>
      <c r="J53" s="323"/>
      <c r="K53" s="324"/>
      <c r="L53" s="325"/>
      <c r="M53" s="333">
        <f>L53*J53</f>
        <v>0</v>
      </c>
      <c r="N53" s="325"/>
      <c r="O53" s="770"/>
      <c r="P53" s="771"/>
      <c r="R53" s="441"/>
      <c r="S53" s="434"/>
    </row>
    <row r="54" spans="1:20" s="305" customFormat="1" ht="20.100000000000001" customHeight="1">
      <c r="A54" s="741"/>
      <c r="B54" s="754"/>
      <c r="C54" s="286">
        <v>2</v>
      </c>
      <c r="D54" s="244"/>
      <c r="E54" s="245"/>
      <c r="F54" s="246"/>
      <c r="G54" s="370"/>
      <c r="H54" s="312"/>
      <c r="I54" s="313"/>
      <c r="J54" s="323"/>
      <c r="K54" s="324"/>
      <c r="L54" s="325"/>
      <c r="M54" s="333">
        <f t="shared" ref="M54:M57" si="5">L54*J54</f>
        <v>0</v>
      </c>
      <c r="N54" s="325"/>
      <c r="O54" s="770"/>
      <c r="P54" s="771"/>
      <c r="S54" s="211"/>
      <c r="T54" s="351"/>
    </row>
    <row r="55" spans="1:20" s="296" customFormat="1" ht="20.100000000000001" customHeight="1">
      <c r="A55" s="741"/>
      <c r="B55" s="754"/>
      <c r="C55" s="286">
        <v>3</v>
      </c>
      <c r="D55" s="244"/>
      <c r="E55" s="288"/>
      <c r="F55" s="289"/>
      <c r="G55" s="370"/>
      <c r="H55" s="312"/>
      <c r="I55" s="313"/>
      <c r="J55" s="323"/>
      <c r="K55" s="324"/>
      <c r="L55" s="325"/>
      <c r="M55" s="333">
        <f t="shared" si="5"/>
        <v>0</v>
      </c>
      <c r="N55" s="295"/>
      <c r="O55" s="766"/>
      <c r="P55" s="767"/>
    </row>
    <row r="56" spans="1:20" s="296" customFormat="1" ht="20.100000000000001" customHeight="1">
      <c r="A56" s="741"/>
      <c r="B56" s="754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70"/>
      <c r="P56" s="771"/>
    </row>
    <row r="57" spans="1:20" s="296" customFormat="1" ht="20.100000000000001" customHeight="1" thickBot="1">
      <c r="A57" s="741"/>
      <c r="B57" s="754"/>
      <c r="C57" s="286">
        <v>5</v>
      </c>
      <c r="D57" s="251"/>
      <c r="E57" s="298"/>
      <c r="F57" s="299"/>
      <c r="G57" s="370"/>
      <c r="H57" s="312"/>
      <c r="I57" s="313"/>
      <c r="J57" s="432"/>
      <c r="K57" s="426"/>
      <c r="L57" s="328"/>
      <c r="M57" s="333">
        <f t="shared" si="5"/>
        <v>0</v>
      </c>
      <c r="N57" s="295"/>
      <c r="O57" s="860"/>
      <c r="P57" s="861"/>
      <c r="R57" s="212"/>
    </row>
    <row r="58" spans="1:20" s="296" customFormat="1" ht="15.75" customHeight="1" thickTop="1" thickBot="1">
      <c r="A58" s="742"/>
      <c r="B58" s="755"/>
      <c r="C58" s="750"/>
      <c r="D58" s="751"/>
      <c r="E58" s="751"/>
      <c r="F58" s="751"/>
      <c r="G58" s="751"/>
      <c r="H58" s="751"/>
      <c r="I58" s="752"/>
      <c r="J58" s="363" t="s">
        <v>58</v>
      </c>
      <c r="K58" s="213">
        <f>M58/'生產管理報表 7-1 (週)'!$B$20</f>
        <v>0</v>
      </c>
      <c r="L58" s="364" t="s">
        <v>59</v>
      </c>
      <c r="M58" s="433">
        <f>SUM(M53:M57)</f>
        <v>0</v>
      </c>
      <c r="N58" s="727"/>
      <c r="O58" s="728"/>
      <c r="P58" s="729"/>
      <c r="R58" s="211"/>
    </row>
    <row r="59" spans="1:20" s="296" customFormat="1" ht="15.75" customHeight="1" thickTop="1">
      <c r="B59" s="304"/>
      <c r="C59" s="305"/>
      <c r="M59" s="340"/>
      <c r="R59" s="211"/>
    </row>
    <row r="60" spans="1:20" s="296" customFormat="1" ht="15.75" customHeight="1">
      <c r="A60" s="730" t="s">
        <v>191</v>
      </c>
      <c r="B60" s="731"/>
      <c r="C60" s="310" t="s">
        <v>47</v>
      </c>
      <c r="D60" s="732" t="s">
        <v>12</v>
      </c>
      <c r="E60" s="733"/>
      <c r="F60" s="734"/>
      <c r="G60" s="735" t="s">
        <v>53</v>
      </c>
      <c r="H60" s="736"/>
      <c r="I60" s="737"/>
      <c r="J60" s="311" t="s">
        <v>54</v>
      </c>
      <c r="K60" s="283" t="s">
        <v>55</v>
      </c>
      <c r="L60" s="283" t="s">
        <v>56</v>
      </c>
      <c r="M60" s="341" t="s">
        <v>11</v>
      </c>
      <c r="N60" s="284" t="s">
        <v>333</v>
      </c>
      <c r="O60" s="738" t="s">
        <v>51</v>
      </c>
      <c r="P60" s="739"/>
      <c r="R60" s="211"/>
      <c r="S60" s="2"/>
    </row>
    <row r="61" spans="1:20" s="296" customFormat="1" ht="39.950000000000003" customHeight="1">
      <c r="A61" s="740">
        <v>6</v>
      </c>
      <c r="B61" s="753" t="s">
        <v>216</v>
      </c>
      <c r="C61" s="286">
        <v>1</v>
      </c>
      <c r="D61" s="500" t="s">
        <v>727</v>
      </c>
      <c r="E61" s="288"/>
      <c r="F61" s="289"/>
      <c r="G61" s="313" t="s">
        <v>335</v>
      </c>
      <c r="H61" s="312"/>
      <c r="I61" s="313"/>
      <c r="J61" s="323">
        <v>15.450000000000001</v>
      </c>
      <c r="K61" s="324">
        <v>4.0112314480545532E-3</v>
      </c>
      <c r="L61" s="325">
        <v>110</v>
      </c>
      <c r="M61" s="333">
        <f t="shared" ref="M61" si="6">L61*J61</f>
        <v>1699.5000000000002</v>
      </c>
      <c r="N61" s="295"/>
      <c r="O61" s="766" t="s">
        <v>528</v>
      </c>
      <c r="P61" s="767"/>
      <c r="R61" s="351"/>
      <c r="S61" s="442"/>
    </row>
    <row r="62" spans="1:20" s="296" customFormat="1" ht="20.100000000000001" customHeight="1">
      <c r="A62" s="741"/>
      <c r="B62" s="754"/>
      <c r="C62" s="286">
        <v>2</v>
      </c>
      <c r="D62" s="287"/>
      <c r="E62" s="288"/>
      <c r="F62" s="289"/>
      <c r="G62" s="290"/>
      <c r="H62" s="291"/>
      <c r="I62" s="292"/>
      <c r="J62" s="293"/>
      <c r="K62" s="294"/>
      <c r="L62" s="295"/>
      <c r="M62" s="342">
        <v>0</v>
      </c>
      <c r="N62" s="295"/>
      <c r="O62" s="306"/>
      <c r="P62" s="307"/>
      <c r="S62" s="2"/>
    </row>
    <row r="63" spans="1:20" s="296" customFormat="1" ht="20.100000000000001" customHeight="1">
      <c r="A63" s="741"/>
      <c r="B63" s="754"/>
      <c r="C63" s="286">
        <v>3</v>
      </c>
      <c r="D63" s="287"/>
      <c r="E63" s="288"/>
      <c r="F63" s="289"/>
      <c r="G63" s="290"/>
      <c r="H63" s="291"/>
      <c r="I63" s="292"/>
      <c r="J63" s="293"/>
      <c r="K63" s="294"/>
      <c r="L63" s="295"/>
      <c r="M63" s="342">
        <v>0</v>
      </c>
      <c r="N63" s="295"/>
      <c r="O63" s="306"/>
      <c r="P63" s="307"/>
      <c r="S63" s="2"/>
    </row>
    <row r="64" spans="1:20" s="296" customFormat="1" ht="20.100000000000001" customHeight="1">
      <c r="A64" s="741"/>
      <c r="B64" s="754"/>
      <c r="C64" s="286">
        <v>4</v>
      </c>
      <c r="D64" s="287"/>
      <c r="E64" s="288"/>
      <c r="F64" s="289"/>
      <c r="G64" s="290"/>
      <c r="H64" s="291"/>
      <c r="I64" s="292"/>
      <c r="J64" s="293"/>
      <c r="K64" s="294"/>
      <c r="L64" s="295"/>
      <c r="M64" s="342">
        <v>0</v>
      </c>
      <c r="N64" s="295"/>
      <c r="O64" s="306"/>
      <c r="P64" s="307"/>
      <c r="R64" s="2"/>
      <c r="S64" s="2"/>
    </row>
    <row r="65" spans="1:21" s="296" customFormat="1" ht="20.100000000000001" customHeight="1" thickBot="1">
      <c r="A65" s="741"/>
      <c r="B65" s="754"/>
      <c r="C65" s="286">
        <v>5</v>
      </c>
      <c r="D65" s="297"/>
      <c r="E65" s="298"/>
      <c r="F65" s="299"/>
      <c r="G65" s="290"/>
      <c r="H65" s="291"/>
      <c r="I65" s="292"/>
      <c r="J65" s="432"/>
      <c r="K65" s="426"/>
      <c r="L65" s="328"/>
      <c r="M65" s="333">
        <v>0</v>
      </c>
      <c r="N65" s="295"/>
      <c r="O65" s="308"/>
      <c r="P65" s="309"/>
      <c r="R65" s="2"/>
      <c r="S65" s="2"/>
    </row>
    <row r="66" spans="1:21" s="296" customFormat="1" ht="15.75" customHeight="1" thickTop="1" thickBot="1">
      <c r="A66" s="742"/>
      <c r="B66" s="755"/>
      <c r="C66" s="750"/>
      <c r="D66" s="751"/>
      <c r="E66" s="751"/>
      <c r="F66" s="751"/>
      <c r="G66" s="751"/>
      <c r="H66" s="751"/>
      <c r="I66" s="752"/>
      <c r="J66" s="363" t="s">
        <v>58</v>
      </c>
      <c r="K66" s="213">
        <f>M66/'生產管理報表 7-1 (週)'!$B$20</f>
        <v>2.3908382638809851E-2</v>
      </c>
      <c r="L66" s="364" t="s">
        <v>59</v>
      </c>
      <c r="M66" s="433">
        <f>SUM(M61:M65)</f>
        <v>1699.5000000000002</v>
      </c>
      <c r="N66" s="727"/>
      <c r="O66" s="728"/>
      <c r="P66" s="729"/>
      <c r="R66" s="2"/>
      <c r="S66" s="2"/>
    </row>
    <row r="67" spans="1:21" s="296" customFormat="1" ht="15.75" customHeight="1" thickTop="1">
      <c r="B67" s="304"/>
      <c r="C67" s="305"/>
      <c r="M67" s="340"/>
      <c r="R67" s="2"/>
      <c r="S67" s="2"/>
    </row>
    <row r="68" spans="1:21" s="296" customFormat="1" ht="15.75" customHeight="1">
      <c r="A68" s="730" t="s">
        <v>191</v>
      </c>
      <c r="B68" s="731"/>
      <c r="C68" s="310" t="s">
        <v>47</v>
      </c>
      <c r="D68" s="732" t="s">
        <v>12</v>
      </c>
      <c r="E68" s="733"/>
      <c r="F68" s="734"/>
      <c r="G68" s="735" t="s">
        <v>53</v>
      </c>
      <c r="H68" s="736"/>
      <c r="I68" s="737"/>
      <c r="J68" s="311" t="s">
        <v>54</v>
      </c>
      <c r="K68" s="283" t="s">
        <v>55</v>
      </c>
      <c r="L68" s="283" t="s">
        <v>56</v>
      </c>
      <c r="M68" s="341" t="s">
        <v>11</v>
      </c>
      <c r="N68" s="284" t="s">
        <v>333</v>
      </c>
      <c r="O68" s="738" t="s">
        <v>51</v>
      </c>
      <c r="P68" s="739"/>
      <c r="R68" s="2"/>
      <c r="S68" s="2"/>
    </row>
    <row r="69" spans="1:21" s="296" customFormat="1" ht="20.100000000000001" customHeight="1">
      <c r="A69" s="740">
        <v>7</v>
      </c>
      <c r="B69" s="743" t="s">
        <v>249</v>
      </c>
      <c r="C69" s="286">
        <v>1</v>
      </c>
      <c r="D69" s="287"/>
      <c r="E69" s="288"/>
      <c r="F69" s="289"/>
      <c r="G69" s="290"/>
      <c r="H69" s="291"/>
      <c r="I69" s="292"/>
      <c r="J69" s="293"/>
      <c r="K69" s="294"/>
      <c r="L69" s="295"/>
      <c r="M69" s="342">
        <f t="shared" ref="M69:M71" si="7">L69*J69</f>
        <v>0</v>
      </c>
      <c r="N69" s="295"/>
      <c r="O69" s="746"/>
      <c r="P69" s="747"/>
      <c r="R69" s="2"/>
      <c r="S69" s="2"/>
    </row>
    <row r="70" spans="1:21" s="296" customFormat="1" ht="20.100000000000001" customHeight="1">
      <c r="A70" s="741"/>
      <c r="B70" s="744"/>
      <c r="C70" s="286">
        <v>2</v>
      </c>
      <c r="D70" s="287"/>
      <c r="E70" s="288"/>
      <c r="F70" s="289"/>
      <c r="G70" s="290"/>
      <c r="H70" s="291"/>
      <c r="I70" s="292"/>
      <c r="J70" s="293"/>
      <c r="K70" s="294"/>
      <c r="L70" s="295"/>
      <c r="M70" s="342">
        <f t="shared" si="7"/>
        <v>0</v>
      </c>
      <c r="N70" s="295"/>
      <c r="O70" s="748"/>
      <c r="P70" s="749"/>
      <c r="R70" s="2"/>
      <c r="S70" s="2"/>
    </row>
    <row r="71" spans="1:21" s="296" customFormat="1" ht="20.100000000000001" customHeight="1">
      <c r="A71" s="741"/>
      <c r="B71" s="744"/>
      <c r="C71" s="286">
        <v>3</v>
      </c>
      <c r="D71" s="287"/>
      <c r="E71" s="288"/>
      <c r="F71" s="289"/>
      <c r="G71" s="290"/>
      <c r="H71" s="291"/>
      <c r="I71" s="292"/>
      <c r="J71" s="293"/>
      <c r="K71" s="294"/>
      <c r="L71" s="295"/>
      <c r="M71" s="342">
        <f t="shared" si="7"/>
        <v>0</v>
      </c>
      <c r="N71" s="295"/>
      <c r="O71" s="748"/>
      <c r="P71" s="749"/>
      <c r="R71" s="2"/>
      <c r="S71" s="2"/>
    </row>
    <row r="72" spans="1:21" s="296" customFormat="1" ht="20.100000000000001" customHeight="1">
      <c r="A72" s="741"/>
      <c r="B72" s="744"/>
      <c r="C72" s="286">
        <v>4</v>
      </c>
      <c r="D72" s="287"/>
      <c r="E72" s="288"/>
      <c r="F72" s="289"/>
      <c r="G72" s="290"/>
      <c r="H72" s="291"/>
      <c r="I72" s="292"/>
      <c r="J72" s="293"/>
      <c r="K72" s="294"/>
      <c r="L72" s="295"/>
      <c r="M72" s="343">
        <v>0</v>
      </c>
      <c r="N72" s="295"/>
      <c r="O72" s="306"/>
      <c r="P72" s="307"/>
      <c r="R72" s="2"/>
      <c r="S72" s="2"/>
    </row>
    <row r="73" spans="1:21" s="296" customFormat="1" ht="20.100000000000001" customHeight="1" thickBot="1">
      <c r="A73" s="741"/>
      <c r="B73" s="744"/>
      <c r="C73" s="286">
        <v>5</v>
      </c>
      <c r="D73" s="297"/>
      <c r="E73" s="298"/>
      <c r="F73" s="299"/>
      <c r="G73" s="290"/>
      <c r="H73" s="291"/>
      <c r="I73" s="292"/>
      <c r="J73" s="432"/>
      <c r="K73" s="426"/>
      <c r="L73" s="328"/>
      <c r="M73" s="344">
        <v>0</v>
      </c>
      <c r="N73" s="295"/>
      <c r="O73" s="308"/>
      <c r="P73" s="309"/>
      <c r="R73" s="2"/>
      <c r="S73" s="2"/>
    </row>
    <row r="74" spans="1:21" s="296" customFormat="1" ht="15.75" customHeight="1" thickTop="1" thickBot="1">
      <c r="A74" s="742"/>
      <c r="B74" s="745"/>
      <c r="C74" s="750"/>
      <c r="D74" s="751"/>
      <c r="E74" s="751"/>
      <c r="F74" s="751"/>
      <c r="G74" s="751"/>
      <c r="H74" s="751"/>
      <c r="I74" s="752"/>
      <c r="J74" s="363" t="s">
        <v>58</v>
      </c>
      <c r="K74" s="213">
        <f>M74/'生產管理報表 7-1 (週)'!$B$20</f>
        <v>0</v>
      </c>
      <c r="L74" s="364" t="s">
        <v>59</v>
      </c>
      <c r="M74" s="433">
        <f>SUM(M69:M73)</f>
        <v>0</v>
      </c>
      <c r="N74" s="727"/>
      <c r="O74" s="728"/>
      <c r="P74" s="729"/>
      <c r="R74" s="2"/>
      <c r="S74" s="2"/>
      <c r="T74" s="2"/>
    </row>
    <row r="75" spans="1:21" s="136" customFormat="1" ht="15.75" customHeight="1" thickTop="1">
      <c r="A75" s="859" t="s">
        <v>721</v>
      </c>
      <c r="B75" s="859"/>
      <c r="C75" s="859"/>
      <c r="D75" s="859"/>
      <c r="E75" s="859"/>
      <c r="F75" s="859"/>
      <c r="G75" s="859"/>
      <c r="H75" s="859"/>
      <c r="I75" s="859"/>
      <c r="J75" s="859"/>
      <c r="K75" s="859"/>
      <c r="L75" s="859"/>
      <c r="M75" s="859"/>
      <c r="R75" s="238"/>
      <c r="S75" s="238"/>
      <c r="T75" s="238"/>
      <c r="U75" s="238"/>
    </row>
    <row r="76" spans="1:21" s="137" customFormat="1" ht="15.75" customHeight="1">
      <c r="A76" s="792"/>
      <c r="B76" s="792"/>
      <c r="C76" s="792"/>
      <c r="D76" s="792"/>
      <c r="E76" s="792"/>
      <c r="F76" s="792"/>
      <c r="G76" s="792"/>
      <c r="H76" s="792"/>
      <c r="I76" s="792"/>
      <c r="J76" s="792"/>
      <c r="K76" s="792"/>
      <c r="L76" s="792"/>
      <c r="M76" s="792"/>
    </row>
    <row r="77" spans="1:21" s="136" customFormat="1" ht="15.75" customHeight="1">
      <c r="A77" s="793" t="s">
        <v>191</v>
      </c>
      <c r="B77" s="795">
        <v>1</v>
      </c>
      <c r="C77" s="796"/>
      <c r="D77" s="795">
        <v>2</v>
      </c>
      <c r="E77" s="796"/>
      <c r="F77" s="795">
        <v>3</v>
      </c>
      <c r="G77" s="796"/>
      <c r="H77" s="786">
        <v>4</v>
      </c>
      <c r="I77" s="787"/>
      <c r="J77" s="786">
        <v>5</v>
      </c>
      <c r="K77" s="787"/>
      <c r="L77" s="786">
        <v>6</v>
      </c>
      <c r="M77" s="787"/>
      <c r="N77" s="786">
        <v>7</v>
      </c>
      <c r="O77" s="787"/>
      <c r="P77" s="338">
        <v>8</v>
      </c>
    </row>
    <row r="78" spans="1:21" s="136" customFormat="1" ht="15.75" customHeight="1">
      <c r="A78" s="794"/>
      <c r="B78" s="790" t="s">
        <v>490</v>
      </c>
      <c r="C78" s="791"/>
      <c r="D78" s="790" t="s">
        <v>212</v>
      </c>
      <c r="E78" s="791"/>
      <c r="F78" s="790" t="s">
        <v>166</v>
      </c>
      <c r="G78" s="791"/>
      <c r="H78" s="788" t="s">
        <v>460</v>
      </c>
      <c r="I78" s="789"/>
      <c r="J78" s="788" t="s">
        <v>189</v>
      </c>
      <c r="K78" s="789"/>
      <c r="L78" s="788" t="s">
        <v>167</v>
      </c>
      <c r="M78" s="789"/>
      <c r="N78" s="788" t="s">
        <v>190</v>
      </c>
      <c r="O78" s="789"/>
      <c r="P78" s="339" t="s">
        <v>217</v>
      </c>
    </row>
    <row r="79" spans="1:21" s="136" customFormat="1" ht="15.75" customHeight="1">
      <c r="B79" s="239"/>
      <c r="C79" s="240"/>
    </row>
    <row r="80" spans="1:21" s="285" customFormat="1" ht="15.75" customHeight="1">
      <c r="A80" s="730" t="s">
        <v>191</v>
      </c>
      <c r="B80" s="731"/>
      <c r="C80" s="282" t="s">
        <v>47</v>
      </c>
      <c r="D80" s="758" t="s">
        <v>12</v>
      </c>
      <c r="E80" s="759"/>
      <c r="F80" s="760"/>
      <c r="G80" s="761" t="s">
        <v>53</v>
      </c>
      <c r="H80" s="762"/>
      <c r="I80" s="763"/>
      <c r="J80" s="283" t="s">
        <v>54</v>
      </c>
      <c r="K80" s="283" t="s">
        <v>55</v>
      </c>
      <c r="L80" s="283" t="s">
        <v>56</v>
      </c>
      <c r="M80" s="284" t="s">
        <v>11</v>
      </c>
      <c r="N80" s="284" t="s">
        <v>333</v>
      </c>
      <c r="O80" s="738" t="s">
        <v>51</v>
      </c>
      <c r="P80" s="739"/>
      <c r="R80" s="211"/>
      <c r="S80" s="268"/>
    </row>
    <row r="81" spans="1:20" s="305" customFormat="1" ht="20.100000000000001" customHeight="1">
      <c r="A81" s="740">
        <v>4</v>
      </c>
      <c r="B81" s="774" t="s">
        <v>460</v>
      </c>
      <c r="C81" s="286">
        <v>1</v>
      </c>
      <c r="D81" s="244"/>
      <c r="E81" s="245"/>
      <c r="F81" s="246"/>
      <c r="G81" s="370"/>
      <c r="H81" s="312"/>
      <c r="I81" s="313"/>
      <c r="J81" s="323"/>
      <c r="K81" s="324"/>
      <c r="L81" s="325"/>
      <c r="M81" s="333">
        <f t="shared" ref="M81:M85" si="8">L81*J81</f>
        <v>0</v>
      </c>
      <c r="N81" s="325"/>
      <c r="O81" s="777"/>
      <c r="P81" s="778"/>
      <c r="R81" s="326"/>
      <c r="S81" s="268"/>
    </row>
    <row r="82" spans="1:20" s="305" customFormat="1" ht="20.100000000000001" customHeight="1">
      <c r="A82" s="741"/>
      <c r="B82" s="775"/>
      <c r="C82" s="286">
        <v>2</v>
      </c>
      <c r="D82" s="244"/>
      <c r="E82" s="245"/>
      <c r="F82" s="246"/>
      <c r="G82" s="370"/>
      <c r="H82" s="312"/>
      <c r="I82" s="313"/>
      <c r="J82" s="323"/>
      <c r="K82" s="324"/>
      <c r="L82" s="325"/>
      <c r="M82" s="333">
        <f t="shared" si="8"/>
        <v>0</v>
      </c>
      <c r="N82" s="325"/>
      <c r="O82" s="770"/>
      <c r="P82" s="771"/>
      <c r="R82" s="326"/>
      <c r="S82" s="211"/>
      <c r="T82" s="350"/>
    </row>
    <row r="83" spans="1:20" s="305" customFormat="1" ht="20.100000000000001" customHeight="1">
      <c r="A83" s="741"/>
      <c r="B83" s="775"/>
      <c r="C83" s="286">
        <v>3</v>
      </c>
      <c r="D83" s="244"/>
      <c r="E83" s="245"/>
      <c r="F83" s="246"/>
      <c r="G83" s="370"/>
      <c r="H83" s="312"/>
      <c r="I83" s="313"/>
      <c r="J83" s="323"/>
      <c r="K83" s="324"/>
      <c r="L83" s="325"/>
      <c r="M83" s="333">
        <f t="shared" si="8"/>
        <v>0</v>
      </c>
      <c r="N83" s="325"/>
      <c r="O83" s="777"/>
      <c r="P83" s="778"/>
      <c r="R83" s="326"/>
      <c r="S83" s="268"/>
    </row>
    <row r="84" spans="1:20" s="305" customFormat="1" ht="20.100000000000001" customHeight="1">
      <c r="A84" s="741"/>
      <c r="B84" s="775"/>
      <c r="C84" s="286">
        <v>4</v>
      </c>
      <c r="D84" s="244"/>
      <c r="E84" s="245"/>
      <c r="F84" s="246"/>
      <c r="G84" s="370"/>
      <c r="H84" s="312"/>
      <c r="I84" s="313"/>
      <c r="J84" s="323"/>
      <c r="K84" s="324"/>
      <c r="L84" s="325"/>
      <c r="M84" s="333">
        <f t="shared" si="8"/>
        <v>0</v>
      </c>
      <c r="N84" s="325"/>
      <c r="O84" s="777"/>
      <c r="P84" s="778"/>
      <c r="R84" s="326"/>
      <c r="S84" s="211"/>
      <c r="T84" s="350"/>
    </row>
    <row r="85" spans="1:20" s="305" customFormat="1" ht="20.100000000000001" customHeight="1" thickBot="1">
      <c r="A85" s="741"/>
      <c r="B85" s="775"/>
      <c r="C85" s="286">
        <v>5</v>
      </c>
      <c r="D85" s="244"/>
      <c r="E85" s="252"/>
      <c r="F85" s="253"/>
      <c r="G85" s="370"/>
      <c r="H85" s="312"/>
      <c r="I85" s="313"/>
      <c r="J85" s="432"/>
      <c r="K85" s="426"/>
      <c r="L85" s="328"/>
      <c r="M85" s="333">
        <f t="shared" si="8"/>
        <v>0</v>
      </c>
      <c r="N85" s="325"/>
      <c r="O85" s="777"/>
      <c r="P85" s="778"/>
      <c r="R85" s="329"/>
      <c r="S85" s="268"/>
      <c r="T85" s="296"/>
    </row>
    <row r="86" spans="1:20" s="296" customFormat="1" ht="15.75" customHeight="1" thickTop="1" thickBot="1">
      <c r="A86" s="742"/>
      <c r="B86" s="776"/>
      <c r="C86" s="783"/>
      <c r="D86" s="784"/>
      <c r="E86" s="784"/>
      <c r="F86" s="784"/>
      <c r="G86" s="784"/>
      <c r="H86" s="784"/>
      <c r="I86" s="785"/>
      <c r="J86" s="363" t="s">
        <v>58</v>
      </c>
      <c r="K86" s="213">
        <f>M86/'生產管理報表 7-1 (週)'!$B$31</f>
        <v>0</v>
      </c>
      <c r="L86" s="364" t="s">
        <v>59</v>
      </c>
      <c r="M86" s="433">
        <f>SUM(M81:M85)</f>
        <v>0</v>
      </c>
      <c r="N86" s="727"/>
      <c r="O86" s="728"/>
      <c r="P86" s="729"/>
      <c r="R86" s="211"/>
      <c r="S86" s="211"/>
    </row>
    <row r="87" spans="1:20" s="296" customFormat="1" ht="15.75" customHeight="1" thickTop="1">
      <c r="B87" s="304"/>
      <c r="C87" s="305"/>
      <c r="M87" s="340"/>
      <c r="S87" s="268"/>
    </row>
    <row r="88" spans="1:20" s="296" customFormat="1" ht="15.75" customHeight="1">
      <c r="A88" s="730" t="s">
        <v>191</v>
      </c>
      <c r="B88" s="731"/>
      <c r="C88" s="282" t="s">
        <v>47</v>
      </c>
      <c r="D88" s="758" t="s">
        <v>12</v>
      </c>
      <c r="E88" s="759"/>
      <c r="F88" s="760"/>
      <c r="G88" s="761" t="s">
        <v>53</v>
      </c>
      <c r="H88" s="762"/>
      <c r="I88" s="763"/>
      <c r="J88" s="283" t="s">
        <v>54</v>
      </c>
      <c r="K88" s="283" t="s">
        <v>55</v>
      </c>
      <c r="L88" s="283" t="s">
        <v>56</v>
      </c>
      <c r="M88" s="341" t="s">
        <v>11</v>
      </c>
      <c r="N88" s="284" t="s">
        <v>333</v>
      </c>
      <c r="O88" s="738" t="s">
        <v>51</v>
      </c>
      <c r="P88" s="739"/>
      <c r="S88" s="211"/>
      <c r="T88" s="350"/>
    </row>
    <row r="89" spans="1:20" s="305" customFormat="1" ht="39.950000000000003" customHeight="1">
      <c r="A89" s="740">
        <v>5</v>
      </c>
      <c r="B89" s="753" t="s">
        <v>215</v>
      </c>
      <c r="C89" s="286">
        <v>1</v>
      </c>
      <c r="D89" s="244"/>
      <c r="E89" s="245"/>
      <c r="F89" s="246"/>
      <c r="G89" s="313"/>
      <c r="H89" s="312"/>
      <c r="I89" s="313"/>
      <c r="J89" s="323"/>
      <c r="K89" s="324"/>
      <c r="L89" s="325"/>
      <c r="M89" s="333">
        <f>L89*J89</f>
        <v>0</v>
      </c>
      <c r="N89" s="325"/>
      <c r="O89" s="770"/>
      <c r="P89" s="771"/>
      <c r="R89" s="441"/>
      <c r="S89" s="434"/>
    </row>
    <row r="90" spans="1:20" s="305" customFormat="1" ht="20.100000000000001" customHeight="1">
      <c r="A90" s="741"/>
      <c r="B90" s="754"/>
      <c r="C90" s="286">
        <v>2</v>
      </c>
      <c r="D90" s="244"/>
      <c r="E90" s="245"/>
      <c r="F90" s="246"/>
      <c r="G90" s="370"/>
      <c r="H90" s="312"/>
      <c r="I90" s="313"/>
      <c r="J90" s="323"/>
      <c r="K90" s="324"/>
      <c r="L90" s="325"/>
      <c r="M90" s="333">
        <f t="shared" ref="M90:M93" si="9">L90*J90</f>
        <v>0</v>
      </c>
      <c r="N90" s="325"/>
      <c r="O90" s="770"/>
      <c r="P90" s="771"/>
      <c r="S90" s="211"/>
      <c r="T90" s="351"/>
    </row>
    <row r="91" spans="1:20" s="296" customFormat="1" ht="20.100000000000001" customHeight="1">
      <c r="A91" s="741"/>
      <c r="B91" s="754"/>
      <c r="C91" s="286">
        <v>3</v>
      </c>
      <c r="D91" s="244"/>
      <c r="E91" s="288"/>
      <c r="F91" s="289"/>
      <c r="G91" s="370"/>
      <c r="H91" s="312"/>
      <c r="I91" s="313"/>
      <c r="J91" s="323"/>
      <c r="K91" s="324"/>
      <c r="L91" s="325"/>
      <c r="M91" s="333">
        <f t="shared" si="9"/>
        <v>0</v>
      </c>
      <c r="N91" s="295"/>
      <c r="O91" s="766"/>
      <c r="P91" s="767"/>
    </row>
    <row r="92" spans="1:20" s="296" customFormat="1" ht="20.100000000000001" customHeight="1">
      <c r="A92" s="741"/>
      <c r="B92" s="754"/>
      <c r="C92" s="286">
        <v>4</v>
      </c>
      <c r="D92" s="244"/>
      <c r="E92" s="288"/>
      <c r="F92" s="289"/>
      <c r="G92" s="370"/>
      <c r="H92" s="312"/>
      <c r="I92" s="313"/>
      <c r="J92" s="323"/>
      <c r="K92" s="324"/>
      <c r="L92" s="325"/>
      <c r="M92" s="333">
        <f t="shared" si="9"/>
        <v>0</v>
      </c>
      <c r="N92" s="295"/>
      <c r="O92" s="770"/>
      <c r="P92" s="771"/>
    </row>
    <row r="93" spans="1:20" s="296" customFormat="1" ht="20.100000000000001" customHeight="1" thickBot="1">
      <c r="A93" s="741"/>
      <c r="B93" s="754"/>
      <c r="C93" s="286">
        <v>5</v>
      </c>
      <c r="D93" s="251"/>
      <c r="E93" s="298"/>
      <c r="F93" s="299"/>
      <c r="G93" s="370"/>
      <c r="H93" s="312"/>
      <c r="I93" s="313"/>
      <c r="J93" s="432"/>
      <c r="K93" s="426"/>
      <c r="L93" s="328"/>
      <c r="M93" s="333">
        <f t="shared" si="9"/>
        <v>0</v>
      </c>
      <c r="N93" s="295"/>
      <c r="O93" s="860"/>
      <c r="P93" s="861"/>
      <c r="R93" s="212"/>
    </row>
    <row r="94" spans="1:20" s="296" customFormat="1" ht="15.75" customHeight="1" thickTop="1" thickBot="1">
      <c r="A94" s="742"/>
      <c r="B94" s="755"/>
      <c r="C94" s="750"/>
      <c r="D94" s="751"/>
      <c r="E94" s="751"/>
      <c r="F94" s="751"/>
      <c r="G94" s="751"/>
      <c r="H94" s="751"/>
      <c r="I94" s="752"/>
      <c r="J94" s="363" t="s">
        <v>58</v>
      </c>
      <c r="K94" s="213">
        <f>M94/'生產管理報表 7-1 (週)'!$B$31</f>
        <v>0</v>
      </c>
      <c r="L94" s="364" t="s">
        <v>59</v>
      </c>
      <c r="M94" s="433">
        <f>SUM(M89:M93)</f>
        <v>0</v>
      </c>
      <c r="N94" s="727"/>
      <c r="O94" s="728"/>
      <c r="P94" s="729"/>
      <c r="R94" s="211"/>
    </row>
    <row r="95" spans="1:20" s="296" customFormat="1" ht="15.75" customHeight="1" thickTop="1">
      <c r="B95" s="304"/>
      <c r="C95" s="305"/>
      <c r="M95" s="340"/>
      <c r="R95" s="211"/>
    </row>
    <row r="96" spans="1:20" s="296" customFormat="1" ht="15.75" customHeight="1">
      <c r="A96" s="730" t="s">
        <v>191</v>
      </c>
      <c r="B96" s="731"/>
      <c r="C96" s="310" t="s">
        <v>47</v>
      </c>
      <c r="D96" s="732" t="s">
        <v>12</v>
      </c>
      <c r="E96" s="733"/>
      <c r="F96" s="734"/>
      <c r="G96" s="735" t="s">
        <v>53</v>
      </c>
      <c r="H96" s="736"/>
      <c r="I96" s="737"/>
      <c r="J96" s="311" t="s">
        <v>54</v>
      </c>
      <c r="K96" s="283" t="s">
        <v>55</v>
      </c>
      <c r="L96" s="283" t="s">
        <v>56</v>
      </c>
      <c r="M96" s="341" t="s">
        <v>11</v>
      </c>
      <c r="N96" s="284" t="s">
        <v>333</v>
      </c>
      <c r="O96" s="738" t="s">
        <v>51</v>
      </c>
      <c r="P96" s="739"/>
      <c r="R96" s="211"/>
      <c r="S96" s="2"/>
    </row>
    <row r="97" spans="1:20" s="296" customFormat="1" ht="39.950000000000003" customHeight="1">
      <c r="A97" s="740">
        <v>6</v>
      </c>
      <c r="B97" s="753" t="s">
        <v>216</v>
      </c>
      <c r="C97" s="286">
        <v>1</v>
      </c>
      <c r="D97" s="352"/>
      <c r="E97" s="288"/>
      <c r="F97" s="289"/>
      <c r="G97" s="313"/>
      <c r="H97" s="312"/>
      <c r="I97" s="313"/>
      <c r="J97" s="323"/>
      <c r="K97" s="324"/>
      <c r="L97" s="325"/>
      <c r="M97" s="333">
        <f t="shared" ref="M97" si="10">L97*J97</f>
        <v>0</v>
      </c>
      <c r="N97" s="295"/>
      <c r="O97" s="766"/>
      <c r="P97" s="767"/>
      <c r="R97" s="351"/>
      <c r="S97" s="442"/>
    </row>
    <row r="98" spans="1:20" s="296" customFormat="1" ht="20.100000000000001" customHeight="1">
      <c r="A98" s="741"/>
      <c r="B98" s="754"/>
      <c r="C98" s="286">
        <v>2</v>
      </c>
      <c r="D98" s="287"/>
      <c r="E98" s="288"/>
      <c r="F98" s="289"/>
      <c r="G98" s="290"/>
      <c r="H98" s="291"/>
      <c r="I98" s="292"/>
      <c r="J98" s="293"/>
      <c r="K98" s="294"/>
      <c r="L98" s="295"/>
      <c r="M98" s="342">
        <v>0</v>
      </c>
      <c r="N98" s="295"/>
      <c r="O98" s="306"/>
      <c r="P98" s="307"/>
      <c r="S98" s="2"/>
    </row>
    <row r="99" spans="1:20" s="296" customFormat="1" ht="20.100000000000001" customHeight="1">
      <c r="A99" s="741"/>
      <c r="B99" s="754"/>
      <c r="C99" s="286">
        <v>3</v>
      </c>
      <c r="D99" s="287"/>
      <c r="E99" s="288"/>
      <c r="F99" s="289"/>
      <c r="G99" s="290"/>
      <c r="H99" s="291"/>
      <c r="I99" s="292"/>
      <c r="J99" s="293"/>
      <c r="K99" s="294"/>
      <c r="L99" s="295"/>
      <c r="M99" s="342">
        <v>0</v>
      </c>
      <c r="N99" s="295"/>
      <c r="O99" s="306"/>
      <c r="P99" s="307"/>
      <c r="S99" s="2"/>
    </row>
    <row r="100" spans="1:20" s="296" customFormat="1" ht="20.100000000000001" customHeight="1">
      <c r="A100" s="741"/>
      <c r="B100" s="754"/>
      <c r="C100" s="286">
        <v>4</v>
      </c>
      <c r="D100" s="287"/>
      <c r="E100" s="288"/>
      <c r="F100" s="289"/>
      <c r="G100" s="290"/>
      <c r="H100" s="291"/>
      <c r="I100" s="292"/>
      <c r="J100" s="293"/>
      <c r="K100" s="294"/>
      <c r="L100" s="295"/>
      <c r="M100" s="342">
        <v>0</v>
      </c>
      <c r="N100" s="295"/>
      <c r="O100" s="306"/>
      <c r="P100" s="307"/>
      <c r="R100" s="2"/>
      <c r="S100" s="2"/>
    </row>
    <row r="101" spans="1:20" s="296" customFormat="1" ht="20.100000000000001" customHeight="1" thickBot="1">
      <c r="A101" s="741"/>
      <c r="B101" s="754"/>
      <c r="C101" s="286">
        <v>5</v>
      </c>
      <c r="D101" s="297"/>
      <c r="E101" s="298"/>
      <c r="F101" s="299"/>
      <c r="G101" s="290"/>
      <c r="H101" s="291"/>
      <c r="I101" s="292"/>
      <c r="J101" s="432"/>
      <c r="K101" s="426"/>
      <c r="L101" s="328"/>
      <c r="M101" s="333">
        <v>0</v>
      </c>
      <c r="N101" s="295"/>
      <c r="O101" s="308"/>
      <c r="P101" s="309"/>
      <c r="R101" s="2"/>
      <c r="S101" s="2"/>
    </row>
    <row r="102" spans="1:20" s="296" customFormat="1" ht="15.75" customHeight="1" thickTop="1" thickBot="1">
      <c r="A102" s="742"/>
      <c r="B102" s="755"/>
      <c r="C102" s="750"/>
      <c r="D102" s="751"/>
      <c r="E102" s="751"/>
      <c r="F102" s="751"/>
      <c r="G102" s="751"/>
      <c r="H102" s="751"/>
      <c r="I102" s="752"/>
      <c r="J102" s="363" t="s">
        <v>58</v>
      </c>
      <c r="K102" s="213">
        <f>M102/'生產管理報表 7-1 (週)'!$B$31</f>
        <v>0</v>
      </c>
      <c r="L102" s="364" t="s">
        <v>59</v>
      </c>
      <c r="M102" s="433">
        <f>SUM(M97:M101)</f>
        <v>0</v>
      </c>
      <c r="N102" s="727"/>
      <c r="O102" s="728"/>
      <c r="P102" s="729"/>
      <c r="R102" s="2"/>
      <c r="S102" s="2"/>
    </row>
    <row r="103" spans="1:20" s="296" customFormat="1" ht="15.75" customHeight="1" thickTop="1">
      <c r="B103" s="304"/>
      <c r="C103" s="305"/>
      <c r="M103" s="340"/>
      <c r="R103" s="2"/>
      <c r="S103" s="2"/>
    </row>
    <row r="104" spans="1:20" s="296" customFormat="1" ht="15.75" customHeight="1">
      <c r="A104" s="730" t="s">
        <v>191</v>
      </c>
      <c r="B104" s="731"/>
      <c r="C104" s="310" t="s">
        <v>47</v>
      </c>
      <c r="D104" s="732" t="s">
        <v>12</v>
      </c>
      <c r="E104" s="733"/>
      <c r="F104" s="734"/>
      <c r="G104" s="735" t="s">
        <v>53</v>
      </c>
      <c r="H104" s="736"/>
      <c r="I104" s="737"/>
      <c r="J104" s="311" t="s">
        <v>54</v>
      </c>
      <c r="K104" s="283" t="s">
        <v>55</v>
      </c>
      <c r="L104" s="283" t="s">
        <v>56</v>
      </c>
      <c r="M104" s="341" t="s">
        <v>11</v>
      </c>
      <c r="N104" s="284" t="s">
        <v>333</v>
      </c>
      <c r="O104" s="738" t="s">
        <v>51</v>
      </c>
      <c r="P104" s="739"/>
      <c r="R104" s="2"/>
      <c r="S104" s="2"/>
    </row>
    <row r="105" spans="1:20" s="296" customFormat="1" ht="20.100000000000001" customHeight="1">
      <c r="A105" s="740">
        <v>7</v>
      </c>
      <c r="B105" s="743" t="s">
        <v>249</v>
      </c>
      <c r="C105" s="286">
        <v>1</v>
      </c>
      <c r="D105" s="287"/>
      <c r="E105" s="288"/>
      <c r="F105" s="289"/>
      <c r="G105" s="290"/>
      <c r="H105" s="291"/>
      <c r="I105" s="292"/>
      <c r="J105" s="293"/>
      <c r="K105" s="294"/>
      <c r="L105" s="295"/>
      <c r="M105" s="342">
        <f t="shared" ref="M105:M107" si="11">L105*J105</f>
        <v>0</v>
      </c>
      <c r="N105" s="295"/>
      <c r="O105" s="746"/>
      <c r="P105" s="747"/>
      <c r="R105" s="2"/>
      <c r="S105" s="2"/>
    </row>
    <row r="106" spans="1:20" s="296" customFormat="1" ht="20.100000000000001" customHeight="1">
      <c r="A106" s="741"/>
      <c r="B106" s="744"/>
      <c r="C106" s="286">
        <v>2</v>
      </c>
      <c r="D106" s="287"/>
      <c r="E106" s="288"/>
      <c r="F106" s="289"/>
      <c r="G106" s="290"/>
      <c r="H106" s="291"/>
      <c r="I106" s="292"/>
      <c r="J106" s="293"/>
      <c r="K106" s="294"/>
      <c r="L106" s="295"/>
      <c r="M106" s="342">
        <f t="shared" si="11"/>
        <v>0</v>
      </c>
      <c r="N106" s="295"/>
      <c r="O106" s="748"/>
      <c r="P106" s="749"/>
      <c r="R106" s="2"/>
      <c r="S106" s="2"/>
    </row>
    <row r="107" spans="1:20" s="296" customFormat="1" ht="20.100000000000001" customHeight="1">
      <c r="A107" s="741"/>
      <c r="B107" s="744"/>
      <c r="C107" s="286">
        <v>3</v>
      </c>
      <c r="D107" s="287"/>
      <c r="E107" s="288"/>
      <c r="F107" s="289"/>
      <c r="G107" s="290"/>
      <c r="H107" s="291"/>
      <c r="I107" s="292"/>
      <c r="J107" s="293"/>
      <c r="K107" s="294"/>
      <c r="L107" s="295"/>
      <c r="M107" s="342">
        <f t="shared" si="11"/>
        <v>0</v>
      </c>
      <c r="N107" s="295"/>
      <c r="O107" s="748"/>
      <c r="P107" s="749"/>
      <c r="R107" s="2"/>
      <c r="S107" s="2"/>
    </row>
    <row r="108" spans="1:20" s="296" customFormat="1" ht="20.100000000000001" customHeight="1">
      <c r="A108" s="741"/>
      <c r="B108" s="744"/>
      <c r="C108" s="286">
        <v>4</v>
      </c>
      <c r="D108" s="287"/>
      <c r="E108" s="288"/>
      <c r="F108" s="289"/>
      <c r="G108" s="290"/>
      <c r="H108" s="291"/>
      <c r="I108" s="292"/>
      <c r="J108" s="293"/>
      <c r="K108" s="294"/>
      <c r="L108" s="295"/>
      <c r="M108" s="343">
        <v>0</v>
      </c>
      <c r="N108" s="295"/>
      <c r="O108" s="306"/>
      <c r="P108" s="307"/>
      <c r="R108" s="2"/>
      <c r="S108" s="2"/>
    </row>
    <row r="109" spans="1:20" s="296" customFormat="1" ht="20.100000000000001" customHeight="1" thickBot="1">
      <c r="A109" s="741"/>
      <c r="B109" s="744"/>
      <c r="C109" s="286">
        <v>5</v>
      </c>
      <c r="D109" s="297"/>
      <c r="E109" s="298"/>
      <c r="F109" s="299"/>
      <c r="G109" s="290"/>
      <c r="H109" s="291"/>
      <c r="I109" s="292"/>
      <c r="J109" s="432"/>
      <c r="K109" s="426"/>
      <c r="L109" s="328"/>
      <c r="M109" s="344">
        <v>0</v>
      </c>
      <c r="N109" s="295"/>
      <c r="O109" s="308"/>
      <c r="P109" s="309"/>
      <c r="R109" s="2"/>
      <c r="S109" s="2"/>
    </row>
    <row r="110" spans="1:20" s="296" customFormat="1" ht="15.75" customHeight="1" thickTop="1" thickBot="1">
      <c r="A110" s="742"/>
      <c r="B110" s="745"/>
      <c r="C110" s="750"/>
      <c r="D110" s="751"/>
      <c r="E110" s="751"/>
      <c r="F110" s="751"/>
      <c r="G110" s="751"/>
      <c r="H110" s="751"/>
      <c r="I110" s="752"/>
      <c r="J110" s="363" t="s">
        <v>58</v>
      </c>
      <c r="K110" s="213">
        <f>M110/'生產管理報表 7-1 (週)'!$B$31</f>
        <v>0</v>
      </c>
      <c r="L110" s="364" t="s">
        <v>59</v>
      </c>
      <c r="M110" s="433">
        <f>SUM(M105:M109)</f>
        <v>0</v>
      </c>
      <c r="N110" s="727"/>
      <c r="O110" s="728"/>
      <c r="P110" s="729"/>
      <c r="R110" s="2"/>
      <c r="S110" s="2"/>
      <c r="T110" s="2"/>
    </row>
    <row r="111" spans="1:20" ht="15.75" customHeight="1" thickTop="1"/>
  </sheetData>
  <mergeCells count="187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P32" sqref="P32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</row>
    <row r="2" spans="1:75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</row>
    <row r="3" spans="1:75" ht="15.75" customHeight="1">
      <c r="A3" s="697" t="s">
        <v>463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</row>
    <row r="4" spans="1:75" s="137" customFormat="1" ht="15.75" customHeight="1">
      <c r="A4" s="697"/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</row>
    <row r="5" spans="1:75" ht="15.75" customHeight="1">
      <c r="A5" s="699" t="s">
        <v>191</v>
      </c>
      <c r="B5" s="724">
        <v>1</v>
      </c>
      <c r="C5" s="724"/>
      <c r="D5" s="724">
        <v>2</v>
      </c>
      <c r="E5" s="724"/>
      <c r="F5" s="724">
        <v>3</v>
      </c>
      <c r="G5" s="724"/>
      <c r="H5" s="702">
        <v>4</v>
      </c>
      <c r="I5" s="702"/>
      <c r="J5" s="702">
        <v>5</v>
      </c>
      <c r="K5" s="702"/>
      <c r="L5" s="702">
        <v>6</v>
      </c>
      <c r="M5" s="702"/>
      <c r="N5" s="702">
        <v>7</v>
      </c>
      <c r="O5" s="702"/>
      <c r="P5" s="702">
        <v>8</v>
      </c>
      <c r="Q5" s="702"/>
    </row>
    <row r="6" spans="1:75" ht="15.75" customHeight="1">
      <c r="A6" s="699"/>
      <c r="B6" s="725" t="s">
        <v>490</v>
      </c>
      <c r="C6" s="725"/>
      <c r="D6" s="725" t="s">
        <v>212</v>
      </c>
      <c r="E6" s="725"/>
      <c r="F6" s="725" t="s">
        <v>166</v>
      </c>
      <c r="G6" s="725"/>
      <c r="H6" s="699" t="s">
        <v>460</v>
      </c>
      <c r="I6" s="699"/>
      <c r="J6" s="699" t="s">
        <v>189</v>
      </c>
      <c r="K6" s="699"/>
      <c r="L6" s="699" t="s">
        <v>167</v>
      </c>
      <c r="M6" s="699"/>
      <c r="N6" s="699" t="s">
        <v>190</v>
      </c>
      <c r="O6" s="699"/>
      <c r="P6" s="816" t="s">
        <v>217</v>
      </c>
      <c r="Q6" s="816"/>
    </row>
    <row r="8" spans="1:75" s="242" customFormat="1" ht="15.75" customHeight="1">
      <c r="A8" s="795" t="s">
        <v>191</v>
      </c>
      <c r="B8" s="796"/>
      <c r="C8" s="241" t="s">
        <v>47</v>
      </c>
      <c r="D8" s="849" t="s">
        <v>12</v>
      </c>
      <c r="E8" s="712"/>
      <c r="F8" s="839"/>
      <c r="G8" s="850" t="s">
        <v>53</v>
      </c>
      <c r="H8" s="851"/>
      <c r="I8" s="852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3" t="s">
        <v>51</v>
      </c>
      <c r="P8" s="854"/>
    </row>
    <row r="9" spans="1:75" ht="20.100000000000001" customHeight="1">
      <c r="A9" s="840">
        <v>1</v>
      </c>
      <c r="B9" s="843" t="s">
        <v>491</v>
      </c>
      <c r="C9" s="243">
        <v>1</v>
      </c>
      <c r="D9" s="244"/>
      <c r="E9" s="245"/>
      <c r="F9" s="245"/>
      <c r="G9" s="244"/>
      <c r="H9" s="245"/>
      <c r="I9" s="246"/>
      <c r="J9" s="243"/>
      <c r="K9" s="249"/>
      <c r="L9" s="243"/>
      <c r="M9" s="333">
        <f>L9*J9</f>
        <v>0</v>
      </c>
      <c r="N9" s="250"/>
      <c r="O9" s="777"/>
      <c r="P9" s="778"/>
      <c r="S9" s="355"/>
      <c r="T9" s="354"/>
    </row>
    <row r="10" spans="1:75" ht="20.100000000000001" customHeight="1">
      <c r="A10" s="841"/>
      <c r="B10" s="844"/>
      <c r="C10" s="243">
        <v>2</v>
      </c>
      <c r="D10" s="244"/>
      <c r="E10" s="245"/>
      <c r="F10" s="246"/>
      <c r="G10" s="244"/>
      <c r="H10" s="245"/>
      <c r="I10" s="246"/>
      <c r="J10" s="243"/>
      <c r="K10" s="249"/>
      <c r="L10" s="243"/>
      <c r="M10" s="333">
        <f t="shared" ref="M10:M13" si="0">L10*J10</f>
        <v>0</v>
      </c>
      <c r="N10" s="250"/>
      <c r="O10" s="856"/>
      <c r="P10" s="798"/>
      <c r="S10" s="354"/>
      <c r="T10" s="354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0.100000000000001" customHeight="1">
      <c r="A11" s="841"/>
      <c r="B11" s="844"/>
      <c r="C11" s="243">
        <v>3</v>
      </c>
      <c r="D11" s="244"/>
      <c r="E11" s="245"/>
      <c r="F11" s="246"/>
      <c r="G11" s="244"/>
      <c r="H11" s="245"/>
      <c r="I11" s="246"/>
      <c r="J11" s="243"/>
      <c r="K11" s="249"/>
      <c r="L11" s="243"/>
      <c r="M11" s="333">
        <f t="shared" si="0"/>
        <v>0</v>
      </c>
      <c r="N11" s="250"/>
      <c r="O11" s="856"/>
      <c r="P11" s="798"/>
      <c r="S11" s="355"/>
      <c r="T11" s="354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0.100000000000001" customHeight="1">
      <c r="A12" s="841"/>
      <c r="B12" s="844"/>
      <c r="C12" s="243">
        <v>4</v>
      </c>
      <c r="D12" s="244"/>
      <c r="E12" s="245"/>
      <c r="F12" s="246"/>
      <c r="G12" s="244"/>
      <c r="H12" s="245"/>
      <c r="I12" s="246"/>
      <c r="J12" s="243"/>
      <c r="K12" s="249"/>
      <c r="L12" s="243"/>
      <c r="M12" s="333">
        <f t="shared" si="0"/>
        <v>0</v>
      </c>
      <c r="N12" s="250"/>
      <c r="O12" s="856"/>
      <c r="P12" s="798"/>
      <c r="S12" s="354"/>
      <c r="T12" s="354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0.100000000000001" customHeight="1" thickBot="1">
      <c r="A13" s="841"/>
      <c r="B13" s="844"/>
      <c r="C13" s="243">
        <v>5</v>
      </c>
      <c r="D13" s="251"/>
      <c r="E13" s="252"/>
      <c r="F13" s="253"/>
      <c r="G13" s="244"/>
      <c r="H13" s="245"/>
      <c r="I13" s="275"/>
      <c r="J13" s="254"/>
      <c r="K13" s="255"/>
      <c r="L13" s="254"/>
      <c r="M13" s="334">
        <f t="shared" si="0"/>
        <v>0</v>
      </c>
      <c r="N13" s="250"/>
      <c r="O13" s="856"/>
      <c r="P13" s="798"/>
      <c r="S13" s="355"/>
      <c r="T13" s="354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 thickBot="1">
      <c r="A14" s="842"/>
      <c r="B14" s="845"/>
      <c r="C14" s="714"/>
      <c r="D14" s="715"/>
      <c r="E14" s="715"/>
      <c r="F14" s="715"/>
      <c r="G14" s="715"/>
      <c r="H14" s="715"/>
      <c r="I14" s="848"/>
      <c r="J14" s="360" t="s">
        <v>58</v>
      </c>
      <c r="K14" s="361">
        <f>M14/'生產管理報表 7-1 (週)'!$B$21</f>
        <v>0</v>
      </c>
      <c r="L14" s="360" t="s">
        <v>59</v>
      </c>
      <c r="M14" s="335">
        <f>SUM(M9:M13)</f>
        <v>0</v>
      </c>
      <c r="N14" s="813"/>
      <c r="O14" s="814"/>
      <c r="P14" s="815"/>
      <c r="S14" s="354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 thickTop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S15" s="355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95" t="s">
        <v>191</v>
      </c>
      <c r="B16" s="796"/>
      <c r="C16" s="259" t="s">
        <v>47</v>
      </c>
      <c r="D16" s="711" t="s">
        <v>12</v>
      </c>
      <c r="E16" s="712"/>
      <c r="F16" s="713"/>
      <c r="G16" s="711" t="s">
        <v>53</v>
      </c>
      <c r="H16" s="712"/>
      <c r="I16" s="713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04" t="s">
        <v>51</v>
      </c>
      <c r="P16" s="805"/>
      <c r="S16" s="354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840">
        <v>2</v>
      </c>
      <c r="B17" s="84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06"/>
      <c r="P17" s="807"/>
      <c r="S17" s="355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841"/>
      <c r="B18" s="84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06"/>
      <c r="P18" s="807"/>
      <c r="S18" s="354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841"/>
      <c r="B19" s="844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06"/>
      <c r="P19" s="807"/>
      <c r="S19" s="355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841"/>
      <c r="B20" s="84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06"/>
      <c r="P20" s="807"/>
      <c r="S20" s="354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841"/>
      <c r="B21" s="844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06"/>
      <c r="P21" s="807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 thickBot="1">
      <c r="A22" s="842"/>
      <c r="B22" s="845"/>
      <c r="C22" s="714"/>
      <c r="D22" s="715"/>
      <c r="E22" s="715"/>
      <c r="F22" s="715"/>
      <c r="G22" s="715"/>
      <c r="H22" s="715"/>
      <c r="I22" s="848"/>
      <c r="J22" s="360" t="s">
        <v>58</v>
      </c>
      <c r="K22" s="361">
        <f>M22/'生產管理報表 7-1 (週)'!$B$21</f>
        <v>0</v>
      </c>
      <c r="L22" s="360" t="s">
        <v>59</v>
      </c>
      <c r="M22" s="257">
        <f>SUM(M17:M21)</f>
        <v>0</v>
      </c>
      <c r="N22" s="808"/>
      <c r="O22" s="809"/>
      <c r="P22" s="810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 thickTop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95" t="s">
        <v>191</v>
      </c>
      <c r="B24" s="796"/>
      <c r="C24" s="259" t="s">
        <v>47</v>
      </c>
      <c r="D24" s="711" t="s">
        <v>12</v>
      </c>
      <c r="E24" s="712"/>
      <c r="F24" s="713"/>
      <c r="G24" s="711" t="s">
        <v>53</v>
      </c>
      <c r="H24" s="712"/>
      <c r="I24" s="839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02" t="s">
        <v>51</v>
      </c>
      <c r="P24" s="803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0.100000000000001" customHeight="1">
      <c r="A25" s="840">
        <v>3</v>
      </c>
      <c r="B25" s="843" t="s">
        <v>449</v>
      </c>
      <c r="C25" s="263">
        <v>1</v>
      </c>
      <c r="D25" s="244"/>
      <c r="E25" s="245"/>
      <c r="F25" s="246"/>
      <c r="G25" s="244"/>
      <c r="H25" s="245"/>
      <c r="I25" s="246"/>
      <c r="J25" s="264"/>
      <c r="K25" s="265"/>
      <c r="L25" s="264"/>
      <c r="M25" s="336">
        <f t="shared" ref="M25:M29" si="2">L25*J25</f>
        <v>0</v>
      </c>
      <c r="N25" s="277"/>
      <c r="O25" s="797"/>
      <c r="P25" s="79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0.100000000000001" customHeight="1">
      <c r="A26" s="841"/>
      <c r="B26" s="844"/>
      <c r="C26" s="263">
        <v>2</v>
      </c>
      <c r="D26" s="244"/>
      <c r="E26" s="245"/>
      <c r="F26" s="246"/>
      <c r="G26" s="244"/>
      <c r="H26" s="245"/>
      <c r="I26" s="246"/>
      <c r="J26" s="264"/>
      <c r="K26" s="265"/>
      <c r="L26" s="264"/>
      <c r="M26" s="336">
        <f t="shared" si="2"/>
        <v>0</v>
      </c>
      <c r="N26" s="277"/>
      <c r="O26" s="797"/>
      <c r="P26" s="79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0.100000000000001" customHeight="1">
      <c r="A27" s="841"/>
      <c r="B27" s="844"/>
      <c r="C27" s="263">
        <v>3</v>
      </c>
      <c r="D27" s="244"/>
      <c r="E27" s="245"/>
      <c r="F27" s="246"/>
      <c r="G27" s="244"/>
      <c r="H27" s="245"/>
      <c r="I27" s="246"/>
      <c r="J27" s="264"/>
      <c r="K27" s="265"/>
      <c r="L27" s="264"/>
      <c r="M27" s="336">
        <f t="shared" si="2"/>
        <v>0</v>
      </c>
      <c r="N27" s="277"/>
      <c r="O27" s="797"/>
      <c r="P27" s="79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0.100000000000001" customHeight="1">
      <c r="A28" s="841"/>
      <c r="B28" s="844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797"/>
      <c r="P28" s="79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0.100000000000001" customHeight="1" thickBot="1">
      <c r="A29" s="841"/>
      <c r="B29" s="844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797"/>
      <c r="P29" s="79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 thickBot="1">
      <c r="A30" s="842"/>
      <c r="B30" s="845"/>
      <c r="C30" s="714"/>
      <c r="D30" s="715"/>
      <c r="E30" s="715"/>
      <c r="F30" s="715"/>
      <c r="G30" s="715"/>
      <c r="H30" s="715"/>
      <c r="I30" s="848"/>
      <c r="J30" s="362" t="s">
        <v>58</v>
      </c>
      <c r="K30" s="361">
        <f>M30/'生產管理報表 7-1 (週)'!$B$21</f>
        <v>0</v>
      </c>
      <c r="L30" s="362" t="s">
        <v>59</v>
      </c>
      <c r="M30" s="337">
        <f>SUM(M25:M29)</f>
        <v>0</v>
      </c>
      <c r="N30" s="799"/>
      <c r="O30" s="800"/>
      <c r="P30" s="801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T87"/>
  <sheetViews>
    <sheetView view="pageBreakPreview" zoomScale="91" zoomScaleNormal="60" zoomScaleSheetLayoutView="91" workbookViewId="0">
      <selection activeCell="K50" sqref="K50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5.42578125" style="296" customWidth="1"/>
    <col min="17" max="16384" width="12.5703125" style="296"/>
  </cols>
  <sheetData>
    <row r="1" spans="1:20" s="136" customFormat="1" ht="15.75" customHeight="1">
      <c r="A1" s="696" t="s">
        <v>373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</row>
    <row r="2" spans="1:20" s="137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</row>
    <row r="3" spans="1:20" s="136" customFormat="1" ht="15.75" customHeight="1">
      <c r="A3" s="697" t="s">
        <v>670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</row>
    <row r="4" spans="1:20" s="137" customFormat="1" ht="15.75" customHeight="1">
      <c r="A4" s="792"/>
      <c r="B4" s="792"/>
      <c r="C4" s="792"/>
      <c r="D4" s="792"/>
      <c r="E4" s="792"/>
      <c r="F4" s="792"/>
      <c r="G4" s="792"/>
      <c r="H4" s="792"/>
      <c r="I4" s="792"/>
      <c r="J4" s="792"/>
      <c r="K4" s="792"/>
      <c r="L4" s="792"/>
      <c r="M4" s="792"/>
    </row>
    <row r="5" spans="1:20" s="136" customFormat="1" ht="15.75" customHeight="1">
      <c r="A5" s="793" t="s">
        <v>191</v>
      </c>
      <c r="B5" s="795">
        <v>1</v>
      </c>
      <c r="C5" s="796"/>
      <c r="D5" s="795">
        <v>2</v>
      </c>
      <c r="E5" s="796"/>
      <c r="F5" s="795">
        <v>3</v>
      </c>
      <c r="G5" s="796"/>
      <c r="H5" s="786">
        <v>4</v>
      </c>
      <c r="I5" s="787"/>
      <c r="J5" s="786">
        <v>5</v>
      </c>
      <c r="K5" s="787"/>
      <c r="L5" s="786">
        <v>6</v>
      </c>
      <c r="M5" s="787"/>
      <c r="N5" s="786">
        <v>7</v>
      </c>
      <c r="O5" s="787"/>
      <c r="P5" s="338">
        <v>8</v>
      </c>
    </row>
    <row r="6" spans="1:20" s="136" customFormat="1" ht="15.75" customHeight="1">
      <c r="A6" s="794"/>
      <c r="B6" s="790" t="s">
        <v>490</v>
      </c>
      <c r="C6" s="791"/>
      <c r="D6" s="790" t="s">
        <v>212</v>
      </c>
      <c r="E6" s="791"/>
      <c r="F6" s="790" t="s">
        <v>166</v>
      </c>
      <c r="G6" s="791"/>
      <c r="H6" s="788" t="s">
        <v>460</v>
      </c>
      <c r="I6" s="789"/>
      <c r="J6" s="788" t="s">
        <v>189</v>
      </c>
      <c r="K6" s="789"/>
      <c r="L6" s="788" t="s">
        <v>167</v>
      </c>
      <c r="M6" s="789"/>
      <c r="N6" s="788" t="s">
        <v>190</v>
      </c>
      <c r="O6" s="789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0" t="s">
        <v>191</v>
      </c>
      <c r="B8" s="731"/>
      <c r="C8" s="282" t="s">
        <v>47</v>
      </c>
      <c r="D8" s="758" t="s">
        <v>12</v>
      </c>
      <c r="E8" s="759"/>
      <c r="F8" s="760"/>
      <c r="G8" s="761" t="s">
        <v>53</v>
      </c>
      <c r="H8" s="762"/>
      <c r="I8" s="763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38" t="s">
        <v>51</v>
      </c>
      <c r="P8" s="739"/>
      <c r="R8" s="354"/>
      <c r="S8" s="355"/>
    </row>
    <row r="9" spans="1:20" s="305" customFormat="1" ht="60" customHeight="1">
      <c r="A9" s="740">
        <v>4</v>
      </c>
      <c r="B9" s="774" t="s">
        <v>460</v>
      </c>
      <c r="C9" s="286">
        <v>1</v>
      </c>
      <c r="D9" s="244" t="s">
        <v>522</v>
      </c>
      <c r="E9" s="245"/>
      <c r="F9" s="246"/>
      <c r="G9" s="313" t="s">
        <v>521</v>
      </c>
      <c r="H9" s="312"/>
      <c r="I9" s="313"/>
      <c r="J9" s="323">
        <v>191.21</v>
      </c>
      <c r="K9" s="324">
        <v>1.1825767032389461E-3</v>
      </c>
      <c r="L9" s="325">
        <v>24.329999999999917</v>
      </c>
      <c r="M9" s="333">
        <f t="shared" ref="M9:M13" si="0">L9*J9</f>
        <v>4652.1392999999844</v>
      </c>
      <c r="N9" s="325"/>
      <c r="O9" s="770" t="s">
        <v>540</v>
      </c>
      <c r="P9" s="771"/>
      <c r="R9" s="437"/>
      <c r="S9" s="355"/>
    </row>
    <row r="10" spans="1:20" s="305" customFormat="1" ht="60" customHeight="1">
      <c r="A10" s="741"/>
      <c r="B10" s="775"/>
      <c r="C10" s="286">
        <v>2</v>
      </c>
      <c r="D10" s="244" t="s">
        <v>536</v>
      </c>
      <c r="E10" s="245"/>
      <c r="F10" s="246"/>
      <c r="G10" s="313" t="s">
        <v>546</v>
      </c>
      <c r="H10" s="312"/>
      <c r="I10" s="313"/>
      <c r="J10" s="323">
        <v>118.30999999999997</v>
      </c>
      <c r="K10" s="324">
        <v>6.3662933703735852E-4</v>
      </c>
      <c r="L10" s="325">
        <v>37.50999999999987</v>
      </c>
      <c r="M10" s="333">
        <f t="shared" si="0"/>
        <v>4437.8080999999838</v>
      </c>
      <c r="N10" s="325"/>
      <c r="O10" s="770" t="s">
        <v>552</v>
      </c>
      <c r="P10" s="771"/>
      <c r="R10" s="437"/>
      <c r="S10" s="438"/>
      <c r="T10" s="350"/>
    </row>
    <row r="11" spans="1:20" s="305" customFormat="1" ht="60" customHeight="1">
      <c r="A11" s="741"/>
      <c r="B11" s="775"/>
      <c r="C11" s="286">
        <v>3</v>
      </c>
      <c r="D11" s="244" t="s">
        <v>506</v>
      </c>
      <c r="E11" s="245"/>
      <c r="F11" s="246"/>
      <c r="G11" s="313" t="s">
        <v>517</v>
      </c>
      <c r="H11" s="312"/>
      <c r="I11" s="313"/>
      <c r="J11" s="323">
        <v>629</v>
      </c>
      <c r="K11" s="324">
        <v>4.5141646809637274E-3</v>
      </c>
      <c r="L11" s="325">
        <v>6.8679999999999826</v>
      </c>
      <c r="M11" s="333">
        <f t="shared" si="0"/>
        <v>4319.9719999999888</v>
      </c>
      <c r="N11" s="325"/>
      <c r="O11" s="779" t="s">
        <v>540</v>
      </c>
      <c r="P11" s="780"/>
      <c r="R11" s="437"/>
      <c r="S11" s="439"/>
    </row>
    <row r="12" spans="1:20" s="305" customFormat="1" ht="60" customHeight="1">
      <c r="A12" s="741"/>
      <c r="B12" s="775"/>
      <c r="C12" s="286">
        <v>4</v>
      </c>
      <c r="D12" s="244" t="s">
        <v>356</v>
      </c>
      <c r="E12" s="245"/>
      <c r="F12" s="246"/>
      <c r="G12" s="370" t="s">
        <v>458</v>
      </c>
      <c r="H12" s="312"/>
      <c r="I12" s="313"/>
      <c r="J12" s="323">
        <v>99.51</v>
      </c>
      <c r="K12" s="324">
        <v>3.5828156329093114E-3</v>
      </c>
      <c r="L12" s="325">
        <v>40.589999999999819</v>
      </c>
      <c r="M12" s="333">
        <f t="shared" si="0"/>
        <v>4039.1108999999819</v>
      </c>
      <c r="N12" s="325"/>
      <c r="O12" s="779" t="s">
        <v>586</v>
      </c>
      <c r="P12" s="780"/>
      <c r="R12" s="437"/>
      <c r="S12" s="438"/>
      <c r="T12" s="350"/>
    </row>
    <row r="13" spans="1:20" s="305" customFormat="1" ht="60" customHeight="1" thickBot="1">
      <c r="A13" s="741"/>
      <c r="B13" s="775"/>
      <c r="C13" s="286">
        <v>5</v>
      </c>
      <c r="D13" s="244" t="s">
        <v>537</v>
      </c>
      <c r="E13" s="252"/>
      <c r="F13" s="253"/>
      <c r="G13" s="313" t="s">
        <v>545</v>
      </c>
      <c r="H13" s="312"/>
      <c r="I13" s="313"/>
      <c r="J13" s="327">
        <v>84.3</v>
      </c>
      <c r="K13" s="255">
        <v>0</v>
      </c>
      <c r="L13" s="328">
        <v>46.509999999999991</v>
      </c>
      <c r="M13" s="333">
        <f t="shared" si="0"/>
        <v>3920.7929999999992</v>
      </c>
      <c r="N13" s="325"/>
      <c r="O13" s="779" t="s">
        <v>673</v>
      </c>
      <c r="P13" s="780"/>
      <c r="R13" s="440"/>
      <c r="S13" s="439"/>
      <c r="T13" s="296"/>
    </row>
    <row r="14" spans="1:20" ht="15.75" customHeight="1" thickTop="1" thickBot="1">
      <c r="A14" s="742"/>
      <c r="B14" s="776"/>
      <c r="C14" s="783"/>
      <c r="D14" s="784"/>
      <c r="E14" s="784"/>
      <c r="F14" s="784"/>
      <c r="G14" s="784"/>
      <c r="H14" s="784"/>
      <c r="I14" s="785"/>
      <c r="J14" s="363" t="s">
        <v>58</v>
      </c>
      <c r="K14" s="361">
        <f>M14/'生產管理報表 7-1 (週)'!$B$10</f>
        <v>0.15968954293756313</v>
      </c>
      <c r="L14" s="364" t="s">
        <v>59</v>
      </c>
      <c r="M14" s="365">
        <f>SUM(M9:M13)</f>
        <v>21369.823299999938</v>
      </c>
      <c r="N14" s="727"/>
      <c r="O14" s="728"/>
      <c r="P14" s="729"/>
      <c r="R14" s="354"/>
      <c r="S14" s="354"/>
    </row>
    <row r="15" spans="1:20" ht="15.75" customHeight="1" thickTop="1">
      <c r="M15" s="340"/>
      <c r="S15" s="355"/>
    </row>
    <row r="16" spans="1:20" ht="15.75" customHeight="1">
      <c r="A16" s="730" t="s">
        <v>191</v>
      </c>
      <c r="B16" s="731"/>
      <c r="C16" s="282" t="s">
        <v>47</v>
      </c>
      <c r="D16" s="758" t="s">
        <v>12</v>
      </c>
      <c r="E16" s="759"/>
      <c r="F16" s="760"/>
      <c r="G16" s="761" t="s">
        <v>53</v>
      </c>
      <c r="H16" s="762"/>
      <c r="I16" s="763"/>
      <c r="J16" s="418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38" t="s">
        <v>51</v>
      </c>
      <c r="P16" s="739"/>
      <c r="S16" s="354"/>
      <c r="T16" s="350"/>
    </row>
    <row r="17" spans="1:20" s="305" customFormat="1" ht="60" customHeight="1">
      <c r="A17" s="740">
        <v>5</v>
      </c>
      <c r="B17" s="753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3">
        <v>147.43000000000004</v>
      </c>
      <c r="K17" s="324">
        <v>0</v>
      </c>
      <c r="L17" s="325">
        <v>126.11000000000058</v>
      </c>
      <c r="M17" s="333">
        <f>L17*J17</f>
        <v>18592.397300000091</v>
      </c>
      <c r="N17" s="325"/>
      <c r="O17" s="819" t="s">
        <v>594</v>
      </c>
      <c r="P17" s="820"/>
      <c r="S17" s="439"/>
      <c r="T17" s="350"/>
    </row>
    <row r="18" spans="1:20" s="305" customFormat="1" ht="24.95" customHeight="1">
      <c r="A18" s="741"/>
      <c r="B18" s="754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66"/>
      <c r="P18" s="767"/>
      <c r="S18" s="354"/>
      <c r="T18" s="351"/>
    </row>
    <row r="19" spans="1:20" ht="24.95" customHeight="1">
      <c r="A19" s="741"/>
      <c r="B19" s="754"/>
      <c r="C19" s="286">
        <v>3</v>
      </c>
      <c r="D19" s="244"/>
      <c r="E19" s="245"/>
      <c r="F19" s="246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48"/>
      <c r="P19" s="749"/>
    </row>
    <row r="20" spans="1:20" ht="24.95" customHeight="1">
      <c r="A20" s="741"/>
      <c r="B20" s="754"/>
      <c r="C20" s="286">
        <v>4</v>
      </c>
      <c r="D20" s="287"/>
      <c r="E20" s="288"/>
      <c r="F20" s="289"/>
      <c r="G20" s="370"/>
      <c r="H20" s="312"/>
      <c r="I20" s="313"/>
      <c r="J20" s="293"/>
      <c r="K20" s="294"/>
      <c r="L20" s="295"/>
      <c r="M20" s="333">
        <f t="shared" si="1"/>
        <v>0</v>
      </c>
      <c r="N20" s="295"/>
      <c r="O20" s="306"/>
      <c r="P20" s="307"/>
    </row>
    <row r="21" spans="1:20" ht="24.95" customHeight="1" thickBot="1">
      <c r="A21" s="741"/>
      <c r="B21" s="754"/>
      <c r="C21" s="286">
        <v>5</v>
      </c>
      <c r="D21" s="297"/>
      <c r="E21" s="298"/>
      <c r="F21" s="299"/>
      <c r="G21" s="370"/>
      <c r="H21" s="312"/>
      <c r="I21" s="313"/>
      <c r="J21" s="300"/>
      <c r="K21" s="255"/>
      <c r="L21" s="301"/>
      <c r="M21" s="333">
        <f t="shared" si="1"/>
        <v>0</v>
      </c>
      <c r="N21" s="295"/>
      <c r="O21" s="308"/>
      <c r="P21" s="309"/>
      <c r="R21" s="358"/>
    </row>
    <row r="22" spans="1:20" ht="15.75" customHeight="1" thickTop="1" thickBot="1">
      <c r="A22" s="742"/>
      <c r="B22" s="755"/>
      <c r="C22" s="750"/>
      <c r="D22" s="751"/>
      <c r="E22" s="751"/>
      <c r="F22" s="751"/>
      <c r="G22" s="751"/>
      <c r="H22" s="751"/>
      <c r="I22" s="752"/>
      <c r="J22" s="363" t="s">
        <v>58</v>
      </c>
      <c r="K22" s="361">
        <f>M22/'生產管理報表 7-1 (週)'!$B$10</f>
        <v>0.13893476727767823</v>
      </c>
      <c r="L22" s="364" t="s">
        <v>59</v>
      </c>
      <c r="M22" s="365">
        <f>SUM(M17:M21)</f>
        <v>18592.397300000091</v>
      </c>
      <c r="N22" s="727"/>
      <c r="O22" s="728"/>
      <c r="P22" s="729"/>
      <c r="R22" s="354"/>
    </row>
    <row r="23" spans="1:20" ht="15.75" customHeight="1" thickTop="1">
      <c r="K23" s="296" t="s">
        <v>496</v>
      </c>
      <c r="M23" s="340"/>
      <c r="R23" s="354"/>
    </row>
    <row r="24" spans="1:20" ht="24.95" customHeight="1">
      <c r="A24" s="730" t="s">
        <v>191</v>
      </c>
      <c r="B24" s="731"/>
      <c r="C24" s="310" t="s">
        <v>47</v>
      </c>
      <c r="D24" s="732" t="s">
        <v>12</v>
      </c>
      <c r="E24" s="733"/>
      <c r="F24" s="734"/>
      <c r="G24" s="735" t="s">
        <v>53</v>
      </c>
      <c r="H24" s="736"/>
      <c r="I24" s="737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38" t="s">
        <v>51</v>
      </c>
      <c r="P24" s="739"/>
      <c r="R24" s="354"/>
    </row>
    <row r="25" spans="1:20" ht="54.95" customHeight="1">
      <c r="A25" s="740">
        <v>6</v>
      </c>
      <c r="B25" s="753" t="s">
        <v>216</v>
      </c>
      <c r="C25" s="286">
        <v>1</v>
      </c>
      <c r="D25" s="359" t="s">
        <v>344</v>
      </c>
      <c r="E25" s="288"/>
      <c r="F25" s="289"/>
      <c r="G25" s="313" t="s">
        <v>507</v>
      </c>
      <c r="H25" s="312"/>
      <c r="I25" s="313"/>
      <c r="J25" s="323">
        <v>605.77999999999986</v>
      </c>
      <c r="K25" s="324">
        <v>4.2115396185548405E-4</v>
      </c>
      <c r="L25" s="325">
        <v>12.230000000000091</v>
      </c>
      <c r="M25" s="333">
        <f t="shared" ref="M25:M29" si="2">L25*J25</f>
        <v>7408.6894000000539</v>
      </c>
      <c r="N25" s="295"/>
      <c r="O25" s="781" t="s">
        <v>510</v>
      </c>
      <c r="P25" s="782"/>
      <c r="R25" s="351"/>
      <c r="S25" s="351"/>
    </row>
    <row r="26" spans="1:20" ht="54.95" customHeight="1">
      <c r="A26" s="741"/>
      <c r="B26" s="754"/>
      <c r="C26" s="286">
        <v>2</v>
      </c>
      <c r="D26" s="244" t="s">
        <v>342</v>
      </c>
      <c r="E26" s="288"/>
      <c r="F26" s="289"/>
      <c r="G26" s="313" t="s">
        <v>499</v>
      </c>
      <c r="H26" s="312"/>
      <c r="I26" s="313"/>
      <c r="J26" s="323">
        <v>3.2199999999999998</v>
      </c>
      <c r="K26" s="324">
        <v>0</v>
      </c>
      <c r="L26" s="325">
        <v>925</v>
      </c>
      <c r="M26" s="333">
        <f t="shared" si="2"/>
        <v>2978.4999999999995</v>
      </c>
      <c r="N26" s="295"/>
      <c r="O26" s="781" t="s">
        <v>671</v>
      </c>
      <c r="P26" s="782"/>
      <c r="R26" s="351"/>
      <c r="S26" s="351"/>
    </row>
    <row r="27" spans="1:20" ht="54.95" customHeight="1">
      <c r="A27" s="741"/>
      <c r="B27" s="754"/>
      <c r="C27" s="286">
        <v>3</v>
      </c>
      <c r="D27" s="244" t="s">
        <v>342</v>
      </c>
      <c r="E27" s="288"/>
      <c r="F27" s="289"/>
      <c r="G27" s="313" t="s">
        <v>557</v>
      </c>
      <c r="H27" s="312"/>
      <c r="I27" s="313"/>
      <c r="J27" s="323">
        <v>198</v>
      </c>
      <c r="K27" s="324">
        <v>2.0584263742054474E-3</v>
      </c>
      <c r="L27" s="325">
        <v>12.130000000000109</v>
      </c>
      <c r="M27" s="333">
        <f t="shared" si="2"/>
        <v>2401.7400000000216</v>
      </c>
      <c r="N27" s="295"/>
      <c r="O27" s="781" t="s">
        <v>672</v>
      </c>
      <c r="P27" s="782"/>
      <c r="R27" s="351"/>
    </row>
    <row r="28" spans="1:20" ht="54.95" customHeight="1">
      <c r="A28" s="741"/>
      <c r="B28" s="754"/>
      <c r="C28" s="286">
        <v>4</v>
      </c>
      <c r="D28" s="244"/>
      <c r="E28" s="288"/>
      <c r="F28" s="289"/>
      <c r="G28" s="370"/>
      <c r="H28" s="312"/>
      <c r="I28" s="313"/>
      <c r="J28" s="323"/>
      <c r="K28" s="324"/>
      <c r="L28" s="325"/>
      <c r="M28" s="333">
        <f t="shared" si="2"/>
        <v>0</v>
      </c>
      <c r="N28" s="295"/>
      <c r="O28" s="781"/>
      <c r="P28" s="782"/>
      <c r="R28" s="351"/>
      <c r="S28" s="351"/>
    </row>
    <row r="29" spans="1:20" ht="54.95" customHeight="1" thickBot="1">
      <c r="A29" s="741"/>
      <c r="B29" s="754"/>
      <c r="C29" s="286">
        <v>5</v>
      </c>
      <c r="D29" s="251"/>
      <c r="E29" s="298"/>
      <c r="F29" s="299"/>
      <c r="G29" s="370"/>
      <c r="H29" s="312"/>
      <c r="I29" s="313"/>
      <c r="J29" s="327"/>
      <c r="K29" s="255"/>
      <c r="L29" s="328"/>
      <c r="M29" s="333">
        <f t="shared" si="2"/>
        <v>0</v>
      </c>
      <c r="N29" s="295"/>
      <c r="O29" s="781"/>
      <c r="P29" s="782"/>
    </row>
    <row r="30" spans="1:20" ht="15.75" customHeight="1" thickTop="1" thickBot="1">
      <c r="A30" s="742"/>
      <c r="B30" s="755"/>
      <c r="C30" s="750"/>
      <c r="D30" s="751"/>
      <c r="E30" s="751"/>
      <c r="F30" s="751"/>
      <c r="G30" s="751"/>
      <c r="H30" s="751"/>
      <c r="I30" s="752"/>
      <c r="J30" s="363" t="s">
        <v>58</v>
      </c>
      <c r="K30" s="361">
        <f>M30/'生產管理報表 7-1 (週)'!$B$10</f>
        <v>9.5567392480347804E-2</v>
      </c>
      <c r="L30" s="364" t="s">
        <v>59</v>
      </c>
      <c r="M30" s="365">
        <f>SUM(M25:M29)</f>
        <v>12788.929400000075</v>
      </c>
      <c r="N30" s="727"/>
      <c r="O30" s="728"/>
      <c r="P30" s="729"/>
    </row>
    <row r="31" spans="1:20" s="136" customFormat="1" ht="15.75" customHeight="1" thickTop="1">
      <c r="A31" s="697" t="s">
        <v>722</v>
      </c>
      <c r="B31" s="697"/>
      <c r="C31" s="697"/>
      <c r="D31" s="697"/>
      <c r="E31" s="697"/>
      <c r="F31" s="697"/>
      <c r="G31" s="697"/>
      <c r="H31" s="697"/>
      <c r="I31" s="697"/>
      <c r="J31" s="697"/>
      <c r="K31" s="697"/>
      <c r="L31" s="697"/>
      <c r="M31" s="697"/>
    </row>
    <row r="32" spans="1:20" s="137" customFormat="1" ht="15.75" customHeight="1">
      <c r="A32" s="792"/>
      <c r="B32" s="792"/>
      <c r="C32" s="792"/>
      <c r="D32" s="792"/>
      <c r="E32" s="792"/>
      <c r="F32" s="792"/>
      <c r="G32" s="792"/>
      <c r="H32" s="792"/>
      <c r="I32" s="792"/>
      <c r="J32" s="792"/>
      <c r="K32" s="792"/>
      <c r="L32" s="792"/>
      <c r="M32" s="792"/>
    </row>
    <row r="33" spans="1:20" s="136" customFormat="1" ht="15.75" customHeight="1">
      <c r="A33" s="793" t="s">
        <v>191</v>
      </c>
      <c r="B33" s="795">
        <v>1</v>
      </c>
      <c r="C33" s="796"/>
      <c r="D33" s="795">
        <v>2</v>
      </c>
      <c r="E33" s="796"/>
      <c r="F33" s="795">
        <v>3</v>
      </c>
      <c r="G33" s="796"/>
      <c r="H33" s="786">
        <v>4</v>
      </c>
      <c r="I33" s="787"/>
      <c r="J33" s="786">
        <v>5</v>
      </c>
      <c r="K33" s="787"/>
      <c r="L33" s="786">
        <v>6</v>
      </c>
      <c r="M33" s="787"/>
      <c r="N33" s="786">
        <v>7</v>
      </c>
      <c r="O33" s="787"/>
      <c r="P33" s="338">
        <v>8</v>
      </c>
    </row>
    <row r="34" spans="1:20" s="136" customFormat="1" ht="15.75" customHeight="1">
      <c r="A34" s="794"/>
      <c r="B34" s="790" t="s">
        <v>490</v>
      </c>
      <c r="C34" s="791"/>
      <c r="D34" s="790" t="s">
        <v>212</v>
      </c>
      <c r="E34" s="791"/>
      <c r="F34" s="790" t="s">
        <v>166</v>
      </c>
      <c r="G34" s="791"/>
      <c r="H34" s="788" t="s">
        <v>460</v>
      </c>
      <c r="I34" s="789"/>
      <c r="J34" s="788" t="s">
        <v>189</v>
      </c>
      <c r="K34" s="789"/>
      <c r="L34" s="788" t="s">
        <v>167</v>
      </c>
      <c r="M34" s="789"/>
      <c r="N34" s="788" t="s">
        <v>190</v>
      </c>
      <c r="O34" s="789"/>
      <c r="P34" s="339" t="s">
        <v>217</v>
      </c>
    </row>
    <row r="35" spans="1:20" s="136" customFormat="1" ht="15.75" customHeight="1">
      <c r="B35" s="239"/>
      <c r="C35" s="240"/>
    </row>
    <row r="36" spans="1:20" s="285" customFormat="1" ht="15.75" customHeight="1">
      <c r="A36" s="730" t="s">
        <v>191</v>
      </c>
      <c r="B36" s="731"/>
      <c r="C36" s="282" t="s">
        <v>47</v>
      </c>
      <c r="D36" s="758" t="s">
        <v>12</v>
      </c>
      <c r="E36" s="759"/>
      <c r="F36" s="760"/>
      <c r="G36" s="761" t="s">
        <v>53</v>
      </c>
      <c r="H36" s="762"/>
      <c r="I36" s="763"/>
      <c r="J36" s="283" t="s">
        <v>54</v>
      </c>
      <c r="K36" s="283" t="s">
        <v>55</v>
      </c>
      <c r="L36" s="283" t="s">
        <v>56</v>
      </c>
      <c r="M36" s="284" t="s">
        <v>11</v>
      </c>
      <c r="N36" s="284" t="s">
        <v>333</v>
      </c>
      <c r="O36" s="738" t="s">
        <v>51</v>
      </c>
      <c r="P36" s="739"/>
      <c r="R36" s="354"/>
      <c r="S36" s="355"/>
    </row>
    <row r="37" spans="1:20" s="305" customFormat="1" ht="60" customHeight="1">
      <c r="A37" s="740">
        <v>4</v>
      </c>
      <c r="B37" s="774" t="s">
        <v>460</v>
      </c>
      <c r="C37" s="286">
        <v>1</v>
      </c>
      <c r="D37" s="244" t="s">
        <v>536</v>
      </c>
      <c r="E37" s="245"/>
      <c r="F37" s="246"/>
      <c r="G37" s="313" t="s">
        <v>546</v>
      </c>
      <c r="H37" s="312"/>
      <c r="I37" s="313"/>
      <c r="J37" s="323">
        <v>118.30999999999997</v>
      </c>
      <c r="K37" s="324">
        <v>4.4240965793689632E-4</v>
      </c>
      <c r="L37" s="325">
        <v>52.540000000000049</v>
      </c>
      <c r="M37" s="333">
        <f t="shared" ref="M37:M41" si="3">L37*J37</f>
        <v>6216.0074000000041</v>
      </c>
      <c r="N37" s="325"/>
      <c r="O37" s="770" t="s">
        <v>733</v>
      </c>
      <c r="P37" s="771"/>
      <c r="R37" s="437"/>
      <c r="S37" s="355"/>
    </row>
    <row r="38" spans="1:20" s="305" customFormat="1" ht="60" customHeight="1">
      <c r="A38" s="741"/>
      <c r="B38" s="775"/>
      <c r="C38" s="286">
        <v>2</v>
      </c>
      <c r="D38" s="244" t="s">
        <v>506</v>
      </c>
      <c r="E38" s="245"/>
      <c r="F38" s="246"/>
      <c r="G38" s="313" t="s">
        <v>517</v>
      </c>
      <c r="H38" s="312"/>
      <c r="I38" s="313"/>
      <c r="J38" s="323">
        <v>629</v>
      </c>
      <c r="K38" s="324">
        <v>1.331174671703544E-3</v>
      </c>
      <c r="L38" s="325">
        <v>7.7980000000000382</v>
      </c>
      <c r="M38" s="333">
        <f t="shared" si="3"/>
        <v>4904.9420000000237</v>
      </c>
      <c r="N38" s="325"/>
      <c r="O38" s="770" t="s">
        <v>734</v>
      </c>
      <c r="P38" s="771"/>
      <c r="R38" s="437"/>
      <c r="S38" s="438"/>
      <c r="T38" s="350"/>
    </row>
    <row r="39" spans="1:20" s="305" customFormat="1" ht="60" customHeight="1">
      <c r="A39" s="741"/>
      <c r="B39" s="775"/>
      <c r="C39" s="286">
        <v>3</v>
      </c>
      <c r="D39" s="244" t="s">
        <v>475</v>
      </c>
      <c r="E39" s="245"/>
      <c r="F39" s="246"/>
      <c r="G39" s="313" t="s">
        <v>548</v>
      </c>
      <c r="H39" s="312"/>
      <c r="I39" s="313"/>
      <c r="J39" s="323">
        <v>421.40999999999997</v>
      </c>
      <c r="K39" s="324">
        <v>0</v>
      </c>
      <c r="L39" s="325">
        <v>10.129999999999995</v>
      </c>
      <c r="M39" s="333">
        <f t="shared" si="3"/>
        <v>4268.8832999999977</v>
      </c>
      <c r="N39" s="325"/>
      <c r="O39" s="779" t="s">
        <v>732</v>
      </c>
      <c r="P39" s="780"/>
      <c r="R39" s="437"/>
      <c r="S39" s="439"/>
    </row>
    <row r="40" spans="1:20" s="305" customFormat="1" ht="60" customHeight="1">
      <c r="A40" s="741"/>
      <c r="B40" s="775"/>
      <c r="C40" s="286">
        <v>4</v>
      </c>
      <c r="D40" s="244" t="s">
        <v>342</v>
      </c>
      <c r="E40" s="245"/>
      <c r="F40" s="246"/>
      <c r="G40" s="313" t="s">
        <v>398</v>
      </c>
      <c r="H40" s="312"/>
      <c r="I40" s="313"/>
      <c r="J40" s="323">
        <v>127.84000000000002</v>
      </c>
      <c r="K40" s="324">
        <v>1.1140989445142932E-3</v>
      </c>
      <c r="L40" s="325">
        <v>32.870000000000367</v>
      </c>
      <c r="M40" s="333">
        <f t="shared" si="3"/>
        <v>4202.1008000000475</v>
      </c>
      <c r="N40" s="325"/>
      <c r="O40" s="779" t="s">
        <v>735</v>
      </c>
      <c r="P40" s="780"/>
      <c r="R40" s="437"/>
      <c r="S40" s="438"/>
      <c r="T40" s="350"/>
    </row>
    <row r="41" spans="1:20" s="305" customFormat="1" ht="60" customHeight="1" thickBot="1">
      <c r="A41" s="741"/>
      <c r="B41" s="775"/>
      <c r="C41" s="286">
        <v>5</v>
      </c>
      <c r="D41" s="244" t="s">
        <v>370</v>
      </c>
      <c r="E41" s="252"/>
      <c r="F41" s="253"/>
      <c r="G41" s="370" t="s">
        <v>367</v>
      </c>
      <c r="H41" s="312"/>
      <c r="I41" s="313"/>
      <c r="J41" s="327">
        <v>152.75</v>
      </c>
      <c r="K41" s="255">
        <v>0</v>
      </c>
      <c r="L41" s="328">
        <v>27.097999999999956</v>
      </c>
      <c r="M41" s="333">
        <f t="shared" si="3"/>
        <v>4139.2194999999938</v>
      </c>
      <c r="N41" s="325"/>
      <c r="O41" s="779" t="s">
        <v>734</v>
      </c>
      <c r="P41" s="780"/>
      <c r="R41" s="440"/>
      <c r="S41" s="439"/>
      <c r="T41" s="296"/>
    </row>
    <row r="42" spans="1:20" ht="15.75" customHeight="1" thickTop="1" thickBot="1">
      <c r="A42" s="742"/>
      <c r="B42" s="776"/>
      <c r="C42" s="783"/>
      <c r="D42" s="784"/>
      <c r="E42" s="784"/>
      <c r="F42" s="784"/>
      <c r="G42" s="784"/>
      <c r="H42" s="784"/>
      <c r="I42" s="785"/>
      <c r="J42" s="363" t="s">
        <v>58</v>
      </c>
      <c r="K42" s="361">
        <f>M42/'生產管理報表 7-1 (週)'!$B$21</f>
        <v>0.15524548807944402</v>
      </c>
      <c r="L42" s="364" t="s">
        <v>59</v>
      </c>
      <c r="M42" s="365">
        <f>SUM(M37:M41)</f>
        <v>23731.153000000064</v>
      </c>
      <c r="N42" s="727"/>
      <c r="O42" s="728"/>
      <c r="P42" s="729"/>
      <c r="R42" s="354"/>
      <c r="S42" s="354"/>
    </row>
    <row r="43" spans="1:20" ht="15.75" customHeight="1" thickTop="1">
      <c r="M43" s="340"/>
      <c r="S43" s="355"/>
    </row>
    <row r="44" spans="1:20" ht="15.75" customHeight="1">
      <c r="A44" s="730" t="s">
        <v>191</v>
      </c>
      <c r="B44" s="731"/>
      <c r="C44" s="282" t="s">
        <v>47</v>
      </c>
      <c r="D44" s="758" t="s">
        <v>12</v>
      </c>
      <c r="E44" s="759"/>
      <c r="F44" s="760"/>
      <c r="G44" s="761" t="s">
        <v>53</v>
      </c>
      <c r="H44" s="762"/>
      <c r="I44" s="763"/>
      <c r="J44" s="418" t="s">
        <v>54</v>
      </c>
      <c r="K44" s="283" t="s">
        <v>55</v>
      </c>
      <c r="L44" s="283" t="s">
        <v>56</v>
      </c>
      <c r="M44" s="341" t="s">
        <v>11</v>
      </c>
      <c r="N44" s="284" t="s">
        <v>333</v>
      </c>
      <c r="O44" s="738" t="s">
        <v>51</v>
      </c>
      <c r="P44" s="739"/>
      <c r="S44" s="354"/>
      <c r="T44" s="350"/>
    </row>
    <row r="45" spans="1:20" s="305" customFormat="1" ht="60" customHeight="1">
      <c r="A45" s="740">
        <v>5</v>
      </c>
      <c r="B45" s="753" t="s">
        <v>215</v>
      </c>
      <c r="C45" s="286">
        <v>1</v>
      </c>
      <c r="D45" s="244" t="s">
        <v>342</v>
      </c>
      <c r="E45" s="245"/>
      <c r="F45" s="246"/>
      <c r="G45" s="313" t="s">
        <v>337</v>
      </c>
      <c r="H45" s="312"/>
      <c r="I45" s="313"/>
      <c r="J45" s="323">
        <v>147.43000000000004</v>
      </c>
      <c r="K45" s="324">
        <v>0</v>
      </c>
      <c r="L45" s="325">
        <v>124.89999999999873</v>
      </c>
      <c r="M45" s="333">
        <f>L45*J45</f>
        <v>18414.006999999816</v>
      </c>
      <c r="N45" s="325"/>
      <c r="O45" s="819" t="s">
        <v>730</v>
      </c>
      <c r="P45" s="820"/>
      <c r="S45" s="439"/>
      <c r="T45" s="350"/>
    </row>
    <row r="46" spans="1:20" s="305" customFormat="1" ht="24.95" customHeight="1">
      <c r="A46" s="741"/>
      <c r="B46" s="754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ref="M46:M49" si="4">L46*J46</f>
        <v>0</v>
      </c>
      <c r="N46" s="325"/>
      <c r="O46" s="766"/>
      <c r="P46" s="767"/>
      <c r="S46" s="354"/>
      <c r="T46" s="351"/>
    </row>
    <row r="47" spans="1:20" ht="24.95" customHeight="1">
      <c r="A47" s="741"/>
      <c r="B47" s="754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295"/>
      <c r="O47" s="748"/>
      <c r="P47" s="749"/>
    </row>
    <row r="48" spans="1:20" ht="24.95" customHeight="1">
      <c r="A48" s="741"/>
      <c r="B48" s="754"/>
      <c r="C48" s="286">
        <v>4</v>
      </c>
      <c r="D48" s="287"/>
      <c r="E48" s="288"/>
      <c r="F48" s="289"/>
      <c r="G48" s="370"/>
      <c r="H48" s="312"/>
      <c r="I48" s="313"/>
      <c r="J48" s="293"/>
      <c r="K48" s="294"/>
      <c r="L48" s="295"/>
      <c r="M48" s="333">
        <f t="shared" si="4"/>
        <v>0</v>
      </c>
      <c r="N48" s="295"/>
      <c r="O48" s="306"/>
      <c r="P48" s="307"/>
    </row>
    <row r="49" spans="1:19" ht="24.95" customHeight="1" thickBot="1">
      <c r="A49" s="741"/>
      <c r="B49" s="754"/>
      <c r="C49" s="286">
        <v>5</v>
      </c>
      <c r="D49" s="297"/>
      <c r="E49" s="298"/>
      <c r="F49" s="299"/>
      <c r="G49" s="370"/>
      <c r="H49" s="312"/>
      <c r="I49" s="313"/>
      <c r="J49" s="300"/>
      <c r="K49" s="255"/>
      <c r="L49" s="301"/>
      <c r="M49" s="333">
        <f t="shared" si="4"/>
        <v>0</v>
      </c>
      <c r="N49" s="295"/>
      <c r="O49" s="308"/>
      <c r="P49" s="309"/>
      <c r="R49" s="358"/>
    </row>
    <row r="50" spans="1:19" ht="15.75" customHeight="1" thickTop="1" thickBot="1">
      <c r="A50" s="742"/>
      <c r="B50" s="755"/>
      <c r="C50" s="750"/>
      <c r="D50" s="751"/>
      <c r="E50" s="751"/>
      <c r="F50" s="751"/>
      <c r="G50" s="751"/>
      <c r="H50" s="751"/>
      <c r="I50" s="752"/>
      <c r="J50" s="363" t="s">
        <v>58</v>
      </c>
      <c r="K50" s="361">
        <f>M50/'生產管理報表 7-1 (週)'!$B$21</f>
        <v>0.12046155128717355</v>
      </c>
      <c r="L50" s="364" t="s">
        <v>59</v>
      </c>
      <c r="M50" s="365">
        <f>SUM(M45:M49)</f>
        <v>18414.006999999816</v>
      </c>
      <c r="N50" s="727"/>
      <c r="O50" s="728"/>
      <c r="P50" s="729"/>
      <c r="R50" s="354"/>
    </row>
    <row r="51" spans="1:19" ht="15.75" customHeight="1" thickTop="1">
      <c r="K51" s="296" t="s">
        <v>496</v>
      </c>
      <c r="M51" s="340"/>
      <c r="R51" s="354"/>
    </row>
    <row r="52" spans="1:19" ht="24.95" customHeight="1">
      <c r="A52" s="730" t="s">
        <v>191</v>
      </c>
      <c r="B52" s="731"/>
      <c r="C52" s="310" t="s">
        <v>47</v>
      </c>
      <c r="D52" s="732" t="s">
        <v>12</v>
      </c>
      <c r="E52" s="733"/>
      <c r="F52" s="734"/>
      <c r="G52" s="735" t="s">
        <v>53</v>
      </c>
      <c r="H52" s="736"/>
      <c r="I52" s="737"/>
      <c r="J52" s="311" t="s">
        <v>54</v>
      </c>
      <c r="K52" s="283" t="s">
        <v>55</v>
      </c>
      <c r="L52" s="283" t="s">
        <v>56</v>
      </c>
      <c r="M52" s="341" t="s">
        <v>11</v>
      </c>
      <c r="N52" s="284" t="s">
        <v>333</v>
      </c>
      <c r="O52" s="738" t="s">
        <v>51</v>
      </c>
      <c r="P52" s="739"/>
      <c r="R52" s="354"/>
    </row>
    <row r="53" spans="1:19" ht="54.95" customHeight="1">
      <c r="A53" s="740">
        <v>6</v>
      </c>
      <c r="B53" s="753" t="s">
        <v>216</v>
      </c>
      <c r="C53" s="286">
        <v>1</v>
      </c>
      <c r="D53" s="359" t="s">
        <v>344</v>
      </c>
      <c r="E53" s="288"/>
      <c r="F53" s="289"/>
      <c r="G53" s="313" t="s">
        <v>507</v>
      </c>
      <c r="H53" s="312"/>
      <c r="I53" s="313"/>
      <c r="J53" s="323">
        <v>605.77999999999986</v>
      </c>
      <c r="K53" s="324">
        <v>3.6409675043650233E-4</v>
      </c>
      <c r="L53" s="325">
        <v>9.5699999999999914</v>
      </c>
      <c r="M53" s="333">
        <f t="shared" ref="M53:M57" si="5">L53*J53</f>
        <v>5797.3145999999933</v>
      </c>
      <c r="N53" s="295"/>
      <c r="O53" s="781" t="s">
        <v>731</v>
      </c>
      <c r="P53" s="782"/>
      <c r="R53" s="351"/>
      <c r="S53" s="351"/>
    </row>
    <row r="54" spans="1:19" ht="60" customHeight="1">
      <c r="A54" s="741"/>
      <c r="B54" s="754"/>
      <c r="C54" s="286">
        <v>2</v>
      </c>
      <c r="D54" s="244" t="s">
        <v>498</v>
      </c>
      <c r="E54" s="288"/>
      <c r="F54" s="289"/>
      <c r="G54" s="313" t="s">
        <v>500</v>
      </c>
      <c r="H54" s="312"/>
      <c r="I54" s="313"/>
      <c r="J54" s="323">
        <v>327.16000000000003</v>
      </c>
      <c r="K54" s="324">
        <v>6.0437765436131986E-3</v>
      </c>
      <c r="L54" s="325">
        <v>7.2400000000000357</v>
      </c>
      <c r="M54" s="333">
        <f t="shared" si="5"/>
        <v>2368.6384000000121</v>
      </c>
      <c r="N54" s="295"/>
      <c r="O54" s="781" t="s">
        <v>732</v>
      </c>
      <c r="P54" s="782"/>
      <c r="R54" s="351"/>
      <c r="S54" s="351"/>
    </row>
    <row r="55" spans="1:19" ht="54.95" customHeight="1">
      <c r="A55" s="741"/>
      <c r="B55" s="754"/>
      <c r="C55" s="286">
        <v>3</v>
      </c>
      <c r="D55" s="244"/>
      <c r="E55" s="288"/>
      <c r="F55" s="289"/>
      <c r="G55" s="370"/>
      <c r="H55" s="312"/>
      <c r="I55" s="313"/>
      <c r="J55" s="323"/>
      <c r="K55" s="324"/>
      <c r="L55" s="325"/>
      <c r="M55" s="333">
        <f t="shared" si="5"/>
        <v>0</v>
      </c>
      <c r="N55" s="295"/>
      <c r="O55" s="781"/>
      <c r="P55" s="782"/>
      <c r="R55" s="351"/>
    </row>
    <row r="56" spans="1:19" ht="54.95" customHeight="1">
      <c r="A56" s="741"/>
      <c r="B56" s="754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81"/>
      <c r="P56" s="782"/>
      <c r="R56" s="351"/>
      <c r="S56" s="351"/>
    </row>
    <row r="57" spans="1:19" ht="54.95" customHeight="1" thickBot="1">
      <c r="A57" s="741"/>
      <c r="B57" s="754"/>
      <c r="C57" s="286">
        <v>5</v>
      </c>
      <c r="D57" s="251"/>
      <c r="E57" s="298"/>
      <c r="F57" s="299"/>
      <c r="G57" s="370"/>
      <c r="H57" s="312"/>
      <c r="I57" s="313"/>
      <c r="J57" s="327"/>
      <c r="K57" s="255"/>
      <c r="L57" s="328"/>
      <c r="M57" s="333">
        <f t="shared" si="5"/>
        <v>0</v>
      </c>
      <c r="N57" s="295"/>
      <c r="O57" s="781"/>
      <c r="P57" s="782"/>
    </row>
    <row r="58" spans="1:19" ht="15.75" customHeight="1" thickTop="1" thickBot="1">
      <c r="A58" s="742"/>
      <c r="B58" s="755"/>
      <c r="C58" s="750"/>
      <c r="D58" s="751"/>
      <c r="E58" s="751"/>
      <c r="F58" s="751"/>
      <c r="G58" s="751"/>
      <c r="H58" s="751"/>
      <c r="I58" s="752"/>
      <c r="J58" s="363" t="s">
        <v>58</v>
      </c>
      <c r="K58" s="361">
        <f>M58/'生產管理報表 7-1 (週)'!$B$21</f>
        <v>5.3420386237398476E-2</v>
      </c>
      <c r="L58" s="364" t="s">
        <v>59</v>
      </c>
      <c r="M58" s="365">
        <f>SUM(M53:M57)</f>
        <v>8165.953000000005</v>
      </c>
      <c r="N58" s="727"/>
      <c r="O58" s="728"/>
      <c r="P58" s="729"/>
    </row>
    <row r="59" spans="1:19" s="136" customFormat="1" ht="15.75" customHeight="1" thickTop="1">
      <c r="A59" s="697" t="s">
        <v>723</v>
      </c>
      <c r="B59" s="697"/>
      <c r="C59" s="697"/>
      <c r="D59" s="697"/>
      <c r="E59" s="697"/>
      <c r="F59" s="697"/>
      <c r="G59" s="697"/>
      <c r="H59" s="697"/>
      <c r="I59" s="697"/>
      <c r="J59" s="697"/>
      <c r="K59" s="697"/>
      <c r="L59" s="697"/>
      <c r="M59" s="697"/>
    </row>
    <row r="60" spans="1:19" s="137" customFormat="1" ht="15.75" customHeight="1">
      <c r="A60" s="792"/>
      <c r="B60" s="792"/>
      <c r="C60" s="792"/>
      <c r="D60" s="792"/>
      <c r="E60" s="792"/>
      <c r="F60" s="792"/>
      <c r="G60" s="792"/>
      <c r="H60" s="792"/>
      <c r="I60" s="792"/>
      <c r="J60" s="792"/>
      <c r="K60" s="792"/>
      <c r="L60" s="792"/>
      <c r="M60" s="792"/>
    </row>
    <row r="61" spans="1:19" s="136" customFormat="1" ht="15.75" customHeight="1">
      <c r="A61" s="793" t="s">
        <v>191</v>
      </c>
      <c r="B61" s="795">
        <v>1</v>
      </c>
      <c r="C61" s="796"/>
      <c r="D61" s="795">
        <v>2</v>
      </c>
      <c r="E61" s="796"/>
      <c r="F61" s="795">
        <v>3</v>
      </c>
      <c r="G61" s="796"/>
      <c r="H61" s="786">
        <v>4</v>
      </c>
      <c r="I61" s="787"/>
      <c r="J61" s="786">
        <v>5</v>
      </c>
      <c r="K61" s="787"/>
      <c r="L61" s="786">
        <v>6</v>
      </c>
      <c r="M61" s="787"/>
      <c r="N61" s="786">
        <v>7</v>
      </c>
      <c r="O61" s="787"/>
      <c r="P61" s="338">
        <v>8</v>
      </c>
    </row>
    <row r="62" spans="1:19" s="136" customFormat="1" ht="15.75" customHeight="1">
      <c r="A62" s="794"/>
      <c r="B62" s="790" t="s">
        <v>490</v>
      </c>
      <c r="C62" s="791"/>
      <c r="D62" s="790" t="s">
        <v>212</v>
      </c>
      <c r="E62" s="791"/>
      <c r="F62" s="790" t="s">
        <v>166</v>
      </c>
      <c r="G62" s="791"/>
      <c r="H62" s="788" t="s">
        <v>460</v>
      </c>
      <c r="I62" s="789"/>
      <c r="J62" s="788" t="s">
        <v>189</v>
      </c>
      <c r="K62" s="789"/>
      <c r="L62" s="788" t="s">
        <v>167</v>
      </c>
      <c r="M62" s="789"/>
      <c r="N62" s="788" t="s">
        <v>190</v>
      </c>
      <c r="O62" s="789"/>
      <c r="P62" s="339" t="s">
        <v>217</v>
      </c>
    </row>
    <row r="63" spans="1:19" s="136" customFormat="1" ht="15.75" customHeight="1">
      <c r="B63" s="239"/>
      <c r="C63" s="240"/>
    </row>
    <row r="64" spans="1:19" s="285" customFormat="1" ht="15.75" customHeight="1">
      <c r="A64" s="730" t="s">
        <v>191</v>
      </c>
      <c r="B64" s="731"/>
      <c r="C64" s="282" t="s">
        <v>47</v>
      </c>
      <c r="D64" s="758" t="s">
        <v>12</v>
      </c>
      <c r="E64" s="759"/>
      <c r="F64" s="760"/>
      <c r="G64" s="761" t="s">
        <v>53</v>
      </c>
      <c r="H64" s="762"/>
      <c r="I64" s="763"/>
      <c r="J64" s="283" t="s">
        <v>54</v>
      </c>
      <c r="K64" s="283" t="s">
        <v>55</v>
      </c>
      <c r="L64" s="283" t="s">
        <v>56</v>
      </c>
      <c r="M64" s="284" t="s">
        <v>11</v>
      </c>
      <c r="N64" s="284" t="s">
        <v>333</v>
      </c>
      <c r="O64" s="738" t="s">
        <v>51</v>
      </c>
      <c r="P64" s="739"/>
      <c r="R64" s="354"/>
      <c r="S64" s="355"/>
    </row>
    <row r="65" spans="1:20" s="305" customFormat="1" ht="60" customHeight="1">
      <c r="A65" s="740">
        <v>4</v>
      </c>
      <c r="B65" s="774" t="s">
        <v>460</v>
      </c>
      <c r="C65" s="286">
        <v>1</v>
      </c>
      <c r="D65" s="244"/>
      <c r="E65" s="245"/>
      <c r="F65" s="246"/>
      <c r="G65" s="313"/>
      <c r="H65" s="312"/>
      <c r="I65" s="313"/>
      <c r="J65" s="323"/>
      <c r="K65" s="324"/>
      <c r="L65" s="325"/>
      <c r="M65" s="333">
        <f t="shared" ref="M65:M69" si="6">L65*J65</f>
        <v>0</v>
      </c>
      <c r="N65" s="325"/>
      <c r="O65" s="770"/>
      <c r="P65" s="771"/>
      <c r="R65" s="437"/>
      <c r="S65" s="355"/>
    </row>
    <row r="66" spans="1:20" s="305" customFormat="1" ht="60" customHeight="1">
      <c r="A66" s="741"/>
      <c r="B66" s="775"/>
      <c r="C66" s="286">
        <v>2</v>
      </c>
      <c r="D66" s="244"/>
      <c r="E66" s="245"/>
      <c r="F66" s="246"/>
      <c r="G66" s="313"/>
      <c r="H66" s="312"/>
      <c r="I66" s="313"/>
      <c r="J66" s="323"/>
      <c r="K66" s="324"/>
      <c r="L66" s="325"/>
      <c r="M66" s="333">
        <f t="shared" si="6"/>
        <v>0</v>
      </c>
      <c r="N66" s="325"/>
      <c r="O66" s="770"/>
      <c r="P66" s="771"/>
      <c r="R66" s="437"/>
      <c r="S66" s="438"/>
      <c r="T66" s="350"/>
    </row>
    <row r="67" spans="1:20" s="305" customFormat="1" ht="60" customHeight="1">
      <c r="A67" s="741"/>
      <c r="B67" s="775"/>
      <c r="C67" s="286">
        <v>3</v>
      </c>
      <c r="D67" s="244"/>
      <c r="E67" s="245"/>
      <c r="F67" s="246"/>
      <c r="G67" s="313"/>
      <c r="H67" s="312"/>
      <c r="I67" s="313"/>
      <c r="J67" s="323"/>
      <c r="K67" s="324"/>
      <c r="L67" s="325"/>
      <c r="M67" s="333">
        <f t="shared" si="6"/>
        <v>0</v>
      </c>
      <c r="N67" s="325"/>
      <c r="O67" s="779"/>
      <c r="P67" s="780"/>
      <c r="R67" s="437"/>
      <c r="S67" s="439"/>
    </row>
    <row r="68" spans="1:20" s="305" customFormat="1" ht="60" customHeight="1">
      <c r="A68" s="741"/>
      <c r="B68" s="775"/>
      <c r="C68" s="286">
        <v>4</v>
      </c>
      <c r="D68" s="244"/>
      <c r="E68" s="245"/>
      <c r="F68" s="246"/>
      <c r="G68" s="370"/>
      <c r="H68" s="312"/>
      <c r="I68" s="313"/>
      <c r="J68" s="323"/>
      <c r="K68" s="324"/>
      <c r="L68" s="325"/>
      <c r="M68" s="333">
        <f t="shared" si="6"/>
        <v>0</v>
      </c>
      <c r="N68" s="325"/>
      <c r="O68" s="779"/>
      <c r="P68" s="780"/>
      <c r="R68" s="437"/>
      <c r="S68" s="438"/>
      <c r="T68" s="350"/>
    </row>
    <row r="69" spans="1:20" s="305" customFormat="1" ht="60" customHeight="1" thickBot="1">
      <c r="A69" s="741"/>
      <c r="B69" s="775"/>
      <c r="C69" s="286">
        <v>5</v>
      </c>
      <c r="D69" s="244"/>
      <c r="E69" s="252"/>
      <c r="F69" s="253"/>
      <c r="G69" s="313"/>
      <c r="H69" s="312"/>
      <c r="I69" s="313"/>
      <c r="J69" s="327"/>
      <c r="K69" s="255"/>
      <c r="L69" s="328"/>
      <c r="M69" s="333">
        <f t="shared" si="6"/>
        <v>0</v>
      </c>
      <c r="N69" s="325"/>
      <c r="O69" s="779"/>
      <c r="P69" s="780"/>
      <c r="R69" s="440"/>
      <c r="S69" s="439"/>
      <c r="T69" s="296"/>
    </row>
    <row r="70" spans="1:20" ht="15.75" customHeight="1" thickTop="1" thickBot="1">
      <c r="A70" s="742"/>
      <c r="B70" s="776"/>
      <c r="C70" s="783"/>
      <c r="D70" s="784"/>
      <c r="E70" s="784"/>
      <c r="F70" s="784"/>
      <c r="G70" s="784"/>
      <c r="H70" s="784"/>
      <c r="I70" s="785"/>
      <c r="J70" s="363" t="s">
        <v>58</v>
      </c>
      <c r="K70" s="361">
        <f>M70/'生產管理報表 7-1 (週)'!$B$32</f>
        <v>0</v>
      </c>
      <c r="L70" s="364" t="s">
        <v>59</v>
      </c>
      <c r="M70" s="365">
        <f>SUM(M65:M69)</f>
        <v>0</v>
      </c>
      <c r="N70" s="727"/>
      <c r="O70" s="728"/>
      <c r="P70" s="729"/>
      <c r="R70" s="354"/>
      <c r="S70" s="354"/>
    </row>
    <row r="71" spans="1:20" ht="15.75" customHeight="1" thickTop="1">
      <c r="M71" s="340"/>
      <c r="S71" s="355"/>
    </row>
    <row r="72" spans="1:20" ht="15.75" customHeight="1">
      <c r="A72" s="730" t="s">
        <v>191</v>
      </c>
      <c r="B72" s="731"/>
      <c r="C72" s="282" t="s">
        <v>47</v>
      </c>
      <c r="D72" s="758" t="s">
        <v>12</v>
      </c>
      <c r="E72" s="759"/>
      <c r="F72" s="760"/>
      <c r="G72" s="761" t="s">
        <v>53</v>
      </c>
      <c r="H72" s="762"/>
      <c r="I72" s="763"/>
      <c r="J72" s="418" t="s">
        <v>54</v>
      </c>
      <c r="K72" s="283" t="s">
        <v>55</v>
      </c>
      <c r="L72" s="283" t="s">
        <v>56</v>
      </c>
      <c r="M72" s="341" t="s">
        <v>11</v>
      </c>
      <c r="N72" s="284" t="s">
        <v>333</v>
      </c>
      <c r="O72" s="738" t="s">
        <v>51</v>
      </c>
      <c r="P72" s="739"/>
      <c r="S72" s="354"/>
      <c r="T72" s="350"/>
    </row>
    <row r="73" spans="1:20" s="305" customFormat="1" ht="60" customHeight="1">
      <c r="A73" s="740">
        <v>5</v>
      </c>
      <c r="B73" s="753" t="s">
        <v>215</v>
      </c>
      <c r="C73" s="286">
        <v>1</v>
      </c>
      <c r="D73" s="244"/>
      <c r="E73" s="245"/>
      <c r="F73" s="246"/>
      <c r="G73" s="313"/>
      <c r="H73" s="312"/>
      <c r="I73" s="313"/>
      <c r="J73" s="323"/>
      <c r="K73" s="324"/>
      <c r="L73" s="325"/>
      <c r="M73" s="333">
        <f>L73*J73</f>
        <v>0</v>
      </c>
      <c r="N73" s="325"/>
      <c r="O73" s="819"/>
      <c r="P73" s="820"/>
      <c r="S73" s="439"/>
      <c r="T73" s="350"/>
    </row>
    <row r="74" spans="1:20" s="305" customFormat="1" ht="24.95" customHeight="1">
      <c r="A74" s="741"/>
      <c r="B74" s="754"/>
      <c r="C74" s="286">
        <v>2</v>
      </c>
      <c r="D74" s="244"/>
      <c r="E74" s="245"/>
      <c r="F74" s="246"/>
      <c r="G74" s="370"/>
      <c r="H74" s="312"/>
      <c r="I74" s="313"/>
      <c r="J74" s="323"/>
      <c r="K74" s="324"/>
      <c r="L74" s="325"/>
      <c r="M74" s="333">
        <f t="shared" ref="M74:M77" si="7">L74*J74</f>
        <v>0</v>
      </c>
      <c r="N74" s="325"/>
      <c r="O74" s="766"/>
      <c r="P74" s="767"/>
      <c r="S74" s="354"/>
      <c r="T74" s="351"/>
    </row>
    <row r="75" spans="1:20" ht="24.95" customHeight="1">
      <c r="A75" s="741"/>
      <c r="B75" s="754"/>
      <c r="C75" s="286">
        <v>3</v>
      </c>
      <c r="D75" s="244"/>
      <c r="E75" s="245"/>
      <c r="F75" s="246"/>
      <c r="G75" s="370"/>
      <c r="H75" s="312"/>
      <c r="I75" s="313"/>
      <c r="J75" s="323"/>
      <c r="K75" s="324"/>
      <c r="L75" s="325"/>
      <c r="M75" s="333">
        <f t="shared" si="7"/>
        <v>0</v>
      </c>
      <c r="N75" s="295"/>
      <c r="O75" s="748"/>
      <c r="P75" s="749"/>
    </row>
    <row r="76" spans="1:20" ht="24.95" customHeight="1">
      <c r="A76" s="741"/>
      <c r="B76" s="754"/>
      <c r="C76" s="286">
        <v>4</v>
      </c>
      <c r="D76" s="287"/>
      <c r="E76" s="288"/>
      <c r="F76" s="289"/>
      <c r="G76" s="370"/>
      <c r="H76" s="312"/>
      <c r="I76" s="313"/>
      <c r="J76" s="293"/>
      <c r="K76" s="294"/>
      <c r="L76" s="295"/>
      <c r="M76" s="333">
        <f t="shared" si="7"/>
        <v>0</v>
      </c>
      <c r="N76" s="295"/>
      <c r="O76" s="306"/>
      <c r="P76" s="307"/>
    </row>
    <row r="77" spans="1:20" ht="24.95" customHeight="1" thickBot="1">
      <c r="A77" s="741"/>
      <c r="B77" s="754"/>
      <c r="C77" s="286">
        <v>5</v>
      </c>
      <c r="D77" s="297"/>
      <c r="E77" s="298"/>
      <c r="F77" s="299"/>
      <c r="G77" s="370"/>
      <c r="H77" s="312"/>
      <c r="I77" s="313"/>
      <c r="J77" s="300"/>
      <c r="K77" s="255"/>
      <c r="L77" s="301"/>
      <c r="M77" s="333">
        <f t="shared" si="7"/>
        <v>0</v>
      </c>
      <c r="N77" s="295"/>
      <c r="O77" s="308"/>
      <c r="P77" s="309"/>
      <c r="R77" s="358"/>
    </row>
    <row r="78" spans="1:20" ht="15.75" customHeight="1" thickTop="1" thickBot="1">
      <c r="A78" s="742"/>
      <c r="B78" s="755"/>
      <c r="C78" s="750"/>
      <c r="D78" s="751"/>
      <c r="E78" s="751"/>
      <c r="F78" s="751"/>
      <c r="G78" s="751"/>
      <c r="H78" s="751"/>
      <c r="I78" s="752"/>
      <c r="J78" s="363" t="s">
        <v>58</v>
      </c>
      <c r="K78" s="361">
        <f>M78/'生產管理報表 7-1 (週)'!$B$32</f>
        <v>0</v>
      </c>
      <c r="L78" s="364" t="s">
        <v>59</v>
      </c>
      <c r="M78" s="365">
        <f>SUM(M73:M77)</f>
        <v>0</v>
      </c>
      <c r="N78" s="727"/>
      <c r="O78" s="728"/>
      <c r="P78" s="729"/>
      <c r="R78" s="354"/>
    </row>
    <row r="79" spans="1:20" ht="15.75" customHeight="1" thickTop="1">
      <c r="K79" s="296" t="s">
        <v>496</v>
      </c>
      <c r="M79" s="340"/>
      <c r="R79" s="354"/>
    </row>
    <row r="80" spans="1:20" ht="24.95" customHeight="1">
      <c r="A80" s="730" t="s">
        <v>191</v>
      </c>
      <c r="B80" s="731"/>
      <c r="C80" s="310" t="s">
        <v>47</v>
      </c>
      <c r="D80" s="732" t="s">
        <v>12</v>
      </c>
      <c r="E80" s="733"/>
      <c r="F80" s="734"/>
      <c r="G80" s="735" t="s">
        <v>53</v>
      </c>
      <c r="H80" s="736"/>
      <c r="I80" s="737"/>
      <c r="J80" s="311" t="s">
        <v>54</v>
      </c>
      <c r="K80" s="283" t="s">
        <v>55</v>
      </c>
      <c r="L80" s="283" t="s">
        <v>56</v>
      </c>
      <c r="M80" s="341" t="s">
        <v>11</v>
      </c>
      <c r="N80" s="284" t="s">
        <v>333</v>
      </c>
      <c r="O80" s="738" t="s">
        <v>51</v>
      </c>
      <c r="P80" s="739"/>
      <c r="R80" s="354"/>
    </row>
    <row r="81" spans="1:19" ht="54.95" customHeight="1">
      <c r="A81" s="740">
        <v>6</v>
      </c>
      <c r="B81" s="753" t="s">
        <v>216</v>
      </c>
      <c r="C81" s="286">
        <v>1</v>
      </c>
      <c r="D81" s="359"/>
      <c r="E81" s="288"/>
      <c r="F81" s="289"/>
      <c r="G81" s="313"/>
      <c r="H81" s="312"/>
      <c r="I81" s="313"/>
      <c r="J81" s="323"/>
      <c r="K81" s="324"/>
      <c r="L81" s="325"/>
      <c r="M81" s="333">
        <f t="shared" ref="M81:M85" si="8">L81*J81</f>
        <v>0</v>
      </c>
      <c r="N81" s="295"/>
      <c r="O81" s="781"/>
      <c r="P81" s="782"/>
      <c r="R81" s="351"/>
      <c r="S81" s="351"/>
    </row>
    <row r="82" spans="1:19" ht="54.95" customHeight="1">
      <c r="A82" s="741"/>
      <c r="B82" s="754"/>
      <c r="C82" s="286">
        <v>2</v>
      </c>
      <c r="D82" s="244"/>
      <c r="E82" s="288"/>
      <c r="F82" s="289"/>
      <c r="G82" s="313"/>
      <c r="H82" s="312"/>
      <c r="I82" s="313"/>
      <c r="J82" s="323"/>
      <c r="K82" s="324"/>
      <c r="L82" s="325"/>
      <c r="M82" s="333">
        <f t="shared" si="8"/>
        <v>0</v>
      </c>
      <c r="N82" s="295"/>
      <c r="O82" s="781"/>
      <c r="P82" s="782"/>
      <c r="R82" s="351"/>
      <c r="S82" s="351"/>
    </row>
    <row r="83" spans="1:19" ht="54.95" customHeight="1">
      <c r="A83" s="741"/>
      <c r="B83" s="754"/>
      <c r="C83" s="286">
        <v>3</v>
      </c>
      <c r="D83" s="244"/>
      <c r="E83" s="288"/>
      <c r="F83" s="289"/>
      <c r="G83" s="313"/>
      <c r="H83" s="312"/>
      <c r="I83" s="313"/>
      <c r="J83" s="323"/>
      <c r="K83" s="324"/>
      <c r="L83" s="325"/>
      <c r="M83" s="333">
        <f t="shared" si="8"/>
        <v>0</v>
      </c>
      <c r="N83" s="295"/>
      <c r="O83" s="781"/>
      <c r="P83" s="782"/>
      <c r="R83" s="351"/>
    </row>
    <row r="84" spans="1:19" ht="54.95" customHeight="1">
      <c r="A84" s="741"/>
      <c r="B84" s="754"/>
      <c r="C84" s="286">
        <v>4</v>
      </c>
      <c r="D84" s="244"/>
      <c r="E84" s="288"/>
      <c r="F84" s="289"/>
      <c r="G84" s="370"/>
      <c r="H84" s="312"/>
      <c r="I84" s="313"/>
      <c r="J84" s="323"/>
      <c r="K84" s="324"/>
      <c r="L84" s="325"/>
      <c r="M84" s="333">
        <f t="shared" si="8"/>
        <v>0</v>
      </c>
      <c r="N84" s="295"/>
      <c r="O84" s="781"/>
      <c r="P84" s="782"/>
      <c r="R84" s="351"/>
      <c r="S84" s="351"/>
    </row>
    <row r="85" spans="1:19" ht="54.95" customHeight="1" thickBot="1">
      <c r="A85" s="741"/>
      <c r="B85" s="754"/>
      <c r="C85" s="286">
        <v>5</v>
      </c>
      <c r="D85" s="251"/>
      <c r="E85" s="298"/>
      <c r="F85" s="299"/>
      <c r="G85" s="370"/>
      <c r="H85" s="312"/>
      <c r="I85" s="313"/>
      <c r="J85" s="327"/>
      <c r="K85" s="255"/>
      <c r="L85" s="328"/>
      <c r="M85" s="333">
        <f t="shared" si="8"/>
        <v>0</v>
      </c>
      <c r="N85" s="295"/>
      <c r="O85" s="781"/>
      <c r="P85" s="782"/>
    </row>
    <row r="86" spans="1:19" ht="15.75" customHeight="1" thickTop="1" thickBot="1">
      <c r="A86" s="742"/>
      <c r="B86" s="755"/>
      <c r="C86" s="750"/>
      <c r="D86" s="751"/>
      <c r="E86" s="751"/>
      <c r="F86" s="751"/>
      <c r="G86" s="751"/>
      <c r="H86" s="751"/>
      <c r="I86" s="752"/>
      <c r="J86" s="363" t="s">
        <v>58</v>
      </c>
      <c r="K86" s="361">
        <f>M86/'生產管理報表 7-1 (週)'!$B$32</f>
        <v>0</v>
      </c>
      <c r="L86" s="364" t="s">
        <v>59</v>
      </c>
      <c r="M86" s="365">
        <f>SUM(M81:M85)</f>
        <v>0</v>
      </c>
      <c r="N86" s="727"/>
      <c r="O86" s="728"/>
      <c r="P86" s="729"/>
    </row>
    <row r="87" spans="1:19" ht="15.75" customHeight="1" thickTop="1"/>
  </sheetData>
  <mergeCells count="160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0" max="1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509" t="s">
        <v>373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673" t="s">
        <v>394</v>
      </c>
      <c r="B3" s="673"/>
      <c r="C3" s="673"/>
      <c r="D3" s="673"/>
      <c r="E3" s="673"/>
      <c r="F3" s="673"/>
      <c r="G3" s="673"/>
      <c r="H3" s="673"/>
      <c r="I3" s="673"/>
      <c r="J3" s="673"/>
      <c r="K3" s="673"/>
      <c r="L3" s="673"/>
      <c r="M3" s="673"/>
      <c r="N3" s="673"/>
      <c r="O3" s="673"/>
      <c r="P3" s="673"/>
      <c r="Q3" s="673"/>
    </row>
    <row r="4" spans="1:17" s="100" customFormat="1" ht="15.75" customHeight="1">
      <c r="A4" s="864"/>
      <c r="B4" s="864"/>
      <c r="C4" s="864"/>
      <c r="D4" s="864"/>
      <c r="E4" s="864"/>
      <c r="F4" s="864"/>
      <c r="G4" s="864"/>
      <c r="H4" s="864"/>
      <c r="I4" s="864"/>
      <c r="J4" s="864"/>
      <c r="K4" s="864"/>
      <c r="L4" s="864"/>
      <c r="M4" s="864"/>
      <c r="N4" s="864"/>
      <c r="O4" s="864"/>
      <c r="P4" s="864"/>
      <c r="Q4" s="864"/>
    </row>
    <row r="5" spans="1:17" ht="15.75" customHeight="1">
      <c r="A5" s="543" t="s">
        <v>191</v>
      </c>
      <c r="B5" s="863">
        <v>1</v>
      </c>
      <c r="C5" s="863"/>
      <c r="D5" s="863">
        <v>2</v>
      </c>
      <c r="E5" s="863"/>
      <c r="F5" s="863">
        <v>3</v>
      </c>
      <c r="G5" s="863"/>
      <c r="H5" s="863">
        <v>4</v>
      </c>
      <c r="I5" s="863"/>
      <c r="J5" s="863">
        <v>5</v>
      </c>
      <c r="K5" s="863"/>
      <c r="L5" s="863">
        <v>6</v>
      </c>
      <c r="M5" s="863"/>
      <c r="N5" s="863">
        <v>7</v>
      </c>
      <c r="O5" s="863"/>
      <c r="P5" s="865">
        <v>8</v>
      </c>
      <c r="Q5" s="865"/>
    </row>
    <row r="6" spans="1:17" ht="15.75" customHeight="1">
      <c r="A6" s="543"/>
      <c r="B6" s="543" t="s">
        <v>251</v>
      </c>
      <c r="C6" s="543"/>
      <c r="D6" s="543" t="s">
        <v>340</v>
      </c>
      <c r="E6" s="543"/>
      <c r="F6" s="543" t="s">
        <v>166</v>
      </c>
      <c r="G6" s="543"/>
      <c r="H6" s="543" t="s">
        <v>460</v>
      </c>
      <c r="I6" s="543"/>
      <c r="J6" s="543" t="s">
        <v>189</v>
      </c>
      <c r="K6" s="543"/>
      <c r="L6" s="543" t="s">
        <v>167</v>
      </c>
      <c r="M6" s="543"/>
      <c r="N6" s="543" t="s">
        <v>190</v>
      </c>
      <c r="O6" s="543"/>
      <c r="P6" s="868" t="s">
        <v>218</v>
      </c>
      <c r="Q6" s="868"/>
    </row>
    <row r="8" spans="1:17" s="106" customFormat="1" ht="15.75" customHeight="1">
      <c r="A8" s="131" t="s">
        <v>193</v>
      </c>
      <c r="B8" s="131" t="s">
        <v>18</v>
      </c>
      <c r="C8" s="862" t="s">
        <v>12</v>
      </c>
      <c r="D8" s="862"/>
      <c r="E8" s="862"/>
      <c r="F8" s="862" t="s">
        <v>53</v>
      </c>
      <c r="G8" s="862"/>
      <c r="H8" s="862"/>
      <c r="I8" s="131" t="s">
        <v>54</v>
      </c>
      <c r="J8" s="134" t="s">
        <v>19</v>
      </c>
      <c r="K8" s="131" t="s">
        <v>57</v>
      </c>
      <c r="L8" s="131" t="s">
        <v>2</v>
      </c>
      <c r="M8" s="862" t="s">
        <v>50</v>
      </c>
      <c r="N8" s="862"/>
      <c r="O8" s="862"/>
      <c r="P8" s="862"/>
      <c r="Q8" s="862"/>
    </row>
    <row r="9" spans="1:17" ht="15.75" customHeight="1">
      <c r="A9" s="862" t="s">
        <v>192</v>
      </c>
      <c r="B9" s="129">
        <v>1</v>
      </c>
      <c r="C9" s="866"/>
      <c r="D9" s="867"/>
      <c r="E9" s="867"/>
      <c r="F9" s="866"/>
      <c r="G9" s="867"/>
      <c r="H9" s="867"/>
      <c r="I9" s="108"/>
      <c r="J9" s="118"/>
      <c r="K9" s="118"/>
      <c r="L9" s="135">
        <f t="shared" ref="L9:L13" si="0">K9-J9</f>
        <v>0</v>
      </c>
      <c r="M9" s="866"/>
      <c r="N9" s="866"/>
      <c r="O9" s="866"/>
      <c r="P9" s="866"/>
      <c r="Q9" s="866"/>
    </row>
    <row r="10" spans="1:17" ht="15.75" customHeight="1">
      <c r="A10" s="862"/>
      <c r="B10" s="129">
        <v>2</v>
      </c>
      <c r="C10" s="866"/>
      <c r="D10" s="867"/>
      <c r="E10" s="867"/>
      <c r="F10" s="866"/>
      <c r="G10" s="867"/>
      <c r="H10" s="867"/>
      <c r="I10" s="108"/>
      <c r="J10" s="118"/>
      <c r="K10" s="118"/>
      <c r="L10" s="135">
        <f t="shared" si="0"/>
        <v>0</v>
      </c>
      <c r="M10" s="866"/>
      <c r="N10" s="866"/>
      <c r="O10" s="866"/>
      <c r="P10" s="866"/>
      <c r="Q10" s="866"/>
    </row>
    <row r="11" spans="1:17" ht="15.75" customHeight="1">
      <c r="A11" s="862"/>
      <c r="B11" s="129">
        <v>3</v>
      </c>
      <c r="C11" s="866"/>
      <c r="D11" s="867"/>
      <c r="E11" s="867"/>
      <c r="F11" s="866"/>
      <c r="G11" s="867"/>
      <c r="H11" s="867"/>
      <c r="I11" s="108"/>
      <c r="J11" s="118"/>
      <c r="K11" s="118"/>
      <c r="L11" s="135">
        <f t="shared" si="0"/>
        <v>0</v>
      </c>
      <c r="M11" s="866"/>
      <c r="N11" s="866"/>
      <c r="O11" s="866"/>
      <c r="P11" s="866"/>
      <c r="Q11" s="866"/>
    </row>
    <row r="12" spans="1:17" ht="15.75" customHeight="1">
      <c r="A12" s="862"/>
      <c r="B12" s="129">
        <v>4</v>
      </c>
      <c r="C12" s="866"/>
      <c r="D12" s="867"/>
      <c r="E12" s="867"/>
      <c r="F12" s="866"/>
      <c r="G12" s="867"/>
      <c r="H12" s="867"/>
      <c r="I12" s="108"/>
      <c r="J12" s="118"/>
      <c r="K12" s="118"/>
      <c r="L12" s="135">
        <f t="shared" si="0"/>
        <v>0</v>
      </c>
      <c r="M12" s="866"/>
      <c r="N12" s="866"/>
      <c r="O12" s="866"/>
      <c r="P12" s="866"/>
      <c r="Q12" s="866"/>
    </row>
    <row r="13" spans="1:17" ht="15.75" customHeight="1">
      <c r="A13" s="862"/>
      <c r="B13" s="129">
        <v>5</v>
      </c>
      <c r="C13" s="866"/>
      <c r="D13" s="867"/>
      <c r="E13" s="867"/>
      <c r="F13" s="866"/>
      <c r="G13" s="867"/>
      <c r="H13" s="867"/>
      <c r="I13" s="108"/>
      <c r="J13" s="118"/>
      <c r="K13" s="118"/>
      <c r="L13" s="135">
        <f t="shared" si="0"/>
        <v>0</v>
      </c>
      <c r="M13" s="866"/>
      <c r="N13" s="866"/>
      <c r="O13" s="866"/>
      <c r="P13" s="866"/>
      <c r="Q13" s="866"/>
    </row>
    <row r="14" spans="1:17" ht="15.75" customHeight="1">
      <c r="A14" s="869"/>
      <c r="B14" s="869"/>
      <c r="C14" s="869"/>
      <c r="D14" s="869"/>
      <c r="E14" s="869"/>
      <c r="F14" s="869"/>
      <c r="G14" s="869"/>
      <c r="H14" s="869"/>
      <c r="I14" s="869"/>
      <c r="J14" s="869"/>
      <c r="K14" s="869"/>
      <c r="L14" s="869"/>
      <c r="M14" s="869"/>
      <c r="N14" s="869"/>
      <c r="O14" s="870"/>
    </row>
    <row r="15" spans="1:17" s="106" customFormat="1" ht="15.75" customHeight="1">
      <c r="A15" s="131" t="s">
        <v>193</v>
      </c>
      <c r="B15" s="131" t="s">
        <v>18</v>
      </c>
      <c r="C15" s="862" t="s">
        <v>12</v>
      </c>
      <c r="D15" s="862"/>
      <c r="E15" s="862"/>
      <c r="F15" s="862" t="s">
        <v>53</v>
      </c>
      <c r="G15" s="862"/>
      <c r="H15" s="862"/>
      <c r="I15" s="131" t="s">
        <v>54</v>
      </c>
      <c r="J15" s="134" t="s">
        <v>19</v>
      </c>
      <c r="K15" s="131" t="s">
        <v>57</v>
      </c>
      <c r="L15" s="131" t="s">
        <v>2</v>
      </c>
      <c r="M15" s="862" t="s">
        <v>50</v>
      </c>
      <c r="N15" s="862"/>
      <c r="O15" s="862"/>
      <c r="P15" s="862"/>
      <c r="Q15" s="862"/>
    </row>
    <row r="16" spans="1:17" ht="15.75" customHeight="1">
      <c r="A16" s="862" t="s">
        <v>194</v>
      </c>
      <c r="B16" s="129">
        <v>1</v>
      </c>
      <c r="C16" s="866"/>
      <c r="D16" s="867"/>
      <c r="E16" s="867"/>
      <c r="F16" s="866"/>
      <c r="G16" s="867"/>
      <c r="H16" s="867"/>
      <c r="I16" s="108"/>
      <c r="J16" s="118"/>
      <c r="K16" s="118"/>
      <c r="L16" s="135">
        <f t="shared" ref="L16:L19" si="1">K16-J16</f>
        <v>0</v>
      </c>
      <c r="M16" s="866"/>
      <c r="N16" s="866"/>
      <c r="O16" s="866"/>
      <c r="P16" s="866"/>
      <c r="Q16" s="866"/>
    </row>
    <row r="17" spans="1:17" ht="15.75" customHeight="1">
      <c r="A17" s="862"/>
      <c r="B17" s="129">
        <v>2</v>
      </c>
      <c r="C17" s="866"/>
      <c r="D17" s="867"/>
      <c r="E17" s="867"/>
      <c r="F17" s="866"/>
      <c r="G17" s="867"/>
      <c r="H17" s="867"/>
      <c r="I17" s="108"/>
      <c r="J17" s="118"/>
      <c r="K17" s="118"/>
      <c r="L17" s="135">
        <f t="shared" si="1"/>
        <v>0</v>
      </c>
      <c r="M17" s="866"/>
      <c r="N17" s="866"/>
      <c r="O17" s="866"/>
      <c r="P17" s="866"/>
      <c r="Q17" s="866"/>
    </row>
    <row r="18" spans="1:17" ht="15.75" customHeight="1">
      <c r="A18" s="862"/>
      <c r="B18" s="129">
        <v>3</v>
      </c>
      <c r="C18" s="866"/>
      <c r="D18" s="867"/>
      <c r="E18" s="867"/>
      <c r="F18" s="866"/>
      <c r="G18" s="867"/>
      <c r="H18" s="867"/>
      <c r="I18" s="108"/>
      <c r="J18" s="118"/>
      <c r="K18" s="118"/>
      <c r="L18" s="135">
        <f t="shared" si="1"/>
        <v>0</v>
      </c>
      <c r="M18" s="866"/>
      <c r="N18" s="866"/>
      <c r="O18" s="866"/>
      <c r="P18" s="866"/>
      <c r="Q18" s="866"/>
    </row>
    <row r="19" spans="1:17" ht="15.75" customHeight="1">
      <c r="A19" s="862"/>
      <c r="B19" s="129">
        <v>4</v>
      </c>
      <c r="C19" s="866"/>
      <c r="D19" s="867"/>
      <c r="E19" s="867"/>
      <c r="F19" s="866"/>
      <c r="G19" s="867"/>
      <c r="H19" s="867"/>
      <c r="I19" s="108"/>
      <c r="J19" s="118"/>
      <c r="K19" s="118"/>
      <c r="L19" s="135">
        <f t="shared" si="1"/>
        <v>0</v>
      </c>
      <c r="M19" s="866"/>
      <c r="N19" s="866"/>
      <c r="O19" s="866"/>
      <c r="P19" s="866"/>
      <c r="Q19" s="866"/>
    </row>
    <row r="20" spans="1:17" ht="15.75" customHeight="1">
      <c r="A20" s="862"/>
      <c r="B20" s="129">
        <v>5</v>
      </c>
      <c r="C20" s="866"/>
      <c r="D20" s="867"/>
      <c r="E20" s="867"/>
      <c r="F20" s="866"/>
      <c r="G20" s="867"/>
      <c r="H20" s="867"/>
      <c r="I20" s="108"/>
      <c r="J20" s="118"/>
      <c r="K20" s="118"/>
      <c r="L20" s="135">
        <f>K20-J20</f>
        <v>0</v>
      </c>
      <c r="M20" s="866"/>
      <c r="N20" s="866"/>
      <c r="O20" s="866"/>
      <c r="P20" s="866"/>
      <c r="Q20" s="86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L47"/>
  <sheetViews>
    <sheetView topLeftCell="A22" zoomScale="70" zoomScaleNormal="70" workbookViewId="0">
      <selection activeCell="L55" sqref="L55"/>
    </sheetView>
  </sheetViews>
  <sheetFormatPr defaultColWidth="9.140625" defaultRowHeight="15"/>
  <cols>
    <col min="1" max="1" width="20.28515625" style="231" customWidth="1"/>
    <col min="2" max="2" width="22.5703125" style="231" bestFit="1" customWidth="1"/>
    <col min="3" max="4" width="15.7109375" style="231" customWidth="1"/>
    <col min="5" max="5" width="18.85546875" style="231" bestFit="1" customWidth="1"/>
    <col min="6" max="6" width="15.7109375" style="231" customWidth="1"/>
    <col min="7" max="10" width="20.28515625" style="231" customWidth="1"/>
    <col min="11" max="11" width="18.85546875" style="349" bestFit="1" customWidth="1"/>
    <col min="12" max="12" width="17.5703125" style="349" customWidth="1"/>
    <col min="13" max="13" width="18.85546875" style="231" bestFit="1" customWidth="1"/>
    <col min="14" max="14" width="15.42578125" style="231" customWidth="1"/>
    <col min="15" max="15" width="9.140625" style="231"/>
    <col min="16" max="17" width="12.42578125" style="231" bestFit="1" customWidth="1"/>
    <col min="18" max="19" width="9.140625" style="231"/>
    <col min="20" max="20" width="13.85546875" style="231" bestFit="1" customWidth="1"/>
    <col min="21" max="21" width="9.140625" style="231"/>
    <col min="22" max="23" width="12.42578125" style="231" bestFit="1" customWidth="1"/>
    <col min="24" max="25" width="9.140625" style="231"/>
    <col min="26" max="26" width="13.85546875" style="231" bestFit="1" customWidth="1"/>
    <col min="27" max="28" width="9.140625" style="231"/>
    <col min="29" max="29" width="12.42578125" style="231" bestFit="1" customWidth="1"/>
    <col min="30" max="31" width="9.140625" style="231"/>
    <col min="32" max="32" width="13.85546875" style="231" bestFit="1" customWidth="1"/>
    <col min="33" max="34" width="9.140625" style="231"/>
    <col min="35" max="35" width="12.42578125" style="231" bestFit="1" customWidth="1"/>
    <col min="36" max="37" width="9.140625" style="231"/>
    <col min="38" max="38" width="13.85546875" style="231" bestFit="1" customWidth="1"/>
    <col min="39" max="16384" width="9.140625" style="231"/>
  </cols>
  <sheetData>
    <row r="1" spans="1:38" ht="27">
      <c r="A1" s="873" t="s">
        <v>440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</row>
    <row r="2" spans="1:38" ht="16.5" customHeight="1">
      <c r="A2" s="876" t="s">
        <v>441</v>
      </c>
      <c r="B2" s="876" t="s">
        <v>135</v>
      </c>
      <c r="C2" s="876" t="s">
        <v>442</v>
      </c>
      <c r="D2" s="876" t="s">
        <v>443</v>
      </c>
      <c r="E2" s="876" t="s">
        <v>436</v>
      </c>
      <c r="F2" s="876" t="s">
        <v>437</v>
      </c>
      <c r="G2" s="876" t="s">
        <v>444</v>
      </c>
      <c r="H2" s="876"/>
      <c r="I2" s="876" t="s">
        <v>445</v>
      </c>
      <c r="J2" s="876"/>
      <c r="K2" s="872" t="s">
        <v>455</v>
      </c>
      <c r="L2" s="872"/>
      <c r="M2" s="875" t="s">
        <v>438</v>
      </c>
      <c r="N2" s="875" t="s">
        <v>439</v>
      </c>
    </row>
    <row r="3" spans="1:38" ht="37.5" customHeight="1">
      <c r="A3" s="876"/>
      <c r="B3" s="876"/>
      <c r="C3" s="876"/>
      <c r="D3" s="876"/>
      <c r="E3" s="876"/>
      <c r="F3" s="876"/>
      <c r="G3" s="232" t="s">
        <v>446</v>
      </c>
      <c r="H3" s="232" t="s">
        <v>447</v>
      </c>
      <c r="I3" s="232" t="s">
        <v>446</v>
      </c>
      <c r="J3" s="232" t="s">
        <v>447</v>
      </c>
      <c r="K3" s="346" t="s">
        <v>456</v>
      </c>
      <c r="L3" s="346" t="s">
        <v>457</v>
      </c>
      <c r="M3" s="875"/>
      <c r="N3" s="875"/>
      <c r="P3" s="424" t="s">
        <v>503</v>
      </c>
      <c r="Q3" s="366">
        <v>353129.03079999995</v>
      </c>
      <c r="S3" s="425" t="s">
        <v>504</v>
      </c>
      <c r="T3" s="366">
        <v>819267.9188799999</v>
      </c>
      <c r="V3" s="444" t="s">
        <v>529</v>
      </c>
      <c r="W3" s="366">
        <v>275849.81519999995</v>
      </c>
      <c r="Y3" s="425" t="s">
        <v>597</v>
      </c>
      <c r="Z3" s="366">
        <v>611955.97399999993</v>
      </c>
      <c r="AB3" s="425" t="s">
        <v>595</v>
      </c>
      <c r="AC3" s="366">
        <f>C47</f>
        <v>175855.17319999999</v>
      </c>
      <c r="AE3" s="425" t="s">
        <v>596</v>
      </c>
      <c r="AF3" s="366">
        <f>E47</f>
        <v>378482.86910000013</v>
      </c>
      <c r="AH3" s="413"/>
      <c r="AI3" s="366"/>
      <c r="AK3" s="413"/>
      <c r="AL3" s="366"/>
    </row>
    <row r="4" spans="1:38" ht="18.75">
      <c r="A4" s="234">
        <v>46112</v>
      </c>
      <c r="B4" s="368">
        <v>5566321.9800000004</v>
      </c>
      <c r="C4" s="369">
        <v>11196.816200000003</v>
      </c>
      <c r="D4" s="314">
        <f t="shared" ref="D4:D45" si="0">C4/B4</f>
        <v>2.0115286611573271E-3</v>
      </c>
      <c r="E4" s="369">
        <v>24923.591999999993</v>
      </c>
      <c r="F4" s="230">
        <f t="shared" ref="F4:F45" si="1">E4/B4</f>
        <v>4.4775692260619086E-3</v>
      </c>
      <c r="G4" s="368">
        <v>2102.6657</v>
      </c>
      <c r="H4" s="230">
        <f t="shared" ref="H4:H45" si="2">G4/C4</f>
        <v>0.18779139198516087</v>
      </c>
      <c r="I4" s="233">
        <v>15202.679400000026</v>
      </c>
      <c r="J4" s="230">
        <f t="shared" ref="J4:J45" si="3">I4/E4</f>
        <v>0.60997144392349345</v>
      </c>
      <c r="K4" s="347">
        <v>779.36860000000001</v>
      </c>
      <c r="L4" s="348">
        <f t="shared" ref="L4:L45" si="4">K4/C4</f>
        <v>6.9606268967780299E-2</v>
      </c>
      <c r="M4" s="871">
        <f>SUM(C4:C10)</f>
        <v>60576.4522</v>
      </c>
      <c r="N4" s="871">
        <f>SUM(E4:E10)</f>
        <v>133821.05619999993</v>
      </c>
    </row>
    <row r="5" spans="1:38" ht="18.75">
      <c r="A5" s="235">
        <f t="shared" ref="A5:A10" si="5">A4+1</f>
        <v>46113</v>
      </c>
      <c r="B5" s="368">
        <v>4658389.7300000004</v>
      </c>
      <c r="C5" s="369">
        <v>9364.2979000000032</v>
      </c>
      <c r="D5" s="314">
        <f t="shared" si="0"/>
        <v>2.0102006149665804E-3</v>
      </c>
      <c r="E5" s="369">
        <v>20737.639899999976</v>
      </c>
      <c r="F5" s="230">
        <f t="shared" si="1"/>
        <v>4.4516756007874792E-3</v>
      </c>
      <c r="G5" s="368">
        <v>2218.7337000000002</v>
      </c>
      <c r="H5" s="230">
        <f t="shared" si="2"/>
        <v>0.23693540334721724</v>
      </c>
      <c r="I5" s="233">
        <v>12772.654599999985</v>
      </c>
      <c r="J5" s="230">
        <f t="shared" si="3"/>
        <v>0.61591650070073789</v>
      </c>
      <c r="K5" s="347">
        <v>1409.2616</v>
      </c>
      <c r="L5" s="348">
        <f t="shared" si="4"/>
        <v>0.15049303375963718</v>
      </c>
      <c r="M5" s="871"/>
      <c r="N5" s="871"/>
    </row>
    <row r="6" spans="1:38" s="349" customFormat="1" ht="18.75">
      <c r="A6" s="234">
        <f t="shared" si="5"/>
        <v>46114</v>
      </c>
      <c r="B6" s="368">
        <v>3718970.84</v>
      </c>
      <c r="C6" s="369">
        <v>7496.5574999999981</v>
      </c>
      <c r="D6" s="314">
        <f t="shared" si="0"/>
        <v>2.0157613013174359E-3</v>
      </c>
      <c r="E6" s="369">
        <v>16488.269899999992</v>
      </c>
      <c r="F6" s="230">
        <f t="shared" si="1"/>
        <v>4.4335571880956166E-3</v>
      </c>
      <c r="G6" s="368">
        <v>2324.154</v>
      </c>
      <c r="H6" s="230">
        <f t="shared" si="2"/>
        <v>0.31002950354212594</v>
      </c>
      <c r="I6" s="233">
        <v>9058.1026999999885</v>
      </c>
      <c r="J6" s="230">
        <f t="shared" si="3"/>
        <v>0.54936647416233719</v>
      </c>
      <c r="K6" s="347">
        <v>1276.5318</v>
      </c>
      <c r="L6" s="348">
        <f t="shared" si="4"/>
        <v>0.17028239962142627</v>
      </c>
      <c r="M6" s="871"/>
      <c r="N6" s="871"/>
      <c r="O6" s="231"/>
      <c r="P6" s="231"/>
      <c r="Q6" s="231"/>
      <c r="R6" s="231"/>
      <c r="S6" s="231"/>
    </row>
    <row r="7" spans="1:38" s="349" customFormat="1" ht="18.75">
      <c r="A7" s="234">
        <f t="shared" si="5"/>
        <v>46115</v>
      </c>
      <c r="B7" s="368">
        <v>3549995.84</v>
      </c>
      <c r="C7" s="369">
        <v>7136.2804999999998</v>
      </c>
      <c r="D7" s="314">
        <f t="shared" si="0"/>
        <v>2.0102222147956096E-3</v>
      </c>
      <c r="E7" s="369">
        <v>15659.664999999992</v>
      </c>
      <c r="F7" s="230">
        <f t="shared" si="1"/>
        <v>4.4111784085921609E-3</v>
      </c>
      <c r="G7" s="368">
        <v>2275.0208000000002</v>
      </c>
      <c r="H7" s="230">
        <f t="shared" si="2"/>
        <v>0.31879643744384772</v>
      </c>
      <c r="I7" s="233">
        <v>7682.5221999999976</v>
      </c>
      <c r="J7" s="230">
        <f t="shared" si="3"/>
        <v>0.49059301077002615</v>
      </c>
      <c r="K7" s="347">
        <v>1200.6416999999999</v>
      </c>
      <c r="L7" s="348">
        <f t="shared" si="4"/>
        <v>0.16824474598497074</v>
      </c>
      <c r="M7" s="871"/>
      <c r="N7" s="871"/>
      <c r="O7" s="231"/>
      <c r="P7" s="231"/>
      <c r="Q7" s="231"/>
      <c r="R7" s="231"/>
      <c r="S7" s="231"/>
    </row>
    <row r="8" spans="1:38" s="349" customFormat="1" ht="18.75">
      <c r="A8" s="234">
        <f t="shared" si="5"/>
        <v>46116</v>
      </c>
      <c r="B8" s="368">
        <v>3467991.88</v>
      </c>
      <c r="C8" s="369">
        <v>6956.0736999999999</v>
      </c>
      <c r="D8" s="314">
        <f t="shared" si="0"/>
        <v>2.0057929605071627E-3</v>
      </c>
      <c r="E8" s="369">
        <v>15271.984300000015</v>
      </c>
      <c r="F8" s="230">
        <f t="shared" si="1"/>
        <v>4.4036966718618772E-3</v>
      </c>
      <c r="G8" s="368">
        <v>1897.5771000000002</v>
      </c>
      <c r="H8" s="230">
        <f t="shared" si="2"/>
        <v>0.27279427761094599</v>
      </c>
      <c r="I8" s="233">
        <v>8295.1485000000048</v>
      </c>
      <c r="J8" s="230">
        <f t="shared" si="3"/>
        <v>0.54316114638750623</v>
      </c>
      <c r="K8" s="347">
        <v>884.4283999999999</v>
      </c>
      <c r="L8" s="348">
        <f t="shared" si="4"/>
        <v>0.12714477133846352</v>
      </c>
      <c r="M8" s="871"/>
      <c r="N8" s="871"/>
      <c r="O8" s="231"/>
      <c r="P8" s="231"/>
      <c r="Q8" s="231"/>
      <c r="R8" s="231"/>
      <c r="S8" s="231"/>
    </row>
    <row r="9" spans="1:38" s="349" customFormat="1" ht="18.75">
      <c r="A9" s="234">
        <f t="shared" si="5"/>
        <v>46117</v>
      </c>
      <c r="B9" s="368">
        <v>3900098.74</v>
      </c>
      <c r="C9" s="369">
        <v>7832.2422000000006</v>
      </c>
      <c r="D9" s="314">
        <f t="shared" si="0"/>
        <v>2.0082163868497338E-3</v>
      </c>
      <c r="E9" s="369">
        <v>17207.015900000017</v>
      </c>
      <c r="F9" s="230">
        <f t="shared" si="1"/>
        <v>4.411943657611093E-3</v>
      </c>
      <c r="G9" s="368">
        <v>1971.9782</v>
      </c>
      <c r="H9" s="230">
        <f t="shared" si="2"/>
        <v>0.25177696879700678</v>
      </c>
      <c r="I9" s="233">
        <v>9575.5978000000014</v>
      </c>
      <c r="J9" s="230">
        <f t="shared" si="3"/>
        <v>0.55649380785427138</v>
      </c>
      <c r="K9" s="347">
        <v>984.58799999999997</v>
      </c>
      <c r="L9" s="348">
        <f t="shared" si="4"/>
        <v>0.12570959565065543</v>
      </c>
      <c r="M9" s="871"/>
      <c r="N9" s="871"/>
      <c r="O9" s="231"/>
      <c r="P9" s="231"/>
      <c r="Q9" s="231"/>
      <c r="R9" s="231"/>
      <c r="S9" s="231"/>
    </row>
    <row r="10" spans="1:38" s="349" customFormat="1" ht="18.75">
      <c r="A10" s="234">
        <f t="shared" si="5"/>
        <v>46118</v>
      </c>
      <c r="B10" s="368">
        <v>5259985.6399999997</v>
      </c>
      <c r="C10" s="369">
        <v>10594.1842</v>
      </c>
      <c r="D10" s="314">
        <f t="shared" si="0"/>
        <v>2.0141089586700849E-3</v>
      </c>
      <c r="E10" s="369">
        <v>23532.889199999954</v>
      </c>
      <c r="F10" s="230">
        <f t="shared" si="1"/>
        <v>4.4739455220261697E-3</v>
      </c>
      <c r="G10" s="368">
        <v>2112.5313999999998</v>
      </c>
      <c r="H10" s="230">
        <f t="shared" si="2"/>
        <v>0.19940482061846723</v>
      </c>
      <c r="I10" s="233">
        <v>13443.48359999998</v>
      </c>
      <c r="J10" s="230">
        <f t="shared" si="3"/>
        <v>0.57126362537754205</v>
      </c>
      <c r="K10" s="347">
        <v>951.99349999999993</v>
      </c>
      <c r="L10" s="348">
        <f t="shared" si="4"/>
        <v>8.9860010174261457E-2</v>
      </c>
      <c r="M10" s="871"/>
      <c r="N10" s="871"/>
      <c r="O10" s="231"/>
      <c r="P10" s="231"/>
      <c r="Q10" s="231"/>
      <c r="R10" s="231"/>
      <c r="S10" s="231"/>
    </row>
    <row r="11" spans="1:38" s="349" customFormat="1" ht="18.75">
      <c r="A11" s="234">
        <f t="shared" ref="A11:A45" si="6">A10+1</f>
        <v>46119</v>
      </c>
      <c r="B11" s="368">
        <v>5422854.0800000001</v>
      </c>
      <c r="C11" s="369">
        <v>10955.024700000002</v>
      </c>
      <c r="D11" s="314">
        <f t="shared" si="0"/>
        <v>2.0201584882033191E-3</v>
      </c>
      <c r="E11" s="369">
        <v>23468.15120000004</v>
      </c>
      <c r="F11" s="230">
        <f t="shared" si="1"/>
        <v>4.327638334682987E-3</v>
      </c>
      <c r="G11" s="368">
        <v>2513.9836000000005</v>
      </c>
      <c r="H11" s="230">
        <f t="shared" si="2"/>
        <v>0.22948223932347683</v>
      </c>
      <c r="I11" s="233">
        <v>9756.1253000000124</v>
      </c>
      <c r="J11" s="230">
        <f t="shared" si="3"/>
        <v>0.41571767698513873</v>
      </c>
      <c r="K11" s="347">
        <v>1242.9255000000003</v>
      </c>
      <c r="L11" s="348">
        <f t="shared" si="4"/>
        <v>0.11345711525415365</v>
      </c>
      <c r="M11" s="871">
        <f>SUM(C11:C17)</f>
        <v>71083.854800000001</v>
      </c>
      <c r="N11" s="871">
        <f>SUM(E11:E17)</f>
        <v>152862.11080000008</v>
      </c>
      <c r="O11" s="231"/>
      <c r="P11" s="231"/>
      <c r="Q11" s="231"/>
      <c r="R11" s="231"/>
      <c r="S11" s="231"/>
    </row>
    <row r="12" spans="1:38" s="349" customFormat="1" ht="18.75">
      <c r="A12" s="235">
        <f t="shared" si="6"/>
        <v>46120</v>
      </c>
      <c r="B12" s="368">
        <v>5000122.24</v>
      </c>
      <c r="C12" s="369">
        <v>10078.112899999998</v>
      </c>
      <c r="D12" s="314">
        <f t="shared" si="0"/>
        <v>2.0155733032638816E-3</v>
      </c>
      <c r="E12" s="369">
        <v>21671.584299999995</v>
      </c>
      <c r="F12" s="230">
        <f t="shared" si="1"/>
        <v>4.3342108972119842E-3</v>
      </c>
      <c r="G12" s="368">
        <v>2300.8387000000002</v>
      </c>
      <c r="H12" s="230">
        <f t="shared" si="2"/>
        <v>0.22830054821076678</v>
      </c>
      <c r="I12" s="233">
        <v>11021.887400000005</v>
      </c>
      <c r="J12" s="230">
        <f t="shared" si="3"/>
        <v>0.50858706255269059</v>
      </c>
      <c r="K12" s="347">
        <v>1023.7827</v>
      </c>
      <c r="L12" s="348">
        <f t="shared" si="4"/>
        <v>0.10158476196471268</v>
      </c>
      <c r="M12" s="871"/>
      <c r="N12" s="871"/>
      <c r="O12" s="231"/>
      <c r="P12" s="231"/>
      <c r="Q12" s="231"/>
      <c r="R12" s="231"/>
      <c r="S12" s="231"/>
    </row>
    <row r="13" spans="1:38" s="349" customFormat="1" ht="18.75">
      <c r="A13" s="234">
        <f t="shared" si="6"/>
        <v>46121</v>
      </c>
      <c r="B13" s="368">
        <v>4626484.24</v>
      </c>
      <c r="C13" s="369">
        <v>9317.1794999999984</v>
      </c>
      <c r="D13" s="314">
        <f t="shared" si="0"/>
        <v>2.0138790097769788E-3</v>
      </c>
      <c r="E13" s="369">
        <v>19375.781000000039</v>
      </c>
      <c r="F13" s="230">
        <f t="shared" si="1"/>
        <v>4.1880140501678303E-3</v>
      </c>
      <c r="G13" s="368">
        <v>2140.0788999999995</v>
      </c>
      <c r="H13" s="230">
        <f t="shared" si="2"/>
        <v>0.2296917108873989</v>
      </c>
      <c r="I13" s="233">
        <v>7792.2087000000283</v>
      </c>
      <c r="J13" s="230">
        <f t="shared" si="3"/>
        <v>0.40216230251570312</v>
      </c>
      <c r="K13" s="347">
        <v>1421.2710000000002</v>
      </c>
      <c r="L13" s="348">
        <f t="shared" si="4"/>
        <v>0.1525430523260822</v>
      </c>
      <c r="M13" s="871"/>
      <c r="N13" s="871"/>
      <c r="O13" s="231"/>
      <c r="P13" s="231"/>
      <c r="Q13" s="231"/>
      <c r="R13" s="231"/>
      <c r="S13" s="231"/>
    </row>
    <row r="14" spans="1:38" s="349" customFormat="1" ht="18.75">
      <c r="A14" s="234">
        <f t="shared" si="6"/>
        <v>46122</v>
      </c>
      <c r="B14" s="368">
        <v>4119112.49</v>
      </c>
      <c r="C14" s="369">
        <v>8261.1710999999996</v>
      </c>
      <c r="D14" s="314">
        <f t="shared" si="0"/>
        <v>2.0055706466030501E-3</v>
      </c>
      <c r="E14" s="369">
        <v>17153.316599999998</v>
      </c>
      <c r="F14" s="230">
        <f t="shared" si="1"/>
        <v>4.1643234171543581E-3</v>
      </c>
      <c r="G14" s="368">
        <v>2375.9339</v>
      </c>
      <c r="H14" s="230">
        <f t="shared" si="2"/>
        <v>0.28760255310533395</v>
      </c>
      <c r="I14" s="233">
        <v>8363.6842999999881</v>
      </c>
      <c r="J14" s="230">
        <f t="shared" si="3"/>
        <v>0.48758409204666514</v>
      </c>
      <c r="K14" s="347">
        <v>1305.6834000000001</v>
      </c>
      <c r="L14" s="348">
        <f t="shared" si="4"/>
        <v>0.15805064248094319</v>
      </c>
      <c r="M14" s="871"/>
      <c r="N14" s="871"/>
      <c r="O14" s="231"/>
      <c r="P14" s="231"/>
      <c r="Q14" s="231"/>
      <c r="R14" s="231"/>
      <c r="S14" s="231"/>
    </row>
    <row r="15" spans="1:38" s="349" customFormat="1" ht="18.75">
      <c r="A15" s="234">
        <f t="shared" si="6"/>
        <v>46123</v>
      </c>
      <c r="B15" s="368">
        <v>4445689.26</v>
      </c>
      <c r="C15" s="369">
        <v>8946.0885999999991</v>
      </c>
      <c r="D15" s="314">
        <f t="shared" si="0"/>
        <v>2.0123063212024853E-3</v>
      </c>
      <c r="E15" s="369">
        <v>20198.092199999988</v>
      </c>
      <c r="F15" s="230">
        <f t="shared" si="1"/>
        <v>4.5432982421267989E-3</v>
      </c>
      <c r="G15" s="368">
        <v>2691.6942000000004</v>
      </c>
      <c r="H15" s="230">
        <f t="shared" si="2"/>
        <v>0.30087944803050581</v>
      </c>
      <c r="I15" s="233">
        <v>12340.632800000003</v>
      </c>
      <c r="J15" s="230">
        <f t="shared" si="3"/>
        <v>0.61098012019174808</v>
      </c>
      <c r="K15" s="347">
        <v>816.87919999999997</v>
      </c>
      <c r="L15" s="348">
        <f t="shared" si="4"/>
        <v>9.1311324593856588E-2</v>
      </c>
      <c r="M15" s="871"/>
      <c r="N15" s="871"/>
      <c r="O15" s="231"/>
      <c r="P15" s="231"/>
      <c r="Q15" s="231"/>
      <c r="R15" s="231"/>
      <c r="S15" s="231"/>
    </row>
    <row r="16" spans="1:38" s="349" customFormat="1" ht="18.75">
      <c r="A16" s="234">
        <f t="shared" si="6"/>
        <v>46124</v>
      </c>
      <c r="B16" s="368">
        <v>5887717.4000000004</v>
      </c>
      <c r="C16" s="369">
        <v>11894.409300000003</v>
      </c>
      <c r="D16" s="314">
        <f t="shared" si="0"/>
        <v>2.0202072368486982E-3</v>
      </c>
      <c r="E16" s="369">
        <v>25799.621900000006</v>
      </c>
      <c r="F16" s="230">
        <f t="shared" si="1"/>
        <v>4.3819395781461937E-3</v>
      </c>
      <c r="G16" s="368">
        <v>1949.4360000000001</v>
      </c>
      <c r="H16" s="230">
        <f t="shared" si="2"/>
        <v>0.16389515030393309</v>
      </c>
      <c r="I16" s="233">
        <v>12084.79210000001</v>
      </c>
      <c r="J16" s="230">
        <f t="shared" si="3"/>
        <v>0.46840965913535371</v>
      </c>
      <c r="K16" s="347">
        <v>1248.6454000000001</v>
      </c>
      <c r="L16" s="348">
        <f t="shared" si="4"/>
        <v>0.10497750401106508</v>
      </c>
      <c r="M16" s="871"/>
      <c r="N16" s="871"/>
      <c r="O16" s="231"/>
      <c r="P16" s="231"/>
      <c r="Q16" s="231"/>
      <c r="R16" s="231"/>
      <c r="S16" s="231"/>
    </row>
    <row r="17" spans="1:20" s="349" customFormat="1" ht="18.75">
      <c r="A17" s="234">
        <f t="shared" si="6"/>
        <v>46125</v>
      </c>
      <c r="B17" s="368">
        <v>5758150.04</v>
      </c>
      <c r="C17" s="369">
        <v>11631.868699999999</v>
      </c>
      <c r="D17" s="314">
        <f t="shared" si="0"/>
        <v>2.0200704426243119E-3</v>
      </c>
      <c r="E17" s="369">
        <v>25195.563600000034</v>
      </c>
      <c r="F17" s="230">
        <f t="shared" si="1"/>
        <v>4.3756351302023447E-3</v>
      </c>
      <c r="G17" s="368">
        <v>2732.4296999999997</v>
      </c>
      <c r="H17" s="230">
        <f t="shared" si="2"/>
        <v>0.23490891880510995</v>
      </c>
      <c r="I17" s="233">
        <v>13360.399300000001</v>
      </c>
      <c r="J17" s="230">
        <f t="shared" si="3"/>
        <v>0.53026792780297172</v>
      </c>
      <c r="K17" s="347">
        <v>1754.7526000000003</v>
      </c>
      <c r="L17" s="348">
        <f t="shared" si="4"/>
        <v>0.15085732527224971</v>
      </c>
      <c r="M17" s="871"/>
      <c r="N17" s="871"/>
      <c r="O17" s="231"/>
      <c r="P17" s="231"/>
      <c r="Q17" s="231"/>
      <c r="R17" s="231"/>
      <c r="S17" s="231"/>
      <c r="T17" s="423"/>
    </row>
    <row r="18" spans="1:20" s="349" customFormat="1" ht="18.75">
      <c r="A18" s="234">
        <f t="shared" si="6"/>
        <v>46126</v>
      </c>
      <c r="B18" s="368">
        <v>6972503.2699999996</v>
      </c>
      <c r="C18" s="369">
        <v>14121.3467</v>
      </c>
      <c r="D18" s="314">
        <f t="shared" si="0"/>
        <v>2.0252907963139617E-3</v>
      </c>
      <c r="E18" s="369">
        <v>30032.073400000001</v>
      </c>
      <c r="F18" s="230">
        <f t="shared" si="1"/>
        <v>4.3072153912378161E-3</v>
      </c>
      <c r="G18" s="368">
        <v>2161.0824000000002</v>
      </c>
      <c r="H18" s="230">
        <f t="shared" si="2"/>
        <v>0.15303656555645648</v>
      </c>
      <c r="I18" s="233">
        <v>13749.23179999999</v>
      </c>
      <c r="J18" s="230">
        <f t="shared" si="3"/>
        <v>0.45781826705311629</v>
      </c>
      <c r="K18" s="347">
        <v>1690.5286999999998</v>
      </c>
      <c r="L18" s="348">
        <f t="shared" si="4"/>
        <v>0.11971441080757544</v>
      </c>
      <c r="M18" s="871">
        <f t="shared" ref="M18" si="7">SUM(C18:C24)</f>
        <v>86344.891999999993</v>
      </c>
      <c r="N18" s="871">
        <f t="shared" ref="N18" si="8">SUM(E18:E24)</f>
        <v>184880.85320000001</v>
      </c>
      <c r="O18" s="231"/>
      <c r="P18" s="231"/>
      <c r="Q18" s="231"/>
      <c r="R18" s="231"/>
      <c r="S18" s="231"/>
    </row>
    <row r="19" spans="1:20" s="349" customFormat="1" ht="18.75">
      <c r="A19" s="235">
        <f t="shared" si="6"/>
        <v>46127</v>
      </c>
      <c r="B19" s="368">
        <v>6457162.1799999997</v>
      </c>
      <c r="C19" s="369">
        <v>13031.0597</v>
      </c>
      <c r="D19" s="314">
        <f t="shared" si="0"/>
        <v>2.018078427759112E-3</v>
      </c>
      <c r="E19" s="369">
        <v>27743.454699999987</v>
      </c>
      <c r="F19" s="230">
        <f t="shared" si="1"/>
        <v>4.2965398617260666E-3</v>
      </c>
      <c r="G19" s="368">
        <v>3652.4171000000001</v>
      </c>
      <c r="H19" s="230">
        <f t="shared" si="2"/>
        <v>0.28028550126280216</v>
      </c>
      <c r="I19" s="233">
        <v>15086.268700000002</v>
      </c>
      <c r="J19" s="230">
        <f t="shared" si="3"/>
        <v>0.54377758152808597</v>
      </c>
      <c r="K19" s="347">
        <v>1987.8314</v>
      </c>
      <c r="L19" s="348">
        <f t="shared" si="4"/>
        <v>0.15254564446512359</v>
      </c>
      <c r="M19" s="871"/>
      <c r="N19" s="871"/>
      <c r="O19" s="231"/>
      <c r="P19" s="231"/>
      <c r="Q19" s="231"/>
      <c r="R19" s="231"/>
      <c r="S19" s="231"/>
    </row>
    <row r="20" spans="1:20" s="349" customFormat="1" ht="18.75">
      <c r="A20" s="234">
        <f t="shared" si="6"/>
        <v>46128</v>
      </c>
      <c r="B20" s="368">
        <v>5781414.5899999999</v>
      </c>
      <c r="C20" s="369">
        <v>11645.642600000003</v>
      </c>
      <c r="D20" s="314">
        <f t="shared" si="0"/>
        <v>2.0143240756584457E-3</v>
      </c>
      <c r="E20" s="369">
        <v>24807.316399999992</v>
      </c>
      <c r="F20" s="230">
        <f t="shared" si="1"/>
        <v>4.2908731096553297E-3</v>
      </c>
      <c r="G20" s="368">
        <v>2649.4097000000006</v>
      </c>
      <c r="H20" s="230">
        <f t="shared" si="2"/>
        <v>0.2275022333245913</v>
      </c>
      <c r="I20" s="233">
        <v>13751.185599999997</v>
      </c>
      <c r="J20" s="230">
        <f t="shared" si="3"/>
        <v>0.55431975705360859</v>
      </c>
      <c r="K20" s="347">
        <v>1754.9627</v>
      </c>
      <c r="L20" s="348">
        <f t="shared" si="4"/>
        <v>0.15069693964333059</v>
      </c>
      <c r="M20" s="871"/>
      <c r="N20" s="871"/>
      <c r="O20" s="231"/>
      <c r="P20" s="231"/>
      <c r="Q20" s="231"/>
      <c r="R20" s="231"/>
      <c r="S20" s="231"/>
    </row>
    <row r="21" spans="1:20" s="349" customFormat="1" ht="18.75">
      <c r="A21" s="234">
        <f t="shared" si="6"/>
        <v>46129</v>
      </c>
      <c r="B21" s="368">
        <v>5012455.33</v>
      </c>
      <c r="C21" s="369">
        <v>10068.3451</v>
      </c>
      <c r="D21" s="314">
        <f t="shared" si="0"/>
        <v>2.0086653021604084E-3</v>
      </c>
      <c r="E21" s="369">
        <v>21435.907899999995</v>
      </c>
      <c r="F21" s="230">
        <f t="shared" si="1"/>
        <v>4.2765284653419533E-3</v>
      </c>
      <c r="G21" s="368">
        <v>2789.5031000000004</v>
      </c>
      <c r="H21" s="230">
        <f t="shared" si="2"/>
        <v>0.2770567627841839</v>
      </c>
      <c r="I21" s="233">
        <v>11774.2269</v>
      </c>
      <c r="J21" s="230">
        <f t="shared" si="3"/>
        <v>0.54927586715373056</v>
      </c>
      <c r="K21" s="347">
        <v>1447.5068999999999</v>
      </c>
      <c r="L21" s="348">
        <f t="shared" si="4"/>
        <v>0.14376810544565063</v>
      </c>
      <c r="M21" s="871"/>
      <c r="N21" s="871"/>
      <c r="O21" s="231"/>
      <c r="P21" s="231"/>
      <c r="Q21" s="231"/>
      <c r="R21" s="231"/>
      <c r="S21" s="231"/>
    </row>
    <row r="22" spans="1:20" s="349" customFormat="1" ht="18.75">
      <c r="A22" s="234">
        <f t="shared" si="6"/>
        <v>46130</v>
      </c>
      <c r="B22" s="368">
        <v>5245500.34</v>
      </c>
      <c r="C22" s="369">
        <v>10543.284200000004</v>
      </c>
      <c r="D22" s="314">
        <f t="shared" si="0"/>
        <v>2.0099673084760499E-3</v>
      </c>
      <c r="E22" s="369">
        <v>23124.978400000018</v>
      </c>
      <c r="F22" s="230">
        <f t="shared" si="1"/>
        <v>4.4085362503284136E-3</v>
      </c>
      <c r="G22" s="368">
        <v>2425.5087999999996</v>
      </c>
      <c r="H22" s="230">
        <f t="shared" si="2"/>
        <v>0.2300524916135713</v>
      </c>
      <c r="I22" s="233">
        <v>15095.9316</v>
      </c>
      <c r="J22" s="230">
        <f t="shared" si="3"/>
        <v>0.65279765191045491</v>
      </c>
      <c r="K22" s="347">
        <v>1618.8221000000001</v>
      </c>
      <c r="L22" s="348">
        <f t="shared" si="4"/>
        <v>0.15354059221888372</v>
      </c>
      <c r="M22" s="871"/>
      <c r="N22" s="871"/>
      <c r="O22" s="231"/>
      <c r="P22" s="231"/>
      <c r="Q22" s="231"/>
      <c r="R22" s="231"/>
      <c r="S22" s="231"/>
    </row>
    <row r="23" spans="1:20" s="349" customFormat="1" ht="18.75">
      <c r="A23" s="234">
        <f t="shared" si="6"/>
        <v>46131</v>
      </c>
      <c r="B23" s="368">
        <v>6890291.8600000003</v>
      </c>
      <c r="C23" s="369">
        <v>13890.290999999999</v>
      </c>
      <c r="D23" s="314">
        <f t="shared" si="0"/>
        <v>2.0159220076927187E-3</v>
      </c>
      <c r="E23" s="369">
        <v>29710.683599999986</v>
      </c>
      <c r="F23" s="230">
        <f t="shared" si="1"/>
        <v>4.3119630058747593E-3</v>
      </c>
      <c r="G23" s="368">
        <v>2328.6743000000001</v>
      </c>
      <c r="H23" s="230">
        <f t="shared" si="2"/>
        <v>0.1676476252369371</v>
      </c>
      <c r="I23" s="233">
        <v>13961.493099999972</v>
      </c>
      <c r="J23" s="230">
        <f t="shared" si="3"/>
        <v>0.46991490629990013</v>
      </c>
      <c r="K23" s="347">
        <v>2325.0833000000002</v>
      </c>
      <c r="L23" s="348">
        <f t="shared" si="4"/>
        <v>0.16738909933564389</v>
      </c>
      <c r="M23" s="871"/>
      <c r="N23" s="871"/>
      <c r="O23" s="231"/>
      <c r="P23" s="231"/>
      <c r="Q23" s="231"/>
      <c r="R23" s="231"/>
      <c r="S23" s="231"/>
    </row>
    <row r="24" spans="1:20" s="349" customFormat="1" ht="18.75">
      <c r="A24" s="234">
        <f t="shared" si="6"/>
        <v>46132</v>
      </c>
      <c r="B24" s="368">
        <v>6483243.2699999996</v>
      </c>
      <c r="C24" s="369">
        <v>13044.922700000001</v>
      </c>
      <c r="D24" s="314">
        <f t="shared" si="0"/>
        <v>2.0120982904286424E-3</v>
      </c>
      <c r="E24" s="369">
        <v>28026.438800000036</v>
      </c>
      <c r="F24" s="230">
        <f t="shared" si="1"/>
        <v>4.3229040825426314E-3</v>
      </c>
      <c r="G24" s="368">
        <v>2446.1591999999996</v>
      </c>
      <c r="H24" s="230">
        <f t="shared" si="2"/>
        <v>0.18751810618241527</v>
      </c>
      <c r="I24" s="233">
        <v>15820.354300000008</v>
      </c>
      <c r="J24" s="230">
        <f t="shared" si="3"/>
        <v>0.5644796476960886</v>
      </c>
      <c r="K24" s="347">
        <v>1964.3041999999998</v>
      </c>
      <c r="L24" s="348">
        <f t="shared" si="4"/>
        <v>0.15057998005614856</v>
      </c>
      <c r="M24" s="871"/>
      <c r="N24" s="871"/>
      <c r="O24" s="231"/>
      <c r="P24" s="231"/>
      <c r="Q24" s="231"/>
      <c r="R24" s="231"/>
      <c r="S24" s="231"/>
    </row>
    <row r="25" spans="1:20" s="349" customFormat="1" ht="18.75">
      <c r="A25" s="234">
        <f t="shared" si="6"/>
        <v>46133</v>
      </c>
      <c r="B25" s="368"/>
      <c r="C25" s="369"/>
      <c r="D25" s="314" t="e">
        <f t="shared" si="0"/>
        <v>#DIV/0!</v>
      </c>
      <c r="E25" s="369"/>
      <c r="F25" s="230" t="e">
        <f t="shared" si="1"/>
        <v>#DIV/0!</v>
      </c>
      <c r="G25" s="368"/>
      <c r="H25" s="230" t="e">
        <f t="shared" si="2"/>
        <v>#DIV/0!</v>
      </c>
      <c r="I25" s="233"/>
      <c r="J25" s="230" t="e">
        <f t="shared" si="3"/>
        <v>#DIV/0!</v>
      </c>
      <c r="K25" s="347"/>
      <c r="L25" s="348" t="e">
        <f t="shared" si="4"/>
        <v>#DIV/0!</v>
      </c>
      <c r="M25" s="871">
        <f t="shared" ref="M25" si="9">SUM(C25:C31)</f>
        <v>0</v>
      </c>
      <c r="N25" s="871">
        <f t="shared" ref="N25" si="10">SUM(E25:E31)</f>
        <v>0</v>
      </c>
      <c r="O25" s="231"/>
      <c r="P25" s="231"/>
      <c r="Q25" s="231"/>
      <c r="R25" s="231"/>
      <c r="S25" s="231"/>
    </row>
    <row r="26" spans="1:20" s="349" customFormat="1" ht="18.75">
      <c r="A26" s="235">
        <f t="shared" si="6"/>
        <v>46134</v>
      </c>
      <c r="B26" s="368"/>
      <c r="C26" s="369"/>
      <c r="D26" s="314" t="e">
        <f t="shared" si="0"/>
        <v>#DIV/0!</v>
      </c>
      <c r="E26" s="369"/>
      <c r="F26" s="230" t="e">
        <f t="shared" si="1"/>
        <v>#DIV/0!</v>
      </c>
      <c r="G26" s="368"/>
      <c r="H26" s="230" t="e">
        <f t="shared" si="2"/>
        <v>#DIV/0!</v>
      </c>
      <c r="I26" s="233"/>
      <c r="J26" s="230" t="e">
        <f t="shared" si="3"/>
        <v>#DIV/0!</v>
      </c>
      <c r="K26" s="347"/>
      <c r="L26" s="348" t="e">
        <f t="shared" si="4"/>
        <v>#DIV/0!</v>
      </c>
      <c r="M26" s="871"/>
      <c r="N26" s="871"/>
      <c r="O26" s="231"/>
      <c r="P26" s="231"/>
      <c r="Q26" s="231"/>
      <c r="R26" s="231"/>
      <c r="S26" s="231"/>
    </row>
    <row r="27" spans="1:20" s="349" customFormat="1" ht="18.75">
      <c r="A27" s="234">
        <f t="shared" si="6"/>
        <v>46135</v>
      </c>
      <c r="B27" s="368"/>
      <c r="C27" s="369"/>
      <c r="D27" s="314" t="e">
        <f t="shared" si="0"/>
        <v>#DIV/0!</v>
      </c>
      <c r="E27" s="369"/>
      <c r="F27" s="230" t="e">
        <f t="shared" si="1"/>
        <v>#DIV/0!</v>
      </c>
      <c r="G27" s="368"/>
      <c r="H27" s="230" t="e">
        <f t="shared" si="2"/>
        <v>#DIV/0!</v>
      </c>
      <c r="I27" s="233"/>
      <c r="J27" s="230" t="e">
        <f t="shared" si="3"/>
        <v>#DIV/0!</v>
      </c>
      <c r="K27" s="347"/>
      <c r="L27" s="348" t="e">
        <f t="shared" si="4"/>
        <v>#DIV/0!</v>
      </c>
      <c r="M27" s="871"/>
      <c r="N27" s="871"/>
      <c r="O27" s="231"/>
      <c r="P27" s="231"/>
      <c r="Q27" s="231"/>
      <c r="R27" s="231"/>
      <c r="S27" s="231"/>
    </row>
    <row r="28" spans="1:20" s="349" customFormat="1" ht="18.75">
      <c r="A28" s="234">
        <f t="shared" si="6"/>
        <v>46136</v>
      </c>
      <c r="B28" s="368"/>
      <c r="C28" s="369"/>
      <c r="D28" s="314" t="e">
        <f t="shared" si="0"/>
        <v>#DIV/0!</v>
      </c>
      <c r="E28" s="369"/>
      <c r="F28" s="230" t="e">
        <f t="shared" si="1"/>
        <v>#DIV/0!</v>
      </c>
      <c r="G28" s="368"/>
      <c r="H28" s="230" t="e">
        <f t="shared" si="2"/>
        <v>#DIV/0!</v>
      </c>
      <c r="I28" s="233"/>
      <c r="J28" s="230" t="e">
        <f t="shared" si="3"/>
        <v>#DIV/0!</v>
      </c>
      <c r="K28" s="347"/>
      <c r="L28" s="348" t="e">
        <f t="shared" si="4"/>
        <v>#DIV/0!</v>
      </c>
      <c r="M28" s="871"/>
      <c r="N28" s="871"/>
      <c r="O28" s="231"/>
      <c r="P28" s="231"/>
      <c r="Q28" s="231"/>
      <c r="R28" s="231"/>
      <c r="S28" s="231"/>
    </row>
    <row r="29" spans="1:20" s="349" customFormat="1" ht="18.75">
      <c r="A29" s="234">
        <f t="shared" si="6"/>
        <v>46137</v>
      </c>
      <c r="B29" s="368"/>
      <c r="C29" s="369"/>
      <c r="D29" s="314" t="e">
        <f t="shared" si="0"/>
        <v>#DIV/0!</v>
      </c>
      <c r="E29" s="369"/>
      <c r="F29" s="230" t="e">
        <f t="shared" si="1"/>
        <v>#DIV/0!</v>
      </c>
      <c r="G29" s="368"/>
      <c r="H29" s="230" t="e">
        <f t="shared" si="2"/>
        <v>#DIV/0!</v>
      </c>
      <c r="I29" s="233"/>
      <c r="J29" s="230" t="e">
        <f t="shared" si="3"/>
        <v>#DIV/0!</v>
      </c>
      <c r="K29" s="347"/>
      <c r="L29" s="348" t="e">
        <f t="shared" si="4"/>
        <v>#DIV/0!</v>
      </c>
      <c r="M29" s="871"/>
      <c r="N29" s="871"/>
      <c r="O29" s="231"/>
      <c r="P29" s="231"/>
      <c r="Q29" s="231"/>
      <c r="R29" s="231"/>
      <c r="S29" s="231"/>
    </row>
    <row r="30" spans="1:20" s="349" customFormat="1" ht="18.75">
      <c r="A30" s="234">
        <f t="shared" si="6"/>
        <v>46138</v>
      </c>
      <c r="B30" s="368"/>
      <c r="C30" s="369"/>
      <c r="D30" s="314" t="e">
        <f t="shared" si="0"/>
        <v>#DIV/0!</v>
      </c>
      <c r="E30" s="369"/>
      <c r="F30" s="230" t="e">
        <f t="shared" si="1"/>
        <v>#DIV/0!</v>
      </c>
      <c r="G30" s="368"/>
      <c r="H30" s="230" t="e">
        <f t="shared" si="2"/>
        <v>#DIV/0!</v>
      </c>
      <c r="I30" s="233"/>
      <c r="J30" s="230" t="e">
        <f t="shared" si="3"/>
        <v>#DIV/0!</v>
      </c>
      <c r="K30" s="347"/>
      <c r="L30" s="348" t="e">
        <f t="shared" si="4"/>
        <v>#DIV/0!</v>
      </c>
      <c r="M30" s="871"/>
      <c r="N30" s="871"/>
      <c r="O30" s="231"/>
      <c r="P30" s="231"/>
      <c r="Q30" s="231"/>
      <c r="R30" s="231"/>
      <c r="S30" s="231"/>
    </row>
    <row r="31" spans="1:20" s="349" customFormat="1" ht="18.75">
      <c r="A31" s="234">
        <f t="shared" si="6"/>
        <v>46139</v>
      </c>
      <c r="B31" s="368"/>
      <c r="C31" s="369"/>
      <c r="D31" s="314" t="e">
        <f t="shared" si="0"/>
        <v>#DIV/0!</v>
      </c>
      <c r="E31" s="369"/>
      <c r="F31" s="230" t="e">
        <f t="shared" si="1"/>
        <v>#DIV/0!</v>
      </c>
      <c r="G31" s="368"/>
      <c r="H31" s="230" t="e">
        <f t="shared" si="2"/>
        <v>#DIV/0!</v>
      </c>
      <c r="I31" s="233"/>
      <c r="J31" s="230" t="e">
        <f t="shared" si="3"/>
        <v>#DIV/0!</v>
      </c>
      <c r="K31" s="347"/>
      <c r="L31" s="348" t="e">
        <f t="shared" si="4"/>
        <v>#DIV/0!</v>
      </c>
      <c r="M31" s="871"/>
      <c r="N31" s="871"/>
      <c r="O31" s="231"/>
      <c r="P31" s="231"/>
      <c r="Q31" s="231"/>
      <c r="R31" s="231"/>
      <c r="S31" s="231"/>
    </row>
    <row r="32" spans="1:20" s="349" customFormat="1" ht="18.75">
      <c r="A32" s="234">
        <f t="shared" si="6"/>
        <v>46140</v>
      </c>
      <c r="B32" s="368"/>
      <c r="C32" s="369"/>
      <c r="D32" s="314" t="e">
        <f t="shared" si="0"/>
        <v>#DIV/0!</v>
      </c>
      <c r="E32" s="369"/>
      <c r="F32" s="230" t="e">
        <f t="shared" si="1"/>
        <v>#DIV/0!</v>
      </c>
      <c r="G32" s="368"/>
      <c r="H32" s="230" t="e">
        <f t="shared" si="2"/>
        <v>#DIV/0!</v>
      </c>
      <c r="I32" s="233"/>
      <c r="J32" s="230" t="e">
        <f t="shared" si="3"/>
        <v>#DIV/0!</v>
      </c>
      <c r="K32" s="347"/>
      <c r="L32" s="348" t="e">
        <f t="shared" si="4"/>
        <v>#DIV/0!</v>
      </c>
      <c r="M32" s="871">
        <f>SUM(C32:C38)</f>
        <v>0</v>
      </c>
      <c r="N32" s="871">
        <f>SUM(E32:E38)</f>
        <v>0</v>
      </c>
      <c r="O32" s="231"/>
      <c r="P32" s="231"/>
      <c r="Q32" s="231"/>
      <c r="R32" s="231"/>
      <c r="S32" s="231"/>
    </row>
    <row r="33" spans="1:19" s="349" customFormat="1" ht="18.75">
      <c r="A33" s="234">
        <f t="shared" si="6"/>
        <v>46141</v>
      </c>
      <c r="B33" s="368"/>
      <c r="C33" s="369"/>
      <c r="D33" s="314" t="e">
        <f t="shared" si="0"/>
        <v>#DIV/0!</v>
      </c>
      <c r="E33" s="369"/>
      <c r="F33" s="230" t="e">
        <f t="shared" si="1"/>
        <v>#DIV/0!</v>
      </c>
      <c r="G33" s="368"/>
      <c r="H33" s="230" t="e">
        <f t="shared" si="2"/>
        <v>#DIV/0!</v>
      </c>
      <c r="I33" s="233"/>
      <c r="J33" s="230" t="e">
        <f t="shared" si="3"/>
        <v>#DIV/0!</v>
      </c>
      <c r="K33" s="347"/>
      <c r="L33" s="348" t="e">
        <f t="shared" si="4"/>
        <v>#DIV/0!</v>
      </c>
      <c r="M33" s="871"/>
      <c r="N33" s="871"/>
      <c r="O33" s="231"/>
      <c r="P33" s="231"/>
      <c r="Q33" s="231"/>
      <c r="R33" s="231"/>
      <c r="S33" s="231"/>
    </row>
    <row r="34" spans="1:19" s="349" customFormat="1" ht="18.75">
      <c r="A34" s="234">
        <f t="shared" si="6"/>
        <v>46142</v>
      </c>
      <c r="B34" s="368"/>
      <c r="C34" s="369"/>
      <c r="D34" s="314" t="e">
        <f t="shared" si="0"/>
        <v>#DIV/0!</v>
      </c>
      <c r="E34" s="369"/>
      <c r="F34" s="230" t="e">
        <f t="shared" si="1"/>
        <v>#DIV/0!</v>
      </c>
      <c r="G34" s="368"/>
      <c r="H34" s="230" t="e">
        <f t="shared" si="2"/>
        <v>#DIV/0!</v>
      </c>
      <c r="I34" s="233"/>
      <c r="J34" s="230" t="e">
        <f t="shared" si="3"/>
        <v>#DIV/0!</v>
      </c>
      <c r="K34" s="347"/>
      <c r="L34" s="348" t="e">
        <f t="shared" si="4"/>
        <v>#DIV/0!</v>
      </c>
      <c r="M34" s="871"/>
      <c r="N34" s="871"/>
      <c r="O34" s="231"/>
      <c r="P34" s="231"/>
      <c r="Q34" s="231"/>
      <c r="R34" s="231"/>
      <c r="S34" s="231"/>
    </row>
    <row r="35" spans="1:19" s="349" customFormat="1" ht="18.75">
      <c r="A35" s="234">
        <f t="shared" si="6"/>
        <v>46143</v>
      </c>
      <c r="B35" s="368"/>
      <c r="C35" s="369"/>
      <c r="D35" s="314" t="e">
        <f t="shared" si="0"/>
        <v>#DIV/0!</v>
      </c>
      <c r="E35" s="369"/>
      <c r="F35" s="230" t="e">
        <f t="shared" si="1"/>
        <v>#DIV/0!</v>
      </c>
      <c r="G35" s="368"/>
      <c r="H35" s="230" t="e">
        <f t="shared" si="2"/>
        <v>#DIV/0!</v>
      </c>
      <c r="I35" s="233"/>
      <c r="J35" s="230" t="e">
        <f t="shared" si="3"/>
        <v>#DIV/0!</v>
      </c>
      <c r="K35" s="347"/>
      <c r="L35" s="348" t="e">
        <f t="shared" si="4"/>
        <v>#DIV/0!</v>
      </c>
      <c r="M35" s="871"/>
      <c r="N35" s="871"/>
      <c r="O35" s="231"/>
      <c r="P35" s="231"/>
      <c r="Q35" s="231"/>
      <c r="R35" s="231"/>
      <c r="S35" s="231"/>
    </row>
    <row r="36" spans="1:19" s="349" customFormat="1" ht="18.75">
      <c r="A36" s="234">
        <f t="shared" si="6"/>
        <v>46144</v>
      </c>
      <c r="B36" s="368"/>
      <c r="C36" s="369"/>
      <c r="D36" s="314" t="e">
        <f t="shared" si="0"/>
        <v>#DIV/0!</v>
      </c>
      <c r="E36" s="369"/>
      <c r="F36" s="230" t="e">
        <f t="shared" si="1"/>
        <v>#DIV/0!</v>
      </c>
      <c r="G36" s="368"/>
      <c r="H36" s="230" t="e">
        <f t="shared" si="2"/>
        <v>#DIV/0!</v>
      </c>
      <c r="I36" s="233"/>
      <c r="J36" s="230" t="e">
        <f t="shared" si="3"/>
        <v>#DIV/0!</v>
      </c>
      <c r="K36" s="347"/>
      <c r="L36" s="348" t="e">
        <f t="shared" si="4"/>
        <v>#DIV/0!</v>
      </c>
      <c r="M36" s="871"/>
      <c r="N36" s="871"/>
      <c r="O36" s="231"/>
      <c r="P36" s="231"/>
      <c r="Q36" s="231"/>
      <c r="R36" s="231"/>
      <c r="S36" s="231"/>
    </row>
    <row r="37" spans="1:19" s="349" customFormat="1" ht="18.75">
      <c r="A37" s="234">
        <f t="shared" si="6"/>
        <v>46145</v>
      </c>
      <c r="B37" s="368"/>
      <c r="C37" s="369"/>
      <c r="D37" s="314" t="e">
        <f t="shared" si="0"/>
        <v>#DIV/0!</v>
      </c>
      <c r="E37" s="369"/>
      <c r="F37" s="230" t="e">
        <f t="shared" si="1"/>
        <v>#DIV/0!</v>
      </c>
      <c r="G37" s="368"/>
      <c r="H37" s="230" t="e">
        <f t="shared" si="2"/>
        <v>#DIV/0!</v>
      </c>
      <c r="I37" s="233"/>
      <c r="J37" s="230" t="e">
        <f t="shared" si="3"/>
        <v>#DIV/0!</v>
      </c>
      <c r="K37" s="347"/>
      <c r="L37" s="348" t="e">
        <f t="shared" si="4"/>
        <v>#DIV/0!</v>
      </c>
      <c r="M37" s="871"/>
      <c r="N37" s="871"/>
      <c r="O37" s="231"/>
      <c r="P37" s="231"/>
      <c r="Q37" s="231"/>
      <c r="R37" s="231"/>
      <c r="S37" s="231"/>
    </row>
    <row r="38" spans="1:19" s="349" customFormat="1" ht="18.75">
      <c r="A38" s="234">
        <f t="shared" si="6"/>
        <v>46146</v>
      </c>
      <c r="B38" s="368"/>
      <c r="C38" s="369"/>
      <c r="D38" s="314" t="e">
        <f t="shared" si="0"/>
        <v>#DIV/0!</v>
      </c>
      <c r="E38" s="369"/>
      <c r="F38" s="230" t="e">
        <f t="shared" si="1"/>
        <v>#DIV/0!</v>
      </c>
      <c r="G38" s="368"/>
      <c r="H38" s="230" t="e">
        <f t="shared" si="2"/>
        <v>#DIV/0!</v>
      </c>
      <c r="I38" s="233"/>
      <c r="J38" s="230" t="e">
        <f t="shared" si="3"/>
        <v>#DIV/0!</v>
      </c>
      <c r="K38" s="347"/>
      <c r="L38" s="348" t="e">
        <f t="shared" si="4"/>
        <v>#DIV/0!</v>
      </c>
      <c r="M38" s="871"/>
      <c r="N38" s="871"/>
      <c r="O38" s="231"/>
      <c r="P38" s="231"/>
      <c r="Q38" s="231"/>
      <c r="R38" s="231"/>
      <c r="S38" s="231"/>
    </row>
    <row r="39" spans="1:19" s="349" customFormat="1" ht="18.75">
      <c r="A39" s="234">
        <f t="shared" si="6"/>
        <v>46147</v>
      </c>
      <c r="B39" s="368"/>
      <c r="C39" s="369"/>
      <c r="D39" s="314" t="e">
        <f t="shared" si="0"/>
        <v>#DIV/0!</v>
      </c>
      <c r="E39" s="369"/>
      <c r="F39" s="230" t="e">
        <f t="shared" si="1"/>
        <v>#DIV/0!</v>
      </c>
      <c r="G39" s="368"/>
      <c r="H39" s="230" t="e">
        <f t="shared" si="2"/>
        <v>#DIV/0!</v>
      </c>
      <c r="I39" s="233"/>
      <c r="J39" s="230" t="e">
        <f t="shared" si="3"/>
        <v>#DIV/0!</v>
      </c>
      <c r="K39" s="347"/>
      <c r="L39" s="348" t="e">
        <f t="shared" si="4"/>
        <v>#DIV/0!</v>
      </c>
      <c r="M39" s="871">
        <f>SUM(C39:C45)</f>
        <v>0</v>
      </c>
      <c r="N39" s="871">
        <f>SUM(E39:E45)</f>
        <v>0</v>
      </c>
      <c r="O39" s="231"/>
      <c r="P39" s="231"/>
      <c r="Q39" s="231"/>
      <c r="R39" s="231"/>
      <c r="S39" s="231"/>
    </row>
    <row r="40" spans="1:19" s="349" customFormat="1" ht="18.75">
      <c r="A40" s="234">
        <f t="shared" si="6"/>
        <v>46148</v>
      </c>
      <c r="B40" s="368"/>
      <c r="C40" s="369"/>
      <c r="D40" s="314" t="e">
        <f t="shared" si="0"/>
        <v>#DIV/0!</v>
      </c>
      <c r="E40" s="369"/>
      <c r="F40" s="230" t="e">
        <f t="shared" si="1"/>
        <v>#DIV/0!</v>
      </c>
      <c r="G40" s="368"/>
      <c r="H40" s="230" t="e">
        <f t="shared" si="2"/>
        <v>#DIV/0!</v>
      </c>
      <c r="I40" s="233"/>
      <c r="J40" s="230" t="e">
        <f t="shared" si="3"/>
        <v>#DIV/0!</v>
      </c>
      <c r="K40" s="347"/>
      <c r="L40" s="348" t="e">
        <f t="shared" si="4"/>
        <v>#DIV/0!</v>
      </c>
      <c r="M40" s="871"/>
      <c r="N40" s="871"/>
      <c r="O40" s="231"/>
      <c r="P40" s="231"/>
      <c r="Q40" s="231"/>
      <c r="R40" s="231"/>
      <c r="S40" s="231"/>
    </row>
    <row r="41" spans="1:19" s="349" customFormat="1" ht="18.75">
      <c r="A41" s="234">
        <f t="shared" si="6"/>
        <v>46149</v>
      </c>
      <c r="B41" s="368"/>
      <c r="C41" s="369"/>
      <c r="D41" s="314" t="e">
        <f t="shared" si="0"/>
        <v>#DIV/0!</v>
      </c>
      <c r="E41" s="369"/>
      <c r="F41" s="230" t="e">
        <f t="shared" si="1"/>
        <v>#DIV/0!</v>
      </c>
      <c r="G41" s="368"/>
      <c r="H41" s="230" t="e">
        <f t="shared" si="2"/>
        <v>#DIV/0!</v>
      </c>
      <c r="I41" s="233"/>
      <c r="J41" s="230" t="e">
        <f t="shared" si="3"/>
        <v>#DIV/0!</v>
      </c>
      <c r="K41" s="347"/>
      <c r="L41" s="348" t="e">
        <f t="shared" si="4"/>
        <v>#DIV/0!</v>
      </c>
      <c r="M41" s="871"/>
      <c r="N41" s="871"/>
      <c r="O41" s="231"/>
      <c r="P41" s="231"/>
      <c r="Q41" s="231"/>
      <c r="R41" s="231"/>
      <c r="S41" s="231"/>
    </row>
    <row r="42" spans="1:19" s="349" customFormat="1" ht="18.75">
      <c r="A42" s="234">
        <f t="shared" si="6"/>
        <v>46150</v>
      </c>
      <c r="B42" s="368"/>
      <c r="C42" s="369"/>
      <c r="D42" s="314" t="e">
        <f t="shared" si="0"/>
        <v>#DIV/0!</v>
      </c>
      <c r="E42" s="369"/>
      <c r="F42" s="230" t="e">
        <f t="shared" si="1"/>
        <v>#DIV/0!</v>
      </c>
      <c r="G42" s="368"/>
      <c r="H42" s="230" t="e">
        <f t="shared" si="2"/>
        <v>#DIV/0!</v>
      </c>
      <c r="I42" s="233"/>
      <c r="J42" s="230" t="e">
        <f t="shared" si="3"/>
        <v>#DIV/0!</v>
      </c>
      <c r="K42" s="347"/>
      <c r="L42" s="348" t="e">
        <f t="shared" si="4"/>
        <v>#DIV/0!</v>
      </c>
      <c r="M42" s="871"/>
      <c r="N42" s="871"/>
      <c r="O42" s="231"/>
      <c r="P42" s="231"/>
      <c r="Q42" s="231"/>
      <c r="R42" s="231"/>
      <c r="S42" s="231"/>
    </row>
    <row r="43" spans="1:19" s="349" customFormat="1" ht="18.75">
      <c r="A43" s="234">
        <f t="shared" si="6"/>
        <v>46151</v>
      </c>
      <c r="B43" s="368"/>
      <c r="C43" s="369"/>
      <c r="D43" s="314" t="e">
        <f t="shared" si="0"/>
        <v>#DIV/0!</v>
      </c>
      <c r="E43" s="369"/>
      <c r="F43" s="230" t="e">
        <f t="shared" si="1"/>
        <v>#DIV/0!</v>
      </c>
      <c r="G43" s="368"/>
      <c r="H43" s="230" t="e">
        <f t="shared" si="2"/>
        <v>#DIV/0!</v>
      </c>
      <c r="I43" s="233"/>
      <c r="J43" s="230" t="e">
        <f t="shared" si="3"/>
        <v>#DIV/0!</v>
      </c>
      <c r="K43" s="347"/>
      <c r="L43" s="348" t="e">
        <f t="shared" si="4"/>
        <v>#DIV/0!</v>
      </c>
      <c r="M43" s="871"/>
      <c r="N43" s="871"/>
      <c r="O43" s="231"/>
      <c r="P43" s="231"/>
      <c r="Q43" s="231"/>
      <c r="R43" s="231"/>
      <c r="S43" s="231"/>
    </row>
    <row r="44" spans="1:19" s="349" customFormat="1" ht="18.75">
      <c r="A44" s="234">
        <f t="shared" si="6"/>
        <v>46152</v>
      </c>
      <c r="B44" s="368"/>
      <c r="C44" s="369"/>
      <c r="D44" s="314" t="e">
        <f t="shared" si="0"/>
        <v>#DIV/0!</v>
      </c>
      <c r="E44" s="369"/>
      <c r="F44" s="230" t="e">
        <f t="shared" si="1"/>
        <v>#DIV/0!</v>
      </c>
      <c r="G44" s="368"/>
      <c r="H44" s="230" t="e">
        <f t="shared" si="2"/>
        <v>#DIV/0!</v>
      </c>
      <c r="I44" s="233"/>
      <c r="J44" s="230" t="e">
        <f t="shared" si="3"/>
        <v>#DIV/0!</v>
      </c>
      <c r="K44" s="347"/>
      <c r="L44" s="348" t="e">
        <f t="shared" si="4"/>
        <v>#DIV/0!</v>
      </c>
      <c r="M44" s="871"/>
      <c r="N44" s="871"/>
      <c r="O44" s="231"/>
      <c r="P44" s="231"/>
      <c r="Q44" s="231"/>
      <c r="R44" s="231"/>
      <c r="S44" s="231"/>
    </row>
    <row r="45" spans="1:19" s="349" customFormat="1" ht="18.75">
      <c r="A45" s="234">
        <f t="shared" si="6"/>
        <v>46153</v>
      </c>
      <c r="B45" s="368"/>
      <c r="C45" s="369"/>
      <c r="D45" s="314" t="e">
        <f t="shared" si="0"/>
        <v>#DIV/0!</v>
      </c>
      <c r="E45" s="369"/>
      <c r="F45" s="230" t="e">
        <f t="shared" si="1"/>
        <v>#DIV/0!</v>
      </c>
      <c r="G45" s="368"/>
      <c r="H45" s="230" t="e">
        <f t="shared" si="2"/>
        <v>#DIV/0!</v>
      </c>
      <c r="I45" s="233"/>
      <c r="J45" s="230" t="e">
        <f t="shared" si="3"/>
        <v>#DIV/0!</v>
      </c>
      <c r="K45" s="347"/>
      <c r="L45" s="348" t="e">
        <f t="shared" si="4"/>
        <v>#DIV/0!</v>
      </c>
      <c r="M45" s="871"/>
      <c r="N45" s="871"/>
      <c r="O45" s="231"/>
      <c r="P45" s="231"/>
      <c r="Q45" s="231"/>
      <c r="R45" s="231"/>
      <c r="S45" s="231"/>
    </row>
    <row r="47" spans="1:19" ht="18.75">
      <c r="A47" s="234" t="s">
        <v>469</v>
      </c>
      <c r="B47" s="371">
        <f>SUM(B9:B39)</f>
        <v>87262784.969999984</v>
      </c>
      <c r="C47" s="371">
        <f>SUM(C9:C39)</f>
        <v>175855.17319999999</v>
      </c>
      <c r="D47" s="372">
        <f>C47/B47</f>
        <v>2.0152367731611719E-3</v>
      </c>
      <c r="E47" s="371">
        <f>SUM(E9:E39)</f>
        <v>378482.86910000013</v>
      </c>
      <c r="F47" s="373">
        <f>E47/B47</f>
        <v>4.337276987321898E-3</v>
      </c>
      <c r="G47" s="371">
        <f>SUM(G9:G39)</f>
        <v>39241.659200000002</v>
      </c>
      <c r="H47" s="374">
        <f>G47/C47</f>
        <v>0.22314759631990175</v>
      </c>
      <c r="I47" s="371">
        <f>SUM(I9:I39)</f>
        <v>196977.50330000001</v>
      </c>
      <c r="J47" s="374">
        <f>I47/E47</f>
        <v>0.52043968005314389</v>
      </c>
      <c r="K47" s="371">
        <f>SUM(K9:K39)</f>
        <v>23539.560599999997</v>
      </c>
      <c r="L47" s="375">
        <f>K47/C47</f>
        <v>0.13385765213303374</v>
      </c>
    </row>
  </sheetData>
  <mergeCells count="24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4:M10"/>
    <mergeCell ref="N4:N10"/>
    <mergeCell ref="M11:M17"/>
    <mergeCell ref="N11:N17"/>
    <mergeCell ref="M18:M24"/>
    <mergeCell ref="N18:N24"/>
    <mergeCell ref="M32:M38"/>
    <mergeCell ref="N32:N38"/>
    <mergeCell ref="M25:M31"/>
    <mergeCell ref="N25:N31"/>
    <mergeCell ref="M39:M45"/>
    <mergeCell ref="N39:N45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H200"/>
  <sheetViews>
    <sheetView zoomScale="70" zoomScaleNormal="70" workbookViewId="0">
      <pane xSplit="3" ySplit="2" topLeftCell="R57" activePane="bottomRight" state="frozen"/>
      <selection pane="topRight" activeCell="D1" sqref="D1"/>
      <selection pane="bottomLeft" activeCell="A4" sqref="A4"/>
      <selection pane="bottomRight" activeCell="Y71" sqref="Y71:Y74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0.85546875" style="146" bestFit="1" customWidth="1"/>
    <col min="13" max="13" width="19.140625" style="146" bestFit="1" customWidth="1"/>
    <col min="14" max="14" width="15.28515625" style="146" bestFit="1" customWidth="1"/>
    <col min="15" max="15" width="12.5703125" style="146" bestFit="1" customWidth="1"/>
    <col min="16" max="16" width="12.85546875" style="146" bestFit="1" customWidth="1"/>
    <col min="17" max="17" width="13.42578125" style="146" bestFit="1" customWidth="1"/>
    <col min="18" max="18" width="12.85546875" style="146" bestFit="1" customWidth="1"/>
    <col min="19" max="19" width="10.8554687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17.710937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477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7.100000000000001" customHeight="1">
      <c r="B3" s="896" t="s">
        <v>478</v>
      </c>
      <c r="C3" s="897"/>
      <c r="D3" s="893" t="s">
        <v>170</v>
      </c>
      <c r="E3" s="893"/>
      <c r="F3" s="893"/>
      <c r="G3" s="893" t="s">
        <v>184</v>
      </c>
      <c r="H3" s="893"/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 t="s">
        <v>171</v>
      </c>
      <c r="U3" s="883" t="s">
        <v>245</v>
      </c>
      <c r="V3" s="902" t="s">
        <v>479</v>
      </c>
      <c r="W3" s="902" t="s">
        <v>480</v>
      </c>
      <c r="X3" s="905" t="s">
        <v>246</v>
      </c>
      <c r="Y3" s="894" t="s">
        <v>172</v>
      </c>
      <c r="AA3" s="883" t="s">
        <v>247</v>
      </c>
      <c r="AB3" s="884"/>
      <c r="AC3" s="884"/>
      <c r="AD3" s="884"/>
      <c r="AE3" s="884"/>
      <c r="AF3" s="884"/>
      <c r="AG3" s="884"/>
      <c r="AH3" s="885"/>
    </row>
    <row r="4" spans="2:34" ht="17.100000000000001" customHeight="1">
      <c r="B4" s="898"/>
      <c r="C4" s="899"/>
      <c r="D4" s="892" t="s">
        <v>169</v>
      </c>
      <c r="E4" s="893" t="s">
        <v>173</v>
      </c>
      <c r="F4" s="893"/>
      <c r="G4" s="893" t="s">
        <v>185</v>
      </c>
      <c r="H4" s="893"/>
      <c r="I4" s="893"/>
      <c r="J4" s="893"/>
      <c r="K4" s="893"/>
      <c r="L4" s="893"/>
      <c r="M4" s="893"/>
      <c r="N4" s="893"/>
      <c r="O4" s="893" t="s">
        <v>174</v>
      </c>
      <c r="P4" s="893"/>
      <c r="Q4" s="893"/>
      <c r="R4" s="893"/>
      <c r="S4" s="893"/>
      <c r="T4" s="893"/>
      <c r="U4" s="886"/>
      <c r="V4" s="903"/>
      <c r="W4" s="903"/>
      <c r="X4" s="906"/>
      <c r="Y4" s="894"/>
      <c r="AA4" s="886"/>
      <c r="AB4" s="887"/>
      <c r="AC4" s="887"/>
      <c r="AD4" s="887"/>
      <c r="AE4" s="887"/>
      <c r="AF4" s="887"/>
      <c r="AG4" s="887"/>
      <c r="AH4" s="888"/>
    </row>
    <row r="5" spans="2:34" ht="17.100000000000001" customHeight="1">
      <c r="B5" s="898"/>
      <c r="C5" s="899"/>
      <c r="D5" s="892"/>
      <c r="E5" s="892" t="s">
        <v>175</v>
      </c>
      <c r="F5" s="894" t="s">
        <v>248</v>
      </c>
      <c r="G5" s="895" t="s">
        <v>186</v>
      </c>
      <c r="H5" s="895"/>
      <c r="I5" s="895"/>
      <c r="J5" s="895"/>
      <c r="K5" s="895"/>
      <c r="L5" s="895"/>
      <c r="M5" s="895"/>
      <c r="N5" s="895"/>
      <c r="O5" s="895" t="s">
        <v>168</v>
      </c>
      <c r="P5" s="895"/>
      <c r="Q5" s="895" t="s">
        <v>176</v>
      </c>
      <c r="R5" s="895"/>
      <c r="S5" s="895"/>
      <c r="T5" s="893"/>
      <c r="U5" s="886"/>
      <c r="V5" s="903"/>
      <c r="W5" s="903"/>
      <c r="X5" s="906"/>
      <c r="Y5" s="894"/>
      <c r="AA5" s="889"/>
      <c r="AB5" s="890"/>
      <c r="AC5" s="890"/>
      <c r="AD5" s="890"/>
      <c r="AE5" s="890"/>
      <c r="AF5" s="890"/>
      <c r="AG5" s="890"/>
      <c r="AH5" s="891"/>
    </row>
    <row r="6" spans="2:34" ht="38.450000000000003" customHeight="1">
      <c r="B6" s="900"/>
      <c r="C6" s="901"/>
      <c r="D6" s="892"/>
      <c r="E6" s="892"/>
      <c r="F6" s="894"/>
      <c r="G6" s="388" t="s">
        <v>177</v>
      </c>
      <c r="H6" s="388" t="s">
        <v>252</v>
      </c>
      <c r="I6" s="388" t="s">
        <v>253</v>
      </c>
      <c r="J6" s="388" t="s">
        <v>178</v>
      </c>
      <c r="K6" s="388" t="s">
        <v>250</v>
      </c>
      <c r="L6" s="388" t="s">
        <v>179</v>
      </c>
      <c r="M6" s="388" t="s">
        <v>187</v>
      </c>
      <c r="N6" s="388" t="s">
        <v>180</v>
      </c>
      <c r="O6" s="389" t="s">
        <v>181</v>
      </c>
      <c r="P6" s="389" t="s">
        <v>182</v>
      </c>
      <c r="Q6" s="389" t="s">
        <v>181</v>
      </c>
      <c r="R6" s="389" t="s">
        <v>182</v>
      </c>
      <c r="S6" s="388" t="s">
        <v>183</v>
      </c>
      <c r="T6" s="893"/>
      <c r="U6" s="889"/>
      <c r="V6" s="904"/>
      <c r="W6" s="904"/>
      <c r="X6" s="907"/>
      <c r="Y6" s="894"/>
      <c r="AA6" s="161" t="s">
        <v>244</v>
      </c>
      <c r="AB6" s="161" t="s">
        <v>481</v>
      </c>
      <c r="AC6" s="156" t="s">
        <v>395</v>
      </c>
      <c r="AD6" s="156" t="s">
        <v>339</v>
      </c>
      <c r="AE6" s="156" t="s">
        <v>460</v>
      </c>
      <c r="AF6" s="156" t="s">
        <v>215</v>
      </c>
      <c r="AG6" s="156" t="s">
        <v>216</v>
      </c>
      <c r="AH6" s="156" t="s">
        <v>396</v>
      </c>
    </row>
    <row r="7" spans="2:34" s="148" customFormat="1" ht="27" customHeight="1">
      <c r="B7" s="877" t="s">
        <v>538</v>
      </c>
      <c r="C7" s="878"/>
      <c r="D7" s="387">
        <v>1</v>
      </c>
      <c r="E7" s="390" t="s">
        <v>335</v>
      </c>
      <c r="F7" s="391">
        <v>1467.75</v>
      </c>
      <c r="G7" s="392">
        <v>18693</v>
      </c>
      <c r="H7" s="392">
        <v>18408</v>
      </c>
      <c r="I7" s="393">
        <f>H7/G7</f>
        <v>0.98475365109934199</v>
      </c>
      <c r="J7" s="392">
        <v>380</v>
      </c>
      <c r="K7" s="393">
        <f>J7/G7</f>
        <v>2.0328465200877333E-2</v>
      </c>
      <c r="L7" s="392">
        <v>15.450000000000001</v>
      </c>
      <c r="M7" s="393">
        <f>(H7+J7)/G7</f>
        <v>1.0050821163002193</v>
      </c>
      <c r="N7" s="394">
        <v>1467.75</v>
      </c>
      <c r="O7" s="392">
        <v>95</v>
      </c>
      <c r="P7" s="393">
        <f>O7/G7</f>
        <v>5.0821163002193331E-3</v>
      </c>
      <c r="Q7" s="395">
        <f>((H7+J7)-G7)-O7</f>
        <v>0</v>
      </c>
      <c r="R7" s="393">
        <f>Q7/G7</f>
        <v>0</v>
      </c>
      <c r="S7" s="396">
        <f>Q7*L7</f>
        <v>0</v>
      </c>
      <c r="T7" s="397" t="s">
        <v>430</v>
      </c>
      <c r="U7" s="397" t="s">
        <v>515</v>
      </c>
      <c r="V7" s="398" t="s">
        <v>523</v>
      </c>
      <c r="W7" s="398" t="s">
        <v>518</v>
      </c>
      <c r="X7" s="398">
        <v>1</v>
      </c>
      <c r="Y7" s="399" t="s">
        <v>341</v>
      </c>
      <c r="Z7" s="400" t="s">
        <v>482</v>
      </c>
      <c r="AA7" s="410">
        <f>SUM(X7:X26)</f>
        <v>20</v>
      </c>
      <c r="AB7" s="402">
        <f>SUMIF($U$7:$U$26,TRIM(AB6),$X$7:$X$26)</f>
        <v>16</v>
      </c>
      <c r="AC7" s="402">
        <f t="shared" ref="AC7:AG7" si="0">SUMIF($U$7:$U$26,TRIM(AC6),$X$7:$X$26)</f>
        <v>0</v>
      </c>
      <c r="AD7" s="402">
        <f t="shared" si="0"/>
        <v>3</v>
      </c>
      <c r="AE7" s="402">
        <f t="shared" si="0"/>
        <v>0</v>
      </c>
      <c r="AF7" s="402">
        <f t="shared" si="0"/>
        <v>0</v>
      </c>
      <c r="AG7" s="402">
        <f t="shared" si="0"/>
        <v>1</v>
      </c>
      <c r="AH7" s="402">
        <f>SUMIF($U$7:$U$26,TRIM(AH6),$X$7:$X$26)</f>
        <v>0</v>
      </c>
    </row>
    <row r="8" spans="2:34" s="148" customFormat="1" ht="27" customHeight="1">
      <c r="B8" s="879"/>
      <c r="C8" s="880"/>
      <c r="D8" s="387">
        <v>2</v>
      </c>
      <c r="E8" s="390" t="s">
        <v>484</v>
      </c>
      <c r="F8" s="391">
        <v>1416.1</v>
      </c>
      <c r="G8" s="392">
        <v>133012</v>
      </c>
      <c r="H8" s="392">
        <v>133650</v>
      </c>
      <c r="I8" s="393">
        <f t="shared" ref="I8:I9" si="1">H8/G8</f>
        <v>1.0047965597088984</v>
      </c>
      <c r="J8" s="392">
        <v>690</v>
      </c>
      <c r="K8" s="393">
        <f t="shared" ref="K8:K13" si="2">J8/G8</f>
        <v>5.1875018795296667E-3</v>
      </c>
      <c r="L8" s="392">
        <v>2.4499999999999997</v>
      </c>
      <c r="M8" s="393">
        <f t="shared" ref="M8:M13" si="3">(H8+J8)/G8</f>
        <v>1.0099840615884281</v>
      </c>
      <c r="N8" s="394">
        <v>3253.6000000000008</v>
      </c>
      <c r="O8" s="392">
        <v>578</v>
      </c>
      <c r="P8" s="393">
        <f t="shared" ref="P8:P26" si="4">O8/G8</f>
        <v>4.3454725889393439E-3</v>
      </c>
      <c r="Q8" s="395">
        <f t="shared" ref="Q8:Q26" si="5">((H8+J8)-G8)-O8</f>
        <v>750</v>
      </c>
      <c r="R8" s="393">
        <f t="shared" ref="R8:R26" si="6">Q8/G8</f>
        <v>5.6385889994887677E-3</v>
      </c>
      <c r="S8" s="396">
        <f t="shared" ref="S8:S26" si="7">Q8*L8</f>
        <v>1837.4999999999998</v>
      </c>
      <c r="T8" s="397" t="s">
        <v>430</v>
      </c>
      <c r="U8" s="397" t="s">
        <v>339</v>
      </c>
      <c r="V8" s="398" t="s">
        <v>524</v>
      </c>
      <c r="W8" s="398" t="s">
        <v>525</v>
      </c>
      <c r="X8" s="398">
        <v>1</v>
      </c>
      <c r="Y8" s="399" t="s">
        <v>342</v>
      </c>
      <c r="AA8" s="411"/>
      <c r="AB8" s="408">
        <f>SUMIF($U7:$U$26,TRIM(AB6),$F$7:$F$26)</f>
        <v>17420.757000000005</v>
      </c>
      <c r="AC8" s="408">
        <f>SUMIF($U7:$U$26,TRIM(AC6),$F$7:$F$26)</f>
        <v>0</v>
      </c>
      <c r="AD8" s="408">
        <f>SUMIF($U7:$U$26,TRIM(AD6),$F$7:$F$26)</f>
        <v>3765.37</v>
      </c>
      <c r="AE8" s="408">
        <f>SUMIF($U7:$U$26,TRIM(AE6),$F$7:$F$26)</f>
        <v>0</v>
      </c>
      <c r="AF8" s="408">
        <f>SUMIF($U7:$U$26,TRIM(AF6),$F$7:$F$26)</f>
        <v>0</v>
      </c>
      <c r="AG8" s="408">
        <f>SUMIF($U7:$U$26,TRIM(AG6),$F$7:$F$26)</f>
        <v>1467.75</v>
      </c>
      <c r="AH8" s="408">
        <f>SUMIF($U7:$U$26,TRIM(AH6),$F$7:$F$26)</f>
        <v>0</v>
      </c>
    </row>
    <row r="9" spans="2:34" s="148" customFormat="1" ht="27" customHeight="1">
      <c r="B9" s="879"/>
      <c r="C9" s="880"/>
      <c r="D9" s="387">
        <v>3</v>
      </c>
      <c r="E9" s="390" t="s">
        <v>483</v>
      </c>
      <c r="F9" s="391">
        <v>1334.9699999999998</v>
      </c>
      <c r="G9" s="392">
        <v>329361</v>
      </c>
      <c r="H9" s="392">
        <v>331194</v>
      </c>
      <c r="I9" s="393">
        <f t="shared" si="1"/>
        <v>1.0055653219415779</v>
      </c>
      <c r="J9" s="392">
        <v>1110</v>
      </c>
      <c r="K9" s="393">
        <f t="shared" si="2"/>
        <v>3.3701622232140418E-3</v>
      </c>
      <c r="L9" s="392">
        <v>1.17</v>
      </c>
      <c r="M9" s="393">
        <f t="shared" si="3"/>
        <v>1.0089354841647917</v>
      </c>
      <c r="N9" s="394">
        <v>3443.3099999999995</v>
      </c>
      <c r="O9" s="392">
        <v>1141</v>
      </c>
      <c r="P9" s="393">
        <f t="shared" si="4"/>
        <v>3.4642838708893887E-3</v>
      </c>
      <c r="Q9" s="395">
        <f t="shared" si="5"/>
        <v>1802</v>
      </c>
      <c r="R9" s="393">
        <f t="shared" si="6"/>
        <v>5.4712002939024352E-3</v>
      </c>
      <c r="S9" s="396">
        <f t="shared" si="7"/>
        <v>2108.3399999999997</v>
      </c>
      <c r="T9" s="397" t="s">
        <v>430</v>
      </c>
      <c r="U9" s="397" t="s">
        <v>339</v>
      </c>
      <c r="V9" s="398" t="s">
        <v>526</v>
      </c>
      <c r="W9" s="398" t="s">
        <v>560</v>
      </c>
      <c r="X9" s="398">
        <v>1</v>
      </c>
      <c r="Y9" s="399" t="s">
        <v>342</v>
      </c>
      <c r="AA9" s="387"/>
      <c r="AB9" s="409">
        <f>AB7/$AA7</f>
        <v>0.8</v>
      </c>
      <c r="AC9" s="409">
        <f t="shared" ref="AC9:AH9" si="8">AC7/$AA7</f>
        <v>0</v>
      </c>
      <c r="AD9" s="409">
        <f t="shared" si="8"/>
        <v>0.15</v>
      </c>
      <c r="AE9" s="409">
        <f t="shared" si="8"/>
        <v>0</v>
      </c>
      <c r="AF9" s="409">
        <f t="shared" si="8"/>
        <v>0</v>
      </c>
      <c r="AG9" s="409">
        <f t="shared" si="8"/>
        <v>0.05</v>
      </c>
      <c r="AH9" s="409">
        <f t="shared" si="8"/>
        <v>0</v>
      </c>
    </row>
    <row r="10" spans="2:34" s="148" customFormat="1" ht="27" customHeight="1">
      <c r="B10" s="879"/>
      <c r="C10" s="880"/>
      <c r="D10" s="387">
        <v>4</v>
      </c>
      <c r="E10" s="390" t="s">
        <v>336</v>
      </c>
      <c r="F10" s="391">
        <v>1266.5297999999998</v>
      </c>
      <c r="G10" s="392">
        <v>556.61999999999989</v>
      </c>
      <c r="H10" s="392">
        <v>559.29</v>
      </c>
      <c r="I10" s="393">
        <f>H10/G10</f>
        <v>1.0047968093133557</v>
      </c>
      <c r="J10" s="392">
        <v>7.26</v>
      </c>
      <c r="K10" s="393">
        <f t="shared" si="2"/>
        <v>1.3043009593618629E-2</v>
      </c>
      <c r="L10" s="392">
        <v>141.66999999999999</v>
      </c>
      <c r="M10" s="393">
        <f t="shared" si="3"/>
        <v>1.0178398189069744</v>
      </c>
      <c r="N10" s="394">
        <v>1406.7831000000008</v>
      </c>
      <c r="O10" s="392">
        <v>8.94</v>
      </c>
      <c r="P10" s="393">
        <f t="shared" si="4"/>
        <v>1.606122668966261E-2</v>
      </c>
      <c r="Q10" s="395">
        <f t="shared" si="5"/>
        <v>0.99000000000006416</v>
      </c>
      <c r="R10" s="393">
        <f t="shared" si="6"/>
        <v>1.7785922173117466E-3</v>
      </c>
      <c r="S10" s="396">
        <f t="shared" si="7"/>
        <v>140.25330000000909</v>
      </c>
      <c r="T10" s="397" t="s">
        <v>430</v>
      </c>
      <c r="U10" s="397" t="s">
        <v>481</v>
      </c>
      <c r="V10" s="398" t="s">
        <v>497</v>
      </c>
      <c r="W10" s="398" t="s">
        <v>659</v>
      </c>
      <c r="X10" s="398">
        <v>1</v>
      </c>
      <c r="Y10" s="399" t="s">
        <v>344</v>
      </c>
    </row>
    <row r="11" spans="2:34" s="148" customFormat="1" ht="27" customHeight="1">
      <c r="B11" s="879"/>
      <c r="C11" s="880"/>
      <c r="D11" s="387">
        <v>5</v>
      </c>
      <c r="E11" s="390" t="s">
        <v>643</v>
      </c>
      <c r="F11" s="391">
        <v>1264.3548000000001</v>
      </c>
      <c r="G11" s="392">
        <v>1549.1</v>
      </c>
      <c r="H11" s="392">
        <v>1533.4199999999998</v>
      </c>
      <c r="I11" s="393">
        <f t="shared" ref="I11:I26" si="9">H11/G11</f>
        <v>0.98987799367374596</v>
      </c>
      <c r="J11" s="392">
        <v>32.340000000000003</v>
      </c>
      <c r="K11" s="393">
        <f t="shared" si="2"/>
        <v>2.0876638047898785E-2</v>
      </c>
      <c r="L11" s="392">
        <v>98.470000000000013</v>
      </c>
      <c r="M11" s="393">
        <f t="shared" si="3"/>
        <v>1.0107546317216447</v>
      </c>
      <c r="N11" s="394">
        <v>1640.5101999999997</v>
      </c>
      <c r="O11" s="392">
        <v>12.839999999999998</v>
      </c>
      <c r="P11" s="393">
        <f t="shared" si="4"/>
        <v>8.2886837518559159E-3</v>
      </c>
      <c r="Q11" s="395">
        <f t="shared" si="5"/>
        <v>3.8199999999998564</v>
      </c>
      <c r="R11" s="393">
        <f t="shared" si="6"/>
        <v>2.465947969788817E-3</v>
      </c>
      <c r="S11" s="396">
        <f t="shared" si="7"/>
        <v>376.15539999998589</v>
      </c>
      <c r="T11" s="397" t="s">
        <v>430</v>
      </c>
      <c r="U11" s="397" t="s">
        <v>481</v>
      </c>
      <c r="V11" s="398" t="s">
        <v>497</v>
      </c>
      <c r="W11" s="398" t="s">
        <v>494</v>
      </c>
      <c r="X11" s="398">
        <v>1</v>
      </c>
      <c r="Y11" s="399" t="s">
        <v>641</v>
      </c>
    </row>
    <row r="12" spans="2:34" s="148" customFormat="1" ht="27" customHeight="1">
      <c r="B12" s="879"/>
      <c r="C12" s="880"/>
      <c r="D12" s="387">
        <v>6</v>
      </c>
      <c r="E12" s="390" t="s">
        <v>644</v>
      </c>
      <c r="F12" s="391">
        <v>1167.4331999999999</v>
      </c>
      <c r="G12" s="392">
        <v>1770.3999999999999</v>
      </c>
      <c r="H12" s="392">
        <v>1694.88</v>
      </c>
      <c r="I12" s="393">
        <f t="shared" si="9"/>
        <v>0.95734297333935847</v>
      </c>
      <c r="J12" s="392">
        <v>85.960000000000008</v>
      </c>
      <c r="K12" s="393">
        <f t="shared" si="2"/>
        <v>4.8553999096249446E-2</v>
      </c>
      <c r="L12" s="392">
        <v>139.97999999999999</v>
      </c>
      <c r="M12" s="393">
        <f t="shared" si="3"/>
        <v>1.0058969724356079</v>
      </c>
      <c r="N12" s="394">
        <v>1461.3911999999914</v>
      </c>
      <c r="O12" s="392">
        <v>8.34</v>
      </c>
      <c r="P12" s="393">
        <f t="shared" si="4"/>
        <v>4.7107998192498874E-3</v>
      </c>
      <c r="Q12" s="395">
        <f t="shared" si="5"/>
        <v>2.1000000000002821</v>
      </c>
      <c r="R12" s="393">
        <f t="shared" si="6"/>
        <v>1.1861726163580446E-3</v>
      </c>
      <c r="S12" s="396">
        <f t="shared" si="7"/>
        <v>293.95800000003948</v>
      </c>
      <c r="T12" s="397" t="s">
        <v>430</v>
      </c>
      <c r="U12" s="397" t="s">
        <v>481</v>
      </c>
      <c r="V12" s="398" t="s">
        <v>497</v>
      </c>
      <c r="W12" s="398" t="s">
        <v>494</v>
      </c>
      <c r="X12" s="398">
        <v>1</v>
      </c>
      <c r="Y12" s="399" t="s">
        <v>641</v>
      </c>
    </row>
    <row r="13" spans="2:34" s="148" customFormat="1" ht="27" customHeight="1">
      <c r="B13" s="879"/>
      <c r="C13" s="880"/>
      <c r="D13" s="387">
        <v>7</v>
      </c>
      <c r="E13" s="390" t="s">
        <v>366</v>
      </c>
      <c r="F13" s="391">
        <v>1160.4144000000001</v>
      </c>
      <c r="G13" s="392">
        <v>235.97</v>
      </c>
      <c r="H13" s="392">
        <v>238.49</v>
      </c>
      <c r="I13" s="393">
        <f t="shared" si="9"/>
        <v>1.010679323642836</v>
      </c>
      <c r="J13" s="392">
        <v>3.86</v>
      </c>
      <c r="K13" s="393">
        <f t="shared" si="2"/>
        <v>1.6358011611645549E-2</v>
      </c>
      <c r="L13" s="392">
        <v>253.92000000000002</v>
      </c>
      <c r="M13" s="393">
        <f t="shared" si="3"/>
        <v>1.0270373352544817</v>
      </c>
      <c r="N13" s="394">
        <v>1620.0096000000017</v>
      </c>
      <c r="O13" s="392">
        <v>4.57</v>
      </c>
      <c r="P13" s="393">
        <f t="shared" si="4"/>
        <v>1.9366868669746157E-2</v>
      </c>
      <c r="Q13" s="395">
        <f t="shared" si="5"/>
        <v>1.8100000000000236</v>
      </c>
      <c r="R13" s="393">
        <f t="shared" si="6"/>
        <v>7.6704665847354475E-3</v>
      </c>
      <c r="S13" s="396">
        <f t="shared" si="7"/>
        <v>459.595200000006</v>
      </c>
      <c r="T13" s="397" t="s">
        <v>430</v>
      </c>
      <c r="U13" s="397" t="s">
        <v>481</v>
      </c>
      <c r="V13" s="398" t="s">
        <v>561</v>
      </c>
      <c r="W13" s="398" t="s">
        <v>590</v>
      </c>
      <c r="X13" s="398">
        <v>1</v>
      </c>
      <c r="Y13" s="399" t="s">
        <v>358</v>
      </c>
      <c r="AC13" s="403"/>
    </row>
    <row r="14" spans="2:34" s="148" customFormat="1" ht="27" customHeight="1">
      <c r="B14" s="879"/>
      <c r="C14" s="880"/>
      <c r="D14" s="387">
        <v>8</v>
      </c>
      <c r="E14" s="390" t="s">
        <v>365</v>
      </c>
      <c r="F14" s="391">
        <v>1151.4855</v>
      </c>
      <c r="G14" s="392">
        <v>292.14</v>
      </c>
      <c r="H14" s="392">
        <v>299.86</v>
      </c>
      <c r="I14" s="393">
        <f t="shared" si="9"/>
        <v>1.0264256863147807</v>
      </c>
      <c r="J14" s="392">
        <v>3.6900000000000004</v>
      </c>
      <c r="K14" s="393">
        <f>J14/G14</f>
        <v>1.2630930375847199E-2</v>
      </c>
      <c r="L14" s="392">
        <v>183.65000000000003</v>
      </c>
      <c r="M14" s="393">
        <f>(H14+J14)/G14</f>
        <v>1.0390566166906279</v>
      </c>
      <c r="N14" s="394">
        <v>2095.4464999999982</v>
      </c>
      <c r="O14" s="392">
        <v>6.27</v>
      </c>
      <c r="P14" s="393">
        <f t="shared" si="4"/>
        <v>2.146231258985418E-2</v>
      </c>
      <c r="Q14" s="395">
        <f t="shared" si="5"/>
        <v>5.1400000000000254</v>
      </c>
      <c r="R14" s="393">
        <f t="shared" si="6"/>
        <v>1.759430410077369E-2</v>
      </c>
      <c r="S14" s="396">
        <f t="shared" si="7"/>
        <v>943.9610000000049</v>
      </c>
      <c r="T14" s="397" t="s">
        <v>430</v>
      </c>
      <c r="U14" s="397" t="s">
        <v>481</v>
      </c>
      <c r="V14" s="398" t="s">
        <v>527</v>
      </c>
      <c r="W14" s="398" t="s">
        <v>585</v>
      </c>
      <c r="X14" s="398">
        <v>1</v>
      </c>
      <c r="Y14" s="399" t="s">
        <v>358</v>
      </c>
      <c r="AC14" s="403"/>
    </row>
    <row r="15" spans="2:34" s="148" customFormat="1" ht="27" customHeight="1">
      <c r="B15" s="879"/>
      <c r="C15" s="880"/>
      <c r="D15" s="387">
        <v>9</v>
      </c>
      <c r="E15" s="390" t="s">
        <v>473</v>
      </c>
      <c r="F15" s="391">
        <v>1106.0049000000001</v>
      </c>
      <c r="G15" s="392">
        <v>415.09</v>
      </c>
      <c r="H15" s="392">
        <v>419.52</v>
      </c>
      <c r="I15" s="393">
        <f t="shared" si="9"/>
        <v>1.0106723843021996</v>
      </c>
      <c r="J15" s="392">
        <v>5.3100000000000005</v>
      </c>
      <c r="K15" s="393">
        <f t="shared" ref="K15:K26" si="10">J15/G15</f>
        <v>1.2792406466067602E-2</v>
      </c>
      <c r="L15" s="392">
        <v>181.60999999999999</v>
      </c>
      <c r="M15" s="393">
        <f t="shared" ref="M15:M26" si="11">(H15+J15)/G15</f>
        <v>1.0234647907682672</v>
      </c>
      <c r="N15" s="394">
        <v>1768.8814000000004</v>
      </c>
      <c r="O15" s="392">
        <v>6.0900000000000007</v>
      </c>
      <c r="P15" s="393">
        <f t="shared" si="4"/>
        <v>1.4671517020405216E-2</v>
      </c>
      <c r="Q15" s="395">
        <f t="shared" si="5"/>
        <v>3.6500000000000083</v>
      </c>
      <c r="R15" s="393">
        <f t="shared" si="6"/>
        <v>8.7932737478619294E-3</v>
      </c>
      <c r="S15" s="396">
        <f t="shared" si="7"/>
        <v>662.87650000000144</v>
      </c>
      <c r="T15" s="397" t="s">
        <v>430</v>
      </c>
      <c r="U15" s="397" t="s">
        <v>481</v>
      </c>
      <c r="V15" s="398" t="s">
        <v>492</v>
      </c>
      <c r="W15" s="398" t="s">
        <v>493</v>
      </c>
      <c r="X15" s="398">
        <v>1</v>
      </c>
      <c r="Y15" s="399" t="s">
        <v>472</v>
      </c>
      <c r="AC15" s="403"/>
    </row>
    <row r="16" spans="2:34" s="148" customFormat="1" ht="27" customHeight="1">
      <c r="B16" s="879"/>
      <c r="C16" s="880"/>
      <c r="D16" s="387">
        <v>10</v>
      </c>
      <c r="E16" s="390" t="s">
        <v>434</v>
      </c>
      <c r="F16" s="391">
        <v>1073.5159999999998</v>
      </c>
      <c r="G16" s="392">
        <v>1567.4999999999998</v>
      </c>
      <c r="H16" s="392">
        <v>1573.4299999999998</v>
      </c>
      <c r="I16" s="393">
        <f t="shared" si="9"/>
        <v>1.0037830940988837</v>
      </c>
      <c r="J16" s="392">
        <v>9.1999999999999993</v>
      </c>
      <c r="K16" s="393">
        <f t="shared" si="10"/>
        <v>5.8692185007974485E-3</v>
      </c>
      <c r="L16" s="392">
        <v>157.87000000000003</v>
      </c>
      <c r="M16" s="393">
        <f t="shared" si="11"/>
        <v>1.009652312599681</v>
      </c>
      <c r="N16" s="394">
        <v>2388.5731000000037</v>
      </c>
      <c r="O16" s="392">
        <v>6.8000000000000007</v>
      </c>
      <c r="P16" s="393">
        <f t="shared" si="4"/>
        <v>4.3381180223285498E-3</v>
      </c>
      <c r="Q16" s="395">
        <f t="shared" si="5"/>
        <v>8.3300000000001084</v>
      </c>
      <c r="R16" s="393">
        <f t="shared" si="6"/>
        <v>5.314194577352542E-3</v>
      </c>
      <c r="S16" s="396">
        <f t="shared" si="7"/>
        <v>1315.0571000000175</v>
      </c>
      <c r="T16" s="397" t="s">
        <v>430</v>
      </c>
      <c r="U16" s="397" t="s">
        <v>481</v>
      </c>
      <c r="V16" s="398" t="s">
        <v>492</v>
      </c>
      <c r="W16" s="398" t="s">
        <v>493</v>
      </c>
      <c r="X16" s="398">
        <v>1</v>
      </c>
      <c r="Y16" s="399" t="s">
        <v>342</v>
      </c>
      <c r="AC16" s="403"/>
    </row>
    <row r="17" spans="2:34" s="148" customFormat="1" ht="27" customHeight="1">
      <c r="B17" s="879"/>
      <c r="C17" s="880"/>
      <c r="D17" s="387">
        <v>11</v>
      </c>
      <c r="E17" s="390" t="s">
        <v>543</v>
      </c>
      <c r="F17" s="391">
        <v>1048.4370000000001</v>
      </c>
      <c r="G17" s="392">
        <v>185.54</v>
      </c>
      <c r="H17" s="392">
        <v>190.96</v>
      </c>
      <c r="I17" s="393">
        <f t="shared" si="9"/>
        <v>1.0292120297509972</v>
      </c>
      <c r="J17" s="392">
        <v>1.7</v>
      </c>
      <c r="K17" s="393">
        <f t="shared" si="10"/>
        <v>9.1624447558477963E-3</v>
      </c>
      <c r="L17" s="392">
        <v>203.57999999999998</v>
      </c>
      <c r="M17" s="393">
        <f t="shared" si="11"/>
        <v>1.0383744745068448</v>
      </c>
      <c r="N17" s="394">
        <v>1449.4896000000003</v>
      </c>
      <c r="O17" s="392">
        <v>5.15</v>
      </c>
      <c r="P17" s="393">
        <f t="shared" si="4"/>
        <v>2.7756817936833031E-2</v>
      </c>
      <c r="Q17" s="395">
        <f t="shared" si="5"/>
        <v>1.9700000000000042</v>
      </c>
      <c r="R17" s="393">
        <f t="shared" si="6"/>
        <v>1.0617656570011881E-2</v>
      </c>
      <c r="S17" s="396">
        <f t="shared" si="7"/>
        <v>401.05260000000084</v>
      </c>
      <c r="T17" s="397" t="s">
        <v>430</v>
      </c>
      <c r="U17" s="397" t="s">
        <v>481</v>
      </c>
      <c r="V17" s="398" t="s">
        <v>497</v>
      </c>
      <c r="W17" s="398" t="s">
        <v>563</v>
      </c>
      <c r="X17" s="398">
        <v>1</v>
      </c>
      <c r="Y17" s="399" t="s">
        <v>344</v>
      </c>
      <c r="AC17" s="403"/>
    </row>
    <row r="18" spans="2:34" s="148" customFormat="1" ht="27" customHeight="1">
      <c r="B18" s="879"/>
      <c r="C18" s="880"/>
      <c r="D18" s="387">
        <v>12</v>
      </c>
      <c r="E18" s="390" t="s">
        <v>544</v>
      </c>
      <c r="F18" s="391">
        <v>1040.298</v>
      </c>
      <c r="G18" s="392">
        <v>529.13000000000011</v>
      </c>
      <c r="H18" s="392">
        <v>540.48</v>
      </c>
      <c r="I18" s="393">
        <f t="shared" si="9"/>
        <v>1.0214503052179993</v>
      </c>
      <c r="J18" s="392">
        <v>0</v>
      </c>
      <c r="K18" s="393">
        <f t="shared" si="10"/>
        <v>0</v>
      </c>
      <c r="L18" s="392">
        <v>110.66999999999999</v>
      </c>
      <c r="M18" s="393">
        <f t="shared" si="11"/>
        <v>1.0214503052179993</v>
      </c>
      <c r="N18" s="394">
        <v>1256.1044999999995</v>
      </c>
      <c r="O18" s="392">
        <v>9.4</v>
      </c>
      <c r="P18" s="393">
        <f t="shared" si="4"/>
        <v>1.7765010488915763E-2</v>
      </c>
      <c r="Q18" s="395">
        <f t="shared" si="5"/>
        <v>1.9499999999999087</v>
      </c>
      <c r="R18" s="393">
        <f t="shared" si="6"/>
        <v>3.6852947290834169E-3</v>
      </c>
      <c r="S18" s="396">
        <f t="shared" si="7"/>
        <v>215.80649999998988</v>
      </c>
      <c r="T18" s="397" t="s">
        <v>430</v>
      </c>
      <c r="U18" s="397" t="s">
        <v>481</v>
      </c>
      <c r="V18" s="421" t="s">
        <v>550</v>
      </c>
      <c r="W18" s="398" t="s">
        <v>518</v>
      </c>
      <c r="X18" s="398">
        <v>1</v>
      </c>
      <c r="Y18" s="399" t="s">
        <v>514</v>
      </c>
    </row>
    <row r="19" spans="2:34" s="148" customFormat="1" ht="27" customHeight="1">
      <c r="B19" s="879"/>
      <c r="C19" s="880"/>
      <c r="D19" s="387">
        <v>13</v>
      </c>
      <c r="E19" s="390" t="s">
        <v>583</v>
      </c>
      <c r="F19" s="391">
        <v>1033.7229</v>
      </c>
      <c r="G19" s="392">
        <v>470.92</v>
      </c>
      <c r="H19" s="392">
        <v>471.48</v>
      </c>
      <c r="I19" s="393">
        <f t="shared" si="9"/>
        <v>1.0011891616410431</v>
      </c>
      <c r="J19" s="392">
        <v>5.6</v>
      </c>
      <c r="K19" s="393">
        <f t="shared" si="10"/>
        <v>1.1891616410430645E-2</v>
      </c>
      <c r="L19" s="392">
        <v>370.50999999999993</v>
      </c>
      <c r="M19" s="393">
        <f t="shared" si="11"/>
        <v>1.0130807780514737</v>
      </c>
      <c r="N19" s="394">
        <v>2282.3415999999906</v>
      </c>
      <c r="O19" s="392">
        <v>2.79</v>
      </c>
      <c r="P19" s="393">
        <f t="shared" si="4"/>
        <v>5.9245731759109826E-3</v>
      </c>
      <c r="Q19" s="395">
        <f t="shared" si="5"/>
        <v>3.370000000000025</v>
      </c>
      <c r="R19" s="393">
        <f t="shared" si="6"/>
        <v>7.1562048755627813E-3</v>
      </c>
      <c r="S19" s="396">
        <f t="shared" si="7"/>
        <v>1248.6187000000091</v>
      </c>
      <c r="T19" s="397" t="s">
        <v>430</v>
      </c>
      <c r="U19" s="397" t="s">
        <v>481</v>
      </c>
      <c r="V19" s="421" t="s">
        <v>550</v>
      </c>
      <c r="W19" s="398" t="s">
        <v>518</v>
      </c>
      <c r="X19" s="398">
        <v>1</v>
      </c>
      <c r="Y19" s="399" t="s">
        <v>361</v>
      </c>
    </row>
    <row r="20" spans="2:34" s="148" customFormat="1" ht="27" customHeight="1">
      <c r="B20" s="879"/>
      <c r="C20" s="880"/>
      <c r="D20" s="387">
        <v>14</v>
      </c>
      <c r="E20" s="390" t="s">
        <v>645</v>
      </c>
      <c r="F20" s="391">
        <v>1030.8368</v>
      </c>
      <c r="G20" s="392">
        <v>176.58999999999997</v>
      </c>
      <c r="H20" s="392">
        <v>180.09</v>
      </c>
      <c r="I20" s="393">
        <f t="shared" si="9"/>
        <v>1.0198199218528796</v>
      </c>
      <c r="J20" s="392">
        <v>3.54</v>
      </c>
      <c r="K20" s="393">
        <f t="shared" si="10"/>
        <v>2.0046435245483891E-2</v>
      </c>
      <c r="L20" s="392">
        <v>207.82999999999998</v>
      </c>
      <c r="M20" s="393">
        <f t="shared" si="11"/>
        <v>1.0398663570983635</v>
      </c>
      <c r="N20" s="394">
        <v>1463.1231999999986</v>
      </c>
      <c r="O20" s="392">
        <v>4.9599999999999991</v>
      </c>
      <c r="P20" s="393">
        <f t="shared" si="4"/>
        <v>2.8087660682937877E-2</v>
      </c>
      <c r="Q20" s="395">
        <f t="shared" si="5"/>
        <v>2.0800000000000214</v>
      </c>
      <c r="R20" s="393">
        <f t="shared" si="6"/>
        <v>1.1778696415425685E-2</v>
      </c>
      <c r="S20" s="396">
        <f t="shared" si="7"/>
        <v>432.28640000000439</v>
      </c>
      <c r="T20" s="397" t="s">
        <v>430</v>
      </c>
      <c r="U20" s="397" t="s">
        <v>481</v>
      </c>
      <c r="V20" s="398" t="s">
        <v>497</v>
      </c>
      <c r="W20" s="398" t="s">
        <v>563</v>
      </c>
      <c r="X20" s="398">
        <v>1</v>
      </c>
      <c r="Y20" s="399" t="s">
        <v>361</v>
      </c>
    </row>
    <row r="21" spans="2:34" s="148" customFormat="1" ht="27" customHeight="1">
      <c r="B21" s="879"/>
      <c r="C21" s="880"/>
      <c r="D21" s="387">
        <v>15</v>
      </c>
      <c r="E21" s="390" t="s">
        <v>588</v>
      </c>
      <c r="F21" s="391">
        <v>1029.4928000000002</v>
      </c>
      <c r="G21" s="392">
        <v>69.58</v>
      </c>
      <c r="H21" s="392">
        <v>72.91</v>
      </c>
      <c r="I21" s="393">
        <f t="shared" si="9"/>
        <v>1.047858580051739</v>
      </c>
      <c r="J21" s="392">
        <v>3.58</v>
      </c>
      <c r="K21" s="393">
        <f t="shared" si="10"/>
        <v>5.1451566542109806E-2</v>
      </c>
      <c r="L21" s="392">
        <v>216.28</v>
      </c>
      <c r="M21" s="393">
        <f t="shared" si="11"/>
        <v>1.0993101465938488</v>
      </c>
      <c r="N21" s="394">
        <v>1494.4947999999999</v>
      </c>
      <c r="O21" s="392">
        <v>4.76</v>
      </c>
      <c r="P21" s="393">
        <f t="shared" si="4"/>
        <v>6.8410462776659964E-2</v>
      </c>
      <c r="Q21" s="395">
        <f t="shared" si="5"/>
        <v>2.1499999999999968</v>
      </c>
      <c r="R21" s="393">
        <f t="shared" si="6"/>
        <v>3.0899683817188803E-2</v>
      </c>
      <c r="S21" s="396">
        <f t="shared" si="7"/>
        <v>465.00199999999933</v>
      </c>
      <c r="T21" s="397" t="s">
        <v>430</v>
      </c>
      <c r="U21" s="397" t="s">
        <v>481</v>
      </c>
      <c r="V21" s="398" t="s">
        <v>564</v>
      </c>
      <c r="W21" s="398" t="s">
        <v>493</v>
      </c>
      <c r="X21" s="398">
        <v>1</v>
      </c>
      <c r="Y21" s="399" t="s">
        <v>344</v>
      </c>
    </row>
    <row r="22" spans="2:34" s="148" customFormat="1" ht="27" customHeight="1">
      <c r="B22" s="879"/>
      <c r="C22" s="880"/>
      <c r="D22" s="387">
        <v>16</v>
      </c>
      <c r="E22" s="390" t="s">
        <v>367</v>
      </c>
      <c r="F22" s="391">
        <v>1015.7874999999998</v>
      </c>
      <c r="G22" s="392">
        <v>1078.07</v>
      </c>
      <c r="H22" s="392">
        <v>1090.1400000000001</v>
      </c>
      <c r="I22" s="393">
        <f t="shared" si="9"/>
        <v>1.0111959334737077</v>
      </c>
      <c r="J22" s="392">
        <v>1.08</v>
      </c>
      <c r="K22" s="393">
        <f t="shared" si="10"/>
        <v>1.0017902362555308E-3</v>
      </c>
      <c r="L22" s="392">
        <v>152.75</v>
      </c>
      <c r="M22" s="393">
        <f t="shared" si="11"/>
        <v>1.0121977237099633</v>
      </c>
      <c r="N22" s="394">
        <v>2008.6625000000008</v>
      </c>
      <c r="O22" s="392">
        <v>6.65</v>
      </c>
      <c r="P22" s="393">
        <f t="shared" si="4"/>
        <v>6.168430621388222E-3</v>
      </c>
      <c r="Q22" s="395">
        <f t="shared" si="5"/>
        <v>6.5000000000000906</v>
      </c>
      <c r="R22" s="393">
        <f t="shared" si="6"/>
        <v>6.0292930885750377E-3</v>
      </c>
      <c r="S22" s="396">
        <f t="shared" si="7"/>
        <v>992.87500000001387</v>
      </c>
      <c r="T22" s="397" t="s">
        <v>430</v>
      </c>
      <c r="U22" s="397" t="s">
        <v>481</v>
      </c>
      <c r="V22" s="398" t="s">
        <v>497</v>
      </c>
      <c r="W22" s="398" t="s">
        <v>660</v>
      </c>
      <c r="X22" s="398">
        <v>1</v>
      </c>
      <c r="Y22" s="399" t="s">
        <v>370</v>
      </c>
    </row>
    <row r="23" spans="2:34" s="148" customFormat="1" ht="27" customHeight="1">
      <c r="B23" s="879"/>
      <c r="C23" s="880"/>
      <c r="D23" s="387">
        <v>17</v>
      </c>
      <c r="E23" s="390" t="s">
        <v>519</v>
      </c>
      <c r="F23" s="391">
        <v>1015.2799999999999</v>
      </c>
      <c r="G23" s="392">
        <v>202.95</v>
      </c>
      <c r="H23" s="392">
        <v>209</v>
      </c>
      <c r="I23" s="393">
        <f t="shared" si="9"/>
        <v>1.0298102981029811</v>
      </c>
      <c r="J23" s="392">
        <v>4.5999999999999996</v>
      </c>
      <c r="K23" s="393">
        <f t="shared" si="10"/>
        <v>2.2665681202266568E-2</v>
      </c>
      <c r="L23" s="392">
        <v>145.04</v>
      </c>
      <c r="M23" s="393">
        <f t="shared" si="11"/>
        <v>1.0524759793052476</v>
      </c>
      <c r="N23" s="394">
        <v>1544.6760000000008</v>
      </c>
      <c r="O23" s="392">
        <v>7</v>
      </c>
      <c r="P23" s="393">
        <f t="shared" si="4"/>
        <v>3.4491254003449129E-2</v>
      </c>
      <c r="Q23" s="395">
        <f t="shared" si="5"/>
        <v>3.6500000000000057</v>
      </c>
      <c r="R23" s="393">
        <f t="shared" si="6"/>
        <v>1.7984725301798503E-2</v>
      </c>
      <c r="S23" s="396">
        <f t="shared" si="7"/>
        <v>529.39600000000075</v>
      </c>
      <c r="T23" s="397" t="s">
        <v>430</v>
      </c>
      <c r="U23" s="397" t="s">
        <v>481</v>
      </c>
      <c r="V23" s="398" t="s">
        <v>562</v>
      </c>
      <c r="W23" s="398" t="s">
        <v>549</v>
      </c>
      <c r="X23" s="398">
        <v>1</v>
      </c>
      <c r="Y23" s="399" t="s">
        <v>343</v>
      </c>
    </row>
    <row r="24" spans="2:34" s="148" customFormat="1" ht="27" customHeight="1">
      <c r="B24" s="879"/>
      <c r="C24" s="880"/>
      <c r="D24" s="387">
        <v>18</v>
      </c>
      <c r="E24" s="390" t="s">
        <v>646</v>
      </c>
      <c r="F24" s="391">
        <v>1014.3000000000002</v>
      </c>
      <c r="G24" s="392">
        <v>22130</v>
      </c>
      <c r="H24" s="392">
        <v>22063</v>
      </c>
      <c r="I24" s="393">
        <f t="shared" si="9"/>
        <v>0.99697243560777227</v>
      </c>
      <c r="J24" s="392">
        <v>130</v>
      </c>
      <c r="K24" s="393">
        <f t="shared" si="10"/>
        <v>5.8743786714866696E-3</v>
      </c>
      <c r="L24" s="392">
        <v>16.099999999999998</v>
      </c>
      <c r="M24" s="393">
        <f t="shared" si="11"/>
        <v>1.0028468142792588</v>
      </c>
      <c r="N24" s="394">
        <v>1014.3000000000002</v>
      </c>
      <c r="O24" s="392">
        <v>63</v>
      </c>
      <c r="P24" s="393">
        <f t="shared" si="4"/>
        <v>2.8468142792589246E-3</v>
      </c>
      <c r="Q24" s="395">
        <f t="shared" si="5"/>
        <v>0</v>
      </c>
      <c r="R24" s="393">
        <f t="shared" si="6"/>
        <v>0</v>
      </c>
      <c r="S24" s="396">
        <f t="shared" si="7"/>
        <v>0</v>
      </c>
      <c r="T24" s="397" t="s">
        <v>430</v>
      </c>
      <c r="U24" s="397" t="s">
        <v>339</v>
      </c>
      <c r="V24" s="421" t="s">
        <v>661</v>
      </c>
      <c r="W24" s="398" t="s">
        <v>662</v>
      </c>
      <c r="X24" s="398">
        <v>1</v>
      </c>
      <c r="Y24" s="399" t="s">
        <v>641</v>
      </c>
    </row>
    <row r="25" spans="2:34" s="148" customFormat="1" ht="27" customHeight="1">
      <c r="B25" s="879"/>
      <c r="C25" s="880"/>
      <c r="D25" s="387">
        <v>19</v>
      </c>
      <c r="E25" s="390" t="s">
        <v>556</v>
      </c>
      <c r="F25" s="391">
        <v>1013.6825999999999</v>
      </c>
      <c r="G25" s="392">
        <v>101.79999999999998</v>
      </c>
      <c r="H25" s="392">
        <v>103.71000000000001</v>
      </c>
      <c r="I25" s="393">
        <f t="shared" si="9"/>
        <v>1.0187622789783892</v>
      </c>
      <c r="J25" s="392">
        <v>0.91</v>
      </c>
      <c r="K25" s="393">
        <f t="shared" si="10"/>
        <v>8.9390962671905723E-3</v>
      </c>
      <c r="L25" s="392">
        <v>536.34</v>
      </c>
      <c r="M25" s="393">
        <f t="shared" si="11"/>
        <v>1.0277013752455797</v>
      </c>
      <c r="N25" s="394">
        <v>1512.4788000000012</v>
      </c>
      <c r="O25" s="392">
        <v>1.8900000000000001</v>
      </c>
      <c r="P25" s="393">
        <f t="shared" si="4"/>
        <v>1.8565815324165034E-2</v>
      </c>
      <c r="Q25" s="395">
        <f t="shared" si="5"/>
        <v>0.93000000000002148</v>
      </c>
      <c r="R25" s="393">
        <f t="shared" si="6"/>
        <v>9.1355599214147515E-3</v>
      </c>
      <c r="S25" s="396">
        <f t="shared" si="7"/>
        <v>498.79620000001154</v>
      </c>
      <c r="T25" s="397" t="s">
        <v>430</v>
      </c>
      <c r="U25" s="397" t="s">
        <v>481</v>
      </c>
      <c r="V25" s="398" t="s">
        <v>497</v>
      </c>
      <c r="W25" s="398" t="s">
        <v>563</v>
      </c>
      <c r="X25" s="398">
        <v>1</v>
      </c>
      <c r="Y25" s="399" t="s">
        <v>345</v>
      </c>
    </row>
    <row r="26" spans="2:34" s="148" customFormat="1" ht="27" customHeight="1">
      <c r="B26" s="881"/>
      <c r="C26" s="882"/>
      <c r="D26" s="387">
        <v>20</v>
      </c>
      <c r="E26" s="390" t="s">
        <v>647</v>
      </c>
      <c r="F26" s="391">
        <v>1003.4807999999998</v>
      </c>
      <c r="G26" s="392">
        <v>243.93</v>
      </c>
      <c r="H26" s="392">
        <v>243.41000000000003</v>
      </c>
      <c r="I26" s="393">
        <f t="shared" si="9"/>
        <v>0.99786824088877968</v>
      </c>
      <c r="J26" s="392">
        <v>10.59</v>
      </c>
      <c r="K26" s="393">
        <f t="shared" si="10"/>
        <v>4.3414094207354564E-2</v>
      </c>
      <c r="L26" s="392">
        <v>155.81999999999996</v>
      </c>
      <c r="M26" s="393">
        <f t="shared" si="11"/>
        <v>1.0412823350961342</v>
      </c>
      <c r="N26" s="394">
        <v>1569.1074000000006</v>
      </c>
      <c r="O26" s="392">
        <v>6.44</v>
      </c>
      <c r="P26" s="393">
        <f t="shared" si="4"/>
        <v>2.6401016685114582E-2</v>
      </c>
      <c r="Q26" s="395">
        <f t="shared" si="5"/>
        <v>3.6300000000000212</v>
      </c>
      <c r="R26" s="393">
        <f t="shared" si="6"/>
        <v>1.4881318411019641E-2</v>
      </c>
      <c r="S26" s="396">
        <f t="shared" si="7"/>
        <v>565.62660000000312</v>
      </c>
      <c r="T26" s="397" t="s">
        <v>430</v>
      </c>
      <c r="U26" s="397" t="s">
        <v>481</v>
      </c>
      <c r="V26" s="398" t="s">
        <v>492</v>
      </c>
      <c r="W26" s="398" t="s">
        <v>493</v>
      </c>
      <c r="X26" s="398">
        <v>1</v>
      </c>
      <c r="Y26" s="399" t="s">
        <v>536</v>
      </c>
    </row>
    <row r="27" spans="2:34" ht="17.100000000000001" customHeight="1">
      <c r="B27" s="896" t="s">
        <v>478</v>
      </c>
      <c r="C27" s="897"/>
      <c r="D27" s="893" t="s">
        <v>170</v>
      </c>
      <c r="E27" s="893"/>
      <c r="F27" s="893"/>
      <c r="G27" s="893" t="s">
        <v>184</v>
      </c>
      <c r="H27" s="893"/>
      <c r="I27" s="893"/>
      <c r="J27" s="893"/>
      <c r="K27" s="893"/>
      <c r="L27" s="893"/>
      <c r="M27" s="893"/>
      <c r="N27" s="893"/>
      <c r="O27" s="893"/>
      <c r="P27" s="893"/>
      <c r="Q27" s="893"/>
      <c r="R27" s="893"/>
      <c r="S27" s="893"/>
      <c r="T27" s="893" t="s">
        <v>171</v>
      </c>
      <c r="U27" s="883" t="s">
        <v>245</v>
      </c>
      <c r="V27" s="902" t="s">
        <v>479</v>
      </c>
      <c r="W27" s="902" t="s">
        <v>480</v>
      </c>
      <c r="X27" s="905" t="s">
        <v>246</v>
      </c>
      <c r="Y27" s="894" t="s">
        <v>172</v>
      </c>
      <c r="AA27" s="883" t="s">
        <v>247</v>
      </c>
      <c r="AB27" s="884"/>
      <c r="AC27" s="884"/>
      <c r="AD27" s="884"/>
      <c r="AE27" s="884"/>
      <c r="AF27" s="884"/>
      <c r="AG27" s="884"/>
      <c r="AH27" s="885"/>
    </row>
    <row r="28" spans="2:34" ht="17.100000000000001" customHeight="1">
      <c r="B28" s="898"/>
      <c r="C28" s="899"/>
      <c r="D28" s="892" t="s">
        <v>169</v>
      </c>
      <c r="E28" s="893" t="s">
        <v>173</v>
      </c>
      <c r="F28" s="893"/>
      <c r="G28" s="893" t="s">
        <v>185</v>
      </c>
      <c r="H28" s="893"/>
      <c r="I28" s="893"/>
      <c r="J28" s="893"/>
      <c r="K28" s="893"/>
      <c r="L28" s="893"/>
      <c r="M28" s="893"/>
      <c r="N28" s="893"/>
      <c r="O28" s="893" t="s">
        <v>174</v>
      </c>
      <c r="P28" s="893"/>
      <c r="Q28" s="893"/>
      <c r="R28" s="893"/>
      <c r="S28" s="893"/>
      <c r="T28" s="893"/>
      <c r="U28" s="886"/>
      <c r="V28" s="903"/>
      <c r="W28" s="903"/>
      <c r="X28" s="906"/>
      <c r="Y28" s="894"/>
      <c r="AA28" s="886"/>
      <c r="AB28" s="887"/>
      <c r="AC28" s="887"/>
      <c r="AD28" s="887"/>
      <c r="AE28" s="887"/>
      <c r="AF28" s="887"/>
      <c r="AG28" s="887"/>
      <c r="AH28" s="888"/>
    </row>
    <row r="29" spans="2:34" ht="17.100000000000001" customHeight="1">
      <c r="B29" s="898"/>
      <c r="C29" s="899"/>
      <c r="D29" s="892"/>
      <c r="E29" s="892" t="s">
        <v>175</v>
      </c>
      <c r="F29" s="894" t="s">
        <v>248</v>
      </c>
      <c r="G29" s="895" t="s">
        <v>186</v>
      </c>
      <c r="H29" s="895"/>
      <c r="I29" s="895"/>
      <c r="J29" s="895"/>
      <c r="K29" s="895"/>
      <c r="L29" s="895"/>
      <c r="M29" s="895"/>
      <c r="N29" s="895"/>
      <c r="O29" s="895" t="s">
        <v>168</v>
      </c>
      <c r="P29" s="895"/>
      <c r="Q29" s="895" t="s">
        <v>176</v>
      </c>
      <c r="R29" s="895"/>
      <c r="S29" s="895"/>
      <c r="T29" s="893"/>
      <c r="U29" s="886"/>
      <c r="V29" s="903"/>
      <c r="W29" s="903"/>
      <c r="X29" s="906"/>
      <c r="Y29" s="894"/>
      <c r="AA29" s="889"/>
      <c r="AB29" s="890"/>
      <c r="AC29" s="890"/>
      <c r="AD29" s="890"/>
      <c r="AE29" s="890"/>
      <c r="AF29" s="890"/>
      <c r="AG29" s="890"/>
      <c r="AH29" s="891"/>
    </row>
    <row r="30" spans="2:34" ht="38.450000000000003" customHeight="1">
      <c r="B30" s="900"/>
      <c r="C30" s="901"/>
      <c r="D30" s="892"/>
      <c r="E30" s="892"/>
      <c r="F30" s="894"/>
      <c r="G30" s="388" t="s">
        <v>177</v>
      </c>
      <c r="H30" s="388" t="s">
        <v>252</v>
      </c>
      <c r="I30" s="388" t="s">
        <v>253</v>
      </c>
      <c r="J30" s="388" t="s">
        <v>178</v>
      </c>
      <c r="K30" s="388" t="s">
        <v>250</v>
      </c>
      <c r="L30" s="388" t="s">
        <v>179</v>
      </c>
      <c r="M30" s="388" t="s">
        <v>187</v>
      </c>
      <c r="N30" s="388" t="s">
        <v>180</v>
      </c>
      <c r="O30" s="389" t="s">
        <v>181</v>
      </c>
      <c r="P30" s="389" t="s">
        <v>182</v>
      </c>
      <c r="Q30" s="389" t="s">
        <v>181</v>
      </c>
      <c r="R30" s="389" t="s">
        <v>182</v>
      </c>
      <c r="S30" s="388" t="s">
        <v>183</v>
      </c>
      <c r="T30" s="893"/>
      <c r="U30" s="889"/>
      <c r="V30" s="904"/>
      <c r="W30" s="904"/>
      <c r="X30" s="907"/>
      <c r="Y30" s="894"/>
      <c r="AA30" s="161" t="s">
        <v>244</v>
      </c>
      <c r="AB30" s="161" t="s">
        <v>481</v>
      </c>
      <c r="AC30" s="156" t="s">
        <v>395</v>
      </c>
      <c r="AD30" s="156" t="s">
        <v>339</v>
      </c>
      <c r="AE30" s="156" t="s">
        <v>460</v>
      </c>
      <c r="AF30" s="156" t="s">
        <v>215</v>
      </c>
      <c r="AG30" s="156" t="s">
        <v>216</v>
      </c>
      <c r="AH30" s="156" t="s">
        <v>396</v>
      </c>
    </row>
    <row r="31" spans="2:34" s="148" customFormat="1" ht="27" customHeight="1">
      <c r="B31" s="877" t="s">
        <v>683</v>
      </c>
      <c r="C31" s="878"/>
      <c r="D31" s="387">
        <v>1</v>
      </c>
      <c r="E31" s="390" t="s">
        <v>646</v>
      </c>
      <c r="F31" s="391">
        <v>1851.5000000000002</v>
      </c>
      <c r="G31" s="392">
        <v>15244</v>
      </c>
      <c r="H31" s="392">
        <v>15233</v>
      </c>
      <c r="I31" s="393">
        <f>H31/G31</f>
        <v>0.99927840461821049</v>
      </c>
      <c r="J31" s="392">
        <v>126</v>
      </c>
      <c r="K31" s="393">
        <f>J31/G31</f>
        <v>8.2655471004985572E-3</v>
      </c>
      <c r="L31" s="392">
        <v>16.099999999999998</v>
      </c>
      <c r="M31" s="393">
        <f>(H31+J31)/G31</f>
        <v>1.007543951718709</v>
      </c>
      <c r="N31" s="394">
        <v>1851.5000000000002</v>
      </c>
      <c r="O31" s="392">
        <v>115</v>
      </c>
      <c r="P31" s="393">
        <f>O31/G31</f>
        <v>7.5439517187090004E-3</v>
      </c>
      <c r="Q31" s="395">
        <f>((H31+J31)-G31)-O31</f>
        <v>0</v>
      </c>
      <c r="R31" s="393">
        <f>Q31/G31</f>
        <v>0</v>
      </c>
      <c r="S31" s="396">
        <f>Q31*L31</f>
        <v>0</v>
      </c>
      <c r="T31" s="397" t="s">
        <v>430</v>
      </c>
      <c r="U31" s="397" t="s">
        <v>339</v>
      </c>
      <c r="V31" s="398" t="s">
        <v>711</v>
      </c>
      <c r="W31" s="398" t="s">
        <v>712</v>
      </c>
      <c r="X31" s="398">
        <v>1</v>
      </c>
      <c r="Y31" s="399" t="s">
        <v>641</v>
      </c>
      <c r="Z31" s="400" t="s">
        <v>482</v>
      </c>
      <c r="AA31" s="410">
        <f>SUM(X31:X50)</f>
        <v>20</v>
      </c>
      <c r="AB31" s="402">
        <f>SUMIF($U$31:$U$50,TRIM(AB30),$X$31:$X$50)</f>
        <v>15</v>
      </c>
      <c r="AC31" s="402">
        <f t="shared" ref="AC31:AH31" si="12">SUMIF($U$31:$U$50,TRIM(AC30),$X$31:$X$50)</f>
        <v>0</v>
      </c>
      <c r="AD31" s="402">
        <f t="shared" si="12"/>
        <v>4</v>
      </c>
      <c r="AE31" s="402">
        <f t="shared" si="12"/>
        <v>0</v>
      </c>
      <c r="AF31" s="402">
        <f t="shared" si="12"/>
        <v>0</v>
      </c>
      <c r="AG31" s="402">
        <f t="shared" si="12"/>
        <v>1</v>
      </c>
      <c r="AH31" s="402">
        <f t="shared" si="12"/>
        <v>0</v>
      </c>
    </row>
    <row r="32" spans="2:34" s="148" customFormat="1" ht="27" customHeight="1">
      <c r="B32" s="879"/>
      <c r="C32" s="880"/>
      <c r="D32" s="387">
        <v>2</v>
      </c>
      <c r="E32" s="390" t="s">
        <v>693</v>
      </c>
      <c r="F32" s="391">
        <v>1799.1599999999999</v>
      </c>
      <c r="G32" s="392">
        <v>192936</v>
      </c>
      <c r="H32" s="392">
        <v>190203</v>
      </c>
      <c r="I32" s="393">
        <f t="shared" ref="I32:I33" si="13">H32/G32</f>
        <v>0.985834680930464</v>
      </c>
      <c r="J32" s="392">
        <v>4284</v>
      </c>
      <c r="K32" s="393">
        <f t="shared" ref="K32:K37" si="14">J32/G32</f>
        <v>2.2204254260480158E-2</v>
      </c>
      <c r="L32" s="392">
        <v>1.1599999999999999</v>
      </c>
      <c r="M32" s="393">
        <f t="shared" ref="M32:M37" si="15">(H32+J32)/G32</f>
        <v>1.0080389351909442</v>
      </c>
      <c r="N32" s="394">
        <v>1799.1599999999999</v>
      </c>
      <c r="O32" s="392">
        <v>1551</v>
      </c>
      <c r="P32" s="393">
        <f t="shared" ref="P32:P50" si="16">O32/G32</f>
        <v>8.0389351909441464E-3</v>
      </c>
      <c r="Q32" s="395">
        <f t="shared" ref="Q32:Q50" si="17">((H32+J32)-G32)-O32</f>
        <v>0</v>
      </c>
      <c r="R32" s="393">
        <f t="shared" ref="R32:R50" si="18">Q32/G32</f>
        <v>0</v>
      </c>
      <c r="S32" s="396">
        <f t="shared" ref="S32:S50" si="19">Q32*L32</f>
        <v>0</v>
      </c>
      <c r="T32" s="397" t="s">
        <v>430</v>
      </c>
      <c r="U32" s="397" t="s">
        <v>339</v>
      </c>
      <c r="V32" s="398" t="s">
        <v>718</v>
      </c>
      <c r="W32" s="398" t="s">
        <v>719</v>
      </c>
      <c r="X32" s="398">
        <v>1</v>
      </c>
      <c r="Y32" s="399" t="s">
        <v>342</v>
      </c>
      <c r="AA32" s="411"/>
      <c r="AB32" s="408">
        <f>SUMIF($U$31:$U$50,TRIM(AB30),$F$31:$F$50)</f>
        <v>16166.722199999998</v>
      </c>
      <c r="AC32" s="408">
        <f t="shared" ref="AC32:AH32" si="20">SUMIF($U$31:$U$50,TRIM(AC30),$F$31:$F$50)</f>
        <v>0</v>
      </c>
      <c r="AD32" s="408">
        <f t="shared" si="20"/>
        <v>6782</v>
      </c>
      <c r="AE32" s="408">
        <f t="shared" si="20"/>
        <v>0</v>
      </c>
      <c r="AF32" s="408">
        <f t="shared" si="20"/>
        <v>0</v>
      </c>
      <c r="AG32" s="408">
        <f t="shared" si="20"/>
        <v>1699.5</v>
      </c>
      <c r="AH32" s="408">
        <f t="shared" si="20"/>
        <v>0</v>
      </c>
    </row>
    <row r="33" spans="2:34" s="148" customFormat="1" ht="27" customHeight="1">
      <c r="B33" s="879"/>
      <c r="C33" s="880"/>
      <c r="D33" s="387">
        <v>3</v>
      </c>
      <c r="E33" s="390" t="s">
        <v>335</v>
      </c>
      <c r="F33" s="391">
        <v>1699.5</v>
      </c>
      <c r="G33" s="392">
        <v>27423</v>
      </c>
      <c r="H33" s="392">
        <v>27216</v>
      </c>
      <c r="I33" s="393">
        <f t="shared" si="13"/>
        <v>0.99245159172957009</v>
      </c>
      <c r="J33" s="392">
        <v>327</v>
      </c>
      <c r="K33" s="393">
        <f t="shared" si="14"/>
        <v>1.1924297122853079E-2</v>
      </c>
      <c r="L33" s="392">
        <v>15.450000000000001</v>
      </c>
      <c r="M33" s="393">
        <f t="shared" si="15"/>
        <v>1.0043758888524232</v>
      </c>
      <c r="N33" s="394">
        <v>1854</v>
      </c>
      <c r="O33" s="392">
        <v>110</v>
      </c>
      <c r="P33" s="393">
        <f t="shared" si="16"/>
        <v>4.0112314480545532E-3</v>
      </c>
      <c r="Q33" s="395">
        <f t="shared" si="17"/>
        <v>10</v>
      </c>
      <c r="R33" s="393">
        <f t="shared" si="18"/>
        <v>3.6465740436859568E-4</v>
      </c>
      <c r="S33" s="396">
        <f t="shared" si="19"/>
        <v>154.5</v>
      </c>
      <c r="T33" s="397" t="s">
        <v>430</v>
      </c>
      <c r="U33" s="397" t="s">
        <v>515</v>
      </c>
      <c r="V33" s="398" t="s">
        <v>523</v>
      </c>
      <c r="W33" s="398" t="s">
        <v>518</v>
      </c>
      <c r="X33" s="398">
        <v>1</v>
      </c>
      <c r="Y33" s="399" t="s">
        <v>697</v>
      </c>
      <c r="AA33" s="387"/>
      <c r="AB33" s="409">
        <f>AB31/$AA31</f>
        <v>0.75</v>
      </c>
      <c r="AC33" s="409">
        <f t="shared" ref="AC33:AH33" si="21">AC31/$AA31</f>
        <v>0</v>
      </c>
      <c r="AD33" s="409">
        <f t="shared" si="21"/>
        <v>0.2</v>
      </c>
      <c r="AE33" s="409">
        <f t="shared" si="21"/>
        <v>0</v>
      </c>
      <c r="AF33" s="409">
        <f t="shared" si="21"/>
        <v>0</v>
      </c>
      <c r="AG33" s="409">
        <f t="shared" si="21"/>
        <v>0.05</v>
      </c>
      <c r="AH33" s="409">
        <f t="shared" si="21"/>
        <v>0</v>
      </c>
    </row>
    <row r="34" spans="2:34" s="148" customFormat="1" ht="27" customHeight="1">
      <c r="B34" s="879"/>
      <c r="C34" s="880"/>
      <c r="D34" s="387">
        <v>4</v>
      </c>
      <c r="E34" s="390" t="s">
        <v>484</v>
      </c>
      <c r="F34" s="391">
        <v>1572.9</v>
      </c>
      <c r="G34" s="392">
        <v>157578</v>
      </c>
      <c r="H34" s="392">
        <v>157920</v>
      </c>
      <c r="I34" s="393">
        <f>H34/G34</f>
        <v>1.0021703537295816</v>
      </c>
      <c r="J34" s="392">
        <v>300</v>
      </c>
      <c r="K34" s="393">
        <f t="shared" si="14"/>
        <v>1.9038190610364391E-3</v>
      </c>
      <c r="L34" s="392">
        <v>2.4499999999999997</v>
      </c>
      <c r="M34" s="393">
        <f t="shared" si="15"/>
        <v>1.0040741727906179</v>
      </c>
      <c r="N34" s="394">
        <v>1572.9</v>
      </c>
      <c r="O34" s="392">
        <v>642</v>
      </c>
      <c r="P34" s="393">
        <f t="shared" si="16"/>
        <v>4.07417279061798E-3</v>
      </c>
      <c r="Q34" s="395">
        <f t="shared" si="17"/>
        <v>0</v>
      </c>
      <c r="R34" s="393">
        <f t="shared" si="18"/>
        <v>0</v>
      </c>
      <c r="S34" s="396">
        <f t="shared" si="19"/>
        <v>0</v>
      </c>
      <c r="T34" s="397" t="s">
        <v>430</v>
      </c>
      <c r="U34" s="397" t="s">
        <v>339</v>
      </c>
      <c r="V34" s="398" t="s">
        <v>524</v>
      </c>
      <c r="W34" s="398" t="s">
        <v>525</v>
      </c>
      <c r="X34" s="398">
        <v>1</v>
      </c>
      <c r="Y34" s="399" t="s">
        <v>342</v>
      </c>
    </row>
    <row r="35" spans="2:34" s="148" customFormat="1" ht="27" customHeight="1">
      <c r="B35" s="879"/>
      <c r="C35" s="880"/>
      <c r="D35" s="387">
        <v>5</v>
      </c>
      <c r="E35" s="390" t="s">
        <v>483</v>
      </c>
      <c r="F35" s="391">
        <v>1558.44</v>
      </c>
      <c r="G35" s="392">
        <v>345228</v>
      </c>
      <c r="H35" s="392">
        <v>345876</v>
      </c>
      <c r="I35" s="393">
        <f t="shared" ref="I35:I50" si="22">H35/G35</f>
        <v>1.0018770204039069</v>
      </c>
      <c r="J35" s="392">
        <v>684</v>
      </c>
      <c r="K35" s="393">
        <f t="shared" si="14"/>
        <v>1.9812993152351489E-3</v>
      </c>
      <c r="L35" s="392">
        <v>1.17</v>
      </c>
      <c r="M35" s="393">
        <f t="shared" si="15"/>
        <v>1.0038583197191422</v>
      </c>
      <c r="N35" s="394">
        <v>1558.44</v>
      </c>
      <c r="O35" s="392">
        <v>1332</v>
      </c>
      <c r="P35" s="393">
        <f t="shared" si="16"/>
        <v>3.8583197191421319E-3</v>
      </c>
      <c r="Q35" s="395">
        <f t="shared" si="17"/>
        <v>0</v>
      </c>
      <c r="R35" s="393">
        <f t="shared" si="18"/>
        <v>0</v>
      </c>
      <c r="S35" s="396">
        <f t="shared" si="19"/>
        <v>0</v>
      </c>
      <c r="T35" s="397" t="s">
        <v>430</v>
      </c>
      <c r="U35" s="397" t="s">
        <v>339</v>
      </c>
      <c r="V35" s="398" t="s">
        <v>526</v>
      </c>
      <c r="W35" s="398" t="s">
        <v>713</v>
      </c>
      <c r="X35" s="398">
        <v>1</v>
      </c>
      <c r="Y35" s="399" t="s">
        <v>342</v>
      </c>
    </row>
    <row r="36" spans="2:34" s="148" customFormat="1" ht="27" customHeight="1">
      <c r="B36" s="879"/>
      <c r="C36" s="880"/>
      <c r="D36" s="387">
        <v>6</v>
      </c>
      <c r="E36" s="390" t="s">
        <v>643</v>
      </c>
      <c r="F36" s="391">
        <v>1403.1974999999998</v>
      </c>
      <c r="G36" s="392">
        <v>1067.08</v>
      </c>
      <c r="H36" s="392">
        <v>1036.5999999999999</v>
      </c>
      <c r="I36" s="393">
        <f t="shared" si="22"/>
        <v>0.9714360685234471</v>
      </c>
      <c r="J36" s="392">
        <v>49.55</v>
      </c>
      <c r="K36" s="393">
        <f t="shared" si="14"/>
        <v>4.6435131386587697E-2</v>
      </c>
      <c r="L36" s="392">
        <v>98.470000000000013</v>
      </c>
      <c r="M36" s="393">
        <f t="shared" si="15"/>
        <v>1.0178711999100347</v>
      </c>
      <c r="N36" s="394">
        <v>1877.8229000000022</v>
      </c>
      <c r="O36" s="392">
        <v>14.25</v>
      </c>
      <c r="P36" s="393">
        <f t="shared" si="16"/>
        <v>1.3354200247404132E-2</v>
      </c>
      <c r="Q36" s="395">
        <f t="shared" si="17"/>
        <v>4.8199999999999363</v>
      </c>
      <c r="R36" s="393">
        <f t="shared" si="18"/>
        <v>4.5169996626306715E-3</v>
      </c>
      <c r="S36" s="396">
        <f t="shared" si="19"/>
        <v>474.62539999999382</v>
      </c>
      <c r="T36" s="397" t="s">
        <v>430</v>
      </c>
      <c r="U36" s="397" t="s">
        <v>481</v>
      </c>
      <c r="V36" s="398" t="s">
        <v>497</v>
      </c>
      <c r="W36" s="398" t="s">
        <v>494</v>
      </c>
      <c r="X36" s="398">
        <v>1</v>
      </c>
      <c r="Y36" s="399" t="s">
        <v>641</v>
      </c>
    </row>
    <row r="37" spans="2:34" s="148" customFormat="1" ht="27" customHeight="1">
      <c r="B37" s="879"/>
      <c r="C37" s="880"/>
      <c r="D37" s="387">
        <v>7</v>
      </c>
      <c r="E37" s="390" t="s">
        <v>336</v>
      </c>
      <c r="F37" s="391">
        <v>1140.4434999999999</v>
      </c>
      <c r="G37" s="392">
        <v>674.49</v>
      </c>
      <c r="H37" s="392">
        <v>680.27</v>
      </c>
      <c r="I37" s="393">
        <f t="shared" si="22"/>
        <v>1.0085694376491867</v>
      </c>
      <c r="J37" s="392">
        <v>4.6400000000000006</v>
      </c>
      <c r="K37" s="393">
        <f t="shared" si="14"/>
        <v>6.8792717460599865E-3</v>
      </c>
      <c r="L37" s="392">
        <v>141.66999999999999</v>
      </c>
      <c r="M37" s="393">
        <f t="shared" si="15"/>
        <v>1.0154487093952467</v>
      </c>
      <c r="N37" s="394">
        <v>1476.2014000000001</v>
      </c>
      <c r="O37" s="392">
        <v>8.0500000000000007</v>
      </c>
      <c r="P37" s="393">
        <f t="shared" si="16"/>
        <v>1.1934943438746314E-2</v>
      </c>
      <c r="Q37" s="395">
        <f t="shared" si="17"/>
        <v>2.3699999999999584</v>
      </c>
      <c r="R37" s="393">
        <f t="shared" si="18"/>
        <v>3.5137659565004052E-3</v>
      </c>
      <c r="S37" s="396">
        <f t="shared" si="19"/>
        <v>335.75789999999409</v>
      </c>
      <c r="T37" s="397" t="s">
        <v>430</v>
      </c>
      <c r="U37" s="397" t="s">
        <v>481</v>
      </c>
      <c r="V37" s="398" t="s">
        <v>497</v>
      </c>
      <c r="W37" s="421" t="s">
        <v>714</v>
      </c>
      <c r="X37" s="398">
        <v>1</v>
      </c>
      <c r="Y37" s="399" t="s">
        <v>344</v>
      </c>
    </row>
    <row r="38" spans="2:34" s="148" customFormat="1" ht="27" customHeight="1">
      <c r="B38" s="879"/>
      <c r="C38" s="880"/>
      <c r="D38" s="387">
        <v>8</v>
      </c>
      <c r="E38" s="390" t="s">
        <v>473</v>
      </c>
      <c r="F38" s="391">
        <v>1136.8786000000002</v>
      </c>
      <c r="G38" s="392">
        <v>500.37</v>
      </c>
      <c r="H38" s="392">
        <v>503.33</v>
      </c>
      <c r="I38" s="393">
        <f t="shared" si="22"/>
        <v>1.0059156224393948</v>
      </c>
      <c r="J38" s="392">
        <v>5.83</v>
      </c>
      <c r="K38" s="393">
        <f>J38/G38</f>
        <v>1.1651377980294583E-2</v>
      </c>
      <c r="L38" s="392">
        <v>181.60999999999999</v>
      </c>
      <c r="M38" s="393">
        <f>(H38+J38)/G38</f>
        <v>1.0175670004196893</v>
      </c>
      <c r="N38" s="394">
        <v>1596.3519000000026</v>
      </c>
      <c r="O38" s="392">
        <v>6.2600000000000007</v>
      </c>
      <c r="P38" s="393">
        <f t="shared" si="16"/>
        <v>1.2510742050882349E-2</v>
      </c>
      <c r="Q38" s="395">
        <f t="shared" si="17"/>
        <v>2.5299999999999629</v>
      </c>
      <c r="R38" s="393">
        <f t="shared" si="18"/>
        <v>5.0562583688070085E-3</v>
      </c>
      <c r="S38" s="396">
        <f t="shared" si="19"/>
        <v>459.47329999999323</v>
      </c>
      <c r="T38" s="397" t="s">
        <v>430</v>
      </c>
      <c r="U38" s="397" t="s">
        <v>481</v>
      </c>
      <c r="V38" s="398" t="s">
        <v>492</v>
      </c>
      <c r="W38" s="398" t="s">
        <v>493</v>
      </c>
      <c r="X38" s="398">
        <v>1</v>
      </c>
      <c r="Y38" s="399" t="s">
        <v>472</v>
      </c>
    </row>
    <row r="39" spans="2:34" s="148" customFormat="1" ht="27" customHeight="1">
      <c r="B39" s="879"/>
      <c r="C39" s="880"/>
      <c r="D39" s="387">
        <v>9</v>
      </c>
      <c r="E39" s="390" t="s">
        <v>366</v>
      </c>
      <c r="F39" s="391">
        <v>1112.1695999999999</v>
      </c>
      <c r="G39" s="392">
        <v>269.95</v>
      </c>
      <c r="H39" s="392">
        <v>273.33000000000004</v>
      </c>
      <c r="I39" s="393">
        <f t="shared" si="22"/>
        <v>1.0125208371920729</v>
      </c>
      <c r="J39" s="392">
        <v>3.1399999999999997</v>
      </c>
      <c r="K39" s="393">
        <f t="shared" ref="K39:K50" si="23">J39/G39</f>
        <v>1.1631783663641414E-2</v>
      </c>
      <c r="L39" s="392">
        <v>253.92000000000002</v>
      </c>
      <c r="M39" s="393">
        <f t="shared" ref="M39:M50" si="24">(H39+J39)/G39</f>
        <v>1.0241526208557141</v>
      </c>
      <c r="N39" s="394">
        <v>1655.5583999999992</v>
      </c>
      <c r="O39" s="392">
        <v>4.38</v>
      </c>
      <c r="P39" s="393">
        <f t="shared" si="16"/>
        <v>1.6225226893869234E-2</v>
      </c>
      <c r="Q39" s="395">
        <f t="shared" si="17"/>
        <v>2.1400000000000388</v>
      </c>
      <c r="R39" s="393">
        <f t="shared" si="18"/>
        <v>7.9273939618449297E-3</v>
      </c>
      <c r="S39" s="396">
        <f t="shared" si="19"/>
        <v>543.38880000000984</v>
      </c>
      <c r="T39" s="397" t="s">
        <v>430</v>
      </c>
      <c r="U39" s="397" t="s">
        <v>481</v>
      </c>
      <c r="V39" s="398" t="s">
        <v>561</v>
      </c>
      <c r="W39" s="398" t="s">
        <v>590</v>
      </c>
      <c r="X39" s="398">
        <v>1</v>
      </c>
      <c r="Y39" s="399" t="s">
        <v>358</v>
      </c>
    </row>
    <row r="40" spans="2:34" s="148" customFormat="1" ht="27" customHeight="1">
      <c r="B40" s="879"/>
      <c r="C40" s="880"/>
      <c r="D40" s="387">
        <v>10</v>
      </c>
      <c r="E40" s="390" t="s">
        <v>505</v>
      </c>
      <c r="F40" s="391">
        <v>1092.2447</v>
      </c>
      <c r="G40" s="392">
        <v>291.83</v>
      </c>
      <c r="H40" s="392">
        <v>290.44</v>
      </c>
      <c r="I40" s="393">
        <f t="shared" si="22"/>
        <v>0.99523695302059423</v>
      </c>
      <c r="J40" s="392">
        <v>12.280000000000001</v>
      </c>
      <c r="K40" s="393">
        <f t="shared" si="23"/>
        <v>4.207929273892335E-2</v>
      </c>
      <c r="L40" s="392">
        <v>153.19000000000003</v>
      </c>
      <c r="M40" s="393">
        <f t="shared" si="24"/>
        <v>1.0373162457595178</v>
      </c>
      <c r="N40" s="394">
        <v>1668.2391000000011</v>
      </c>
      <c r="O40" s="392">
        <v>7.13</v>
      </c>
      <c r="P40" s="393">
        <f t="shared" si="16"/>
        <v>2.4432032347599632E-2</v>
      </c>
      <c r="Q40" s="395">
        <f t="shared" si="17"/>
        <v>3.7600000000000433</v>
      </c>
      <c r="R40" s="393">
        <f t="shared" si="18"/>
        <v>1.2884213411918047E-2</v>
      </c>
      <c r="S40" s="396">
        <f t="shared" si="19"/>
        <v>575.99440000000675</v>
      </c>
      <c r="T40" s="397" t="s">
        <v>430</v>
      </c>
      <c r="U40" s="397" t="s">
        <v>481</v>
      </c>
      <c r="V40" s="398" t="s">
        <v>715</v>
      </c>
      <c r="W40" s="398" t="s">
        <v>494</v>
      </c>
      <c r="X40" s="398">
        <v>1</v>
      </c>
      <c r="Y40" s="399" t="s">
        <v>506</v>
      </c>
    </row>
    <row r="41" spans="2:34" s="148" customFormat="1" ht="27" customHeight="1">
      <c r="B41" s="879"/>
      <c r="C41" s="880"/>
      <c r="D41" s="387">
        <v>11</v>
      </c>
      <c r="E41" s="390" t="s">
        <v>644</v>
      </c>
      <c r="F41" s="391">
        <v>1061.0483999999999</v>
      </c>
      <c r="G41" s="392">
        <v>1219.52</v>
      </c>
      <c r="H41" s="392">
        <v>1160.2</v>
      </c>
      <c r="I41" s="393">
        <f t="shared" si="22"/>
        <v>0.95135791130936764</v>
      </c>
      <c r="J41" s="392">
        <v>73.8</v>
      </c>
      <c r="K41" s="393">
        <f t="shared" si="23"/>
        <v>6.0515612700078721E-2</v>
      </c>
      <c r="L41" s="392">
        <v>139.97999999999999</v>
      </c>
      <c r="M41" s="393">
        <f t="shared" si="24"/>
        <v>1.0118735240094463</v>
      </c>
      <c r="N41" s="394">
        <v>2026.9104000000025</v>
      </c>
      <c r="O41" s="392">
        <v>7.58</v>
      </c>
      <c r="P41" s="393">
        <f t="shared" si="16"/>
        <v>6.2155602204145895E-3</v>
      </c>
      <c r="Q41" s="395">
        <f t="shared" si="17"/>
        <v>6.9000000000000181</v>
      </c>
      <c r="R41" s="393">
        <f t="shared" si="18"/>
        <v>5.6579637890317655E-3</v>
      </c>
      <c r="S41" s="396">
        <f t="shared" si="19"/>
        <v>965.86200000000247</v>
      </c>
      <c r="T41" s="397" t="s">
        <v>430</v>
      </c>
      <c r="U41" s="397" t="s">
        <v>481</v>
      </c>
      <c r="V41" s="398" t="s">
        <v>716</v>
      </c>
      <c r="W41" s="398" t="s">
        <v>494</v>
      </c>
      <c r="X41" s="398">
        <v>1</v>
      </c>
      <c r="Y41" s="399" t="s">
        <v>641</v>
      </c>
    </row>
    <row r="42" spans="2:34" s="148" customFormat="1" ht="27" customHeight="1">
      <c r="B42" s="879"/>
      <c r="C42" s="880"/>
      <c r="D42" s="387">
        <v>12</v>
      </c>
      <c r="E42" s="390" t="s">
        <v>694</v>
      </c>
      <c r="F42" s="391">
        <v>1038.5495999999998</v>
      </c>
      <c r="G42" s="392">
        <v>268.02</v>
      </c>
      <c r="H42" s="392">
        <v>272.64000000000004</v>
      </c>
      <c r="I42" s="393">
        <f t="shared" si="22"/>
        <v>1.0172375195880907</v>
      </c>
      <c r="J42" s="392">
        <v>3.88</v>
      </c>
      <c r="K42" s="393">
        <f t="shared" si="23"/>
        <v>1.4476531602119246E-2</v>
      </c>
      <c r="L42" s="392">
        <v>174.83999999999997</v>
      </c>
      <c r="M42" s="393">
        <f t="shared" si="24"/>
        <v>1.0317140511902099</v>
      </c>
      <c r="N42" s="394">
        <v>1486.1400000000026</v>
      </c>
      <c r="O42" s="392">
        <v>5.9399999999999995</v>
      </c>
      <c r="P42" s="393">
        <f t="shared" si="16"/>
        <v>2.2162525184687708E-2</v>
      </c>
      <c r="Q42" s="395">
        <f t="shared" si="17"/>
        <v>2.5600000000000573</v>
      </c>
      <c r="R42" s="393">
        <f t="shared" si="18"/>
        <v>9.5515260055221898E-3</v>
      </c>
      <c r="S42" s="396">
        <f t="shared" si="19"/>
        <v>447.59040000000994</v>
      </c>
      <c r="T42" s="397" t="s">
        <v>430</v>
      </c>
      <c r="U42" s="397" t="s">
        <v>481</v>
      </c>
      <c r="V42" s="398" t="s">
        <v>717</v>
      </c>
      <c r="W42" s="398" t="s">
        <v>494</v>
      </c>
      <c r="X42" s="398">
        <v>1</v>
      </c>
      <c r="Y42" s="399" t="s">
        <v>698</v>
      </c>
    </row>
    <row r="43" spans="2:34" s="148" customFormat="1" ht="27" customHeight="1">
      <c r="B43" s="879"/>
      <c r="C43" s="880"/>
      <c r="D43" s="387">
        <v>13</v>
      </c>
      <c r="E43" s="390" t="s">
        <v>434</v>
      </c>
      <c r="F43" s="391">
        <v>1034.0485000000001</v>
      </c>
      <c r="G43" s="392">
        <v>1865.9699999999998</v>
      </c>
      <c r="H43" s="392">
        <v>1877.1100000000001</v>
      </c>
      <c r="I43" s="393">
        <f t="shared" si="22"/>
        <v>1.0059700852639648</v>
      </c>
      <c r="J43" s="392">
        <v>5.68</v>
      </c>
      <c r="K43" s="393">
        <f t="shared" si="23"/>
        <v>3.0439932046067196E-3</v>
      </c>
      <c r="L43" s="392">
        <v>157.87000000000003</v>
      </c>
      <c r="M43" s="393">
        <f t="shared" si="24"/>
        <v>1.0090140784685715</v>
      </c>
      <c r="N43" s="394">
        <v>2655.3734000000213</v>
      </c>
      <c r="O43" s="392">
        <v>6.55</v>
      </c>
      <c r="P43" s="393">
        <f t="shared" si="16"/>
        <v>3.5102386426362699E-3</v>
      </c>
      <c r="Q43" s="395">
        <f t="shared" si="17"/>
        <v>10.27000000000039</v>
      </c>
      <c r="R43" s="393">
        <f t="shared" si="18"/>
        <v>5.5038398259352464E-3</v>
      </c>
      <c r="S43" s="396">
        <f t="shared" si="19"/>
        <v>1621.3249000000619</v>
      </c>
      <c r="T43" s="397" t="s">
        <v>430</v>
      </c>
      <c r="U43" s="397" t="s">
        <v>481</v>
      </c>
      <c r="V43" s="398" t="s">
        <v>492</v>
      </c>
      <c r="W43" s="398" t="s">
        <v>493</v>
      </c>
      <c r="X43" s="398">
        <v>1</v>
      </c>
      <c r="Y43" s="399" t="s">
        <v>342</v>
      </c>
    </row>
    <row r="44" spans="2:34" s="148" customFormat="1" ht="27" customHeight="1">
      <c r="B44" s="879"/>
      <c r="C44" s="880"/>
      <c r="D44" s="387">
        <v>14</v>
      </c>
      <c r="E44" s="390" t="s">
        <v>519</v>
      </c>
      <c r="F44" s="391">
        <v>1029.7839999999999</v>
      </c>
      <c r="G44" s="392">
        <v>235.58</v>
      </c>
      <c r="H44" s="392">
        <v>241.45</v>
      </c>
      <c r="I44" s="393">
        <f t="shared" si="22"/>
        <v>1.0249172255709311</v>
      </c>
      <c r="J44" s="392">
        <v>6.58</v>
      </c>
      <c r="K44" s="393">
        <f t="shared" si="23"/>
        <v>2.7931063757534593E-2</v>
      </c>
      <c r="L44" s="392">
        <v>145.04</v>
      </c>
      <c r="M44" s="393">
        <f t="shared" si="24"/>
        <v>1.0528482893284659</v>
      </c>
      <c r="N44" s="394">
        <v>1805.7480000000003</v>
      </c>
      <c r="O44" s="392">
        <v>7.1</v>
      </c>
      <c r="P44" s="393">
        <f t="shared" si="16"/>
        <v>3.0138381866032769E-2</v>
      </c>
      <c r="Q44" s="395">
        <f t="shared" si="17"/>
        <v>5.349999999999989</v>
      </c>
      <c r="R44" s="393">
        <f t="shared" si="18"/>
        <v>2.2709907462433097E-2</v>
      </c>
      <c r="S44" s="396">
        <f t="shared" si="19"/>
        <v>775.96399999999835</v>
      </c>
      <c r="T44" s="397" t="s">
        <v>430</v>
      </c>
      <c r="U44" s="397" t="s">
        <v>481</v>
      </c>
      <c r="V44" s="398" t="s">
        <v>562</v>
      </c>
      <c r="W44" s="398" t="s">
        <v>549</v>
      </c>
      <c r="X44" s="398">
        <v>1</v>
      </c>
      <c r="Y44" s="399" t="s">
        <v>343</v>
      </c>
    </row>
    <row r="45" spans="2:34" s="148" customFormat="1" ht="27" customHeight="1">
      <c r="B45" s="879"/>
      <c r="C45" s="880"/>
      <c r="D45" s="387">
        <v>15</v>
      </c>
      <c r="E45" s="390" t="s">
        <v>544</v>
      </c>
      <c r="F45" s="391">
        <v>1029.231</v>
      </c>
      <c r="G45" s="392">
        <v>639.98</v>
      </c>
      <c r="H45" s="392">
        <v>654.64</v>
      </c>
      <c r="I45" s="393">
        <f t="shared" si="22"/>
        <v>1.0229069658426826</v>
      </c>
      <c r="J45" s="392">
        <v>0</v>
      </c>
      <c r="K45" s="393">
        <f t="shared" si="23"/>
        <v>0</v>
      </c>
      <c r="L45" s="392">
        <v>110.66999999999999</v>
      </c>
      <c r="M45" s="393">
        <f t="shared" si="24"/>
        <v>1.0229069658426826</v>
      </c>
      <c r="N45" s="394">
        <v>1622.4221999999966</v>
      </c>
      <c r="O45" s="392">
        <v>9.3000000000000007</v>
      </c>
      <c r="P45" s="393">
        <f t="shared" si="16"/>
        <v>1.4531704115753618E-2</v>
      </c>
      <c r="Q45" s="395">
        <f t="shared" si="17"/>
        <v>5.3599999999999675</v>
      </c>
      <c r="R45" s="393">
        <f t="shared" si="18"/>
        <v>8.3752617269289148E-3</v>
      </c>
      <c r="S45" s="396">
        <f t="shared" si="19"/>
        <v>593.19119999999634</v>
      </c>
      <c r="T45" s="397" t="s">
        <v>430</v>
      </c>
      <c r="U45" s="397" t="s">
        <v>481</v>
      </c>
      <c r="V45" s="398" t="s">
        <v>550</v>
      </c>
      <c r="W45" s="398" t="s">
        <v>518</v>
      </c>
      <c r="X45" s="398">
        <v>1</v>
      </c>
      <c r="Y45" s="399" t="s">
        <v>514</v>
      </c>
    </row>
    <row r="46" spans="2:34" s="148" customFormat="1" ht="27" customHeight="1">
      <c r="B46" s="879"/>
      <c r="C46" s="880"/>
      <c r="D46" s="387">
        <v>16</v>
      </c>
      <c r="E46" s="390" t="s">
        <v>695</v>
      </c>
      <c r="F46" s="391">
        <v>1027.7567999999999</v>
      </c>
      <c r="G46" s="392">
        <v>159.57999999999998</v>
      </c>
      <c r="H46" s="392">
        <v>178.72000000000003</v>
      </c>
      <c r="I46" s="393">
        <f t="shared" si="22"/>
        <v>1.1199398420854747</v>
      </c>
      <c r="J46" s="392">
        <v>0</v>
      </c>
      <c r="K46" s="393">
        <f t="shared" si="23"/>
        <v>0</v>
      </c>
      <c r="L46" s="392">
        <v>76.470000000000013</v>
      </c>
      <c r="M46" s="393">
        <f t="shared" si="24"/>
        <v>1.1199398420854747</v>
      </c>
      <c r="N46" s="394">
        <v>1463.6358</v>
      </c>
      <c r="O46" s="392">
        <v>13.439999999999998</v>
      </c>
      <c r="P46" s="393">
        <f t="shared" si="16"/>
        <v>8.4221080335881687E-2</v>
      </c>
      <c r="Q46" s="395">
        <f t="shared" si="17"/>
        <v>5.7000000000000455</v>
      </c>
      <c r="R46" s="393">
        <f t="shared" si="18"/>
        <v>3.5718761749592973E-2</v>
      </c>
      <c r="S46" s="396">
        <f t="shared" si="19"/>
        <v>435.87900000000354</v>
      </c>
      <c r="T46" s="397" t="s">
        <v>430</v>
      </c>
      <c r="U46" s="397" t="s">
        <v>481</v>
      </c>
      <c r="V46" s="398" t="s">
        <v>550</v>
      </c>
      <c r="W46" s="398" t="s">
        <v>518</v>
      </c>
      <c r="X46" s="398">
        <v>1</v>
      </c>
      <c r="Y46" s="399" t="s">
        <v>342</v>
      </c>
      <c r="AC46" s="403"/>
    </row>
    <row r="47" spans="2:34" s="148" customFormat="1" ht="27" customHeight="1">
      <c r="B47" s="879"/>
      <c r="C47" s="880"/>
      <c r="D47" s="387">
        <v>17</v>
      </c>
      <c r="E47" s="390" t="s">
        <v>696</v>
      </c>
      <c r="F47" s="391">
        <v>1025.0650000000001</v>
      </c>
      <c r="G47" s="392">
        <v>130.61000000000001</v>
      </c>
      <c r="H47" s="392">
        <v>136.13</v>
      </c>
      <c r="I47" s="393">
        <f t="shared" si="22"/>
        <v>1.0422632263992035</v>
      </c>
      <c r="J47" s="392">
        <v>7.48</v>
      </c>
      <c r="K47" s="393">
        <f t="shared" si="23"/>
        <v>5.7269734323558683E-2</v>
      </c>
      <c r="L47" s="392">
        <v>109.75</v>
      </c>
      <c r="M47" s="393">
        <f t="shared" si="24"/>
        <v>1.0995329607227622</v>
      </c>
      <c r="N47" s="394">
        <v>1426.7500000000009</v>
      </c>
      <c r="O47" s="392">
        <v>9.34</v>
      </c>
      <c r="P47" s="393">
        <f t="shared" si="16"/>
        <v>7.1510604088507762E-2</v>
      </c>
      <c r="Q47" s="395">
        <f t="shared" si="17"/>
        <v>3.6599999999999717</v>
      </c>
      <c r="R47" s="393">
        <f t="shared" si="18"/>
        <v>2.8022356634254432E-2</v>
      </c>
      <c r="S47" s="396">
        <f t="shared" si="19"/>
        <v>401.68499999999688</v>
      </c>
      <c r="T47" s="397" t="s">
        <v>430</v>
      </c>
      <c r="U47" s="397" t="s">
        <v>481</v>
      </c>
      <c r="V47" s="398" t="s">
        <v>717</v>
      </c>
      <c r="W47" s="398" t="s">
        <v>494</v>
      </c>
      <c r="X47" s="398">
        <v>1</v>
      </c>
      <c r="Y47" s="399" t="s">
        <v>681</v>
      </c>
      <c r="AB47" s="405"/>
      <c r="AC47" s="403"/>
    </row>
    <row r="48" spans="2:34" s="148" customFormat="1" ht="27" customHeight="1">
      <c r="B48" s="879"/>
      <c r="C48" s="880"/>
      <c r="D48" s="387">
        <v>18</v>
      </c>
      <c r="E48" s="390" t="s">
        <v>543</v>
      </c>
      <c r="F48" s="391">
        <v>1019.9358000000001</v>
      </c>
      <c r="G48" s="392">
        <v>224.83999999999997</v>
      </c>
      <c r="H48" s="392">
        <v>231.02</v>
      </c>
      <c r="I48" s="393">
        <f t="shared" si="22"/>
        <v>1.0274862124177195</v>
      </c>
      <c r="J48" s="392">
        <v>1.49</v>
      </c>
      <c r="K48" s="393">
        <f t="shared" si="23"/>
        <v>6.6269347091264903E-3</v>
      </c>
      <c r="L48" s="392">
        <v>203.57999999999998</v>
      </c>
      <c r="M48" s="393">
        <f t="shared" si="24"/>
        <v>1.0341131471268459</v>
      </c>
      <c r="N48" s="394">
        <v>1561.4586000000018</v>
      </c>
      <c r="O48" s="392">
        <v>5.01</v>
      </c>
      <c r="P48" s="393">
        <f t="shared" si="16"/>
        <v>2.2282512008539406E-2</v>
      </c>
      <c r="Q48" s="395">
        <f t="shared" si="17"/>
        <v>2.6600000000000446</v>
      </c>
      <c r="R48" s="393">
        <f t="shared" si="18"/>
        <v>1.1830635118306551E-2</v>
      </c>
      <c r="S48" s="396">
        <f t="shared" si="19"/>
        <v>541.52280000000906</v>
      </c>
      <c r="T48" s="397" t="s">
        <v>430</v>
      </c>
      <c r="U48" s="397" t="s">
        <v>481</v>
      </c>
      <c r="V48" s="398" t="s">
        <v>492</v>
      </c>
      <c r="W48" s="398" t="s">
        <v>493</v>
      </c>
      <c r="X48" s="398">
        <v>1</v>
      </c>
      <c r="Y48" s="399" t="s">
        <v>344</v>
      </c>
      <c r="AC48" s="403"/>
    </row>
    <row r="49" spans="2:34" s="148" customFormat="1" ht="27" customHeight="1">
      <c r="B49" s="879"/>
      <c r="C49" s="880"/>
      <c r="D49" s="387">
        <v>19</v>
      </c>
      <c r="E49" s="390" t="s">
        <v>647</v>
      </c>
      <c r="F49" s="391">
        <v>1012.8299999999999</v>
      </c>
      <c r="G49" s="392">
        <v>263.26</v>
      </c>
      <c r="H49" s="392">
        <v>261.17</v>
      </c>
      <c r="I49" s="393">
        <f t="shared" si="22"/>
        <v>0.99206108030084339</v>
      </c>
      <c r="J49" s="392">
        <v>14.89</v>
      </c>
      <c r="K49" s="393">
        <f t="shared" si="23"/>
        <v>5.6560054698776882E-2</v>
      </c>
      <c r="L49" s="392">
        <v>155.81999999999996</v>
      </c>
      <c r="M49" s="393">
        <f t="shared" si="24"/>
        <v>1.0486211349996202</v>
      </c>
      <c r="N49" s="394">
        <v>1994.496000000001</v>
      </c>
      <c r="O49" s="392">
        <v>6.5</v>
      </c>
      <c r="P49" s="393">
        <f t="shared" si="16"/>
        <v>2.4690420116994606E-2</v>
      </c>
      <c r="Q49" s="395">
        <f t="shared" si="17"/>
        <v>6.3000000000000114</v>
      </c>
      <c r="R49" s="393">
        <f t="shared" si="18"/>
        <v>2.3930714882625586E-2</v>
      </c>
      <c r="S49" s="396">
        <f t="shared" si="19"/>
        <v>981.66600000000153</v>
      </c>
      <c r="T49" s="397" t="s">
        <v>430</v>
      </c>
      <c r="U49" s="397" t="s">
        <v>481</v>
      </c>
      <c r="V49" s="398" t="s">
        <v>492</v>
      </c>
      <c r="W49" s="398" t="s">
        <v>493</v>
      </c>
      <c r="X49" s="398">
        <v>1</v>
      </c>
      <c r="Y49" s="399" t="s">
        <v>536</v>
      </c>
      <c r="AB49" s="406"/>
      <c r="AC49" s="403"/>
    </row>
    <row r="50" spans="2:34" s="148" customFormat="1" ht="27" customHeight="1">
      <c r="B50" s="881"/>
      <c r="C50" s="882"/>
      <c r="D50" s="387">
        <v>20</v>
      </c>
      <c r="E50" s="390" t="s">
        <v>588</v>
      </c>
      <c r="F50" s="391">
        <v>1003.5392000000001</v>
      </c>
      <c r="G50" s="392">
        <v>84.31</v>
      </c>
      <c r="H50" s="392">
        <v>88.889999999999986</v>
      </c>
      <c r="I50" s="393">
        <f t="shared" si="22"/>
        <v>1.0543233305657691</v>
      </c>
      <c r="J50" s="392">
        <v>2.59</v>
      </c>
      <c r="K50" s="393">
        <f t="shared" si="23"/>
        <v>3.0719962044834535E-2</v>
      </c>
      <c r="L50" s="392">
        <v>216.28</v>
      </c>
      <c r="M50" s="393">
        <f t="shared" si="24"/>
        <v>1.0850432926106035</v>
      </c>
      <c r="N50" s="394">
        <v>1550.7275999999999</v>
      </c>
      <c r="O50" s="392">
        <v>4.6399999999999997</v>
      </c>
      <c r="P50" s="393">
        <f t="shared" si="16"/>
        <v>5.5034989918159166E-2</v>
      </c>
      <c r="Q50" s="395">
        <f t="shared" si="17"/>
        <v>2.5299999999999878</v>
      </c>
      <c r="R50" s="393">
        <f t="shared" si="18"/>
        <v>3.0008302692444404E-2</v>
      </c>
      <c r="S50" s="396">
        <f t="shared" si="19"/>
        <v>547.18839999999739</v>
      </c>
      <c r="T50" s="397" t="s">
        <v>430</v>
      </c>
      <c r="U50" s="397" t="s">
        <v>481</v>
      </c>
      <c r="V50" s="398" t="s">
        <v>564</v>
      </c>
      <c r="W50" s="398" t="s">
        <v>493</v>
      </c>
      <c r="X50" s="398">
        <v>1</v>
      </c>
      <c r="Y50" s="399" t="s">
        <v>344</v>
      </c>
      <c r="AB50" s="406"/>
      <c r="AC50" s="403"/>
    </row>
    <row r="51" spans="2:34" ht="17.100000000000001" customHeight="1">
      <c r="B51" s="896" t="s">
        <v>478</v>
      </c>
      <c r="C51" s="897"/>
      <c r="D51" s="893" t="s">
        <v>170</v>
      </c>
      <c r="E51" s="893"/>
      <c r="F51" s="893"/>
      <c r="G51" s="893" t="s">
        <v>184</v>
      </c>
      <c r="H51" s="893"/>
      <c r="I51" s="893"/>
      <c r="J51" s="893"/>
      <c r="K51" s="893"/>
      <c r="L51" s="893"/>
      <c r="M51" s="893"/>
      <c r="N51" s="893"/>
      <c r="O51" s="893"/>
      <c r="P51" s="893"/>
      <c r="Q51" s="893"/>
      <c r="R51" s="893"/>
      <c r="S51" s="893"/>
      <c r="T51" s="893" t="s">
        <v>171</v>
      </c>
      <c r="U51" s="883" t="s">
        <v>245</v>
      </c>
      <c r="V51" s="902" t="s">
        <v>479</v>
      </c>
      <c r="W51" s="902" t="s">
        <v>480</v>
      </c>
      <c r="X51" s="905" t="s">
        <v>246</v>
      </c>
      <c r="Y51" s="894" t="s">
        <v>172</v>
      </c>
      <c r="AA51" s="883" t="s">
        <v>247</v>
      </c>
      <c r="AB51" s="884"/>
      <c r="AC51" s="884"/>
      <c r="AD51" s="884"/>
      <c r="AE51" s="884"/>
      <c r="AF51" s="884"/>
      <c r="AG51" s="884"/>
      <c r="AH51" s="885"/>
    </row>
    <row r="52" spans="2:34" ht="17.100000000000001" customHeight="1">
      <c r="B52" s="898"/>
      <c r="C52" s="899"/>
      <c r="D52" s="892" t="s">
        <v>169</v>
      </c>
      <c r="E52" s="893" t="s">
        <v>173</v>
      </c>
      <c r="F52" s="893"/>
      <c r="G52" s="893" t="s">
        <v>185</v>
      </c>
      <c r="H52" s="893"/>
      <c r="I52" s="893"/>
      <c r="J52" s="893"/>
      <c r="K52" s="893"/>
      <c r="L52" s="893"/>
      <c r="M52" s="893"/>
      <c r="N52" s="893"/>
      <c r="O52" s="893" t="s">
        <v>174</v>
      </c>
      <c r="P52" s="893"/>
      <c r="Q52" s="893"/>
      <c r="R52" s="893"/>
      <c r="S52" s="893"/>
      <c r="T52" s="893"/>
      <c r="U52" s="886"/>
      <c r="V52" s="903"/>
      <c r="W52" s="903"/>
      <c r="X52" s="906"/>
      <c r="Y52" s="894"/>
      <c r="AA52" s="886"/>
      <c r="AB52" s="887"/>
      <c r="AC52" s="887"/>
      <c r="AD52" s="887"/>
      <c r="AE52" s="887"/>
      <c r="AF52" s="887"/>
      <c r="AG52" s="887"/>
      <c r="AH52" s="888"/>
    </row>
    <row r="53" spans="2:34" ht="17.100000000000001" customHeight="1">
      <c r="B53" s="898"/>
      <c r="C53" s="899"/>
      <c r="D53" s="892"/>
      <c r="E53" s="892" t="s">
        <v>175</v>
      </c>
      <c r="F53" s="894" t="s">
        <v>248</v>
      </c>
      <c r="G53" s="895" t="s">
        <v>186</v>
      </c>
      <c r="H53" s="895"/>
      <c r="I53" s="895"/>
      <c r="J53" s="895"/>
      <c r="K53" s="895"/>
      <c r="L53" s="895"/>
      <c r="M53" s="895"/>
      <c r="N53" s="895"/>
      <c r="O53" s="895" t="s">
        <v>168</v>
      </c>
      <c r="P53" s="895"/>
      <c r="Q53" s="895" t="s">
        <v>176</v>
      </c>
      <c r="R53" s="895"/>
      <c r="S53" s="895"/>
      <c r="T53" s="893"/>
      <c r="U53" s="886"/>
      <c r="V53" s="903"/>
      <c r="W53" s="903"/>
      <c r="X53" s="906"/>
      <c r="Y53" s="894"/>
      <c r="AA53" s="889"/>
      <c r="AB53" s="890"/>
      <c r="AC53" s="890"/>
      <c r="AD53" s="890"/>
      <c r="AE53" s="890"/>
      <c r="AF53" s="890"/>
      <c r="AG53" s="890"/>
      <c r="AH53" s="891"/>
    </row>
    <row r="54" spans="2:34" ht="38.450000000000003" customHeight="1">
      <c r="B54" s="900"/>
      <c r="C54" s="901"/>
      <c r="D54" s="892"/>
      <c r="E54" s="892"/>
      <c r="F54" s="894"/>
      <c r="G54" s="388" t="s">
        <v>177</v>
      </c>
      <c r="H54" s="388" t="s">
        <v>252</v>
      </c>
      <c r="I54" s="388" t="s">
        <v>253</v>
      </c>
      <c r="J54" s="388" t="s">
        <v>178</v>
      </c>
      <c r="K54" s="388" t="s">
        <v>250</v>
      </c>
      <c r="L54" s="388" t="s">
        <v>179</v>
      </c>
      <c r="M54" s="388" t="s">
        <v>187</v>
      </c>
      <c r="N54" s="388" t="s">
        <v>180</v>
      </c>
      <c r="O54" s="389" t="s">
        <v>181</v>
      </c>
      <c r="P54" s="389" t="s">
        <v>182</v>
      </c>
      <c r="Q54" s="389" t="s">
        <v>181</v>
      </c>
      <c r="R54" s="389" t="s">
        <v>182</v>
      </c>
      <c r="S54" s="388" t="s">
        <v>183</v>
      </c>
      <c r="T54" s="893"/>
      <c r="U54" s="889"/>
      <c r="V54" s="904"/>
      <c r="W54" s="904"/>
      <c r="X54" s="907"/>
      <c r="Y54" s="894"/>
      <c r="AA54" s="161" t="s">
        <v>244</v>
      </c>
      <c r="AB54" s="161" t="s">
        <v>481</v>
      </c>
      <c r="AC54" s="156" t="s">
        <v>395</v>
      </c>
      <c r="AD54" s="156" t="s">
        <v>339</v>
      </c>
      <c r="AE54" s="156" t="s">
        <v>460</v>
      </c>
      <c r="AF54" s="156" t="s">
        <v>215</v>
      </c>
      <c r="AG54" s="156" t="s">
        <v>216</v>
      </c>
      <c r="AH54" s="156" t="s">
        <v>396</v>
      </c>
    </row>
    <row r="55" spans="2:34" s="148" customFormat="1" ht="27" customHeight="1">
      <c r="B55" s="877" t="s">
        <v>684</v>
      </c>
      <c r="C55" s="878"/>
      <c r="D55" s="387">
        <v>1</v>
      </c>
      <c r="E55" s="390" t="s">
        <v>693</v>
      </c>
      <c r="F55" s="391">
        <v>2579.8399999999997</v>
      </c>
      <c r="G55" s="392">
        <v>192232</v>
      </c>
      <c r="H55" s="392">
        <v>189488</v>
      </c>
      <c r="I55" s="393">
        <f>H55/G55</f>
        <v>0.98572558158891344</v>
      </c>
      <c r="J55" s="392">
        <v>4968</v>
      </c>
      <c r="K55" s="393">
        <f>J55/G55</f>
        <v>2.5843772108701986E-2</v>
      </c>
      <c r="L55" s="392">
        <v>1.1599999999999999</v>
      </c>
      <c r="M55" s="393">
        <f>(H55+J55)/G55</f>
        <v>1.0115693536976154</v>
      </c>
      <c r="N55" s="394">
        <v>2579.8399999999997</v>
      </c>
      <c r="O55" s="392">
        <v>2224</v>
      </c>
      <c r="P55" s="393">
        <f>O55/G55</f>
        <v>1.1569353697615381E-2</v>
      </c>
      <c r="Q55" s="395">
        <f>((H55+J55)-G55)-O55</f>
        <v>0</v>
      </c>
      <c r="R55" s="393">
        <f>Q55/G55</f>
        <v>0</v>
      </c>
      <c r="S55" s="396">
        <f>Q55*L55</f>
        <v>0</v>
      </c>
      <c r="T55" s="397" t="s">
        <v>430</v>
      </c>
      <c r="U55" s="397" t="s">
        <v>339</v>
      </c>
      <c r="V55" s="398"/>
      <c r="W55" s="398"/>
      <c r="X55" s="398">
        <v>1</v>
      </c>
      <c r="Y55" s="399" t="s">
        <v>342</v>
      </c>
      <c r="Z55" s="400" t="s">
        <v>482</v>
      </c>
      <c r="AA55" s="410">
        <f>SUM(X55:X74)</f>
        <v>20</v>
      </c>
      <c r="AB55" s="402">
        <f>SUMIF($U$55:$U$74,TRIM(AB54),$X$55:$X$74)</f>
        <v>15</v>
      </c>
      <c r="AC55" s="402">
        <f t="shared" ref="AC55:AH55" si="25">SUMIF($U$55:$U$74,TRIM(AC54),$X$55:$X$74)</f>
        <v>0</v>
      </c>
      <c r="AD55" s="402">
        <f t="shared" si="25"/>
        <v>4</v>
      </c>
      <c r="AE55" s="402">
        <f t="shared" si="25"/>
        <v>0</v>
      </c>
      <c r="AF55" s="402">
        <f t="shared" si="25"/>
        <v>0</v>
      </c>
      <c r="AG55" s="402">
        <f t="shared" si="25"/>
        <v>1</v>
      </c>
      <c r="AH55" s="402">
        <f t="shared" si="25"/>
        <v>0</v>
      </c>
    </row>
    <row r="56" spans="2:34" s="148" customFormat="1" ht="27" customHeight="1">
      <c r="B56" s="879"/>
      <c r="C56" s="880"/>
      <c r="D56" s="387">
        <v>2</v>
      </c>
      <c r="E56" s="390" t="s">
        <v>335</v>
      </c>
      <c r="F56" s="391">
        <v>2564.6999999999998</v>
      </c>
      <c r="G56" s="392">
        <v>54880</v>
      </c>
      <c r="H56" s="392">
        <v>54165</v>
      </c>
      <c r="I56" s="393">
        <f t="shared" ref="I56:I74" si="26">H56/G56</f>
        <v>0.98697157434402327</v>
      </c>
      <c r="J56" s="392">
        <v>882</v>
      </c>
      <c r="K56" s="393">
        <f t="shared" ref="K56:K74" si="27">J56/G56</f>
        <v>1.607142857142857E-2</v>
      </c>
      <c r="L56" s="392">
        <v>15.450000000000001</v>
      </c>
      <c r="M56" s="393">
        <f t="shared" ref="M56:M61" si="28">(H56+J56)/G56</f>
        <v>1.0030430029154518</v>
      </c>
      <c r="N56" s="394">
        <v>2580.15</v>
      </c>
      <c r="O56" s="392">
        <v>166</v>
      </c>
      <c r="P56" s="393">
        <f t="shared" ref="P56:P74" si="29">O56/G56</f>
        <v>3.0247813411078718E-3</v>
      </c>
      <c r="Q56" s="395">
        <f t="shared" ref="Q56:Q74" si="30">((H56+J56)-G56)-O56</f>
        <v>1</v>
      </c>
      <c r="R56" s="393">
        <f t="shared" ref="R56:R74" si="31">Q56/G56</f>
        <v>1.8221574344023323E-5</v>
      </c>
      <c r="S56" s="396">
        <f t="shared" ref="S56:S74" si="32">Q56*L56</f>
        <v>15.450000000000001</v>
      </c>
      <c r="T56" s="397" t="s">
        <v>430</v>
      </c>
      <c r="U56" s="397" t="s">
        <v>515</v>
      </c>
      <c r="V56" s="398"/>
      <c r="W56" s="398"/>
      <c r="X56" s="398">
        <v>1</v>
      </c>
      <c r="Y56" s="399" t="s">
        <v>697</v>
      </c>
      <c r="AA56" s="411"/>
      <c r="AB56" s="408">
        <f>SUMIF($U$55:$U$74,TRIM(AB54),$F$55:$F$74)</f>
        <v>18174.7857</v>
      </c>
      <c r="AC56" s="408">
        <f t="shared" ref="AC56:AH56" si="33">SUMIF($U$55:$U$74,TRIM(AC54),$F$55:$F$74)</f>
        <v>0</v>
      </c>
      <c r="AD56" s="408">
        <f t="shared" si="33"/>
        <v>7453.9099999999989</v>
      </c>
      <c r="AE56" s="408">
        <f t="shared" si="33"/>
        <v>0</v>
      </c>
      <c r="AF56" s="408">
        <f t="shared" si="33"/>
        <v>0</v>
      </c>
      <c r="AG56" s="408">
        <f t="shared" si="33"/>
        <v>2564.6999999999998</v>
      </c>
      <c r="AH56" s="408">
        <f t="shared" si="33"/>
        <v>0</v>
      </c>
    </row>
    <row r="57" spans="2:34" s="148" customFormat="1" ht="27" customHeight="1">
      <c r="B57" s="879"/>
      <c r="C57" s="880"/>
      <c r="D57" s="387">
        <v>3</v>
      </c>
      <c r="E57" s="390" t="s">
        <v>484</v>
      </c>
      <c r="F57" s="391">
        <v>1839.9499999999998</v>
      </c>
      <c r="G57" s="392">
        <v>162509</v>
      </c>
      <c r="H57" s="392">
        <v>163260</v>
      </c>
      <c r="I57" s="393">
        <f t="shared" si="26"/>
        <v>1.0046212825135838</v>
      </c>
      <c r="J57" s="392">
        <v>0</v>
      </c>
      <c r="K57" s="393">
        <f t="shared" si="27"/>
        <v>0</v>
      </c>
      <c r="L57" s="392">
        <v>2.4499999999999997</v>
      </c>
      <c r="M57" s="393">
        <f t="shared" si="28"/>
        <v>1.0046212825135838</v>
      </c>
      <c r="N57" s="394">
        <v>1839.9499999999998</v>
      </c>
      <c r="O57" s="392">
        <v>751</v>
      </c>
      <c r="P57" s="393">
        <f t="shared" si="29"/>
        <v>4.6212825135838629E-3</v>
      </c>
      <c r="Q57" s="395">
        <f t="shared" si="30"/>
        <v>0</v>
      </c>
      <c r="R57" s="393">
        <f t="shared" si="31"/>
        <v>0</v>
      </c>
      <c r="S57" s="396">
        <f t="shared" si="32"/>
        <v>0</v>
      </c>
      <c r="T57" s="397" t="s">
        <v>430</v>
      </c>
      <c r="U57" s="397" t="s">
        <v>339</v>
      </c>
      <c r="V57" s="398"/>
      <c r="W57" s="398"/>
      <c r="X57" s="398">
        <v>1</v>
      </c>
      <c r="Y57" s="399" t="s">
        <v>342</v>
      </c>
      <c r="AA57" s="387"/>
      <c r="AB57" s="409">
        <f>AB55/$AA55</f>
        <v>0.75</v>
      </c>
      <c r="AC57" s="409">
        <f t="shared" ref="AC57:AH57" si="34">AC55/$AA55</f>
        <v>0</v>
      </c>
      <c r="AD57" s="409">
        <f t="shared" si="34"/>
        <v>0.2</v>
      </c>
      <c r="AE57" s="409">
        <f t="shared" si="34"/>
        <v>0</v>
      </c>
      <c r="AF57" s="409">
        <f t="shared" si="34"/>
        <v>0</v>
      </c>
      <c r="AG57" s="409">
        <f t="shared" si="34"/>
        <v>0.05</v>
      </c>
      <c r="AH57" s="409">
        <f t="shared" si="34"/>
        <v>0</v>
      </c>
    </row>
    <row r="58" spans="2:34" s="148" customFormat="1" ht="27" customHeight="1">
      <c r="B58" s="879"/>
      <c r="C58" s="880"/>
      <c r="D58" s="387">
        <v>4</v>
      </c>
      <c r="E58" s="390" t="s">
        <v>547</v>
      </c>
      <c r="F58" s="391">
        <v>1656.2309999999998</v>
      </c>
      <c r="G58" s="392">
        <v>773.38</v>
      </c>
      <c r="H58" s="392">
        <v>774.62</v>
      </c>
      <c r="I58" s="393">
        <f t="shared" si="26"/>
        <v>1.0016033515218909</v>
      </c>
      <c r="J58" s="392">
        <v>34.929999999999993</v>
      </c>
      <c r="K58" s="393">
        <f t="shared" si="27"/>
        <v>4.5165377951330514E-2</v>
      </c>
      <c r="L58" s="392">
        <v>128.38999999999999</v>
      </c>
      <c r="M58" s="393">
        <f t="shared" si="28"/>
        <v>1.0467687294732213</v>
      </c>
      <c r="N58" s="394">
        <v>4643.866299999996</v>
      </c>
      <c r="O58" s="392">
        <v>12.9</v>
      </c>
      <c r="P58" s="393">
        <f t="shared" si="29"/>
        <v>1.6680027929349091E-2</v>
      </c>
      <c r="Q58" s="395">
        <f t="shared" si="30"/>
        <v>23.26999999999996</v>
      </c>
      <c r="R58" s="393">
        <f t="shared" si="31"/>
        <v>3.00887015438723E-2</v>
      </c>
      <c r="S58" s="396">
        <f t="shared" si="32"/>
        <v>2987.6352999999945</v>
      </c>
      <c r="T58" s="397" t="s">
        <v>430</v>
      </c>
      <c r="U58" s="397" t="s">
        <v>481</v>
      </c>
      <c r="V58" s="398"/>
      <c r="W58" s="398"/>
      <c r="X58" s="398">
        <v>1</v>
      </c>
      <c r="Y58" s="399" t="s">
        <v>358</v>
      </c>
    </row>
    <row r="59" spans="2:34" s="148" customFormat="1" ht="27" customHeight="1">
      <c r="B59" s="879"/>
      <c r="C59" s="880"/>
      <c r="D59" s="387">
        <v>5</v>
      </c>
      <c r="E59" s="390" t="s">
        <v>646</v>
      </c>
      <c r="F59" s="391">
        <v>1529.5</v>
      </c>
      <c r="G59" s="392">
        <v>14210</v>
      </c>
      <c r="H59" s="392">
        <v>14047</v>
      </c>
      <c r="I59" s="393">
        <f t="shared" si="26"/>
        <v>0.98852920478536244</v>
      </c>
      <c r="J59" s="392">
        <v>258</v>
      </c>
      <c r="K59" s="393">
        <f t="shared" si="27"/>
        <v>1.8156228008444759E-2</v>
      </c>
      <c r="L59" s="392">
        <v>16.099999999999998</v>
      </c>
      <c r="M59" s="393">
        <f t="shared" si="28"/>
        <v>1.0066854327938073</v>
      </c>
      <c r="N59" s="394">
        <v>1529.5</v>
      </c>
      <c r="O59" s="392">
        <v>95</v>
      </c>
      <c r="P59" s="393">
        <f t="shared" si="29"/>
        <v>6.6854327938071778E-3</v>
      </c>
      <c r="Q59" s="395">
        <f t="shared" si="30"/>
        <v>0</v>
      </c>
      <c r="R59" s="393">
        <f t="shared" si="31"/>
        <v>0</v>
      </c>
      <c r="S59" s="396">
        <f t="shared" si="32"/>
        <v>0</v>
      </c>
      <c r="T59" s="397" t="s">
        <v>430</v>
      </c>
      <c r="U59" s="397" t="s">
        <v>339</v>
      </c>
      <c r="V59" s="398"/>
      <c r="W59" s="398"/>
      <c r="X59" s="398">
        <v>1</v>
      </c>
      <c r="Y59" s="399" t="s">
        <v>641</v>
      </c>
    </row>
    <row r="60" spans="2:34" s="148" customFormat="1" ht="27" customHeight="1">
      <c r="B60" s="879"/>
      <c r="C60" s="880"/>
      <c r="D60" s="387">
        <v>6</v>
      </c>
      <c r="E60" s="390" t="s">
        <v>483</v>
      </c>
      <c r="F60" s="391">
        <v>1504.6200000000001</v>
      </c>
      <c r="G60" s="392">
        <v>337482</v>
      </c>
      <c r="H60" s="392">
        <v>338596</v>
      </c>
      <c r="I60" s="393">
        <f t="shared" si="26"/>
        <v>1.0033009167896363</v>
      </c>
      <c r="J60" s="392">
        <v>320</v>
      </c>
      <c r="K60" s="393">
        <f t="shared" si="27"/>
        <v>9.4819871874648131E-4</v>
      </c>
      <c r="L60" s="392">
        <v>1.17</v>
      </c>
      <c r="M60" s="393">
        <f t="shared" si="28"/>
        <v>1.0042491155083826</v>
      </c>
      <c r="N60" s="394">
        <v>1677.78</v>
      </c>
      <c r="O60" s="392">
        <v>1286</v>
      </c>
      <c r="P60" s="393">
        <f t="shared" si="29"/>
        <v>3.8105736009624216E-3</v>
      </c>
      <c r="Q60" s="395">
        <f t="shared" si="30"/>
        <v>148</v>
      </c>
      <c r="R60" s="393">
        <f t="shared" si="31"/>
        <v>4.3854190742024759E-4</v>
      </c>
      <c r="S60" s="396">
        <f t="shared" si="32"/>
        <v>173.16</v>
      </c>
      <c r="T60" s="397" t="s">
        <v>430</v>
      </c>
      <c r="U60" s="397" t="s">
        <v>339</v>
      </c>
      <c r="V60" s="398"/>
      <c r="W60" s="398"/>
      <c r="X60" s="398">
        <v>1</v>
      </c>
      <c r="Y60" s="399" t="s">
        <v>342</v>
      </c>
    </row>
    <row r="61" spans="2:34" s="148" customFormat="1" ht="27" customHeight="1">
      <c r="B61" s="879"/>
      <c r="C61" s="880"/>
      <c r="D61" s="387">
        <v>7</v>
      </c>
      <c r="E61" s="390" t="s">
        <v>746</v>
      </c>
      <c r="F61" s="391">
        <v>1394.2565999999997</v>
      </c>
      <c r="G61" s="392">
        <v>552.34</v>
      </c>
      <c r="H61" s="392">
        <v>562.64</v>
      </c>
      <c r="I61" s="393">
        <f t="shared" si="26"/>
        <v>1.0186479342434007</v>
      </c>
      <c r="J61" s="392">
        <v>0</v>
      </c>
      <c r="K61" s="393">
        <f t="shared" si="27"/>
        <v>0</v>
      </c>
      <c r="L61" s="392">
        <v>189.18000000000004</v>
      </c>
      <c r="M61" s="393">
        <f t="shared" si="28"/>
        <v>1.0186479342434007</v>
      </c>
      <c r="N61" s="394">
        <v>1948.5539999999996</v>
      </c>
      <c r="O61" s="392">
        <v>7.3699999999999992</v>
      </c>
      <c r="P61" s="393">
        <f t="shared" si="29"/>
        <v>1.3343230618821738E-2</v>
      </c>
      <c r="Q61" s="395">
        <f t="shared" si="30"/>
        <v>2.9299999999999553</v>
      </c>
      <c r="R61" s="393">
        <f t="shared" si="31"/>
        <v>5.3047036245789823E-3</v>
      </c>
      <c r="S61" s="396">
        <f t="shared" si="32"/>
        <v>554.29739999999163</v>
      </c>
      <c r="T61" s="397" t="s">
        <v>430</v>
      </c>
      <c r="U61" s="397" t="s">
        <v>481</v>
      </c>
      <c r="V61" s="398"/>
      <c r="W61" s="421"/>
      <c r="X61" s="398">
        <v>1</v>
      </c>
      <c r="Y61" s="399" t="s">
        <v>360</v>
      </c>
    </row>
    <row r="62" spans="2:34" s="148" customFormat="1" ht="27" customHeight="1">
      <c r="B62" s="879"/>
      <c r="C62" s="880"/>
      <c r="D62" s="387">
        <v>8</v>
      </c>
      <c r="E62" s="390" t="s">
        <v>473</v>
      </c>
      <c r="F62" s="391">
        <v>1276.7183000000002</v>
      </c>
      <c r="G62" s="392">
        <v>464.15</v>
      </c>
      <c r="H62" s="392">
        <v>464.89</v>
      </c>
      <c r="I62" s="393">
        <f t="shared" si="26"/>
        <v>1.0015943121835613</v>
      </c>
      <c r="J62" s="392">
        <v>6.9</v>
      </c>
      <c r="K62" s="393">
        <f t="shared" si="27"/>
        <v>1.4865883873747713E-2</v>
      </c>
      <c r="L62" s="392">
        <v>181.60999999999999</v>
      </c>
      <c r="M62" s="393">
        <f>(H62+J62)/G62</f>
        <v>1.016460196057309</v>
      </c>
      <c r="N62" s="394">
        <v>1387.5004000000026</v>
      </c>
      <c r="O62" s="392">
        <v>7.03</v>
      </c>
      <c r="P62" s="393">
        <f t="shared" si="29"/>
        <v>1.5145965743832814E-2</v>
      </c>
      <c r="Q62" s="395">
        <f t="shared" si="30"/>
        <v>0.60999999999998611</v>
      </c>
      <c r="R62" s="393">
        <f t="shared" si="31"/>
        <v>1.314230313476217E-3</v>
      </c>
      <c r="S62" s="396">
        <f t="shared" si="32"/>
        <v>110.78209999999747</v>
      </c>
      <c r="T62" s="397" t="s">
        <v>430</v>
      </c>
      <c r="U62" s="397" t="s">
        <v>481</v>
      </c>
      <c r="V62" s="398"/>
      <c r="W62" s="398"/>
      <c r="X62" s="398">
        <v>1</v>
      </c>
      <c r="Y62" s="399" t="s">
        <v>472</v>
      </c>
    </row>
    <row r="63" spans="2:34" s="148" customFormat="1" ht="27" customHeight="1">
      <c r="B63" s="879"/>
      <c r="C63" s="880"/>
      <c r="D63" s="387">
        <v>9</v>
      </c>
      <c r="E63" s="390" t="s">
        <v>505</v>
      </c>
      <c r="F63" s="391">
        <v>1262.2855999999999</v>
      </c>
      <c r="G63" s="392">
        <v>295.51</v>
      </c>
      <c r="H63" s="392">
        <v>298.76</v>
      </c>
      <c r="I63" s="393">
        <f t="shared" si="26"/>
        <v>1.0109979357720551</v>
      </c>
      <c r="J63" s="392">
        <v>9.0500000000000007</v>
      </c>
      <c r="K63" s="393">
        <f t="shared" si="27"/>
        <v>3.0625021149876488E-2</v>
      </c>
      <c r="L63" s="392">
        <v>153.19000000000003</v>
      </c>
      <c r="M63" s="393">
        <f t="shared" ref="M63:M74" si="35">(H63+J63)/G63</f>
        <v>1.0416229569219315</v>
      </c>
      <c r="N63" s="394">
        <v>1884.2369999999994</v>
      </c>
      <c r="O63" s="392">
        <v>8.24</v>
      </c>
      <c r="P63" s="393">
        <f t="shared" si="29"/>
        <v>2.78839971574566E-2</v>
      </c>
      <c r="Q63" s="395">
        <f t="shared" si="30"/>
        <v>4.0600000000000112</v>
      </c>
      <c r="R63" s="393">
        <f t="shared" si="31"/>
        <v>1.3738959764475013E-2</v>
      </c>
      <c r="S63" s="396">
        <f t="shared" si="32"/>
        <v>621.95140000000185</v>
      </c>
      <c r="T63" s="397" t="s">
        <v>430</v>
      </c>
      <c r="U63" s="397" t="s">
        <v>481</v>
      </c>
      <c r="V63" s="398"/>
      <c r="W63" s="398"/>
      <c r="X63" s="398">
        <v>1</v>
      </c>
      <c r="Y63" s="399" t="s">
        <v>506</v>
      </c>
    </row>
    <row r="64" spans="2:34" s="148" customFormat="1" ht="27" customHeight="1">
      <c r="B64" s="879"/>
      <c r="C64" s="880"/>
      <c r="D64" s="387">
        <v>10</v>
      </c>
      <c r="E64" s="390" t="s">
        <v>336</v>
      </c>
      <c r="F64" s="391">
        <v>1258.0296000000001</v>
      </c>
      <c r="G64" s="392">
        <v>649.71</v>
      </c>
      <c r="H64" s="392">
        <v>657.84</v>
      </c>
      <c r="I64" s="393">
        <f t="shared" si="26"/>
        <v>1.01251327515353</v>
      </c>
      <c r="J64" s="392">
        <v>5.76</v>
      </c>
      <c r="K64" s="393">
        <f t="shared" si="27"/>
        <v>8.8654938357113165E-3</v>
      </c>
      <c r="L64" s="392">
        <v>141.66999999999999</v>
      </c>
      <c r="M64" s="393">
        <f t="shared" si="35"/>
        <v>1.0213787689892413</v>
      </c>
      <c r="N64" s="394">
        <v>1967.7963000000018</v>
      </c>
      <c r="O64" s="392">
        <v>8.879999999999999</v>
      </c>
      <c r="P64" s="393">
        <f t="shared" si="29"/>
        <v>1.3667636330054946E-2</v>
      </c>
      <c r="Q64" s="395">
        <f t="shared" si="30"/>
        <v>5.0099999999999874</v>
      </c>
      <c r="R64" s="393">
        <f t="shared" si="31"/>
        <v>7.7111326591863859E-3</v>
      </c>
      <c r="S64" s="396">
        <f t="shared" si="32"/>
        <v>709.7666999999982</v>
      </c>
      <c r="T64" s="397" t="s">
        <v>430</v>
      </c>
      <c r="U64" s="397" t="s">
        <v>481</v>
      </c>
      <c r="V64" s="398"/>
      <c r="W64" s="398"/>
      <c r="X64" s="398">
        <v>1</v>
      </c>
      <c r="Y64" s="399" t="s">
        <v>344</v>
      </c>
    </row>
    <row r="65" spans="2:34" s="148" customFormat="1" ht="27" customHeight="1">
      <c r="B65" s="879"/>
      <c r="C65" s="880"/>
      <c r="D65" s="387">
        <v>11</v>
      </c>
      <c r="E65" s="390" t="s">
        <v>544</v>
      </c>
      <c r="F65" s="391">
        <v>1150.9679999999998</v>
      </c>
      <c r="G65" s="392">
        <v>644.55000000000007</v>
      </c>
      <c r="H65" s="392">
        <v>659.8</v>
      </c>
      <c r="I65" s="393">
        <f t="shared" si="26"/>
        <v>1.0236599177720889</v>
      </c>
      <c r="J65" s="392">
        <v>0</v>
      </c>
      <c r="K65" s="393">
        <f t="shared" si="27"/>
        <v>0</v>
      </c>
      <c r="L65" s="392">
        <v>110.66999999999999</v>
      </c>
      <c r="M65" s="393">
        <f t="shared" si="35"/>
        <v>1.0236599177720889</v>
      </c>
      <c r="N65" s="394">
        <v>1687.7175000000016</v>
      </c>
      <c r="O65" s="392">
        <v>10.4</v>
      </c>
      <c r="P65" s="393">
        <f t="shared" si="29"/>
        <v>1.6135288185555811E-2</v>
      </c>
      <c r="Q65" s="395">
        <f t="shared" si="30"/>
        <v>4.849999999999886</v>
      </c>
      <c r="R65" s="393">
        <f t="shared" si="31"/>
        <v>7.5246295865330623E-3</v>
      </c>
      <c r="S65" s="396">
        <f t="shared" si="32"/>
        <v>536.74949999998728</v>
      </c>
      <c r="T65" s="397" t="s">
        <v>430</v>
      </c>
      <c r="U65" s="397" t="s">
        <v>481</v>
      </c>
      <c r="V65" s="398"/>
      <c r="W65" s="398"/>
      <c r="X65" s="398">
        <v>1</v>
      </c>
      <c r="Y65" s="399" t="s">
        <v>514</v>
      </c>
    </row>
    <row r="66" spans="2:34" s="148" customFormat="1" ht="27" customHeight="1">
      <c r="B66" s="879"/>
      <c r="C66" s="880"/>
      <c r="D66" s="387">
        <v>12</v>
      </c>
      <c r="E66" s="390" t="s">
        <v>583</v>
      </c>
      <c r="F66" s="391">
        <v>1148.5810000000001</v>
      </c>
      <c r="G66" s="392">
        <v>495.23999999999995</v>
      </c>
      <c r="H66" s="392">
        <v>497.63</v>
      </c>
      <c r="I66" s="393">
        <f t="shared" si="26"/>
        <v>1.0048259429771425</v>
      </c>
      <c r="J66" s="392">
        <v>4.1000000000000005</v>
      </c>
      <c r="K66" s="393">
        <f t="shared" si="27"/>
        <v>8.2788143122526463E-3</v>
      </c>
      <c r="L66" s="392">
        <v>370.50999999999993</v>
      </c>
      <c r="M66" s="393">
        <f t="shared" si="35"/>
        <v>1.0131047572893952</v>
      </c>
      <c r="N66" s="394">
        <v>2404.6098999999977</v>
      </c>
      <c r="O66" s="392">
        <v>3.1</v>
      </c>
      <c r="P66" s="393">
        <f t="shared" si="29"/>
        <v>6.259591309264196E-3</v>
      </c>
      <c r="Q66" s="395">
        <f t="shared" si="30"/>
        <v>3.3900000000000658</v>
      </c>
      <c r="R66" s="393">
        <f t="shared" si="31"/>
        <v>6.8451659801309793E-3</v>
      </c>
      <c r="S66" s="396">
        <f t="shared" si="32"/>
        <v>1256.0289000000241</v>
      </c>
      <c r="T66" s="397" t="s">
        <v>430</v>
      </c>
      <c r="U66" s="397" t="s">
        <v>481</v>
      </c>
      <c r="V66" s="398"/>
      <c r="W66" s="398"/>
      <c r="X66" s="398">
        <v>1</v>
      </c>
      <c r="Y66" s="399" t="s">
        <v>361</v>
      </c>
    </row>
    <row r="67" spans="2:34" s="148" customFormat="1" ht="27" customHeight="1">
      <c r="B67" s="879"/>
      <c r="C67" s="880"/>
      <c r="D67" s="387">
        <v>13</v>
      </c>
      <c r="E67" s="390" t="s">
        <v>644</v>
      </c>
      <c r="F67" s="391">
        <v>1145.0364</v>
      </c>
      <c r="G67" s="392">
        <v>1136.8000000000002</v>
      </c>
      <c r="H67" s="392">
        <v>1098.8</v>
      </c>
      <c r="I67" s="393">
        <f t="shared" si="26"/>
        <v>0.96657283603096389</v>
      </c>
      <c r="J67" s="392">
        <v>50.86</v>
      </c>
      <c r="K67" s="393">
        <f t="shared" si="27"/>
        <v>4.4739619985925398E-2</v>
      </c>
      <c r="L67" s="392">
        <v>139.97999999999999</v>
      </c>
      <c r="M67" s="393">
        <f t="shared" si="35"/>
        <v>1.0113124560168891</v>
      </c>
      <c r="N67" s="394">
        <v>1800.1427999999999</v>
      </c>
      <c r="O67" s="392">
        <v>8.18</v>
      </c>
      <c r="P67" s="393">
        <f t="shared" si="29"/>
        <v>7.19563687543983E-3</v>
      </c>
      <c r="Q67" s="395">
        <f t="shared" si="30"/>
        <v>4.6799999999996729</v>
      </c>
      <c r="R67" s="393">
        <f t="shared" si="31"/>
        <v>4.1168191414493946E-3</v>
      </c>
      <c r="S67" s="396">
        <f t="shared" si="32"/>
        <v>655.10639999995419</v>
      </c>
      <c r="T67" s="397" t="s">
        <v>430</v>
      </c>
      <c r="U67" s="397" t="s">
        <v>481</v>
      </c>
      <c r="V67" s="398"/>
      <c r="W67" s="398"/>
      <c r="X67" s="398">
        <v>1</v>
      </c>
      <c r="Y67" s="399" t="s">
        <v>641</v>
      </c>
    </row>
    <row r="68" spans="2:34" s="148" customFormat="1" ht="27" customHeight="1">
      <c r="B68" s="879"/>
      <c r="C68" s="880"/>
      <c r="D68" s="387">
        <v>14</v>
      </c>
      <c r="E68" s="390" t="s">
        <v>366</v>
      </c>
      <c r="F68" s="391">
        <v>1142.6399999999999</v>
      </c>
      <c r="G68" s="392">
        <v>249.86</v>
      </c>
      <c r="H68" s="392">
        <v>255.14000000000001</v>
      </c>
      <c r="I68" s="393">
        <f t="shared" si="26"/>
        <v>1.0211318338269431</v>
      </c>
      <c r="J68" s="392">
        <v>3.15</v>
      </c>
      <c r="K68" s="393">
        <f t="shared" si="27"/>
        <v>1.2607059953574E-2</v>
      </c>
      <c r="L68" s="392">
        <v>253.92000000000002</v>
      </c>
      <c r="M68" s="393">
        <f t="shared" si="35"/>
        <v>1.0337388937805172</v>
      </c>
      <c r="N68" s="394">
        <v>2140.5455999999986</v>
      </c>
      <c r="O68" s="392">
        <v>4.5</v>
      </c>
      <c r="P68" s="393">
        <f t="shared" si="29"/>
        <v>1.8010085647962859E-2</v>
      </c>
      <c r="Q68" s="395">
        <f t="shared" si="30"/>
        <v>3.9300000000000068</v>
      </c>
      <c r="R68" s="393">
        <f t="shared" si="31"/>
        <v>1.5728808132554256E-2</v>
      </c>
      <c r="S68" s="396">
        <f t="shared" si="32"/>
        <v>997.90560000000175</v>
      </c>
      <c r="T68" s="397" t="s">
        <v>430</v>
      </c>
      <c r="U68" s="397" t="s">
        <v>481</v>
      </c>
      <c r="V68" s="398"/>
      <c r="W68" s="398"/>
      <c r="X68" s="398">
        <v>1</v>
      </c>
      <c r="Y68" s="399" t="s">
        <v>358</v>
      </c>
    </row>
    <row r="69" spans="2:34" s="148" customFormat="1" ht="27" customHeight="1">
      <c r="B69" s="879"/>
      <c r="C69" s="880"/>
      <c r="D69" s="387">
        <v>15</v>
      </c>
      <c r="E69" s="390" t="s">
        <v>365</v>
      </c>
      <c r="F69" s="391">
        <v>1138.6300000000001</v>
      </c>
      <c r="G69" s="392">
        <v>309.36</v>
      </c>
      <c r="H69" s="392">
        <v>314.48</v>
      </c>
      <c r="I69" s="393">
        <f t="shared" si="26"/>
        <v>1.0165502973881562</v>
      </c>
      <c r="J69" s="392">
        <v>3.64</v>
      </c>
      <c r="K69" s="393">
        <f t="shared" si="27"/>
        <v>1.1766227049392293E-2</v>
      </c>
      <c r="L69" s="392">
        <v>183.65000000000003</v>
      </c>
      <c r="M69" s="393">
        <f t="shared" si="35"/>
        <v>1.0283165244375485</v>
      </c>
      <c r="N69" s="394">
        <v>1608.774000000001</v>
      </c>
      <c r="O69" s="392">
        <v>6.1999999999999993</v>
      </c>
      <c r="P69" s="393">
        <f t="shared" si="29"/>
        <v>2.0041375743470386E-2</v>
      </c>
      <c r="Q69" s="395">
        <f t="shared" si="30"/>
        <v>2.5599999999999916</v>
      </c>
      <c r="R69" s="393">
        <f t="shared" si="31"/>
        <v>8.2751486940780689E-3</v>
      </c>
      <c r="S69" s="396">
        <f t="shared" si="32"/>
        <v>470.14399999999853</v>
      </c>
      <c r="T69" s="397" t="s">
        <v>430</v>
      </c>
      <c r="U69" s="397" t="s">
        <v>481</v>
      </c>
      <c r="V69" s="398"/>
      <c r="W69" s="398"/>
      <c r="X69" s="398">
        <v>1</v>
      </c>
      <c r="Y69" s="399" t="s">
        <v>358</v>
      </c>
    </row>
    <row r="70" spans="2:34" s="148" customFormat="1" ht="27" customHeight="1">
      <c r="B70" s="879"/>
      <c r="C70" s="880"/>
      <c r="D70" s="387">
        <v>16</v>
      </c>
      <c r="E70" s="390" t="s">
        <v>519</v>
      </c>
      <c r="F70" s="391">
        <v>1138.5639999999999</v>
      </c>
      <c r="G70" s="392">
        <v>225.92000000000002</v>
      </c>
      <c r="H70" s="392">
        <v>234.92999999999995</v>
      </c>
      <c r="I70" s="393">
        <f t="shared" si="26"/>
        <v>1.0398813739376767</v>
      </c>
      <c r="J70" s="392">
        <v>3.65</v>
      </c>
      <c r="K70" s="393">
        <f t="shared" si="27"/>
        <v>1.6156161473087818E-2</v>
      </c>
      <c r="L70" s="392">
        <v>145.04</v>
      </c>
      <c r="M70" s="393">
        <f t="shared" si="35"/>
        <v>1.0560375354107645</v>
      </c>
      <c r="N70" s="394">
        <v>1836.2063999999993</v>
      </c>
      <c r="O70" s="392">
        <v>7.85</v>
      </c>
      <c r="P70" s="393">
        <f t="shared" si="29"/>
        <v>3.4746813031161471E-2</v>
      </c>
      <c r="Q70" s="395">
        <f t="shared" si="30"/>
        <v>4.8099999999999401</v>
      </c>
      <c r="R70" s="393">
        <f t="shared" si="31"/>
        <v>2.1290722379603132E-2</v>
      </c>
      <c r="S70" s="396">
        <f t="shared" si="32"/>
        <v>697.64239999999131</v>
      </c>
      <c r="T70" s="397" t="s">
        <v>430</v>
      </c>
      <c r="U70" s="397" t="s">
        <v>481</v>
      </c>
      <c r="V70" s="398"/>
      <c r="W70" s="398"/>
      <c r="X70" s="398">
        <v>1</v>
      </c>
      <c r="Y70" s="399" t="s">
        <v>343</v>
      </c>
      <c r="AC70" s="403"/>
    </row>
    <row r="71" spans="2:34" s="148" customFormat="1" ht="27" customHeight="1">
      <c r="B71" s="879"/>
      <c r="C71" s="880"/>
      <c r="D71" s="387">
        <v>17</v>
      </c>
      <c r="E71" s="390" t="s">
        <v>747</v>
      </c>
      <c r="F71" s="391">
        <v>1125.2513999999999</v>
      </c>
      <c r="G71" s="392">
        <v>133.46</v>
      </c>
      <c r="H71" s="392">
        <v>135.16</v>
      </c>
      <c r="I71" s="393">
        <f t="shared" si="26"/>
        <v>1.0127378989959537</v>
      </c>
      <c r="J71" s="392">
        <v>1.26</v>
      </c>
      <c r="K71" s="393">
        <f t="shared" si="27"/>
        <v>9.4410310205304947E-3</v>
      </c>
      <c r="L71" s="392">
        <v>618.26999999999987</v>
      </c>
      <c r="M71" s="393">
        <f t="shared" si="35"/>
        <v>1.0221789300164841</v>
      </c>
      <c r="N71" s="394">
        <v>1830.0791999999983</v>
      </c>
      <c r="O71" s="392">
        <v>1.82</v>
      </c>
      <c r="P71" s="393">
        <f t="shared" si="29"/>
        <v>1.3637044807432939E-2</v>
      </c>
      <c r="Q71" s="395">
        <f t="shared" si="30"/>
        <v>1.1399999999999795</v>
      </c>
      <c r="R71" s="393">
        <f t="shared" si="31"/>
        <v>8.5418852090512476E-3</v>
      </c>
      <c r="S71" s="396">
        <f t="shared" si="32"/>
        <v>704.82779999998718</v>
      </c>
      <c r="T71" s="397" t="s">
        <v>430</v>
      </c>
      <c r="U71" s="397" t="s">
        <v>481</v>
      </c>
      <c r="V71" s="398"/>
      <c r="W71" s="398"/>
      <c r="X71" s="398">
        <v>1</v>
      </c>
      <c r="Y71" s="399" t="s">
        <v>698</v>
      </c>
      <c r="AB71" s="405"/>
      <c r="AC71" s="403"/>
    </row>
    <row r="72" spans="2:34" s="148" customFormat="1" ht="27" customHeight="1">
      <c r="B72" s="879"/>
      <c r="C72" s="880"/>
      <c r="D72" s="387">
        <v>18</v>
      </c>
      <c r="E72" s="390" t="s">
        <v>647</v>
      </c>
      <c r="F72" s="391">
        <v>1114.1129999999998</v>
      </c>
      <c r="G72" s="392">
        <v>235.03</v>
      </c>
      <c r="H72" s="392">
        <v>237.59000000000003</v>
      </c>
      <c r="I72" s="393">
        <f t="shared" si="26"/>
        <v>1.0108922265242737</v>
      </c>
      <c r="J72" s="392">
        <v>10.029999999999999</v>
      </c>
      <c r="K72" s="393">
        <f t="shared" si="27"/>
        <v>4.2675403140024673E-2</v>
      </c>
      <c r="L72" s="392">
        <v>155.81999999999996</v>
      </c>
      <c r="M72" s="393">
        <f t="shared" si="35"/>
        <v>1.0535676296642984</v>
      </c>
      <c r="N72" s="394">
        <v>1961.7738000000031</v>
      </c>
      <c r="O72" s="392">
        <v>7.15</v>
      </c>
      <c r="P72" s="393">
        <f t="shared" si="29"/>
        <v>3.0421648300216996E-2</v>
      </c>
      <c r="Q72" s="395">
        <f t="shared" si="30"/>
        <v>5.4400000000000315</v>
      </c>
      <c r="R72" s="393">
        <f t="shared" si="31"/>
        <v>2.3145981364081313E-2</v>
      </c>
      <c r="S72" s="396">
        <f t="shared" si="32"/>
        <v>847.66080000000477</v>
      </c>
      <c r="T72" s="397" t="s">
        <v>430</v>
      </c>
      <c r="U72" s="397" t="s">
        <v>481</v>
      </c>
      <c r="V72" s="398"/>
      <c r="W72" s="398"/>
      <c r="X72" s="398">
        <v>1</v>
      </c>
      <c r="Y72" s="399" t="s">
        <v>536</v>
      </c>
      <c r="AC72" s="403"/>
    </row>
    <row r="73" spans="2:34" s="148" customFormat="1" ht="27" customHeight="1">
      <c r="B73" s="879"/>
      <c r="C73" s="880"/>
      <c r="D73" s="387">
        <v>19</v>
      </c>
      <c r="E73" s="390" t="s">
        <v>748</v>
      </c>
      <c r="F73" s="391">
        <v>1113.8978</v>
      </c>
      <c r="G73" s="392">
        <v>497.64000000000004</v>
      </c>
      <c r="H73" s="392">
        <v>503.96</v>
      </c>
      <c r="I73" s="393">
        <f t="shared" si="26"/>
        <v>1.0126999437344264</v>
      </c>
      <c r="J73" s="392">
        <v>3.18</v>
      </c>
      <c r="K73" s="393">
        <f t="shared" si="27"/>
        <v>6.3901615625753553E-3</v>
      </c>
      <c r="L73" s="392">
        <v>172.43000000000004</v>
      </c>
      <c r="M73" s="393">
        <f t="shared" si="35"/>
        <v>1.0190901052970018</v>
      </c>
      <c r="N73" s="394">
        <v>1638.0849999999978</v>
      </c>
      <c r="O73" s="392">
        <v>6.4600000000000009</v>
      </c>
      <c r="P73" s="393">
        <f t="shared" si="29"/>
        <v>1.2981271601961258E-2</v>
      </c>
      <c r="Q73" s="395">
        <f t="shared" si="30"/>
        <v>3.0399999999999423</v>
      </c>
      <c r="R73" s="393">
        <f t="shared" si="31"/>
        <v>6.108833695040475E-3</v>
      </c>
      <c r="S73" s="396">
        <f t="shared" si="32"/>
        <v>524.18719999999018</v>
      </c>
      <c r="T73" s="397" t="s">
        <v>430</v>
      </c>
      <c r="U73" s="397" t="s">
        <v>481</v>
      </c>
      <c r="V73" s="398"/>
      <c r="W73" s="398"/>
      <c r="X73" s="398">
        <v>1</v>
      </c>
      <c r="Y73" s="399" t="s">
        <v>675</v>
      </c>
      <c r="AB73" s="406"/>
      <c r="AC73" s="403"/>
    </row>
    <row r="74" spans="2:34" s="148" customFormat="1" ht="27" customHeight="1">
      <c r="B74" s="881"/>
      <c r="C74" s="882"/>
      <c r="D74" s="387">
        <v>20</v>
      </c>
      <c r="E74" s="390" t="s">
        <v>749</v>
      </c>
      <c r="F74" s="391">
        <v>1109.5830000000001</v>
      </c>
      <c r="G74" s="392">
        <v>149.78</v>
      </c>
      <c r="H74" s="392">
        <v>154.42999999999998</v>
      </c>
      <c r="I74" s="393">
        <f t="shared" si="26"/>
        <v>1.0310455334490585</v>
      </c>
      <c r="J74" s="392">
        <v>5.9700000000000006</v>
      </c>
      <c r="K74" s="393">
        <f t="shared" si="27"/>
        <v>3.9858459073307519E-2</v>
      </c>
      <c r="L74" s="392">
        <v>190.65000000000003</v>
      </c>
      <c r="M74" s="393">
        <f t="shared" si="35"/>
        <v>1.070903992522366</v>
      </c>
      <c r="N74" s="394">
        <v>2024.7029999999991</v>
      </c>
      <c r="O74" s="392">
        <v>5.82</v>
      </c>
      <c r="P74" s="393">
        <f t="shared" si="29"/>
        <v>3.8856990252370147E-2</v>
      </c>
      <c r="Q74" s="395">
        <f t="shared" si="30"/>
        <v>4.7999999999999758</v>
      </c>
      <c r="R74" s="393">
        <f t="shared" si="31"/>
        <v>3.2047002269995829E-2</v>
      </c>
      <c r="S74" s="396">
        <f t="shared" si="32"/>
        <v>915.11999999999557</v>
      </c>
      <c r="T74" s="397" t="s">
        <v>430</v>
      </c>
      <c r="U74" s="397" t="s">
        <v>481</v>
      </c>
      <c r="V74" s="398"/>
      <c r="W74" s="398"/>
      <c r="X74" s="398">
        <v>1</v>
      </c>
      <c r="Y74" s="399" t="s">
        <v>466</v>
      </c>
      <c r="AB74" s="406"/>
      <c r="AC74" s="403"/>
    </row>
    <row r="75" spans="2:34" ht="17.100000000000001" customHeight="1">
      <c r="B75" s="896" t="s">
        <v>478</v>
      </c>
      <c r="C75" s="897"/>
      <c r="D75" s="893" t="s">
        <v>170</v>
      </c>
      <c r="E75" s="893"/>
      <c r="F75" s="893"/>
      <c r="G75" s="893" t="s">
        <v>184</v>
      </c>
      <c r="H75" s="893"/>
      <c r="I75" s="893"/>
      <c r="J75" s="893"/>
      <c r="K75" s="893"/>
      <c r="L75" s="893"/>
      <c r="M75" s="893"/>
      <c r="N75" s="893"/>
      <c r="O75" s="893"/>
      <c r="P75" s="893"/>
      <c r="Q75" s="893"/>
      <c r="R75" s="893"/>
      <c r="S75" s="893"/>
      <c r="T75" s="893" t="s">
        <v>171</v>
      </c>
      <c r="U75" s="883" t="s">
        <v>245</v>
      </c>
      <c r="V75" s="902" t="s">
        <v>479</v>
      </c>
      <c r="W75" s="902" t="s">
        <v>480</v>
      </c>
      <c r="X75" s="905" t="s">
        <v>246</v>
      </c>
      <c r="Y75" s="894" t="s">
        <v>172</v>
      </c>
      <c r="AA75" s="883" t="s">
        <v>247</v>
      </c>
      <c r="AB75" s="884"/>
      <c r="AC75" s="884"/>
      <c r="AD75" s="884"/>
      <c r="AE75" s="884"/>
      <c r="AF75" s="884"/>
      <c r="AG75" s="884"/>
      <c r="AH75" s="885"/>
    </row>
    <row r="76" spans="2:34" ht="17.100000000000001" customHeight="1">
      <c r="B76" s="898"/>
      <c r="C76" s="899"/>
      <c r="D76" s="892" t="s">
        <v>169</v>
      </c>
      <c r="E76" s="893" t="s">
        <v>173</v>
      </c>
      <c r="F76" s="893"/>
      <c r="G76" s="893" t="s">
        <v>185</v>
      </c>
      <c r="H76" s="893"/>
      <c r="I76" s="893"/>
      <c r="J76" s="893"/>
      <c r="K76" s="893"/>
      <c r="L76" s="893"/>
      <c r="M76" s="893"/>
      <c r="N76" s="893"/>
      <c r="O76" s="893" t="s">
        <v>174</v>
      </c>
      <c r="P76" s="893"/>
      <c r="Q76" s="893"/>
      <c r="R76" s="893"/>
      <c r="S76" s="893"/>
      <c r="T76" s="893"/>
      <c r="U76" s="886"/>
      <c r="V76" s="903"/>
      <c r="W76" s="903"/>
      <c r="X76" s="906"/>
      <c r="Y76" s="894"/>
      <c r="AA76" s="886"/>
      <c r="AB76" s="887"/>
      <c r="AC76" s="887"/>
      <c r="AD76" s="887"/>
      <c r="AE76" s="887"/>
      <c r="AF76" s="887"/>
      <c r="AG76" s="887"/>
      <c r="AH76" s="888"/>
    </row>
    <row r="77" spans="2:34" ht="17.100000000000001" customHeight="1">
      <c r="B77" s="898"/>
      <c r="C77" s="899"/>
      <c r="D77" s="892"/>
      <c r="E77" s="892" t="s">
        <v>175</v>
      </c>
      <c r="F77" s="894" t="s">
        <v>248</v>
      </c>
      <c r="G77" s="895" t="s">
        <v>186</v>
      </c>
      <c r="H77" s="895"/>
      <c r="I77" s="895"/>
      <c r="J77" s="895"/>
      <c r="K77" s="895"/>
      <c r="L77" s="895"/>
      <c r="M77" s="895"/>
      <c r="N77" s="895"/>
      <c r="O77" s="895" t="s">
        <v>168</v>
      </c>
      <c r="P77" s="895"/>
      <c r="Q77" s="895" t="s">
        <v>176</v>
      </c>
      <c r="R77" s="895"/>
      <c r="S77" s="895"/>
      <c r="T77" s="893"/>
      <c r="U77" s="886"/>
      <c r="V77" s="903"/>
      <c r="W77" s="903"/>
      <c r="X77" s="906"/>
      <c r="Y77" s="894"/>
      <c r="AA77" s="889"/>
      <c r="AB77" s="890"/>
      <c r="AC77" s="890"/>
      <c r="AD77" s="890"/>
      <c r="AE77" s="890"/>
      <c r="AF77" s="890"/>
      <c r="AG77" s="890"/>
      <c r="AH77" s="891"/>
    </row>
    <row r="78" spans="2:34" ht="38.450000000000003" customHeight="1">
      <c r="B78" s="900"/>
      <c r="C78" s="901"/>
      <c r="D78" s="892"/>
      <c r="E78" s="892"/>
      <c r="F78" s="894"/>
      <c r="G78" s="388" t="s">
        <v>177</v>
      </c>
      <c r="H78" s="388" t="s">
        <v>252</v>
      </c>
      <c r="I78" s="388" t="s">
        <v>253</v>
      </c>
      <c r="J78" s="388" t="s">
        <v>178</v>
      </c>
      <c r="K78" s="388" t="s">
        <v>250</v>
      </c>
      <c r="L78" s="388" t="s">
        <v>179</v>
      </c>
      <c r="M78" s="388" t="s">
        <v>187</v>
      </c>
      <c r="N78" s="388" t="s">
        <v>180</v>
      </c>
      <c r="O78" s="389" t="s">
        <v>181</v>
      </c>
      <c r="P78" s="389" t="s">
        <v>182</v>
      </c>
      <c r="Q78" s="389" t="s">
        <v>181</v>
      </c>
      <c r="R78" s="389" t="s">
        <v>182</v>
      </c>
      <c r="S78" s="388" t="s">
        <v>183</v>
      </c>
      <c r="T78" s="893"/>
      <c r="U78" s="889"/>
      <c r="V78" s="904"/>
      <c r="W78" s="904"/>
      <c r="X78" s="907"/>
      <c r="Y78" s="894"/>
      <c r="AA78" s="161" t="s">
        <v>244</v>
      </c>
      <c r="AB78" s="161" t="s">
        <v>481</v>
      </c>
      <c r="AC78" s="156" t="s">
        <v>395</v>
      </c>
      <c r="AD78" s="156" t="s">
        <v>339</v>
      </c>
      <c r="AE78" s="156" t="s">
        <v>460</v>
      </c>
      <c r="AF78" s="156" t="s">
        <v>215</v>
      </c>
      <c r="AG78" s="156" t="s">
        <v>216</v>
      </c>
      <c r="AH78" s="156" t="s">
        <v>396</v>
      </c>
    </row>
    <row r="79" spans="2:34" s="148" customFormat="1" ht="27" customHeight="1">
      <c r="B79" s="877" t="s">
        <v>685</v>
      </c>
      <c r="C79" s="878"/>
      <c r="D79" s="387">
        <v>1</v>
      </c>
      <c r="E79" s="390"/>
      <c r="F79" s="391"/>
      <c r="G79" s="392"/>
      <c r="H79" s="392"/>
      <c r="I79" s="393" t="e">
        <f>H79/G79</f>
        <v>#DIV/0!</v>
      </c>
      <c r="J79" s="392"/>
      <c r="K79" s="393" t="e">
        <f>J79/G79</f>
        <v>#DIV/0!</v>
      </c>
      <c r="L79" s="392"/>
      <c r="M79" s="393" t="e">
        <f>(H79+J79)/G79</f>
        <v>#DIV/0!</v>
      </c>
      <c r="N79" s="394"/>
      <c r="O79" s="392"/>
      <c r="P79" s="393" t="e">
        <f>O79/G79</f>
        <v>#DIV/0!</v>
      </c>
      <c r="Q79" s="395">
        <f>((H79+J79)-G79)-O79</f>
        <v>0</v>
      </c>
      <c r="R79" s="393" t="e">
        <f>Q79/G79</f>
        <v>#DIV/0!</v>
      </c>
      <c r="S79" s="396">
        <f>Q79*L79</f>
        <v>0</v>
      </c>
      <c r="T79" s="397"/>
      <c r="U79" s="397"/>
      <c r="V79" s="398"/>
      <c r="W79" s="398"/>
      <c r="X79" s="398">
        <v>1</v>
      </c>
      <c r="Y79" s="399"/>
      <c r="Z79" s="400" t="s">
        <v>482</v>
      </c>
      <c r="AA79" s="410">
        <f>SUM(X79:X98)</f>
        <v>20</v>
      </c>
      <c r="AB79" s="402">
        <f>SUMIF($U$79:$U$98,TRIM(AB78),$X$79:$X$98)</f>
        <v>0</v>
      </c>
      <c r="AC79" s="402">
        <f t="shared" ref="AC79:AH79" si="36">SUMIF($U$79:$U$98,TRIM(AC78),$X$79:$X$98)</f>
        <v>0</v>
      </c>
      <c r="AD79" s="402">
        <f t="shared" si="36"/>
        <v>0</v>
      </c>
      <c r="AE79" s="402">
        <f t="shared" si="36"/>
        <v>0</v>
      </c>
      <c r="AF79" s="402">
        <f t="shared" si="36"/>
        <v>0</v>
      </c>
      <c r="AG79" s="402">
        <f t="shared" si="36"/>
        <v>0</v>
      </c>
      <c r="AH79" s="402">
        <f t="shared" si="36"/>
        <v>0</v>
      </c>
    </row>
    <row r="80" spans="2:34" s="148" customFormat="1" ht="27" customHeight="1">
      <c r="B80" s="879"/>
      <c r="C80" s="880"/>
      <c r="D80" s="387">
        <v>2</v>
      </c>
      <c r="E80" s="390"/>
      <c r="F80" s="391"/>
      <c r="G80" s="392"/>
      <c r="H80" s="392"/>
      <c r="I80" s="393" t="e">
        <f t="shared" ref="I80:I98" si="37">H80/G80</f>
        <v>#DIV/0!</v>
      </c>
      <c r="J80" s="392"/>
      <c r="K80" s="393" t="e">
        <f t="shared" ref="K80:K98" si="38">J80/G80</f>
        <v>#DIV/0!</v>
      </c>
      <c r="L80" s="392"/>
      <c r="M80" s="393" t="e">
        <f t="shared" ref="M80:M85" si="39">(H80+J80)/G80</f>
        <v>#DIV/0!</v>
      </c>
      <c r="N80" s="394"/>
      <c r="O80" s="392"/>
      <c r="P80" s="393" t="e">
        <f t="shared" ref="P80:P98" si="40">O80/G80</f>
        <v>#DIV/0!</v>
      </c>
      <c r="Q80" s="395">
        <f t="shared" ref="Q80:Q98" si="41">((H80+J80)-G80)-O80</f>
        <v>0</v>
      </c>
      <c r="R80" s="393" t="e">
        <f t="shared" ref="R80:R98" si="42">Q80/G80</f>
        <v>#DIV/0!</v>
      </c>
      <c r="S80" s="396">
        <f t="shared" ref="S80:S98" si="43">Q80*L80</f>
        <v>0</v>
      </c>
      <c r="T80" s="397"/>
      <c r="U80" s="397"/>
      <c r="V80" s="398"/>
      <c r="W80" s="398"/>
      <c r="X80" s="398">
        <v>1</v>
      </c>
      <c r="Y80" s="399"/>
      <c r="AA80" s="411"/>
      <c r="AB80" s="408">
        <f>SUMIF($U$79:$U$98,TRIM(AB78),$F$79:$F$98)</f>
        <v>0</v>
      </c>
      <c r="AC80" s="408">
        <f t="shared" ref="AC80:AH80" si="44">SUMIF($U$79:$U$98,TRIM(AC78),$F$79:$F$98)</f>
        <v>0</v>
      </c>
      <c r="AD80" s="408">
        <f t="shared" si="44"/>
        <v>0</v>
      </c>
      <c r="AE80" s="408">
        <f t="shared" si="44"/>
        <v>0</v>
      </c>
      <c r="AF80" s="408">
        <f t="shared" si="44"/>
        <v>0</v>
      </c>
      <c r="AG80" s="408">
        <f t="shared" si="44"/>
        <v>0</v>
      </c>
      <c r="AH80" s="408">
        <f t="shared" si="44"/>
        <v>0</v>
      </c>
    </row>
    <row r="81" spans="2:34" s="148" customFormat="1" ht="27" customHeight="1">
      <c r="B81" s="879"/>
      <c r="C81" s="880"/>
      <c r="D81" s="387">
        <v>3</v>
      </c>
      <c r="E81" s="390"/>
      <c r="F81" s="391"/>
      <c r="G81" s="392"/>
      <c r="H81" s="392"/>
      <c r="I81" s="393" t="e">
        <f t="shared" si="37"/>
        <v>#DIV/0!</v>
      </c>
      <c r="J81" s="392"/>
      <c r="K81" s="393" t="e">
        <f t="shared" si="38"/>
        <v>#DIV/0!</v>
      </c>
      <c r="L81" s="392"/>
      <c r="M81" s="393" t="e">
        <f t="shared" si="39"/>
        <v>#DIV/0!</v>
      </c>
      <c r="N81" s="394"/>
      <c r="O81" s="392"/>
      <c r="P81" s="393" t="e">
        <f t="shared" si="40"/>
        <v>#DIV/0!</v>
      </c>
      <c r="Q81" s="395">
        <f t="shared" si="41"/>
        <v>0</v>
      </c>
      <c r="R81" s="393" t="e">
        <f t="shared" si="42"/>
        <v>#DIV/0!</v>
      </c>
      <c r="S81" s="396">
        <f t="shared" si="43"/>
        <v>0</v>
      </c>
      <c r="T81" s="397"/>
      <c r="U81" s="397"/>
      <c r="V81" s="398"/>
      <c r="W81" s="398"/>
      <c r="X81" s="398">
        <v>1</v>
      </c>
      <c r="Y81" s="399"/>
      <c r="AA81" s="387"/>
      <c r="AB81" s="409">
        <f>AB79/$AA79</f>
        <v>0</v>
      </c>
      <c r="AC81" s="409">
        <f t="shared" ref="AC81:AH81" si="45">AC79/$AA79</f>
        <v>0</v>
      </c>
      <c r="AD81" s="409">
        <f t="shared" si="45"/>
        <v>0</v>
      </c>
      <c r="AE81" s="409">
        <f t="shared" si="45"/>
        <v>0</v>
      </c>
      <c r="AF81" s="409">
        <f t="shared" si="45"/>
        <v>0</v>
      </c>
      <c r="AG81" s="409">
        <f t="shared" si="45"/>
        <v>0</v>
      </c>
      <c r="AH81" s="409">
        <f t="shared" si="45"/>
        <v>0</v>
      </c>
    </row>
    <row r="82" spans="2:34" s="148" customFormat="1" ht="27" customHeight="1">
      <c r="B82" s="879"/>
      <c r="C82" s="880"/>
      <c r="D82" s="387">
        <v>4</v>
      </c>
      <c r="E82" s="390"/>
      <c r="F82" s="391"/>
      <c r="G82" s="392"/>
      <c r="H82" s="392"/>
      <c r="I82" s="393" t="e">
        <f t="shared" si="37"/>
        <v>#DIV/0!</v>
      </c>
      <c r="J82" s="392"/>
      <c r="K82" s="393" t="e">
        <f t="shared" si="38"/>
        <v>#DIV/0!</v>
      </c>
      <c r="L82" s="392"/>
      <c r="M82" s="393" t="e">
        <f t="shared" si="39"/>
        <v>#DIV/0!</v>
      </c>
      <c r="N82" s="394"/>
      <c r="O82" s="392"/>
      <c r="P82" s="393" t="e">
        <f t="shared" si="40"/>
        <v>#DIV/0!</v>
      </c>
      <c r="Q82" s="395">
        <f t="shared" si="41"/>
        <v>0</v>
      </c>
      <c r="R82" s="393" t="e">
        <f t="shared" si="42"/>
        <v>#DIV/0!</v>
      </c>
      <c r="S82" s="396">
        <f t="shared" si="43"/>
        <v>0</v>
      </c>
      <c r="T82" s="397"/>
      <c r="U82" s="397"/>
      <c r="V82" s="398"/>
      <c r="W82" s="398"/>
      <c r="X82" s="398">
        <v>1</v>
      </c>
      <c r="Y82" s="399"/>
    </row>
    <row r="83" spans="2:34" s="148" customFormat="1" ht="27" customHeight="1">
      <c r="B83" s="879"/>
      <c r="C83" s="880"/>
      <c r="D83" s="387">
        <v>5</v>
      </c>
      <c r="E83" s="390"/>
      <c r="F83" s="391"/>
      <c r="G83" s="392"/>
      <c r="H83" s="392"/>
      <c r="I83" s="393" t="e">
        <f t="shared" si="37"/>
        <v>#DIV/0!</v>
      </c>
      <c r="J83" s="392"/>
      <c r="K83" s="393" t="e">
        <f t="shared" si="38"/>
        <v>#DIV/0!</v>
      </c>
      <c r="L83" s="392"/>
      <c r="M83" s="393" t="e">
        <f t="shared" si="39"/>
        <v>#DIV/0!</v>
      </c>
      <c r="N83" s="394"/>
      <c r="O83" s="392"/>
      <c r="P83" s="393" t="e">
        <f t="shared" si="40"/>
        <v>#DIV/0!</v>
      </c>
      <c r="Q83" s="395">
        <f t="shared" si="41"/>
        <v>0</v>
      </c>
      <c r="R83" s="393" t="e">
        <f t="shared" si="42"/>
        <v>#DIV/0!</v>
      </c>
      <c r="S83" s="396">
        <f t="shared" si="43"/>
        <v>0</v>
      </c>
      <c r="T83" s="397"/>
      <c r="U83" s="397"/>
      <c r="V83" s="398"/>
      <c r="W83" s="398"/>
      <c r="X83" s="398">
        <v>1</v>
      </c>
      <c r="Y83" s="399"/>
    </row>
    <row r="84" spans="2:34" s="148" customFormat="1" ht="27" customHeight="1">
      <c r="B84" s="879"/>
      <c r="C84" s="880"/>
      <c r="D84" s="387">
        <v>6</v>
      </c>
      <c r="E84" s="390"/>
      <c r="F84" s="391"/>
      <c r="G84" s="392"/>
      <c r="H84" s="392"/>
      <c r="I84" s="393" t="e">
        <f t="shared" si="37"/>
        <v>#DIV/0!</v>
      </c>
      <c r="J84" s="392"/>
      <c r="K84" s="393" t="e">
        <f t="shared" si="38"/>
        <v>#DIV/0!</v>
      </c>
      <c r="L84" s="392"/>
      <c r="M84" s="393" t="e">
        <f t="shared" si="39"/>
        <v>#DIV/0!</v>
      </c>
      <c r="N84" s="394"/>
      <c r="O84" s="392"/>
      <c r="P84" s="393" t="e">
        <f t="shared" si="40"/>
        <v>#DIV/0!</v>
      </c>
      <c r="Q84" s="395">
        <f t="shared" si="41"/>
        <v>0</v>
      </c>
      <c r="R84" s="393" t="e">
        <f t="shared" si="42"/>
        <v>#DIV/0!</v>
      </c>
      <c r="S84" s="396">
        <f t="shared" si="43"/>
        <v>0</v>
      </c>
      <c r="T84" s="397"/>
      <c r="U84" s="397"/>
      <c r="V84" s="398"/>
      <c r="W84" s="398"/>
      <c r="X84" s="398">
        <v>1</v>
      </c>
      <c r="Y84" s="399"/>
    </row>
    <row r="85" spans="2:34" s="148" customFormat="1" ht="27" customHeight="1">
      <c r="B85" s="879"/>
      <c r="C85" s="880"/>
      <c r="D85" s="387">
        <v>7</v>
      </c>
      <c r="E85" s="390"/>
      <c r="F85" s="391"/>
      <c r="G85" s="392"/>
      <c r="H85" s="392"/>
      <c r="I85" s="393" t="e">
        <f t="shared" si="37"/>
        <v>#DIV/0!</v>
      </c>
      <c r="J85" s="392"/>
      <c r="K85" s="393" t="e">
        <f t="shared" si="38"/>
        <v>#DIV/0!</v>
      </c>
      <c r="L85" s="392"/>
      <c r="M85" s="393" t="e">
        <f t="shared" si="39"/>
        <v>#DIV/0!</v>
      </c>
      <c r="N85" s="394"/>
      <c r="O85" s="392"/>
      <c r="P85" s="393" t="e">
        <f t="shared" si="40"/>
        <v>#DIV/0!</v>
      </c>
      <c r="Q85" s="395">
        <f t="shared" si="41"/>
        <v>0</v>
      </c>
      <c r="R85" s="393" t="e">
        <f t="shared" si="42"/>
        <v>#DIV/0!</v>
      </c>
      <c r="S85" s="396">
        <f t="shared" si="43"/>
        <v>0</v>
      </c>
      <c r="T85" s="397"/>
      <c r="U85" s="397"/>
      <c r="V85" s="398"/>
      <c r="W85" s="421"/>
      <c r="X85" s="398">
        <v>1</v>
      </c>
      <c r="Y85" s="399"/>
      <c r="AC85" s="403"/>
    </row>
    <row r="86" spans="2:34" s="148" customFormat="1" ht="27" customHeight="1">
      <c r="B86" s="879"/>
      <c r="C86" s="880"/>
      <c r="D86" s="387">
        <v>8</v>
      </c>
      <c r="E86" s="390"/>
      <c r="F86" s="391"/>
      <c r="G86" s="392"/>
      <c r="H86" s="392"/>
      <c r="I86" s="393" t="e">
        <f t="shared" si="37"/>
        <v>#DIV/0!</v>
      </c>
      <c r="J86" s="392"/>
      <c r="K86" s="393" t="e">
        <f t="shared" si="38"/>
        <v>#DIV/0!</v>
      </c>
      <c r="L86" s="392"/>
      <c r="M86" s="393" t="e">
        <f>(H86+J86)/G86</f>
        <v>#DIV/0!</v>
      </c>
      <c r="N86" s="394"/>
      <c r="O86" s="392"/>
      <c r="P86" s="393" t="e">
        <f t="shared" si="40"/>
        <v>#DIV/0!</v>
      </c>
      <c r="Q86" s="395">
        <f t="shared" si="41"/>
        <v>0</v>
      </c>
      <c r="R86" s="393" t="e">
        <f t="shared" si="42"/>
        <v>#DIV/0!</v>
      </c>
      <c r="S86" s="396">
        <f t="shared" si="43"/>
        <v>0</v>
      </c>
      <c r="T86" s="397"/>
      <c r="U86" s="397"/>
      <c r="V86" s="398"/>
      <c r="W86" s="398"/>
      <c r="X86" s="398">
        <v>1</v>
      </c>
      <c r="Y86" s="399"/>
      <c r="AC86" s="403"/>
    </row>
    <row r="87" spans="2:34" s="148" customFormat="1" ht="27" customHeight="1">
      <c r="B87" s="879"/>
      <c r="C87" s="880"/>
      <c r="D87" s="387">
        <v>9</v>
      </c>
      <c r="E87" s="390"/>
      <c r="F87" s="391"/>
      <c r="G87" s="392"/>
      <c r="H87" s="392"/>
      <c r="I87" s="393" t="e">
        <f t="shared" si="37"/>
        <v>#DIV/0!</v>
      </c>
      <c r="J87" s="392"/>
      <c r="K87" s="393" t="e">
        <f t="shared" si="38"/>
        <v>#DIV/0!</v>
      </c>
      <c r="L87" s="392"/>
      <c r="M87" s="393" t="e">
        <f t="shared" ref="M87:M98" si="46">(H87+J87)/G87</f>
        <v>#DIV/0!</v>
      </c>
      <c r="N87" s="394"/>
      <c r="O87" s="392"/>
      <c r="P87" s="393" t="e">
        <f t="shared" si="40"/>
        <v>#DIV/0!</v>
      </c>
      <c r="Q87" s="395">
        <f t="shared" si="41"/>
        <v>0</v>
      </c>
      <c r="R87" s="393" t="e">
        <f t="shared" si="42"/>
        <v>#DIV/0!</v>
      </c>
      <c r="S87" s="396">
        <f t="shared" si="43"/>
        <v>0</v>
      </c>
      <c r="T87" s="397"/>
      <c r="U87" s="397"/>
      <c r="V87" s="398"/>
      <c r="W87" s="398"/>
      <c r="X87" s="398">
        <v>1</v>
      </c>
      <c r="Y87" s="399"/>
      <c r="AC87" s="403"/>
    </row>
    <row r="88" spans="2:34" s="148" customFormat="1" ht="27" customHeight="1">
      <c r="B88" s="879"/>
      <c r="C88" s="880"/>
      <c r="D88" s="387">
        <v>10</v>
      </c>
      <c r="E88" s="390"/>
      <c r="F88" s="391"/>
      <c r="G88" s="392"/>
      <c r="H88" s="392"/>
      <c r="I88" s="393" t="e">
        <f t="shared" si="37"/>
        <v>#DIV/0!</v>
      </c>
      <c r="J88" s="392"/>
      <c r="K88" s="393" t="e">
        <f t="shared" si="38"/>
        <v>#DIV/0!</v>
      </c>
      <c r="L88" s="392"/>
      <c r="M88" s="393" t="e">
        <f t="shared" si="46"/>
        <v>#DIV/0!</v>
      </c>
      <c r="N88" s="394"/>
      <c r="O88" s="392"/>
      <c r="P88" s="393" t="e">
        <f t="shared" si="40"/>
        <v>#DIV/0!</v>
      </c>
      <c r="Q88" s="395">
        <f t="shared" si="41"/>
        <v>0</v>
      </c>
      <c r="R88" s="393" t="e">
        <f t="shared" si="42"/>
        <v>#DIV/0!</v>
      </c>
      <c r="S88" s="396">
        <f t="shared" si="43"/>
        <v>0</v>
      </c>
      <c r="T88" s="397"/>
      <c r="U88" s="397"/>
      <c r="V88" s="398"/>
      <c r="W88" s="398"/>
      <c r="X88" s="398">
        <v>1</v>
      </c>
      <c r="Y88" s="399"/>
      <c r="AC88" s="403"/>
    </row>
    <row r="89" spans="2:34" s="148" customFormat="1" ht="27" customHeight="1">
      <c r="B89" s="879"/>
      <c r="C89" s="880"/>
      <c r="D89" s="387">
        <v>11</v>
      </c>
      <c r="E89" s="390"/>
      <c r="F89" s="391"/>
      <c r="G89" s="392"/>
      <c r="H89" s="392"/>
      <c r="I89" s="393" t="e">
        <f t="shared" si="37"/>
        <v>#DIV/0!</v>
      </c>
      <c r="J89" s="392"/>
      <c r="K89" s="393" t="e">
        <f t="shared" si="38"/>
        <v>#DIV/0!</v>
      </c>
      <c r="L89" s="392"/>
      <c r="M89" s="393" t="e">
        <f t="shared" si="46"/>
        <v>#DIV/0!</v>
      </c>
      <c r="N89" s="394"/>
      <c r="O89" s="392"/>
      <c r="P89" s="393" t="e">
        <f t="shared" si="40"/>
        <v>#DIV/0!</v>
      </c>
      <c r="Q89" s="395">
        <f t="shared" si="41"/>
        <v>0</v>
      </c>
      <c r="R89" s="393" t="e">
        <f t="shared" si="42"/>
        <v>#DIV/0!</v>
      </c>
      <c r="S89" s="396">
        <f t="shared" si="43"/>
        <v>0</v>
      </c>
      <c r="T89" s="397"/>
      <c r="U89" s="397"/>
      <c r="V89" s="398"/>
      <c r="W89" s="398"/>
      <c r="X89" s="398">
        <v>1</v>
      </c>
      <c r="Y89" s="399"/>
      <c r="AC89" s="403"/>
    </row>
    <row r="90" spans="2:34" s="148" customFormat="1" ht="27" customHeight="1">
      <c r="B90" s="879"/>
      <c r="C90" s="880"/>
      <c r="D90" s="387">
        <v>12</v>
      </c>
      <c r="E90" s="390"/>
      <c r="F90" s="391"/>
      <c r="G90" s="392"/>
      <c r="H90" s="392"/>
      <c r="I90" s="393" t="e">
        <f t="shared" si="37"/>
        <v>#DIV/0!</v>
      </c>
      <c r="J90" s="392"/>
      <c r="K90" s="393" t="e">
        <f t="shared" si="38"/>
        <v>#DIV/0!</v>
      </c>
      <c r="L90" s="392"/>
      <c r="M90" s="393" t="e">
        <f t="shared" si="46"/>
        <v>#DIV/0!</v>
      </c>
      <c r="N90" s="394"/>
      <c r="O90" s="392"/>
      <c r="P90" s="393" t="e">
        <f t="shared" si="40"/>
        <v>#DIV/0!</v>
      </c>
      <c r="Q90" s="395">
        <f t="shared" si="41"/>
        <v>0</v>
      </c>
      <c r="R90" s="393" t="e">
        <f t="shared" si="42"/>
        <v>#DIV/0!</v>
      </c>
      <c r="S90" s="396">
        <f t="shared" si="43"/>
        <v>0</v>
      </c>
      <c r="T90" s="397"/>
      <c r="U90" s="397"/>
      <c r="V90" s="398"/>
      <c r="W90" s="398"/>
      <c r="X90" s="398">
        <v>1</v>
      </c>
      <c r="Y90" s="399"/>
      <c r="AC90" s="403"/>
    </row>
    <row r="91" spans="2:34" s="148" customFormat="1" ht="27" customHeight="1">
      <c r="B91" s="879"/>
      <c r="C91" s="880"/>
      <c r="D91" s="387">
        <v>13</v>
      </c>
      <c r="E91" s="390"/>
      <c r="F91" s="391"/>
      <c r="G91" s="392"/>
      <c r="H91" s="392"/>
      <c r="I91" s="393" t="e">
        <f t="shared" si="37"/>
        <v>#DIV/0!</v>
      </c>
      <c r="J91" s="392"/>
      <c r="K91" s="393" t="e">
        <f t="shared" si="38"/>
        <v>#DIV/0!</v>
      </c>
      <c r="L91" s="392"/>
      <c r="M91" s="393" t="e">
        <f t="shared" si="46"/>
        <v>#DIV/0!</v>
      </c>
      <c r="N91" s="394"/>
      <c r="O91" s="392"/>
      <c r="P91" s="393" t="e">
        <f t="shared" si="40"/>
        <v>#DIV/0!</v>
      </c>
      <c r="Q91" s="395">
        <f t="shared" si="41"/>
        <v>0</v>
      </c>
      <c r="R91" s="393" t="e">
        <f t="shared" si="42"/>
        <v>#DIV/0!</v>
      </c>
      <c r="S91" s="396">
        <f t="shared" si="43"/>
        <v>0</v>
      </c>
      <c r="T91" s="397"/>
      <c r="U91" s="397"/>
      <c r="V91" s="398"/>
      <c r="W91" s="398"/>
      <c r="X91" s="398">
        <v>1</v>
      </c>
      <c r="Y91" s="399"/>
      <c r="AC91" s="403"/>
    </row>
    <row r="92" spans="2:34" s="148" customFormat="1" ht="27" customHeight="1">
      <c r="B92" s="879"/>
      <c r="C92" s="880"/>
      <c r="D92" s="387">
        <v>14</v>
      </c>
      <c r="E92" s="390"/>
      <c r="F92" s="391"/>
      <c r="G92" s="392"/>
      <c r="H92" s="392"/>
      <c r="I92" s="393" t="e">
        <f t="shared" si="37"/>
        <v>#DIV/0!</v>
      </c>
      <c r="J92" s="392"/>
      <c r="K92" s="393" t="e">
        <f t="shared" si="38"/>
        <v>#DIV/0!</v>
      </c>
      <c r="L92" s="392"/>
      <c r="M92" s="393" t="e">
        <f t="shared" si="46"/>
        <v>#DIV/0!</v>
      </c>
      <c r="N92" s="394"/>
      <c r="O92" s="392"/>
      <c r="P92" s="393" t="e">
        <f t="shared" si="40"/>
        <v>#DIV/0!</v>
      </c>
      <c r="Q92" s="395">
        <f t="shared" si="41"/>
        <v>0</v>
      </c>
      <c r="R92" s="393" t="e">
        <f t="shared" si="42"/>
        <v>#DIV/0!</v>
      </c>
      <c r="S92" s="396">
        <f t="shared" si="43"/>
        <v>0</v>
      </c>
      <c r="T92" s="397"/>
      <c r="U92" s="397"/>
      <c r="V92" s="398"/>
      <c r="W92" s="398"/>
      <c r="X92" s="398">
        <v>1</v>
      </c>
      <c r="Y92" s="399"/>
      <c r="AC92" s="404"/>
    </row>
    <row r="93" spans="2:34" s="148" customFormat="1" ht="27" customHeight="1">
      <c r="B93" s="879"/>
      <c r="C93" s="880"/>
      <c r="D93" s="387">
        <v>15</v>
      </c>
      <c r="E93" s="390"/>
      <c r="F93" s="391"/>
      <c r="G93" s="392"/>
      <c r="H93" s="392"/>
      <c r="I93" s="393" t="e">
        <f t="shared" si="37"/>
        <v>#DIV/0!</v>
      </c>
      <c r="J93" s="392"/>
      <c r="K93" s="393" t="e">
        <f t="shared" si="38"/>
        <v>#DIV/0!</v>
      </c>
      <c r="L93" s="392"/>
      <c r="M93" s="393" t="e">
        <f t="shared" si="46"/>
        <v>#DIV/0!</v>
      </c>
      <c r="N93" s="394"/>
      <c r="O93" s="392"/>
      <c r="P93" s="393" t="e">
        <f t="shared" si="40"/>
        <v>#DIV/0!</v>
      </c>
      <c r="Q93" s="395">
        <f t="shared" si="41"/>
        <v>0</v>
      </c>
      <c r="R93" s="393" t="e">
        <f t="shared" si="42"/>
        <v>#DIV/0!</v>
      </c>
      <c r="S93" s="396">
        <f t="shared" si="43"/>
        <v>0</v>
      </c>
      <c r="T93" s="397"/>
      <c r="U93" s="397"/>
      <c r="V93" s="398"/>
      <c r="W93" s="398"/>
      <c r="X93" s="398">
        <v>1</v>
      </c>
      <c r="Y93" s="399"/>
      <c r="AC93" s="403"/>
    </row>
    <row r="94" spans="2:34" s="148" customFormat="1" ht="27" customHeight="1">
      <c r="B94" s="879"/>
      <c r="C94" s="880"/>
      <c r="D94" s="387">
        <v>16</v>
      </c>
      <c r="E94" s="390"/>
      <c r="F94" s="391"/>
      <c r="G94" s="392"/>
      <c r="H94" s="392"/>
      <c r="I94" s="393" t="e">
        <f t="shared" si="37"/>
        <v>#DIV/0!</v>
      </c>
      <c r="J94" s="392"/>
      <c r="K94" s="393" t="e">
        <f t="shared" si="38"/>
        <v>#DIV/0!</v>
      </c>
      <c r="L94" s="392"/>
      <c r="M94" s="393" t="e">
        <f t="shared" si="46"/>
        <v>#DIV/0!</v>
      </c>
      <c r="N94" s="394"/>
      <c r="O94" s="392"/>
      <c r="P94" s="393" t="e">
        <f t="shared" si="40"/>
        <v>#DIV/0!</v>
      </c>
      <c r="Q94" s="395">
        <f t="shared" si="41"/>
        <v>0</v>
      </c>
      <c r="R94" s="393" t="e">
        <f t="shared" si="42"/>
        <v>#DIV/0!</v>
      </c>
      <c r="S94" s="396">
        <f t="shared" si="43"/>
        <v>0</v>
      </c>
      <c r="T94" s="397"/>
      <c r="U94" s="397"/>
      <c r="V94" s="398"/>
      <c r="W94" s="398"/>
      <c r="X94" s="398">
        <v>1</v>
      </c>
      <c r="Y94" s="399"/>
      <c r="AC94" s="403"/>
    </row>
    <row r="95" spans="2:34" s="148" customFormat="1" ht="27" customHeight="1">
      <c r="B95" s="879"/>
      <c r="C95" s="880"/>
      <c r="D95" s="387">
        <v>17</v>
      </c>
      <c r="E95" s="390"/>
      <c r="F95" s="391"/>
      <c r="G95" s="392"/>
      <c r="H95" s="392"/>
      <c r="I95" s="393" t="e">
        <f t="shared" si="37"/>
        <v>#DIV/0!</v>
      </c>
      <c r="J95" s="392"/>
      <c r="K95" s="393" t="e">
        <f t="shared" si="38"/>
        <v>#DIV/0!</v>
      </c>
      <c r="L95" s="392"/>
      <c r="M95" s="393" t="e">
        <f t="shared" si="46"/>
        <v>#DIV/0!</v>
      </c>
      <c r="N95" s="394"/>
      <c r="O95" s="392"/>
      <c r="P95" s="393" t="e">
        <f t="shared" si="40"/>
        <v>#DIV/0!</v>
      </c>
      <c r="Q95" s="395">
        <f t="shared" si="41"/>
        <v>0</v>
      </c>
      <c r="R95" s="393" t="e">
        <f t="shared" si="42"/>
        <v>#DIV/0!</v>
      </c>
      <c r="S95" s="396">
        <f t="shared" si="43"/>
        <v>0</v>
      </c>
      <c r="T95" s="397"/>
      <c r="U95" s="397"/>
      <c r="V95" s="398"/>
      <c r="W95" s="398"/>
      <c r="X95" s="398">
        <v>1</v>
      </c>
      <c r="Y95" s="399"/>
      <c r="AB95" s="405"/>
      <c r="AC95" s="403"/>
    </row>
    <row r="96" spans="2:34" s="148" customFormat="1" ht="27" customHeight="1">
      <c r="B96" s="879"/>
      <c r="C96" s="880"/>
      <c r="D96" s="387">
        <v>18</v>
      </c>
      <c r="E96" s="390"/>
      <c r="F96" s="391"/>
      <c r="G96" s="392"/>
      <c r="H96" s="392"/>
      <c r="I96" s="393" t="e">
        <f t="shared" si="37"/>
        <v>#DIV/0!</v>
      </c>
      <c r="J96" s="392"/>
      <c r="K96" s="393" t="e">
        <f t="shared" si="38"/>
        <v>#DIV/0!</v>
      </c>
      <c r="L96" s="392"/>
      <c r="M96" s="393" t="e">
        <f t="shared" si="46"/>
        <v>#DIV/0!</v>
      </c>
      <c r="N96" s="394"/>
      <c r="O96" s="392"/>
      <c r="P96" s="393" t="e">
        <f t="shared" si="40"/>
        <v>#DIV/0!</v>
      </c>
      <c r="Q96" s="395">
        <f t="shared" si="41"/>
        <v>0</v>
      </c>
      <c r="R96" s="393" t="e">
        <f t="shared" si="42"/>
        <v>#DIV/0!</v>
      </c>
      <c r="S96" s="396">
        <f t="shared" si="43"/>
        <v>0</v>
      </c>
      <c r="T96" s="397"/>
      <c r="U96" s="397"/>
      <c r="V96" s="398"/>
      <c r="W96" s="398"/>
      <c r="X96" s="398">
        <v>1</v>
      </c>
      <c r="Y96" s="399"/>
      <c r="AC96" s="403"/>
    </row>
    <row r="97" spans="2:34" s="148" customFormat="1" ht="27" customHeight="1">
      <c r="B97" s="879"/>
      <c r="C97" s="880"/>
      <c r="D97" s="387">
        <v>19</v>
      </c>
      <c r="E97" s="390"/>
      <c r="F97" s="391"/>
      <c r="G97" s="392"/>
      <c r="H97" s="392"/>
      <c r="I97" s="393" t="e">
        <f t="shared" si="37"/>
        <v>#DIV/0!</v>
      </c>
      <c r="J97" s="392"/>
      <c r="K97" s="393" t="e">
        <f t="shared" si="38"/>
        <v>#DIV/0!</v>
      </c>
      <c r="L97" s="392"/>
      <c r="M97" s="393" t="e">
        <f t="shared" si="46"/>
        <v>#DIV/0!</v>
      </c>
      <c r="N97" s="394"/>
      <c r="O97" s="392"/>
      <c r="P97" s="393" t="e">
        <f t="shared" si="40"/>
        <v>#DIV/0!</v>
      </c>
      <c r="Q97" s="395">
        <f t="shared" si="41"/>
        <v>0</v>
      </c>
      <c r="R97" s="393" t="e">
        <f t="shared" si="42"/>
        <v>#DIV/0!</v>
      </c>
      <c r="S97" s="396">
        <f t="shared" si="43"/>
        <v>0</v>
      </c>
      <c r="T97" s="397"/>
      <c r="U97" s="397"/>
      <c r="V97" s="398"/>
      <c r="W97" s="398"/>
      <c r="X97" s="398">
        <v>1</v>
      </c>
      <c r="Y97" s="399"/>
      <c r="AB97" s="406"/>
      <c r="AC97" s="403"/>
    </row>
    <row r="98" spans="2:34" s="148" customFormat="1" ht="27" customHeight="1">
      <c r="B98" s="881"/>
      <c r="C98" s="882"/>
      <c r="D98" s="387">
        <v>20</v>
      </c>
      <c r="E98" s="390"/>
      <c r="F98" s="391"/>
      <c r="G98" s="392"/>
      <c r="H98" s="392"/>
      <c r="I98" s="393" t="e">
        <f t="shared" si="37"/>
        <v>#DIV/0!</v>
      </c>
      <c r="J98" s="392"/>
      <c r="K98" s="393" t="e">
        <f t="shared" si="38"/>
        <v>#DIV/0!</v>
      </c>
      <c r="L98" s="392"/>
      <c r="M98" s="393" t="e">
        <f t="shared" si="46"/>
        <v>#DIV/0!</v>
      </c>
      <c r="N98" s="394"/>
      <c r="O98" s="392"/>
      <c r="P98" s="393" t="e">
        <f t="shared" si="40"/>
        <v>#DIV/0!</v>
      </c>
      <c r="Q98" s="395">
        <f t="shared" si="41"/>
        <v>0</v>
      </c>
      <c r="R98" s="393" t="e">
        <f t="shared" si="42"/>
        <v>#DIV/0!</v>
      </c>
      <c r="S98" s="396">
        <f t="shared" si="43"/>
        <v>0</v>
      </c>
      <c r="T98" s="397"/>
      <c r="U98" s="397"/>
      <c r="V98" s="398"/>
      <c r="W98" s="398"/>
      <c r="X98" s="398">
        <v>1</v>
      </c>
      <c r="Y98" s="399"/>
      <c r="AB98" s="406"/>
      <c r="AC98" s="403"/>
    </row>
    <row r="99" spans="2:34" ht="17.100000000000001" customHeight="1">
      <c r="B99" s="896" t="s">
        <v>478</v>
      </c>
      <c r="C99" s="897"/>
      <c r="D99" s="893" t="s">
        <v>170</v>
      </c>
      <c r="E99" s="893"/>
      <c r="F99" s="893"/>
      <c r="G99" s="893" t="s">
        <v>184</v>
      </c>
      <c r="H99" s="893"/>
      <c r="I99" s="893"/>
      <c r="J99" s="893"/>
      <c r="K99" s="893"/>
      <c r="L99" s="893"/>
      <c r="M99" s="893"/>
      <c r="N99" s="893"/>
      <c r="O99" s="893"/>
      <c r="P99" s="893"/>
      <c r="Q99" s="893"/>
      <c r="R99" s="893"/>
      <c r="S99" s="893"/>
      <c r="T99" s="893" t="s">
        <v>171</v>
      </c>
      <c r="U99" s="883" t="s">
        <v>245</v>
      </c>
      <c r="V99" s="902" t="s">
        <v>479</v>
      </c>
      <c r="W99" s="902" t="s">
        <v>480</v>
      </c>
      <c r="X99" s="905" t="s">
        <v>246</v>
      </c>
      <c r="Y99" s="894" t="s">
        <v>172</v>
      </c>
      <c r="AA99" s="883" t="s">
        <v>247</v>
      </c>
      <c r="AB99" s="884"/>
      <c r="AC99" s="884"/>
      <c r="AD99" s="884"/>
      <c r="AE99" s="884"/>
      <c r="AF99" s="884"/>
      <c r="AG99" s="884"/>
      <c r="AH99" s="885"/>
    </row>
    <row r="100" spans="2:34" ht="17.100000000000001" customHeight="1">
      <c r="B100" s="898"/>
      <c r="C100" s="899"/>
      <c r="D100" s="892" t="s">
        <v>169</v>
      </c>
      <c r="E100" s="893" t="s">
        <v>173</v>
      </c>
      <c r="F100" s="893"/>
      <c r="G100" s="893" t="s">
        <v>185</v>
      </c>
      <c r="H100" s="893"/>
      <c r="I100" s="893"/>
      <c r="J100" s="893"/>
      <c r="K100" s="893"/>
      <c r="L100" s="893"/>
      <c r="M100" s="893"/>
      <c r="N100" s="893"/>
      <c r="O100" s="893" t="s">
        <v>174</v>
      </c>
      <c r="P100" s="893"/>
      <c r="Q100" s="893"/>
      <c r="R100" s="893"/>
      <c r="S100" s="893"/>
      <c r="T100" s="893"/>
      <c r="U100" s="886"/>
      <c r="V100" s="903"/>
      <c r="W100" s="903"/>
      <c r="X100" s="906"/>
      <c r="Y100" s="894"/>
      <c r="AA100" s="886"/>
      <c r="AB100" s="887"/>
      <c r="AC100" s="887"/>
      <c r="AD100" s="887"/>
      <c r="AE100" s="887"/>
      <c r="AF100" s="887"/>
      <c r="AG100" s="887"/>
      <c r="AH100" s="888"/>
    </row>
    <row r="101" spans="2:34" ht="17.100000000000001" customHeight="1">
      <c r="B101" s="898"/>
      <c r="C101" s="899"/>
      <c r="D101" s="892"/>
      <c r="E101" s="892" t="s">
        <v>175</v>
      </c>
      <c r="F101" s="894" t="s">
        <v>248</v>
      </c>
      <c r="G101" s="895" t="s">
        <v>186</v>
      </c>
      <c r="H101" s="895"/>
      <c r="I101" s="895"/>
      <c r="J101" s="895"/>
      <c r="K101" s="895"/>
      <c r="L101" s="895"/>
      <c r="M101" s="895"/>
      <c r="N101" s="895"/>
      <c r="O101" s="895" t="s">
        <v>168</v>
      </c>
      <c r="P101" s="895"/>
      <c r="Q101" s="895" t="s">
        <v>176</v>
      </c>
      <c r="R101" s="895"/>
      <c r="S101" s="895"/>
      <c r="T101" s="893"/>
      <c r="U101" s="886"/>
      <c r="V101" s="903"/>
      <c r="W101" s="903"/>
      <c r="X101" s="906"/>
      <c r="Y101" s="894"/>
      <c r="AA101" s="889"/>
      <c r="AB101" s="890"/>
      <c r="AC101" s="890"/>
      <c r="AD101" s="890"/>
      <c r="AE101" s="890"/>
      <c r="AF101" s="890"/>
      <c r="AG101" s="890"/>
      <c r="AH101" s="891"/>
    </row>
    <row r="102" spans="2:34" ht="38.450000000000003" customHeight="1">
      <c r="B102" s="900"/>
      <c r="C102" s="901"/>
      <c r="D102" s="892"/>
      <c r="E102" s="892"/>
      <c r="F102" s="894"/>
      <c r="G102" s="388" t="s">
        <v>177</v>
      </c>
      <c r="H102" s="388" t="s">
        <v>252</v>
      </c>
      <c r="I102" s="388" t="s">
        <v>253</v>
      </c>
      <c r="J102" s="388" t="s">
        <v>178</v>
      </c>
      <c r="K102" s="388" t="s">
        <v>250</v>
      </c>
      <c r="L102" s="388" t="s">
        <v>179</v>
      </c>
      <c r="M102" s="388" t="s">
        <v>187</v>
      </c>
      <c r="N102" s="388" t="s">
        <v>180</v>
      </c>
      <c r="O102" s="389" t="s">
        <v>181</v>
      </c>
      <c r="P102" s="389" t="s">
        <v>182</v>
      </c>
      <c r="Q102" s="389" t="s">
        <v>181</v>
      </c>
      <c r="R102" s="389" t="s">
        <v>182</v>
      </c>
      <c r="S102" s="388" t="s">
        <v>183</v>
      </c>
      <c r="T102" s="893"/>
      <c r="U102" s="889"/>
      <c r="V102" s="904"/>
      <c r="W102" s="904"/>
      <c r="X102" s="907"/>
      <c r="Y102" s="894"/>
      <c r="AA102" s="161" t="s">
        <v>244</v>
      </c>
      <c r="AB102" s="161" t="s">
        <v>481</v>
      </c>
      <c r="AC102" s="156" t="s">
        <v>395</v>
      </c>
      <c r="AD102" s="156" t="s">
        <v>339</v>
      </c>
      <c r="AE102" s="156" t="s">
        <v>460</v>
      </c>
      <c r="AF102" s="156" t="s">
        <v>215</v>
      </c>
      <c r="AG102" s="156" t="s">
        <v>216</v>
      </c>
      <c r="AH102" s="156" t="s">
        <v>396</v>
      </c>
    </row>
    <row r="103" spans="2:34" s="148" customFormat="1" ht="27" customHeight="1">
      <c r="B103" s="877" t="s">
        <v>686</v>
      </c>
      <c r="C103" s="878"/>
      <c r="D103" s="387">
        <v>1</v>
      </c>
      <c r="E103" s="390"/>
      <c r="F103" s="391"/>
      <c r="G103" s="392"/>
      <c r="H103" s="392"/>
      <c r="I103" s="393" t="e">
        <f>H103/G103</f>
        <v>#DIV/0!</v>
      </c>
      <c r="J103" s="392"/>
      <c r="K103" s="393" t="e">
        <f>J103/G103</f>
        <v>#DIV/0!</v>
      </c>
      <c r="L103" s="392"/>
      <c r="M103" s="393" t="e">
        <f>(H103+J103)/G103</f>
        <v>#DIV/0!</v>
      </c>
      <c r="N103" s="394"/>
      <c r="O103" s="392"/>
      <c r="P103" s="393" t="e">
        <f>O103/G103</f>
        <v>#DIV/0!</v>
      </c>
      <c r="Q103" s="395">
        <f>((H103+J103)-G103)-O103</f>
        <v>0</v>
      </c>
      <c r="R103" s="393" t="e">
        <f>Q103/G103</f>
        <v>#DIV/0!</v>
      </c>
      <c r="S103" s="396">
        <f>Q103*L103</f>
        <v>0</v>
      </c>
      <c r="T103" s="397"/>
      <c r="U103" s="397"/>
      <c r="V103" s="398"/>
      <c r="W103" s="398"/>
      <c r="X103" s="398">
        <v>1</v>
      </c>
      <c r="Y103" s="399"/>
      <c r="Z103" s="400" t="s">
        <v>482</v>
      </c>
      <c r="AA103" s="410">
        <f>SUM(X103:X122)</f>
        <v>20</v>
      </c>
      <c r="AB103" s="402">
        <f>SUMIF($U$103:$U$122,TRIM(AB102),$X$103:$X$122)</f>
        <v>0</v>
      </c>
      <c r="AC103" s="402">
        <f t="shared" ref="AC103:AH103" si="47">SUMIF($U$103:$U$122,TRIM(AC102),$X$103:$X$122)</f>
        <v>0</v>
      </c>
      <c r="AD103" s="402">
        <f t="shared" si="47"/>
        <v>0</v>
      </c>
      <c r="AE103" s="402">
        <f t="shared" si="47"/>
        <v>0</v>
      </c>
      <c r="AF103" s="402">
        <f t="shared" si="47"/>
        <v>0</v>
      </c>
      <c r="AG103" s="402">
        <f t="shared" si="47"/>
        <v>0</v>
      </c>
      <c r="AH103" s="402">
        <f t="shared" si="47"/>
        <v>0</v>
      </c>
    </row>
    <row r="104" spans="2:34" s="148" customFormat="1" ht="27" customHeight="1">
      <c r="B104" s="879"/>
      <c r="C104" s="880"/>
      <c r="D104" s="387">
        <v>2</v>
      </c>
      <c r="E104" s="390"/>
      <c r="F104" s="391"/>
      <c r="G104" s="392"/>
      <c r="H104" s="392"/>
      <c r="I104" s="393" t="e">
        <f t="shared" ref="I104:I122" si="48">H104/G104</f>
        <v>#DIV/0!</v>
      </c>
      <c r="J104" s="392"/>
      <c r="K104" s="393" t="e">
        <f t="shared" ref="K104:K122" si="49">J104/G104</f>
        <v>#DIV/0!</v>
      </c>
      <c r="L104" s="392"/>
      <c r="M104" s="393" t="e">
        <f t="shared" ref="M104:M109" si="50">(H104+J104)/G104</f>
        <v>#DIV/0!</v>
      </c>
      <c r="N104" s="394"/>
      <c r="O104" s="392"/>
      <c r="P104" s="393" t="e">
        <f t="shared" ref="P104:P122" si="51">O104/G104</f>
        <v>#DIV/0!</v>
      </c>
      <c r="Q104" s="395">
        <f t="shared" ref="Q104:Q122" si="52">((H104+J104)-G104)-O104</f>
        <v>0</v>
      </c>
      <c r="R104" s="393" t="e">
        <f t="shared" ref="R104:R122" si="53">Q104/G104</f>
        <v>#DIV/0!</v>
      </c>
      <c r="S104" s="396">
        <f t="shared" ref="S104:S122" si="54">Q104*L104</f>
        <v>0</v>
      </c>
      <c r="T104" s="397"/>
      <c r="U104" s="397"/>
      <c r="V104" s="398"/>
      <c r="W104" s="398"/>
      <c r="X104" s="398">
        <v>1</v>
      </c>
      <c r="Y104" s="399"/>
      <c r="AA104" s="411"/>
      <c r="AB104" s="408">
        <f>SUMIF($U$103:$U122,TRIM(AB102),$F$103:$F$122)</f>
        <v>0</v>
      </c>
      <c r="AC104" s="408">
        <f>SUMIF($U$103:$U122,TRIM(AC102),$F$103:$F$122)</f>
        <v>0</v>
      </c>
      <c r="AD104" s="408">
        <f>SUMIF($U$103:$U122,TRIM(AD102),$F$103:$F$122)</f>
        <v>0</v>
      </c>
      <c r="AE104" s="408">
        <f>SUMIF($U$103:$U122,TRIM(AE102),$F$103:$F$122)</f>
        <v>0</v>
      </c>
      <c r="AF104" s="408">
        <f>SUMIF($U$103:$U122,TRIM(AF102),$F$103:$F$122)</f>
        <v>0</v>
      </c>
      <c r="AG104" s="408">
        <f>SUMIF($U$103:$U122,TRIM(AG102),$F$103:$F$122)</f>
        <v>0</v>
      </c>
      <c r="AH104" s="408">
        <f>SUMIF($U$103:$U122,TRIM(AH102),$F$103:$F$122)</f>
        <v>0</v>
      </c>
    </row>
    <row r="105" spans="2:34" s="148" customFormat="1" ht="27" customHeight="1">
      <c r="B105" s="879"/>
      <c r="C105" s="880"/>
      <c r="D105" s="387">
        <v>3</v>
      </c>
      <c r="E105" s="390"/>
      <c r="F105" s="391"/>
      <c r="G105" s="392"/>
      <c r="H105" s="392"/>
      <c r="I105" s="393" t="e">
        <f t="shared" si="48"/>
        <v>#DIV/0!</v>
      </c>
      <c r="J105" s="392"/>
      <c r="K105" s="393" t="e">
        <f t="shared" si="49"/>
        <v>#DIV/0!</v>
      </c>
      <c r="L105" s="392"/>
      <c r="M105" s="393" t="e">
        <f t="shared" si="50"/>
        <v>#DIV/0!</v>
      </c>
      <c r="N105" s="394"/>
      <c r="O105" s="392"/>
      <c r="P105" s="393" t="e">
        <f t="shared" si="51"/>
        <v>#DIV/0!</v>
      </c>
      <c r="Q105" s="395">
        <f t="shared" si="52"/>
        <v>0</v>
      </c>
      <c r="R105" s="393" t="e">
        <f t="shared" si="53"/>
        <v>#DIV/0!</v>
      </c>
      <c r="S105" s="396">
        <f t="shared" si="54"/>
        <v>0</v>
      </c>
      <c r="T105" s="397"/>
      <c r="U105" s="397"/>
      <c r="V105" s="398"/>
      <c r="W105" s="398"/>
      <c r="X105" s="398">
        <v>1</v>
      </c>
      <c r="Y105" s="399"/>
      <c r="AA105" s="387"/>
      <c r="AB105" s="409">
        <f>AB103/$AA103</f>
        <v>0</v>
      </c>
      <c r="AC105" s="409">
        <f t="shared" ref="AC105:AH105" si="55">AC103/$AA103</f>
        <v>0</v>
      </c>
      <c r="AD105" s="409">
        <f t="shared" si="55"/>
        <v>0</v>
      </c>
      <c r="AE105" s="409">
        <f t="shared" si="55"/>
        <v>0</v>
      </c>
      <c r="AF105" s="409">
        <f t="shared" si="55"/>
        <v>0</v>
      </c>
      <c r="AG105" s="409">
        <f t="shared" si="55"/>
        <v>0</v>
      </c>
      <c r="AH105" s="409">
        <f t="shared" si="55"/>
        <v>0</v>
      </c>
    </row>
    <row r="106" spans="2:34" s="148" customFormat="1" ht="27" customHeight="1">
      <c r="B106" s="879"/>
      <c r="C106" s="880"/>
      <c r="D106" s="387">
        <v>4</v>
      </c>
      <c r="E106" s="390"/>
      <c r="F106" s="391"/>
      <c r="G106" s="392"/>
      <c r="H106" s="392"/>
      <c r="I106" s="393" t="e">
        <f t="shared" si="48"/>
        <v>#DIV/0!</v>
      </c>
      <c r="J106" s="392"/>
      <c r="K106" s="393" t="e">
        <f t="shared" si="49"/>
        <v>#DIV/0!</v>
      </c>
      <c r="L106" s="392"/>
      <c r="M106" s="393" t="e">
        <f t="shared" si="50"/>
        <v>#DIV/0!</v>
      </c>
      <c r="N106" s="394"/>
      <c r="O106" s="392"/>
      <c r="P106" s="393" t="e">
        <f t="shared" si="51"/>
        <v>#DIV/0!</v>
      </c>
      <c r="Q106" s="395">
        <f t="shared" si="52"/>
        <v>0</v>
      </c>
      <c r="R106" s="393" t="e">
        <f t="shared" si="53"/>
        <v>#DIV/0!</v>
      </c>
      <c r="S106" s="396">
        <f t="shared" si="54"/>
        <v>0</v>
      </c>
      <c r="T106" s="397"/>
      <c r="U106" s="397"/>
      <c r="V106" s="398"/>
      <c r="W106" s="398"/>
      <c r="X106" s="398">
        <v>1</v>
      </c>
      <c r="Y106" s="399"/>
    </row>
    <row r="107" spans="2:34" s="148" customFormat="1" ht="27" customHeight="1">
      <c r="B107" s="879"/>
      <c r="C107" s="880"/>
      <c r="D107" s="387">
        <v>5</v>
      </c>
      <c r="E107" s="390"/>
      <c r="F107" s="391"/>
      <c r="G107" s="392"/>
      <c r="H107" s="392"/>
      <c r="I107" s="393" t="e">
        <f t="shared" si="48"/>
        <v>#DIV/0!</v>
      </c>
      <c r="J107" s="392"/>
      <c r="K107" s="393" t="e">
        <f t="shared" si="49"/>
        <v>#DIV/0!</v>
      </c>
      <c r="L107" s="392"/>
      <c r="M107" s="393" t="e">
        <f t="shared" si="50"/>
        <v>#DIV/0!</v>
      </c>
      <c r="N107" s="394"/>
      <c r="O107" s="392"/>
      <c r="P107" s="393" t="e">
        <f t="shared" si="51"/>
        <v>#DIV/0!</v>
      </c>
      <c r="Q107" s="395">
        <f t="shared" si="52"/>
        <v>0</v>
      </c>
      <c r="R107" s="393" t="e">
        <f t="shared" si="53"/>
        <v>#DIV/0!</v>
      </c>
      <c r="S107" s="396">
        <f t="shared" si="54"/>
        <v>0</v>
      </c>
      <c r="T107" s="397"/>
      <c r="U107" s="397"/>
      <c r="V107" s="398"/>
      <c r="W107" s="398"/>
      <c r="X107" s="398">
        <v>1</v>
      </c>
      <c r="Y107" s="399"/>
    </row>
    <row r="108" spans="2:34" s="148" customFormat="1" ht="27" customHeight="1">
      <c r="B108" s="879"/>
      <c r="C108" s="880"/>
      <c r="D108" s="387">
        <v>6</v>
      </c>
      <c r="E108" s="390"/>
      <c r="F108" s="391"/>
      <c r="G108" s="392"/>
      <c r="H108" s="392"/>
      <c r="I108" s="393" t="e">
        <f t="shared" si="48"/>
        <v>#DIV/0!</v>
      </c>
      <c r="J108" s="392"/>
      <c r="K108" s="393" t="e">
        <f t="shared" si="49"/>
        <v>#DIV/0!</v>
      </c>
      <c r="L108" s="392"/>
      <c r="M108" s="393" t="e">
        <f t="shared" si="50"/>
        <v>#DIV/0!</v>
      </c>
      <c r="N108" s="394"/>
      <c r="O108" s="392"/>
      <c r="P108" s="393" t="e">
        <f t="shared" si="51"/>
        <v>#DIV/0!</v>
      </c>
      <c r="Q108" s="395">
        <f t="shared" si="52"/>
        <v>0</v>
      </c>
      <c r="R108" s="393" t="e">
        <f t="shared" si="53"/>
        <v>#DIV/0!</v>
      </c>
      <c r="S108" s="396">
        <f t="shared" si="54"/>
        <v>0</v>
      </c>
      <c r="T108" s="397"/>
      <c r="U108" s="397"/>
      <c r="V108" s="398"/>
      <c r="W108" s="398"/>
      <c r="X108" s="398">
        <v>1</v>
      </c>
      <c r="Y108" s="399"/>
    </row>
    <row r="109" spans="2:34" s="148" customFormat="1" ht="27" customHeight="1">
      <c r="B109" s="879"/>
      <c r="C109" s="880"/>
      <c r="D109" s="387">
        <v>7</v>
      </c>
      <c r="E109" s="390"/>
      <c r="F109" s="391"/>
      <c r="G109" s="392"/>
      <c r="H109" s="392"/>
      <c r="I109" s="393" t="e">
        <f t="shared" si="48"/>
        <v>#DIV/0!</v>
      </c>
      <c r="J109" s="392"/>
      <c r="K109" s="393" t="e">
        <f t="shared" si="49"/>
        <v>#DIV/0!</v>
      </c>
      <c r="L109" s="392"/>
      <c r="M109" s="393" t="e">
        <f t="shared" si="50"/>
        <v>#DIV/0!</v>
      </c>
      <c r="N109" s="394"/>
      <c r="O109" s="392"/>
      <c r="P109" s="393" t="e">
        <f t="shared" si="51"/>
        <v>#DIV/0!</v>
      </c>
      <c r="Q109" s="395">
        <f t="shared" si="52"/>
        <v>0</v>
      </c>
      <c r="R109" s="393" t="e">
        <f t="shared" si="53"/>
        <v>#DIV/0!</v>
      </c>
      <c r="S109" s="396">
        <f t="shared" si="54"/>
        <v>0</v>
      </c>
      <c r="T109" s="397"/>
      <c r="U109" s="397"/>
      <c r="V109" s="398"/>
      <c r="W109" s="421"/>
      <c r="X109" s="398">
        <v>1</v>
      </c>
      <c r="Y109" s="399"/>
      <c r="AC109" s="403"/>
    </row>
    <row r="110" spans="2:34" s="148" customFormat="1" ht="27" customHeight="1">
      <c r="B110" s="879"/>
      <c r="C110" s="880"/>
      <c r="D110" s="387">
        <v>8</v>
      </c>
      <c r="E110" s="390"/>
      <c r="F110" s="391"/>
      <c r="G110" s="392"/>
      <c r="H110" s="392"/>
      <c r="I110" s="393" t="e">
        <f t="shared" si="48"/>
        <v>#DIV/0!</v>
      </c>
      <c r="J110" s="392"/>
      <c r="K110" s="393" t="e">
        <f t="shared" si="49"/>
        <v>#DIV/0!</v>
      </c>
      <c r="L110" s="392"/>
      <c r="M110" s="393" t="e">
        <f>(H110+J110)/G110</f>
        <v>#DIV/0!</v>
      </c>
      <c r="N110" s="394"/>
      <c r="O110" s="392"/>
      <c r="P110" s="393" t="e">
        <f t="shared" si="51"/>
        <v>#DIV/0!</v>
      </c>
      <c r="Q110" s="395">
        <f t="shared" si="52"/>
        <v>0</v>
      </c>
      <c r="R110" s="393" t="e">
        <f t="shared" si="53"/>
        <v>#DIV/0!</v>
      </c>
      <c r="S110" s="396">
        <f t="shared" si="54"/>
        <v>0</v>
      </c>
      <c r="T110" s="397"/>
      <c r="U110" s="397"/>
      <c r="V110" s="398"/>
      <c r="W110" s="398"/>
      <c r="X110" s="398">
        <v>1</v>
      </c>
      <c r="Y110" s="399"/>
      <c r="AC110" s="403"/>
    </row>
    <row r="111" spans="2:34" s="148" customFormat="1" ht="27" customHeight="1">
      <c r="B111" s="879"/>
      <c r="C111" s="880"/>
      <c r="D111" s="387">
        <v>9</v>
      </c>
      <c r="E111" s="390"/>
      <c r="F111" s="391"/>
      <c r="G111" s="392"/>
      <c r="H111" s="392"/>
      <c r="I111" s="393" t="e">
        <f t="shared" si="48"/>
        <v>#DIV/0!</v>
      </c>
      <c r="J111" s="392"/>
      <c r="K111" s="393" t="e">
        <f t="shared" si="49"/>
        <v>#DIV/0!</v>
      </c>
      <c r="L111" s="392"/>
      <c r="M111" s="393" t="e">
        <f t="shared" ref="M111:M122" si="56">(H111+J111)/G111</f>
        <v>#DIV/0!</v>
      </c>
      <c r="N111" s="394"/>
      <c r="O111" s="392"/>
      <c r="P111" s="393" t="e">
        <f t="shared" si="51"/>
        <v>#DIV/0!</v>
      </c>
      <c r="Q111" s="395">
        <f t="shared" si="52"/>
        <v>0</v>
      </c>
      <c r="R111" s="393" t="e">
        <f t="shared" si="53"/>
        <v>#DIV/0!</v>
      </c>
      <c r="S111" s="396">
        <f t="shared" si="54"/>
        <v>0</v>
      </c>
      <c r="T111" s="397"/>
      <c r="U111" s="397"/>
      <c r="V111" s="398"/>
      <c r="W111" s="398"/>
      <c r="X111" s="398">
        <v>1</v>
      </c>
      <c r="Y111" s="399"/>
      <c r="AC111" s="403"/>
    </row>
    <row r="112" spans="2:34" s="148" customFormat="1" ht="27" customHeight="1">
      <c r="B112" s="879"/>
      <c r="C112" s="880"/>
      <c r="D112" s="387">
        <v>10</v>
      </c>
      <c r="E112" s="390"/>
      <c r="F112" s="391"/>
      <c r="G112" s="392"/>
      <c r="H112" s="392"/>
      <c r="I112" s="393" t="e">
        <f t="shared" si="48"/>
        <v>#DIV/0!</v>
      </c>
      <c r="J112" s="392"/>
      <c r="K112" s="393" t="e">
        <f t="shared" si="49"/>
        <v>#DIV/0!</v>
      </c>
      <c r="L112" s="392"/>
      <c r="M112" s="393" t="e">
        <f t="shared" si="56"/>
        <v>#DIV/0!</v>
      </c>
      <c r="N112" s="394"/>
      <c r="O112" s="392"/>
      <c r="P112" s="393" t="e">
        <f t="shared" si="51"/>
        <v>#DIV/0!</v>
      </c>
      <c r="Q112" s="395">
        <f t="shared" si="52"/>
        <v>0</v>
      </c>
      <c r="R112" s="393" t="e">
        <f t="shared" si="53"/>
        <v>#DIV/0!</v>
      </c>
      <c r="S112" s="396">
        <f t="shared" si="54"/>
        <v>0</v>
      </c>
      <c r="T112" s="397"/>
      <c r="U112" s="397"/>
      <c r="V112" s="398"/>
      <c r="W112" s="398"/>
      <c r="X112" s="398">
        <v>1</v>
      </c>
      <c r="Y112" s="399"/>
      <c r="AC112" s="403"/>
    </row>
    <row r="113" spans="2:34" s="148" customFormat="1" ht="27" customHeight="1">
      <c r="B113" s="879"/>
      <c r="C113" s="880"/>
      <c r="D113" s="387">
        <v>11</v>
      </c>
      <c r="E113" s="390"/>
      <c r="F113" s="391"/>
      <c r="G113" s="392"/>
      <c r="H113" s="392"/>
      <c r="I113" s="393" t="e">
        <f t="shared" si="48"/>
        <v>#DIV/0!</v>
      </c>
      <c r="J113" s="392"/>
      <c r="K113" s="393" t="e">
        <f t="shared" si="49"/>
        <v>#DIV/0!</v>
      </c>
      <c r="L113" s="392"/>
      <c r="M113" s="393" t="e">
        <f t="shared" si="56"/>
        <v>#DIV/0!</v>
      </c>
      <c r="N113" s="394"/>
      <c r="O113" s="392"/>
      <c r="P113" s="393" t="e">
        <f t="shared" si="51"/>
        <v>#DIV/0!</v>
      </c>
      <c r="Q113" s="395">
        <f t="shared" si="52"/>
        <v>0</v>
      </c>
      <c r="R113" s="393" t="e">
        <f t="shared" si="53"/>
        <v>#DIV/0!</v>
      </c>
      <c r="S113" s="396">
        <f t="shared" si="54"/>
        <v>0</v>
      </c>
      <c r="T113" s="397"/>
      <c r="U113" s="397"/>
      <c r="V113" s="398"/>
      <c r="W113" s="398"/>
      <c r="X113" s="398">
        <v>1</v>
      </c>
      <c r="Y113" s="399"/>
      <c r="AC113" s="403"/>
    </row>
    <row r="114" spans="2:34" s="148" customFormat="1" ht="27" customHeight="1">
      <c r="B114" s="879"/>
      <c r="C114" s="880"/>
      <c r="D114" s="387">
        <v>12</v>
      </c>
      <c r="E114" s="390"/>
      <c r="F114" s="391"/>
      <c r="G114" s="392"/>
      <c r="H114" s="392"/>
      <c r="I114" s="393" t="e">
        <f t="shared" si="48"/>
        <v>#DIV/0!</v>
      </c>
      <c r="J114" s="392"/>
      <c r="K114" s="393" t="e">
        <f t="shared" si="49"/>
        <v>#DIV/0!</v>
      </c>
      <c r="L114" s="392"/>
      <c r="M114" s="393" t="e">
        <f t="shared" si="56"/>
        <v>#DIV/0!</v>
      </c>
      <c r="N114" s="394"/>
      <c r="O114" s="392"/>
      <c r="P114" s="393" t="e">
        <f t="shared" si="51"/>
        <v>#DIV/0!</v>
      </c>
      <c r="Q114" s="395">
        <f t="shared" si="52"/>
        <v>0</v>
      </c>
      <c r="R114" s="393" t="e">
        <f t="shared" si="53"/>
        <v>#DIV/0!</v>
      </c>
      <c r="S114" s="396">
        <f t="shared" si="54"/>
        <v>0</v>
      </c>
      <c r="T114" s="397"/>
      <c r="U114" s="397"/>
      <c r="V114" s="398"/>
      <c r="W114" s="398"/>
      <c r="X114" s="398">
        <v>1</v>
      </c>
      <c r="Y114" s="399"/>
    </row>
    <row r="115" spans="2:34" s="148" customFormat="1" ht="27" customHeight="1">
      <c r="B115" s="879"/>
      <c r="C115" s="880"/>
      <c r="D115" s="387">
        <v>13</v>
      </c>
      <c r="E115" s="390"/>
      <c r="F115" s="391"/>
      <c r="G115" s="392"/>
      <c r="H115" s="392"/>
      <c r="I115" s="393" t="e">
        <f t="shared" si="48"/>
        <v>#DIV/0!</v>
      </c>
      <c r="J115" s="392"/>
      <c r="K115" s="393" t="e">
        <f t="shared" si="49"/>
        <v>#DIV/0!</v>
      </c>
      <c r="L115" s="392"/>
      <c r="M115" s="393" t="e">
        <f t="shared" si="56"/>
        <v>#DIV/0!</v>
      </c>
      <c r="N115" s="394"/>
      <c r="O115" s="392"/>
      <c r="P115" s="393" t="e">
        <f t="shared" si="51"/>
        <v>#DIV/0!</v>
      </c>
      <c r="Q115" s="395">
        <f t="shared" si="52"/>
        <v>0</v>
      </c>
      <c r="R115" s="393" t="e">
        <f t="shared" si="53"/>
        <v>#DIV/0!</v>
      </c>
      <c r="S115" s="396">
        <f t="shared" si="54"/>
        <v>0</v>
      </c>
      <c r="T115" s="397"/>
      <c r="U115" s="397"/>
      <c r="V115" s="398"/>
      <c r="W115" s="398"/>
      <c r="X115" s="398">
        <v>1</v>
      </c>
      <c r="Y115" s="399"/>
    </row>
    <row r="116" spans="2:34" s="148" customFormat="1" ht="27" customHeight="1">
      <c r="B116" s="879"/>
      <c r="C116" s="880"/>
      <c r="D116" s="387">
        <v>14</v>
      </c>
      <c r="E116" s="390"/>
      <c r="F116" s="391"/>
      <c r="G116" s="392"/>
      <c r="H116" s="392"/>
      <c r="I116" s="393" t="e">
        <f t="shared" si="48"/>
        <v>#DIV/0!</v>
      </c>
      <c r="J116" s="392"/>
      <c r="K116" s="393" t="e">
        <f t="shared" si="49"/>
        <v>#DIV/0!</v>
      </c>
      <c r="L116" s="392"/>
      <c r="M116" s="393" t="e">
        <f t="shared" si="56"/>
        <v>#DIV/0!</v>
      </c>
      <c r="N116" s="394"/>
      <c r="O116" s="392"/>
      <c r="P116" s="393" t="e">
        <f t="shared" si="51"/>
        <v>#DIV/0!</v>
      </c>
      <c r="Q116" s="395">
        <f t="shared" si="52"/>
        <v>0</v>
      </c>
      <c r="R116" s="393" t="e">
        <f t="shared" si="53"/>
        <v>#DIV/0!</v>
      </c>
      <c r="S116" s="396">
        <f t="shared" si="54"/>
        <v>0</v>
      </c>
      <c r="T116" s="397"/>
      <c r="U116" s="397"/>
      <c r="V116" s="398"/>
      <c r="W116" s="398"/>
      <c r="X116" s="398">
        <v>1</v>
      </c>
      <c r="Y116" s="399"/>
    </row>
    <row r="117" spans="2:34" s="148" customFormat="1" ht="27" customHeight="1">
      <c r="B117" s="879"/>
      <c r="C117" s="880"/>
      <c r="D117" s="387">
        <v>15</v>
      </c>
      <c r="E117" s="390"/>
      <c r="F117" s="391"/>
      <c r="G117" s="392"/>
      <c r="H117" s="392"/>
      <c r="I117" s="393" t="e">
        <f t="shared" si="48"/>
        <v>#DIV/0!</v>
      </c>
      <c r="J117" s="392"/>
      <c r="K117" s="393" t="e">
        <f t="shared" si="49"/>
        <v>#DIV/0!</v>
      </c>
      <c r="L117" s="392"/>
      <c r="M117" s="393" t="e">
        <f t="shared" si="56"/>
        <v>#DIV/0!</v>
      </c>
      <c r="N117" s="394"/>
      <c r="O117" s="392"/>
      <c r="P117" s="393" t="e">
        <f t="shared" si="51"/>
        <v>#DIV/0!</v>
      </c>
      <c r="Q117" s="395">
        <f t="shared" si="52"/>
        <v>0</v>
      </c>
      <c r="R117" s="393" t="e">
        <f t="shared" si="53"/>
        <v>#DIV/0!</v>
      </c>
      <c r="S117" s="396">
        <f t="shared" si="54"/>
        <v>0</v>
      </c>
      <c r="T117" s="397"/>
      <c r="U117" s="397"/>
      <c r="V117" s="398"/>
      <c r="W117" s="398"/>
      <c r="X117" s="398">
        <v>1</v>
      </c>
      <c r="Y117" s="399"/>
    </row>
    <row r="118" spans="2:34" s="148" customFormat="1" ht="27" customHeight="1">
      <c r="B118" s="879"/>
      <c r="C118" s="880"/>
      <c r="D118" s="387">
        <v>16</v>
      </c>
      <c r="E118" s="390"/>
      <c r="F118" s="391"/>
      <c r="G118" s="392"/>
      <c r="H118" s="392"/>
      <c r="I118" s="393" t="e">
        <f t="shared" si="48"/>
        <v>#DIV/0!</v>
      </c>
      <c r="J118" s="392"/>
      <c r="K118" s="393" t="e">
        <f t="shared" si="49"/>
        <v>#DIV/0!</v>
      </c>
      <c r="L118" s="392"/>
      <c r="M118" s="393" t="e">
        <f t="shared" si="56"/>
        <v>#DIV/0!</v>
      </c>
      <c r="N118" s="394"/>
      <c r="O118" s="392"/>
      <c r="P118" s="393" t="e">
        <f t="shared" si="51"/>
        <v>#DIV/0!</v>
      </c>
      <c r="Q118" s="395">
        <f t="shared" si="52"/>
        <v>0</v>
      </c>
      <c r="R118" s="393" t="e">
        <f t="shared" si="53"/>
        <v>#DIV/0!</v>
      </c>
      <c r="S118" s="396">
        <f t="shared" si="54"/>
        <v>0</v>
      </c>
      <c r="T118" s="397"/>
      <c r="U118" s="397"/>
      <c r="V118" s="398"/>
      <c r="W118" s="398"/>
      <c r="X118" s="398">
        <v>1</v>
      </c>
      <c r="Y118" s="399"/>
    </row>
    <row r="119" spans="2:34" s="148" customFormat="1" ht="27" customHeight="1">
      <c r="B119" s="879"/>
      <c r="C119" s="880"/>
      <c r="D119" s="387">
        <v>17</v>
      </c>
      <c r="E119" s="390"/>
      <c r="F119" s="391"/>
      <c r="G119" s="392"/>
      <c r="H119" s="392"/>
      <c r="I119" s="393" t="e">
        <f t="shared" si="48"/>
        <v>#DIV/0!</v>
      </c>
      <c r="J119" s="392"/>
      <c r="K119" s="393" t="e">
        <f t="shared" si="49"/>
        <v>#DIV/0!</v>
      </c>
      <c r="L119" s="392"/>
      <c r="M119" s="393" t="e">
        <f t="shared" si="56"/>
        <v>#DIV/0!</v>
      </c>
      <c r="N119" s="394"/>
      <c r="O119" s="392"/>
      <c r="P119" s="393" t="e">
        <f t="shared" si="51"/>
        <v>#DIV/0!</v>
      </c>
      <c r="Q119" s="395">
        <f t="shared" si="52"/>
        <v>0</v>
      </c>
      <c r="R119" s="393" t="e">
        <f t="shared" si="53"/>
        <v>#DIV/0!</v>
      </c>
      <c r="S119" s="396">
        <f t="shared" si="54"/>
        <v>0</v>
      </c>
      <c r="T119" s="397"/>
      <c r="U119" s="397"/>
      <c r="V119" s="398"/>
      <c r="W119" s="398"/>
      <c r="X119" s="398">
        <v>1</v>
      </c>
      <c r="Y119" s="399"/>
    </row>
    <row r="120" spans="2:34" s="148" customFormat="1" ht="27" customHeight="1">
      <c r="B120" s="879"/>
      <c r="C120" s="880"/>
      <c r="D120" s="387">
        <v>18</v>
      </c>
      <c r="E120" s="390"/>
      <c r="F120" s="391"/>
      <c r="G120" s="392"/>
      <c r="H120" s="392"/>
      <c r="I120" s="393" t="e">
        <f t="shared" si="48"/>
        <v>#DIV/0!</v>
      </c>
      <c r="J120" s="392"/>
      <c r="K120" s="393" t="e">
        <f t="shared" si="49"/>
        <v>#DIV/0!</v>
      </c>
      <c r="L120" s="392"/>
      <c r="M120" s="393" t="e">
        <f t="shared" si="56"/>
        <v>#DIV/0!</v>
      </c>
      <c r="N120" s="394"/>
      <c r="O120" s="392"/>
      <c r="P120" s="393" t="e">
        <f t="shared" si="51"/>
        <v>#DIV/0!</v>
      </c>
      <c r="Q120" s="395">
        <f t="shared" si="52"/>
        <v>0</v>
      </c>
      <c r="R120" s="393" t="e">
        <f t="shared" si="53"/>
        <v>#DIV/0!</v>
      </c>
      <c r="S120" s="396">
        <f t="shared" si="54"/>
        <v>0</v>
      </c>
      <c r="T120" s="397"/>
      <c r="U120" s="397"/>
      <c r="V120" s="398"/>
      <c r="W120" s="398"/>
      <c r="X120" s="398">
        <v>1</v>
      </c>
      <c r="Y120" s="399"/>
    </row>
    <row r="121" spans="2:34" s="148" customFormat="1" ht="27" customHeight="1">
      <c r="B121" s="879"/>
      <c r="C121" s="880"/>
      <c r="D121" s="387">
        <v>19</v>
      </c>
      <c r="E121" s="390"/>
      <c r="F121" s="391"/>
      <c r="G121" s="392"/>
      <c r="H121" s="392"/>
      <c r="I121" s="393" t="e">
        <f t="shared" si="48"/>
        <v>#DIV/0!</v>
      </c>
      <c r="J121" s="392"/>
      <c r="K121" s="393" t="e">
        <f t="shared" si="49"/>
        <v>#DIV/0!</v>
      </c>
      <c r="L121" s="392"/>
      <c r="M121" s="393" t="e">
        <f t="shared" si="56"/>
        <v>#DIV/0!</v>
      </c>
      <c r="N121" s="394"/>
      <c r="O121" s="392"/>
      <c r="P121" s="393" t="e">
        <f t="shared" si="51"/>
        <v>#DIV/0!</v>
      </c>
      <c r="Q121" s="395">
        <f t="shared" si="52"/>
        <v>0</v>
      </c>
      <c r="R121" s="393" t="e">
        <f t="shared" si="53"/>
        <v>#DIV/0!</v>
      </c>
      <c r="S121" s="396">
        <f t="shared" si="54"/>
        <v>0</v>
      </c>
      <c r="T121" s="397"/>
      <c r="U121" s="397"/>
      <c r="V121" s="398"/>
      <c r="W121" s="398"/>
      <c r="X121" s="398">
        <v>1</v>
      </c>
      <c r="Y121" s="399"/>
      <c r="AB121" s="406"/>
      <c r="AC121" s="403"/>
    </row>
    <row r="122" spans="2:34" s="148" customFormat="1" ht="27" customHeight="1">
      <c r="B122" s="881"/>
      <c r="C122" s="882"/>
      <c r="D122" s="387">
        <v>20</v>
      </c>
      <c r="E122" s="390"/>
      <c r="F122" s="391"/>
      <c r="G122" s="392"/>
      <c r="H122" s="392"/>
      <c r="I122" s="393" t="e">
        <f t="shared" si="48"/>
        <v>#DIV/0!</v>
      </c>
      <c r="J122" s="392"/>
      <c r="K122" s="393" t="e">
        <f t="shared" si="49"/>
        <v>#DIV/0!</v>
      </c>
      <c r="L122" s="392"/>
      <c r="M122" s="393" t="e">
        <f t="shared" si="56"/>
        <v>#DIV/0!</v>
      </c>
      <c r="N122" s="394"/>
      <c r="O122" s="392"/>
      <c r="P122" s="393" t="e">
        <f t="shared" si="51"/>
        <v>#DIV/0!</v>
      </c>
      <c r="Q122" s="395">
        <f t="shared" si="52"/>
        <v>0</v>
      </c>
      <c r="R122" s="393" t="e">
        <f t="shared" si="53"/>
        <v>#DIV/0!</v>
      </c>
      <c r="S122" s="396">
        <f t="shared" si="54"/>
        <v>0</v>
      </c>
      <c r="T122" s="397"/>
      <c r="U122" s="397"/>
      <c r="V122" s="398"/>
      <c r="W122" s="398"/>
      <c r="X122" s="398">
        <v>1</v>
      </c>
      <c r="Y122" s="399"/>
      <c r="AB122" s="406"/>
      <c r="AC122" s="403"/>
    </row>
    <row r="123" spans="2:34" ht="17.100000000000001" customHeight="1">
      <c r="B123" s="896" t="s">
        <v>478</v>
      </c>
      <c r="C123" s="897"/>
      <c r="D123" s="893" t="s">
        <v>170</v>
      </c>
      <c r="E123" s="893"/>
      <c r="F123" s="893"/>
      <c r="G123" s="893" t="s">
        <v>184</v>
      </c>
      <c r="H123" s="893"/>
      <c r="I123" s="893"/>
      <c r="J123" s="893"/>
      <c r="K123" s="893"/>
      <c r="L123" s="893"/>
      <c r="M123" s="893"/>
      <c r="N123" s="893"/>
      <c r="O123" s="893"/>
      <c r="P123" s="893"/>
      <c r="Q123" s="893"/>
      <c r="R123" s="893"/>
      <c r="S123" s="893"/>
      <c r="T123" s="893" t="s">
        <v>171</v>
      </c>
      <c r="U123" s="883" t="s">
        <v>245</v>
      </c>
      <c r="V123" s="902" t="s">
        <v>479</v>
      </c>
      <c r="W123" s="902" t="s">
        <v>480</v>
      </c>
      <c r="X123" s="905" t="s">
        <v>246</v>
      </c>
      <c r="Y123" s="894" t="s">
        <v>172</v>
      </c>
      <c r="AA123" s="883" t="s">
        <v>247</v>
      </c>
      <c r="AB123" s="884"/>
      <c r="AC123" s="884"/>
      <c r="AD123" s="884"/>
      <c r="AE123" s="884"/>
      <c r="AF123" s="884"/>
      <c r="AG123" s="884"/>
      <c r="AH123" s="885"/>
    </row>
    <row r="124" spans="2:34" ht="17.100000000000001" customHeight="1">
      <c r="B124" s="898"/>
      <c r="C124" s="899"/>
      <c r="D124" s="892" t="s">
        <v>169</v>
      </c>
      <c r="E124" s="893" t="s">
        <v>173</v>
      </c>
      <c r="F124" s="893"/>
      <c r="G124" s="893" t="s">
        <v>185</v>
      </c>
      <c r="H124" s="893"/>
      <c r="I124" s="893"/>
      <c r="J124" s="893"/>
      <c r="K124" s="893"/>
      <c r="L124" s="893"/>
      <c r="M124" s="893"/>
      <c r="N124" s="893"/>
      <c r="O124" s="893" t="s">
        <v>174</v>
      </c>
      <c r="P124" s="893"/>
      <c r="Q124" s="893"/>
      <c r="R124" s="893"/>
      <c r="S124" s="893"/>
      <c r="T124" s="893"/>
      <c r="U124" s="886"/>
      <c r="V124" s="903"/>
      <c r="W124" s="903"/>
      <c r="X124" s="906"/>
      <c r="Y124" s="894"/>
      <c r="AA124" s="886"/>
      <c r="AB124" s="887"/>
      <c r="AC124" s="887"/>
      <c r="AD124" s="887"/>
      <c r="AE124" s="887"/>
      <c r="AF124" s="887"/>
      <c r="AG124" s="887"/>
      <c r="AH124" s="888"/>
    </row>
    <row r="125" spans="2:34" ht="17.100000000000001" customHeight="1">
      <c r="B125" s="898"/>
      <c r="C125" s="899"/>
      <c r="D125" s="892"/>
      <c r="E125" s="892" t="s">
        <v>175</v>
      </c>
      <c r="F125" s="894" t="s">
        <v>248</v>
      </c>
      <c r="G125" s="895" t="s">
        <v>186</v>
      </c>
      <c r="H125" s="895"/>
      <c r="I125" s="895"/>
      <c r="J125" s="895"/>
      <c r="K125" s="895"/>
      <c r="L125" s="895"/>
      <c r="M125" s="895"/>
      <c r="N125" s="895"/>
      <c r="O125" s="895" t="s">
        <v>168</v>
      </c>
      <c r="P125" s="895"/>
      <c r="Q125" s="895" t="s">
        <v>176</v>
      </c>
      <c r="R125" s="895"/>
      <c r="S125" s="895"/>
      <c r="T125" s="893"/>
      <c r="U125" s="886"/>
      <c r="V125" s="903"/>
      <c r="W125" s="903"/>
      <c r="X125" s="906"/>
      <c r="Y125" s="894"/>
      <c r="AA125" s="889"/>
      <c r="AB125" s="890"/>
      <c r="AC125" s="890"/>
      <c r="AD125" s="890"/>
      <c r="AE125" s="890"/>
      <c r="AF125" s="890"/>
      <c r="AG125" s="890"/>
      <c r="AH125" s="891"/>
    </row>
    <row r="126" spans="2:34" ht="38.450000000000003" customHeight="1">
      <c r="B126" s="900"/>
      <c r="C126" s="901"/>
      <c r="D126" s="892"/>
      <c r="E126" s="892"/>
      <c r="F126" s="894"/>
      <c r="G126" s="388" t="s">
        <v>177</v>
      </c>
      <c r="H126" s="388" t="s">
        <v>252</v>
      </c>
      <c r="I126" s="388" t="s">
        <v>253</v>
      </c>
      <c r="J126" s="388" t="s">
        <v>178</v>
      </c>
      <c r="K126" s="388" t="s">
        <v>250</v>
      </c>
      <c r="L126" s="388" t="s">
        <v>179</v>
      </c>
      <c r="M126" s="388" t="s">
        <v>187</v>
      </c>
      <c r="N126" s="388" t="s">
        <v>180</v>
      </c>
      <c r="O126" s="389" t="s">
        <v>181</v>
      </c>
      <c r="P126" s="389" t="s">
        <v>182</v>
      </c>
      <c r="Q126" s="389" t="s">
        <v>181</v>
      </c>
      <c r="R126" s="389" t="s">
        <v>182</v>
      </c>
      <c r="S126" s="388" t="s">
        <v>183</v>
      </c>
      <c r="T126" s="893"/>
      <c r="U126" s="889"/>
      <c r="V126" s="904"/>
      <c r="W126" s="904"/>
      <c r="X126" s="907"/>
      <c r="Y126" s="894"/>
      <c r="AA126" s="161" t="s">
        <v>244</v>
      </c>
      <c r="AB126" s="161" t="s">
        <v>481</v>
      </c>
      <c r="AC126" s="156" t="s">
        <v>395</v>
      </c>
      <c r="AD126" s="156" t="s">
        <v>339</v>
      </c>
      <c r="AE126" s="156" t="s">
        <v>460</v>
      </c>
      <c r="AF126" s="156" t="s">
        <v>215</v>
      </c>
      <c r="AG126" s="156" t="s">
        <v>216</v>
      </c>
      <c r="AH126" s="156" t="s">
        <v>396</v>
      </c>
    </row>
    <row r="127" spans="2:34" s="148" customFormat="1" ht="27" customHeight="1">
      <c r="B127" s="877" t="s">
        <v>687</v>
      </c>
      <c r="C127" s="878"/>
      <c r="D127" s="387">
        <v>1</v>
      </c>
      <c r="E127" s="390"/>
      <c r="F127" s="391"/>
      <c r="G127" s="392"/>
      <c r="H127" s="392"/>
      <c r="I127" s="393" t="e">
        <f>H127/G127</f>
        <v>#DIV/0!</v>
      </c>
      <c r="J127" s="392"/>
      <c r="K127" s="393" t="e">
        <f>J127/G127</f>
        <v>#DIV/0!</v>
      </c>
      <c r="L127" s="392"/>
      <c r="M127" s="393" t="e">
        <f>(H127+J127)/G127</f>
        <v>#DIV/0!</v>
      </c>
      <c r="N127" s="394"/>
      <c r="O127" s="392"/>
      <c r="P127" s="393" t="e">
        <f>O127/G127</f>
        <v>#DIV/0!</v>
      </c>
      <c r="Q127" s="395">
        <f>((H127+J127)-G127)-O127</f>
        <v>0</v>
      </c>
      <c r="R127" s="393" t="e">
        <f>Q127/G127</f>
        <v>#DIV/0!</v>
      </c>
      <c r="S127" s="396">
        <f>Q127*L127</f>
        <v>0</v>
      </c>
      <c r="T127" s="397"/>
      <c r="U127" s="397"/>
      <c r="V127" s="398"/>
      <c r="W127" s="398"/>
      <c r="X127" s="398">
        <v>1</v>
      </c>
      <c r="Y127" s="399"/>
      <c r="Z127" s="400" t="s">
        <v>482</v>
      </c>
      <c r="AA127" s="410">
        <f>SUM(X127:X146)</f>
        <v>20</v>
      </c>
      <c r="AB127" s="402">
        <f>SUMIF($U$127:$U$146,TRIM(AB126),$X$127:$X$146)</f>
        <v>0</v>
      </c>
      <c r="AC127" s="402">
        <f t="shared" ref="AC127:AH127" si="57">SUMIF($U$127:$U$146,TRIM(AC126),$X$127:$X$146)</f>
        <v>0</v>
      </c>
      <c r="AD127" s="402">
        <f t="shared" si="57"/>
        <v>0</v>
      </c>
      <c r="AE127" s="402">
        <f t="shared" si="57"/>
        <v>0</v>
      </c>
      <c r="AF127" s="402">
        <f t="shared" si="57"/>
        <v>0</v>
      </c>
      <c r="AG127" s="402">
        <f t="shared" si="57"/>
        <v>0</v>
      </c>
      <c r="AH127" s="402">
        <f t="shared" si="57"/>
        <v>0</v>
      </c>
    </row>
    <row r="128" spans="2:34" s="148" customFormat="1" ht="27" customHeight="1">
      <c r="B128" s="879"/>
      <c r="C128" s="880"/>
      <c r="D128" s="387">
        <v>2</v>
      </c>
      <c r="E128" s="390"/>
      <c r="F128" s="391"/>
      <c r="G128" s="392"/>
      <c r="H128" s="392"/>
      <c r="I128" s="393" t="e">
        <f t="shared" ref="I128:I146" si="58">H128/G128</f>
        <v>#DIV/0!</v>
      </c>
      <c r="J128" s="392"/>
      <c r="K128" s="393" t="e">
        <f t="shared" ref="K128:K146" si="59">J128/G128</f>
        <v>#DIV/0!</v>
      </c>
      <c r="L128" s="392"/>
      <c r="M128" s="393" t="e">
        <f t="shared" ref="M128:M133" si="60">(H128+J128)/G128</f>
        <v>#DIV/0!</v>
      </c>
      <c r="N128" s="394"/>
      <c r="O128" s="392"/>
      <c r="P128" s="393" t="e">
        <f t="shared" ref="P128:P146" si="61">O128/G128</f>
        <v>#DIV/0!</v>
      </c>
      <c r="Q128" s="395">
        <f t="shared" ref="Q128:Q146" si="62">((H128+J128)-G128)-O128</f>
        <v>0</v>
      </c>
      <c r="R128" s="393" t="e">
        <f t="shared" ref="R128:R146" si="63">Q128/G128</f>
        <v>#DIV/0!</v>
      </c>
      <c r="S128" s="396">
        <f t="shared" ref="S128:S146" si="64">Q128*L128</f>
        <v>0</v>
      </c>
      <c r="T128" s="397"/>
      <c r="U128" s="397"/>
      <c r="V128" s="398"/>
      <c r="W128" s="398"/>
      <c r="X128" s="398">
        <v>1</v>
      </c>
      <c r="Y128" s="399"/>
      <c r="AA128" s="411"/>
      <c r="AB128" s="408">
        <f>SUMIF($U$127:$U146,TRIM(AB126),$F$127:$F$146)</f>
        <v>0</v>
      </c>
      <c r="AC128" s="408">
        <f>SUMIF($U$127:$U146,TRIM(AC126),$F$127:$F$146)</f>
        <v>0</v>
      </c>
      <c r="AD128" s="408">
        <f>SUMIF($U$127:$U146,TRIM(AD126),$F$127:$F$146)</f>
        <v>0</v>
      </c>
      <c r="AE128" s="408">
        <f>SUMIF($U$127:$U146,TRIM(AE126),$F$127:$F$146)</f>
        <v>0</v>
      </c>
      <c r="AF128" s="408">
        <f>SUMIF($U$127:$U146,TRIM(AF126),$F$127:$F$146)</f>
        <v>0</v>
      </c>
      <c r="AG128" s="408">
        <f>SUMIF($U$127:$U146,TRIM(AG126),$F$127:$F$146)</f>
        <v>0</v>
      </c>
      <c r="AH128" s="408">
        <f>SUMIF($U$127:$U146,TRIM(AH126),$F$127:$F$146)</f>
        <v>0</v>
      </c>
    </row>
    <row r="129" spans="2:34" s="148" customFormat="1" ht="27" customHeight="1">
      <c r="B129" s="879"/>
      <c r="C129" s="880"/>
      <c r="D129" s="387">
        <v>3</v>
      </c>
      <c r="E129" s="390"/>
      <c r="F129" s="391"/>
      <c r="G129" s="392"/>
      <c r="H129" s="392"/>
      <c r="I129" s="393" t="e">
        <f t="shared" si="58"/>
        <v>#DIV/0!</v>
      </c>
      <c r="J129" s="392"/>
      <c r="K129" s="393" t="e">
        <f t="shared" si="59"/>
        <v>#DIV/0!</v>
      </c>
      <c r="L129" s="392"/>
      <c r="M129" s="393" t="e">
        <f t="shared" si="60"/>
        <v>#DIV/0!</v>
      </c>
      <c r="N129" s="394"/>
      <c r="O129" s="392"/>
      <c r="P129" s="393" t="e">
        <f t="shared" si="61"/>
        <v>#DIV/0!</v>
      </c>
      <c r="Q129" s="395">
        <f t="shared" si="62"/>
        <v>0</v>
      </c>
      <c r="R129" s="393" t="e">
        <f t="shared" si="63"/>
        <v>#DIV/0!</v>
      </c>
      <c r="S129" s="396">
        <f t="shared" si="64"/>
        <v>0</v>
      </c>
      <c r="T129" s="397"/>
      <c r="U129" s="397"/>
      <c r="V129" s="398"/>
      <c r="W129" s="398"/>
      <c r="X129" s="398">
        <v>1</v>
      </c>
      <c r="Y129" s="399"/>
      <c r="AA129" s="387"/>
      <c r="AB129" s="409">
        <f>AB127/$AA127</f>
        <v>0</v>
      </c>
      <c r="AC129" s="409">
        <f t="shared" ref="AC129:AH129" si="65">AC127/$AA127</f>
        <v>0</v>
      </c>
      <c r="AD129" s="409">
        <f t="shared" si="65"/>
        <v>0</v>
      </c>
      <c r="AE129" s="409">
        <f t="shared" si="65"/>
        <v>0</v>
      </c>
      <c r="AF129" s="409">
        <f t="shared" si="65"/>
        <v>0</v>
      </c>
      <c r="AG129" s="409">
        <f t="shared" si="65"/>
        <v>0</v>
      </c>
      <c r="AH129" s="409">
        <f t="shared" si="65"/>
        <v>0</v>
      </c>
    </row>
    <row r="130" spans="2:34" s="148" customFormat="1" ht="27" customHeight="1">
      <c r="B130" s="879"/>
      <c r="C130" s="880"/>
      <c r="D130" s="387">
        <v>4</v>
      </c>
      <c r="E130" s="390"/>
      <c r="F130" s="391"/>
      <c r="G130" s="392"/>
      <c r="H130" s="392"/>
      <c r="I130" s="393" t="e">
        <f t="shared" si="58"/>
        <v>#DIV/0!</v>
      </c>
      <c r="J130" s="392"/>
      <c r="K130" s="393" t="e">
        <f t="shared" si="59"/>
        <v>#DIV/0!</v>
      </c>
      <c r="L130" s="392"/>
      <c r="M130" s="393" t="e">
        <f t="shared" si="60"/>
        <v>#DIV/0!</v>
      </c>
      <c r="N130" s="394"/>
      <c r="O130" s="392"/>
      <c r="P130" s="393" t="e">
        <f t="shared" si="61"/>
        <v>#DIV/0!</v>
      </c>
      <c r="Q130" s="395">
        <f t="shared" si="62"/>
        <v>0</v>
      </c>
      <c r="R130" s="393" t="e">
        <f t="shared" si="63"/>
        <v>#DIV/0!</v>
      </c>
      <c r="S130" s="396">
        <f t="shared" si="64"/>
        <v>0</v>
      </c>
      <c r="T130" s="397"/>
      <c r="U130" s="397"/>
      <c r="V130" s="398"/>
      <c r="W130" s="398"/>
      <c r="X130" s="398">
        <v>1</v>
      </c>
      <c r="Y130" s="399"/>
    </row>
    <row r="131" spans="2:34" s="148" customFormat="1" ht="27" customHeight="1">
      <c r="B131" s="879"/>
      <c r="C131" s="880"/>
      <c r="D131" s="387">
        <v>5</v>
      </c>
      <c r="E131" s="390"/>
      <c r="F131" s="391"/>
      <c r="G131" s="392"/>
      <c r="H131" s="392"/>
      <c r="I131" s="393" t="e">
        <f t="shared" si="58"/>
        <v>#DIV/0!</v>
      </c>
      <c r="J131" s="392"/>
      <c r="K131" s="393" t="e">
        <f t="shared" si="59"/>
        <v>#DIV/0!</v>
      </c>
      <c r="L131" s="392"/>
      <c r="M131" s="393" t="e">
        <f t="shared" si="60"/>
        <v>#DIV/0!</v>
      </c>
      <c r="N131" s="394"/>
      <c r="O131" s="392"/>
      <c r="P131" s="393" t="e">
        <f t="shared" si="61"/>
        <v>#DIV/0!</v>
      </c>
      <c r="Q131" s="395">
        <f t="shared" si="62"/>
        <v>0</v>
      </c>
      <c r="R131" s="393" t="e">
        <f t="shared" si="63"/>
        <v>#DIV/0!</v>
      </c>
      <c r="S131" s="396">
        <f t="shared" si="64"/>
        <v>0</v>
      </c>
      <c r="T131" s="397"/>
      <c r="U131" s="397"/>
      <c r="V131" s="398"/>
      <c r="W131" s="398"/>
      <c r="X131" s="398">
        <v>1</v>
      </c>
      <c r="Y131" s="399"/>
    </row>
    <row r="132" spans="2:34" s="148" customFormat="1" ht="27" customHeight="1">
      <c r="B132" s="879"/>
      <c r="C132" s="880"/>
      <c r="D132" s="387">
        <v>6</v>
      </c>
      <c r="E132" s="390"/>
      <c r="F132" s="391"/>
      <c r="G132" s="392"/>
      <c r="H132" s="392"/>
      <c r="I132" s="393" t="e">
        <f t="shared" si="58"/>
        <v>#DIV/0!</v>
      </c>
      <c r="J132" s="392"/>
      <c r="K132" s="393" t="e">
        <f t="shared" si="59"/>
        <v>#DIV/0!</v>
      </c>
      <c r="L132" s="392"/>
      <c r="M132" s="393" t="e">
        <f t="shared" si="60"/>
        <v>#DIV/0!</v>
      </c>
      <c r="N132" s="394"/>
      <c r="O132" s="392"/>
      <c r="P132" s="393" t="e">
        <f t="shared" si="61"/>
        <v>#DIV/0!</v>
      </c>
      <c r="Q132" s="395">
        <f t="shared" si="62"/>
        <v>0</v>
      </c>
      <c r="R132" s="393" t="e">
        <f t="shared" si="63"/>
        <v>#DIV/0!</v>
      </c>
      <c r="S132" s="396">
        <f t="shared" si="64"/>
        <v>0</v>
      </c>
      <c r="T132" s="397"/>
      <c r="U132" s="397"/>
      <c r="V132" s="398"/>
      <c r="W132" s="398"/>
      <c r="X132" s="398">
        <v>1</v>
      </c>
      <c r="Y132" s="399"/>
    </row>
    <row r="133" spans="2:34" s="148" customFormat="1" ht="27" customHeight="1">
      <c r="B133" s="879"/>
      <c r="C133" s="880"/>
      <c r="D133" s="387">
        <v>7</v>
      </c>
      <c r="E133" s="390"/>
      <c r="F133" s="391"/>
      <c r="G133" s="392"/>
      <c r="H133" s="392"/>
      <c r="I133" s="393" t="e">
        <f t="shared" si="58"/>
        <v>#DIV/0!</v>
      </c>
      <c r="J133" s="392"/>
      <c r="K133" s="393" t="e">
        <f t="shared" si="59"/>
        <v>#DIV/0!</v>
      </c>
      <c r="L133" s="392"/>
      <c r="M133" s="393" t="e">
        <f t="shared" si="60"/>
        <v>#DIV/0!</v>
      </c>
      <c r="N133" s="394"/>
      <c r="O133" s="392"/>
      <c r="P133" s="393" t="e">
        <f t="shared" si="61"/>
        <v>#DIV/0!</v>
      </c>
      <c r="Q133" s="395">
        <f t="shared" si="62"/>
        <v>0</v>
      </c>
      <c r="R133" s="393" t="e">
        <f t="shared" si="63"/>
        <v>#DIV/0!</v>
      </c>
      <c r="S133" s="396">
        <f t="shared" si="64"/>
        <v>0</v>
      </c>
      <c r="T133" s="397"/>
      <c r="U133" s="397"/>
      <c r="V133" s="398"/>
      <c r="W133" s="421"/>
      <c r="X133" s="398">
        <v>1</v>
      </c>
      <c r="Y133" s="399"/>
      <c r="AC133" s="403"/>
    </row>
    <row r="134" spans="2:34" s="148" customFormat="1" ht="27" customHeight="1">
      <c r="B134" s="879"/>
      <c r="C134" s="880"/>
      <c r="D134" s="387">
        <v>8</v>
      </c>
      <c r="E134" s="390"/>
      <c r="F134" s="391"/>
      <c r="G134" s="392"/>
      <c r="H134" s="392"/>
      <c r="I134" s="393" t="e">
        <f t="shared" si="58"/>
        <v>#DIV/0!</v>
      </c>
      <c r="J134" s="392"/>
      <c r="K134" s="393" t="e">
        <f t="shared" si="59"/>
        <v>#DIV/0!</v>
      </c>
      <c r="L134" s="392"/>
      <c r="M134" s="393" t="e">
        <f>(H134+J134)/G134</f>
        <v>#DIV/0!</v>
      </c>
      <c r="N134" s="394"/>
      <c r="O134" s="392"/>
      <c r="P134" s="393" t="e">
        <f t="shared" si="61"/>
        <v>#DIV/0!</v>
      </c>
      <c r="Q134" s="395">
        <f t="shared" si="62"/>
        <v>0</v>
      </c>
      <c r="R134" s="393" t="e">
        <f t="shared" si="63"/>
        <v>#DIV/0!</v>
      </c>
      <c r="S134" s="396">
        <f t="shared" si="64"/>
        <v>0</v>
      </c>
      <c r="T134" s="397"/>
      <c r="U134" s="397"/>
      <c r="V134" s="398"/>
      <c r="W134" s="398"/>
      <c r="X134" s="398">
        <v>1</v>
      </c>
      <c r="Y134" s="399"/>
      <c r="AC134" s="403"/>
    </row>
    <row r="135" spans="2:34" s="148" customFormat="1" ht="27" customHeight="1">
      <c r="B135" s="879"/>
      <c r="C135" s="880"/>
      <c r="D135" s="387">
        <v>9</v>
      </c>
      <c r="E135" s="390"/>
      <c r="F135" s="391"/>
      <c r="G135" s="392"/>
      <c r="H135" s="392"/>
      <c r="I135" s="393" t="e">
        <f t="shared" si="58"/>
        <v>#DIV/0!</v>
      </c>
      <c r="J135" s="392"/>
      <c r="K135" s="393" t="e">
        <f t="shared" si="59"/>
        <v>#DIV/0!</v>
      </c>
      <c r="L135" s="392"/>
      <c r="M135" s="393" t="e">
        <f t="shared" ref="M135:M146" si="66">(H135+J135)/G135</f>
        <v>#DIV/0!</v>
      </c>
      <c r="N135" s="394"/>
      <c r="O135" s="392"/>
      <c r="P135" s="393" t="e">
        <f t="shared" si="61"/>
        <v>#DIV/0!</v>
      </c>
      <c r="Q135" s="395">
        <f t="shared" si="62"/>
        <v>0</v>
      </c>
      <c r="R135" s="393" t="e">
        <f t="shared" si="63"/>
        <v>#DIV/0!</v>
      </c>
      <c r="S135" s="396">
        <f t="shared" si="64"/>
        <v>0</v>
      </c>
      <c r="T135" s="397"/>
      <c r="U135" s="397"/>
      <c r="V135" s="398"/>
      <c r="W135" s="398"/>
      <c r="X135" s="398">
        <v>1</v>
      </c>
      <c r="Y135" s="399"/>
      <c r="AC135" s="403"/>
    </row>
    <row r="136" spans="2:34" s="148" customFormat="1" ht="27" customHeight="1">
      <c r="B136" s="879"/>
      <c r="C136" s="880"/>
      <c r="D136" s="387">
        <v>10</v>
      </c>
      <c r="E136" s="390"/>
      <c r="F136" s="391"/>
      <c r="G136" s="392"/>
      <c r="H136" s="392"/>
      <c r="I136" s="393" t="e">
        <f t="shared" si="58"/>
        <v>#DIV/0!</v>
      </c>
      <c r="J136" s="392"/>
      <c r="K136" s="393" t="e">
        <f t="shared" si="59"/>
        <v>#DIV/0!</v>
      </c>
      <c r="L136" s="392"/>
      <c r="M136" s="393" t="e">
        <f t="shared" si="66"/>
        <v>#DIV/0!</v>
      </c>
      <c r="N136" s="394"/>
      <c r="O136" s="392"/>
      <c r="P136" s="393" t="e">
        <f t="shared" si="61"/>
        <v>#DIV/0!</v>
      </c>
      <c r="Q136" s="395">
        <f t="shared" si="62"/>
        <v>0</v>
      </c>
      <c r="R136" s="393" t="e">
        <f t="shared" si="63"/>
        <v>#DIV/0!</v>
      </c>
      <c r="S136" s="396">
        <f t="shared" si="64"/>
        <v>0</v>
      </c>
      <c r="T136" s="397"/>
      <c r="U136" s="397"/>
      <c r="V136" s="398"/>
      <c r="W136" s="398"/>
      <c r="X136" s="398">
        <v>1</v>
      </c>
      <c r="Y136" s="399"/>
      <c r="AC136" s="403"/>
    </row>
    <row r="137" spans="2:34" s="148" customFormat="1" ht="27" customHeight="1">
      <c r="B137" s="879"/>
      <c r="C137" s="880"/>
      <c r="D137" s="387">
        <v>11</v>
      </c>
      <c r="E137" s="390"/>
      <c r="F137" s="391"/>
      <c r="G137" s="392"/>
      <c r="H137" s="392"/>
      <c r="I137" s="393" t="e">
        <f t="shared" si="58"/>
        <v>#DIV/0!</v>
      </c>
      <c r="J137" s="392"/>
      <c r="K137" s="393" t="e">
        <f t="shared" si="59"/>
        <v>#DIV/0!</v>
      </c>
      <c r="L137" s="392"/>
      <c r="M137" s="393" t="e">
        <f t="shared" si="66"/>
        <v>#DIV/0!</v>
      </c>
      <c r="N137" s="394"/>
      <c r="O137" s="392"/>
      <c r="P137" s="393" t="e">
        <f t="shared" si="61"/>
        <v>#DIV/0!</v>
      </c>
      <c r="Q137" s="395">
        <f t="shared" si="62"/>
        <v>0</v>
      </c>
      <c r="R137" s="393" t="e">
        <f t="shared" si="63"/>
        <v>#DIV/0!</v>
      </c>
      <c r="S137" s="396">
        <f t="shared" si="64"/>
        <v>0</v>
      </c>
      <c r="T137" s="397"/>
      <c r="U137" s="397"/>
      <c r="V137" s="398"/>
      <c r="W137" s="398"/>
      <c r="X137" s="398">
        <v>1</v>
      </c>
      <c r="Y137" s="399"/>
      <c r="AC137" s="403"/>
    </row>
    <row r="138" spans="2:34" s="148" customFormat="1" ht="27" customHeight="1">
      <c r="B138" s="879"/>
      <c r="C138" s="880"/>
      <c r="D138" s="387">
        <v>12</v>
      </c>
      <c r="E138" s="390"/>
      <c r="F138" s="391"/>
      <c r="G138" s="392"/>
      <c r="H138" s="392"/>
      <c r="I138" s="393" t="e">
        <f t="shared" si="58"/>
        <v>#DIV/0!</v>
      </c>
      <c r="J138" s="392"/>
      <c r="K138" s="393" t="e">
        <f t="shared" si="59"/>
        <v>#DIV/0!</v>
      </c>
      <c r="L138" s="392"/>
      <c r="M138" s="393" t="e">
        <f t="shared" si="66"/>
        <v>#DIV/0!</v>
      </c>
      <c r="N138" s="394"/>
      <c r="O138" s="392"/>
      <c r="P138" s="393" t="e">
        <f t="shared" si="61"/>
        <v>#DIV/0!</v>
      </c>
      <c r="Q138" s="395">
        <f t="shared" si="62"/>
        <v>0</v>
      </c>
      <c r="R138" s="393" t="e">
        <f t="shared" si="63"/>
        <v>#DIV/0!</v>
      </c>
      <c r="S138" s="396">
        <f t="shared" si="64"/>
        <v>0</v>
      </c>
      <c r="T138" s="397"/>
      <c r="U138" s="397"/>
      <c r="V138" s="398"/>
      <c r="W138" s="398"/>
      <c r="X138" s="398">
        <v>1</v>
      </c>
      <c r="Y138" s="399"/>
      <c r="AA138" s="883" t="s">
        <v>247</v>
      </c>
      <c r="AB138" s="884"/>
      <c r="AC138" s="884"/>
      <c r="AD138" s="884"/>
      <c r="AE138" s="884"/>
      <c r="AF138" s="884"/>
      <c r="AG138" s="884"/>
      <c r="AH138" s="885"/>
    </row>
    <row r="139" spans="2:34" s="148" customFormat="1" ht="27" customHeight="1">
      <c r="B139" s="879"/>
      <c r="C139" s="880"/>
      <c r="D139" s="387">
        <v>13</v>
      </c>
      <c r="E139" s="390"/>
      <c r="F139" s="391"/>
      <c r="G139" s="392"/>
      <c r="H139" s="392"/>
      <c r="I139" s="393" t="e">
        <f t="shared" si="58"/>
        <v>#DIV/0!</v>
      </c>
      <c r="J139" s="392"/>
      <c r="K139" s="393" t="e">
        <f t="shared" si="59"/>
        <v>#DIV/0!</v>
      </c>
      <c r="L139" s="392"/>
      <c r="M139" s="393" t="e">
        <f t="shared" si="66"/>
        <v>#DIV/0!</v>
      </c>
      <c r="N139" s="394"/>
      <c r="O139" s="392"/>
      <c r="P139" s="393" t="e">
        <f t="shared" si="61"/>
        <v>#DIV/0!</v>
      </c>
      <c r="Q139" s="395">
        <f t="shared" si="62"/>
        <v>0</v>
      </c>
      <c r="R139" s="393" t="e">
        <f t="shared" si="63"/>
        <v>#DIV/0!</v>
      </c>
      <c r="S139" s="396">
        <f t="shared" si="64"/>
        <v>0</v>
      </c>
      <c r="T139" s="397"/>
      <c r="U139" s="397"/>
      <c r="V139" s="398"/>
      <c r="W139" s="398"/>
      <c r="X139" s="398">
        <v>1</v>
      </c>
      <c r="Y139" s="399"/>
      <c r="AA139" s="886"/>
      <c r="AB139" s="887"/>
      <c r="AC139" s="887"/>
      <c r="AD139" s="887"/>
      <c r="AE139" s="887"/>
      <c r="AF139" s="887"/>
      <c r="AG139" s="887"/>
      <c r="AH139" s="888"/>
    </row>
    <row r="140" spans="2:34" s="148" customFormat="1" ht="27" customHeight="1">
      <c r="B140" s="879"/>
      <c r="C140" s="880"/>
      <c r="D140" s="387">
        <v>14</v>
      </c>
      <c r="E140" s="390"/>
      <c r="F140" s="391"/>
      <c r="G140" s="392"/>
      <c r="H140" s="392"/>
      <c r="I140" s="393" t="e">
        <f t="shared" si="58"/>
        <v>#DIV/0!</v>
      </c>
      <c r="J140" s="392"/>
      <c r="K140" s="393" t="e">
        <f t="shared" si="59"/>
        <v>#DIV/0!</v>
      </c>
      <c r="L140" s="392"/>
      <c r="M140" s="393" t="e">
        <f t="shared" si="66"/>
        <v>#DIV/0!</v>
      </c>
      <c r="N140" s="394"/>
      <c r="O140" s="392"/>
      <c r="P140" s="393" t="e">
        <f t="shared" si="61"/>
        <v>#DIV/0!</v>
      </c>
      <c r="Q140" s="395">
        <f t="shared" si="62"/>
        <v>0</v>
      </c>
      <c r="R140" s="393" t="e">
        <f t="shared" si="63"/>
        <v>#DIV/0!</v>
      </c>
      <c r="S140" s="396">
        <f t="shared" si="64"/>
        <v>0</v>
      </c>
      <c r="T140" s="397"/>
      <c r="U140" s="397"/>
      <c r="V140" s="398"/>
      <c r="W140" s="398"/>
      <c r="X140" s="398">
        <v>1</v>
      </c>
      <c r="Y140" s="399"/>
      <c r="AA140" s="889"/>
      <c r="AB140" s="890"/>
      <c r="AC140" s="890"/>
      <c r="AD140" s="890"/>
      <c r="AE140" s="890"/>
      <c r="AF140" s="890"/>
      <c r="AG140" s="890"/>
      <c r="AH140" s="891"/>
    </row>
    <row r="141" spans="2:34" s="148" customFormat="1" ht="27" customHeight="1">
      <c r="B141" s="879"/>
      <c r="C141" s="880"/>
      <c r="D141" s="387">
        <v>15</v>
      </c>
      <c r="E141" s="390"/>
      <c r="F141" s="391"/>
      <c r="G141" s="392"/>
      <c r="H141" s="392"/>
      <c r="I141" s="393" t="e">
        <f t="shared" si="58"/>
        <v>#DIV/0!</v>
      </c>
      <c r="J141" s="392"/>
      <c r="K141" s="393" t="e">
        <f t="shared" si="59"/>
        <v>#DIV/0!</v>
      </c>
      <c r="L141" s="392"/>
      <c r="M141" s="393" t="e">
        <f t="shared" si="66"/>
        <v>#DIV/0!</v>
      </c>
      <c r="N141" s="394"/>
      <c r="O141" s="392"/>
      <c r="P141" s="393" t="e">
        <f t="shared" si="61"/>
        <v>#DIV/0!</v>
      </c>
      <c r="Q141" s="395">
        <f t="shared" si="62"/>
        <v>0</v>
      </c>
      <c r="R141" s="393" t="e">
        <f t="shared" si="63"/>
        <v>#DIV/0!</v>
      </c>
      <c r="S141" s="396">
        <f t="shared" si="64"/>
        <v>0</v>
      </c>
      <c r="T141" s="397"/>
      <c r="U141" s="397"/>
      <c r="V141" s="398"/>
      <c r="W141" s="398"/>
      <c r="X141" s="398">
        <v>1</v>
      </c>
      <c r="Y141" s="399"/>
      <c r="AA141" s="161" t="s">
        <v>244</v>
      </c>
      <c r="AB141" s="161" t="s">
        <v>481</v>
      </c>
      <c r="AC141" s="156" t="s">
        <v>395</v>
      </c>
      <c r="AD141" s="156" t="s">
        <v>339</v>
      </c>
      <c r="AE141" s="156" t="s">
        <v>460</v>
      </c>
      <c r="AF141" s="156" t="s">
        <v>215</v>
      </c>
      <c r="AG141" s="156" t="s">
        <v>216</v>
      </c>
      <c r="AH141" s="156" t="s">
        <v>396</v>
      </c>
    </row>
    <row r="142" spans="2:34" s="148" customFormat="1" ht="27" customHeight="1">
      <c r="B142" s="879"/>
      <c r="C142" s="880"/>
      <c r="D142" s="387">
        <v>16</v>
      </c>
      <c r="E142" s="390"/>
      <c r="F142" s="391"/>
      <c r="G142" s="392"/>
      <c r="H142" s="392"/>
      <c r="I142" s="393" t="e">
        <f t="shared" si="58"/>
        <v>#DIV/0!</v>
      </c>
      <c r="J142" s="392"/>
      <c r="K142" s="393" t="e">
        <f t="shared" si="59"/>
        <v>#DIV/0!</v>
      </c>
      <c r="L142" s="392"/>
      <c r="M142" s="393" t="e">
        <f t="shared" si="66"/>
        <v>#DIV/0!</v>
      </c>
      <c r="N142" s="394"/>
      <c r="O142" s="392"/>
      <c r="P142" s="393" t="e">
        <f t="shared" si="61"/>
        <v>#DIV/0!</v>
      </c>
      <c r="Q142" s="395">
        <f t="shared" si="62"/>
        <v>0</v>
      </c>
      <c r="R142" s="393" t="e">
        <f t="shared" si="63"/>
        <v>#DIV/0!</v>
      </c>
      <c r="S142" s="396">
        <f t="shared" si="64"/>
        <v>0</v>
      </c>
      <c r="T142" s="397"/>
      <c r="U142" s="397"/>
      <c r="V142" s="398"/>
      <c r="W142" s="398"/>
      <c r="X142" s="398">
        <v>1</v>
      </c>
      <c r="Y142" s="399"/>
      <c r="Z142" s="445" t="s">
        <v>530</v>
      </c>
      <c r="AA142" s="410">
        <f>AA31+AA55+AA79+AA103</f>
        <v>80</v>
      </c>
      <c r="AB142" s="410">
        <f>AB31+AB55+AB79+AB103</f>
        <v>30</v>
      </c>
      <c r="AC142" s="410">
        <f t="shared" ref="AC142:AH142" si="67">AC31+AC55+AC79+AC103</f>
        <v>0</v>
      </c>
      <c r="AD142" s="410">
        <f t="shared" si="67"/>
        <v>8</v>
      </c>
      <c r="AE142" s="410">
        <f t="shared" si="67"/>
        <v>0</v>
      </c>
      <c r="AF142" s="410">
        <f t="shared" si="67"/>
        <v>0</v>
      </c>
      <c r="AG142" s="410">
        <f t="shared" si="67"/>
        <v>2</v>
      </c>
      <c r="AH142" s="410">
        <f t="shared" si="67"/>
        <v>0</v>
      </c>
    </row>
    <row r="143" spans="2:34" s="148" customFormat="1" ht="27" customHeight="1">
      <c r="B143" s="879"/>
      <c r="C143" s="880"/>
      <c r="D143" s="387">
        <v>17</v>
      </c>
      <c r="E143" s="390"/>
      <c r="F143" s="391"/>
      <c r="G143" s="392"/>
      <c r="H143" s="392"/>
      <c r="I143" s="393" t="e">
        <f t="shared" si="58"/>
        <v>#DIV/0!</v>
      </c>
      <c r="J143" s="392"/>
      <c r="K143" s="393" t="e">
        <f t="shared" si="59"/>
        <v>#DIV/0!</v>
      </c>
      <c r="L143" s="392"/>
      <c r="M143" s="393" t="e">
        <f t="shared" si="66"/>
        <v>#DIV/0!</v>
      </c>
      <c r="N143" s="394"/>
      <c r="O143" s="392"/>
      <c r="P143" s="393" t="e">
        <f t="shared" si="61"/>
        <v>#DIV/0!</v>
      </c>
      <c r="Q143" s="395">
        <f t="shared" si="62"/>
        <v>0</v>
      </c>
      <c r="R143" s="393" t="e">
        <f t="shared" si="63"/>
        <v>#DIV/0!</v>
      </c>
      <c r="S143" s="396">
        <f t="shared" si="64"/>
        <v>0</v>
      </c>
      <c r="T143" s="397"/>
      <c r="U143" s="397"/>
      <c r="V143" s="398"/>
      <c r="W143" s="398"/>
      <c r="X143" s="398">
        <v>1</v>
      </c>
      <c r="Y143" s="399"/>
      <c r="AA143" s="411"/>
      <c r="AB143" s="408">
        <f>AB32+AB56+AB80+AB104</f>
        <v>34341.507899999997</v>
      </c>
      <c r="AC143" s="408">
        <f t="shared" ref="AC143:AH143" si="68">AC32+AC56+AC80+AC104</f>
        <v>0</v>
      </c>
      <c r="AD143" s="408">
        <f t="shared" si="68"/>
        <v>14235.91</v>
      </c>
      <c r="AE143" s="408">
        <f t="shared" si="68"/>
        <v>0</v>
      </c>
      <c r="AF143" s="408">
        <f t="shared" si="68"/>
        <v>0</v>
      </c>
      <c r="AG143" s="408">
        <f t="shared" si="68"/>
        <v>4264.2</v>
      </c>
      <c r="AH143" s="408">
        <f t="shared" si="68"/>
        <v>0</v>
      </c>
    </row>
    <row r="144" spans="2:34" s="148" customFormat="1" ht="27" customHeight="1">
      <c r="B144" s="879"/>
      <c r="C144" s="880"/>
      <c r="D144" s="387">
        <v>18</v>
      </c>
      <c r="E144" s="390"/>
      <c r="F144" s="391"/>
      <c r="G144" s="392"/>
      <c r="H144" s="392"/>
      <c r="I144" s="393" t="e">
        <f t="shared" si="58"/>
        <v>#DIV/0!</v>
      </c>
      <c r="J144" s="392"/>
      <c r="K144" s="393" t="e">
        <f t="shared" si="59"/>
        <v>#DIV/0!</v>
      </c>
      <c r="L144" s="392"/>
      <c r="M144" s="393" t="e">
        <f t="shared" si="66"/>
        <v>#DIV/0!</v>
      </c>
      <c r="N144" s="394"/>
      <c r="O144" s="392"/>
      <c r="P144" s="393" t="e">
        <f t="shared" si="61"/>
        <v>#DIV/0!</v>
      </c>
      <c r="Q144" s="395">
        <f t="shared" si="62"/>
        <v>0</v>
      </c>
      <c r="R144" s="393" t="e">
        <f t="shared" si="63"/>
        <v>#DIV/0!</v>
      </c>
      <c r="S144" s="396">
        <f t="shared" si="64"/>
        <v>0</v>
      </c>
      <c r="T144" s="397"/>
      <c r="U144" s="397"/>
      <c r="V144" s="398"/>
      <c r="W144" s="398"/>
      <c r="X144" s="398">
        <v>1</v>
      </c>
      <c r="Y144" s="399"/>
      <c r="AA144" s="387"/>
      <c r="AB144" s="409">
        <f>AB142/$AA142</f>
        <v>0.375</v>
      </c>
      <c r="AC144" s="409">
        <f t="shared" ref="AC144:AH144" si="69">AC142/$AA142</f>
        <v>0</v>
      </c>
      <c r="AD144" s="409">
        <f t="shared" si="69"/>
        <v>0.1</v>
      </c>
      <c r="AE144" s="409">
        <f t="shared" si="69"/>
        <v>0</v>
      </c>
      <c r="AF144" s="409">
        <f t="shared" si="69"/>
        <v>0</v>
      </c>
      <c r="AG144" s="409">
        <f t="shared" si="69"/>
        <v>2.5000000000000001E-2</v>
      </c>
      <c r="AH144" s="409">
        <f t="shared" si="69"/>
        <v>0</v>
      </c>
    </row>
    <row r="145" spans="2:29" s="148" customFormat="1" ht="27" customHeight="1">
      <c r="B145" s="879"/>
      <c r="C145" s="880"/>
      <c r="D145" s="387">
        <v>19</v>
      </c>
      <c r="E145" s="390"/>
      <c r="F145" s="391"/>
      <c r="G145" s="392"/>
      <c r="H145" s="392"/>
      <c r="I145" s="393" t="e">
        <f t="shared" si="58"/>
        <v>#DIV/0!</v>
      </c>
      <c r="J145" s="392"/>
      <c r="K145" s="393" t="e">
        <f t="shared" si="59"/>
        <v>#DIV/0!</v>
      </c>
      <c r="L145" s="392"/>
      <c r="M145" s="393" t="e">
        <f t="shared" si="66"/>
        <v>#DIV/0!</v>
      </c>
      <c r="N145" s="394"/>
      <c r="O145" s="392"/>
      <c r="P145" s="393" t="e">
        <f t="shared" si="61"/>
        <v>#DIV/0!</v>
      </c>
      <c r="Q145" s="395">
        <f t="shared" si="62"/>
        <v>0</v>
      </c>
      <c r="R145" s="393" t="e">
        <f t="shared" si="63"/>
        <v>#DIV/0!</v>
      </c>
      <c r="S145" s="396">
        <f t="shared" si="64"/>
        <v>0</v>
      </c>
      <c r="T145" s="397"/>
      <c r="U145" s="397"/>
      <c r="V145" s="398"/>
      <c r="W145" s="398"/>
      <c r="X145" s="398">
        <v>1</v>
      </c>
      <c r="Y145" s="399"/>
      <c r="AB145" s="406"/>
      <c r="AC145" s="403"/>
    </row>
    <row r="146" spans="2:29" s="148" customFormat="1" ht="27" customHeight="1">
      <c r="B146" s="881"/>
      <c r="C146" s="882"/>
      <c r="D146" s="387">
        <v>20</v>
      </c>
      <c r="E146" s="390"/>
      <c r="F146" s="391"/>
      <c r="G146" s="392"/>
      <c r="H146" s="392"/>
      <c r="I146" s="393" t="e">
        <f t="shared" si="58"/>
        <v>#DIV/0!</v>
      </c>
      <c r="J146" s="392"/>
      <c r="K146" s="393" t="e">
        <f t="shared" si="59"/>
        <v>#DIV/0!</v>
      </c>
      <c r="L146" s="392"/>
      <c r="M146" s="393" t="e">
        <f t="shared" si="66"/>
        <v>#DIV/0!</v>
      </c>
      <c r="N146" s="394"/>
      <c r="O146" s="392"/>
      <c r="P146" s="393" t="e">
        <f t="shared" si="61"/>
        <v>#DIV/0!</v>
      </c>
      <c r="Q146" s="395">
        <f t="shared" si="62"/>
        <v>0</v>
      </c>
      <c r="R146" s="393" t="e">
        <f t="shared" si="63"/>
        <v>#DIV/0!</v>
      </c>
      <c r="S146" s="396">
        <f t="shared" si="64"/>
        <v>0</v>
      </c>
      <c r="T146" s="397"/>
      <c r="U146" s="397"/>
      <c r="V146" s="398"/>
      <c r="W146" s="398"/>
      <c r="X146" s="398">
        <v>1</v>
      </c>
      <c r="Y146" s="399"/>
      <c r="AB146" s="406"/>
      <c r="AC146" s="403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</mergeCells>
  <phoneticPr fontId="16" type="noConversion"/>
  <dataValidations count="1">
    <dataValidation type="list" allowBlank="1" showInputMessage="1" showErrorMessage="1" sqref="U99:U102 T1:U6 U27:U30 U51:U54 U75:U78 U132 U147:U1048576 U123:U126 U84 U108 T7:T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>
    <tabColor rgb="FF92D050"/>
    <pageSetUpPr fitToPage="1"/>
  </sheetPr>
  <dimension ref="B2:AH200"/>
  <sheetViews>
    <sheetView zoomScale="70" zoomScaleNormal="70" workbookViewId="0">
      <pane xSplit="4" ySplit="2" topLeftCell="E48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W73" sqref="W73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2.28515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4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485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6.5" customHeight="1">
      <c r="B3" s="896" t="s">
        <v>478</v>
      </c>
      <c r="C3" s="897"/>
      <c r="D3" s="893" t="s">
        <v>170</v>
      </c>
      <c r="E3" s="893"/>
      <c r="F3" s="893"/>
      <c r="G3" s="893" t="s">
        <v>184</v>
      </c>
      <c r="H3" s="893"/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 t="s">
        <v>171</v>
      </c>
      <c r="U3" s="883" t="s">
        <v>245</v>
      </c>
      <c r="V3" s="914" t="s">
        <v>486</v>
      </c>
      <c r="W3" s="914" t="s">
        <v>480</v>
      </c>
      <c r="X3" s="905" t="s">
        <v>246</v>
      </c>
      <c r="Y3" s="894" t="s">
        <v>172</v>
      </c>
      <c r="AA3" s="893" t="s">
        <v>247</v>
      </c>
      <c r="AB3" s="893"/>
      <c r="AC3" s="893"/>
      <c r="AD3" s="893"/>
      <c r="AE3" s="893"/>
      <c r="AF3" s="893"/>
      <c r="AG3" s="893"/>
      <c r="AH3" s="893"/>
    </row>
    <row r="4" spans="2:34" ht="17.100000000000001" customHeight="1">
      <c r="B4" s="898"/>
      <c r="C4" s="899"/>
      <c r="D4" s="892" t="s">
        <v>169</v>
      </c>
      <c r="E4" s="893" t="s">
        <v>173</v>
      </c>
      <c r="F4" s="893"/>
      <c r="G4" s="893" t="s">
        <v>185</v>
      </c>
      <c r="H4" s="893"/>
      <c r="I4" s="893"/>
      <c r="J4" s="893"/>
      <c r="K4" s="893"/>
      <c r="L4" s="893"/>
      <c r="M4" s="893"/>
      <c r="N4" s="893"/>
      <c r="O4" s="893" t="s">
        <v>174</v>
      </c>
      <c r="P4" s="893"/>
      <c r="Q4" s="893"/>
      <c r="R4" s="893"/>
      <c r="S4" s="893"/>
      <c r="T4" s="893"/>
      <c r="U4" s="886"/>
      <c r="V4" s="906"/>
      <c r="W4" s="915"/>
      <c r="X4" s="906"/>
      <c r="Y4" s="894"/>
      <c r="AA4" s="893"/>
      <c r="AB4" s="893"/>
      <c r="AC4" s="893"/>
      <c r="AD4" s="893"/>
      <c r="AE4" s="893"/>
      <c r="AF4" s="893"/>
      <c r="AG4" s="893"/>
      <c r="AH4" s="893"/>
    </row>
    <row r="5" spans="2:34" ht="17.100000000000001" customHeight="1">
      <c r="B5" s="898"/>
      <c r="C5" s="899"/>
      <c r="D5" s="892"/>
      <c r="E5" s="892" t="s">
        <v>175</v>
      </c>
      <c r="F5" s="910" t="s">
        <v>487</v>
      </c>
      <c r="G5" s="895" t="s">
        <v>186</v>
      </c>
      <c r="H5" s="895"/>
      <c r="I5" s="895"/>
      <c r="J5" s="895"/>
      <c r="K5" s="895"/>
      <c r="L5" s="895"/>
      <c r="M5" s="895"/>
      <c r="N5" s="895"/>
      <c r="O5" s="911" t="s">
        <v>168</v>
      </c>
      <c r="P5" s="912"/>
      <c r="Q5" s="913"/>
      <c r="R5" s="895" t="s">
        <v>176</v>
      </c>
      <c r="S5" s="895"/>
      <c r="T5" s="893"/>
      <c r="U5" s="886"/>
      <c r="V5" s="906"/>
      <c r="W5" s="915"/>
      <c r="X5" s="906"/>
      <c r="Y5" s="894"/>
      <c r="AA5" s="893"/>
      <c r="AB5" s="893"/>
      <c r="AC5" s="893"/>
      <c r="AD5" s="893"/>
      <c r="AE5" s="893"/>
      <c r="AF5" s="893"/>
      <c r="AG5" s="893"/>
      <c r="AH5" s="893"/>
    </row>
    <row r="6" spans="2:34" ht="38.450000000000003" customHeight="1">
      <c r="B6" s="900"/>
      <c r="C6" s="901"/>
      <c r="D6" s="892"/>
      <c r="E6" s="892"/>
      <c r="F6" s="910"/>
      <c r="G6" s="388" t="s">
        <v>177</v>
      </c>
      <c r="H6" s="388" t="s">
        <v>252</v>
      </c>
      <c r="I6" s="388" t="s">
        <v>253</v>
      </c>
      <c r="J6" s="388" t="s">
        <v>178</v>
      </c>
      <c r="K6" s="388" t="s">
        <v>250</v>
      </c>
      <c r="L6" s="388" t="s">
        <v>179</v>
      </c>
      <c r="M6" s="388" t="s">
        <v>187</v>
      </c>
      <c r="N6" s="388" t="s">
        <v>180</v>
      </c>
      <c r="O6" s="389" t="s">
        <v>181</v>
      </c>
      <c r="P6" s="389" t="s">
        <v>182</v>
      </c>
      <c r="Q6" s="388" t="s">
        <v>183</v>
      </c>
      <c r="R6" s="389" t="s">
        <v>181</v>
      </c>
      <c r="S6" s="389" t="s">
        <v>182</v>
      </c>
      <c r="T6" s="893"/>
      <c r="U6" s="889"/>
      <c r="V6" s="907"/>
      <c r="W6" s="916"/>
      <c r="X6" s="907"/>
      <c r="Y6" s="894"/>
      <c r="AA6" s="161" t="s">
        <v>244</v>
      </c>
      <c r="AB6" s="161" t="s">
        <v>481</v>
      </c>
      <c r="AC6" s="156" t="s">
        <v>395</v>
      </c>
      <c r="AD6" s="156" t="s">
        <v>339</v>
      </c>
      <c r="AE6" s="156" t="s">
        <v>460</v>
      </c>
      <c r="AF6" s="156" t="s">
        <v>215</v>
      </c>
      <c r="AG6" s="156" t="s">
        <v>216</v>
      </c>
      <c r="AH6" s="156" t="s">
        <v>396</v>
      </c>
    </row>
    <row r="7" spans="2:34" s="148" customFormat="1" ht="27" customHeight="1">
      <c r="B7" s="877" t="s">
        <v>538</v>
      </c>
      <c r="C7" s="878"/>
      <c r="D7" s="387">
        <v>1</v>
      </c>
      <c r="E7" s="390" t="s">
        <v>337</v>
      </c>
      <c r="F7" s="391">
        <v>18592.397300000004</v>
      </c>
      <c r="G7" s="392">
        <v>4818.71</v>
      </c>
      <c r="H7" s="392">
        <v>4823.01</v>
      </c>
      <c r="I7" s="393">
        <f>H7/G7</f>
        <v>1.0008923550078757</v>
      </c>
      <c r="J7" s="392">
        <v>121.81</v>
      </c>
      <c r="K7" s="393">
        <f>J7/G7</f>
        <v>2.5278549653330457E-2</v>
      </c>
      <c r="L7" s="392">
        <v>147.43000000000004</v>
      </c>
      <c r="M7" s="393">
        <f>(H7+J7)/G7</f>
        <v>1.0261709046612062</v>
      </c>
      <c r="N7" s="394">
        <v>18592.397300000004</v>
      </c>
      <c r="O7" s="392">
        <v>0</v>
      </c>
      <c r="P7" s="393">
        <f>O7/G7</f>
        <v>0</v>
      </c>
      <c r="Q7" s="407">
        <f>O7*L7</f>
        <v>0</v>
      </c>
      <c r="R7" s="395">
        <f>((H7+J7)-G7)-O7</f>
        <v>126.11000000000058</v>
      </c>
      <c r="S7" s="393">
        <f>R7/G7</f>
        <v>2.6170904661206126E-2</v>
      </c>
      <c r="T7" s="397" t="s">
        <v>174</v>
      </c>
      <c r="U7" s="397" t="s">
        <v>215</v>
      </c>
      <c r="V7" s="398" t="s">
        <v>565</v>
      </c>
      <c r="W7" s="398" t="s">
        <v>591</v>
      </c>
      <c r="X7" s="398">
        <v>1</v>
      </c>
      <c r="Y7" s="399" t="s">
        <v>342</v>
      </c>
      <c r="Z7" s="400" t="s">
        <v>482</v>
      </c>
      <c r="AA7" s="401">
        <f>SUM(X7:X26)</f>
        <v>20</v>
      </c>
      <c r="AB7" s="402">
        <f>SUMIF($U$7:$U$26,TRIM(AB6),$X$7:$X$26)</f>
        <v>0</v>
      </c>
      <c r="AC7" s="402">
        <f t="shared" ref="AC7:AH7" si="0">SUMIF($U$7:$U$26,TRIM(AC6),$X$7:$X$26)</f>
        <v>0</v>
      </c>
      <c r="AD7" s="402">
        <f t="shared" si="0"/>
        <v>0</v>
      </c>
      <c r="AE7" s="402">
        <f t="shared" si="0"/>
        <v>16</v>
      </c>
      <c r="AF7" s="402">
        <f t="shared" si="0"/>
        <v>1</v>
      </c>
      <c r="AG7" s="402">
        <f t="shared" si="0"/>
        <v>3</v>
      </c>
      <c r="AH7" s="402">
        <f t="shared" si="0"/>
        <v>0</v>
      </c>
    </row>
    <row r="8" spans="2:34" s="148" customFormat="1" ht="27" customHeight="1">
      <c r="B8" s="879"/>
      <c r="C8" s="880"/>
      <c r="D8" s="387">
        <v>2</v>
      </c>
      <c r="E8" s="390" t="s">
        <v>507</v>
      </c>
      <c r="F8" s="391">
        <v>7408.6894000000211</v>
      </c>
      <c r="G8" s="392">
        <v>997.26</v>
      </c>
      <c r="H8" s="392">
        <v>982.29000000000008</v>
      </c>
      <c r="I8" s="393">
        <f t="shared" ref="I8:I9" si="1">H8/G8</f>
        <v>0.9849888695024368</v>
      </c>
      <c r="J8" s="392">
        <v>27.62</v>
      </c>
      <c r="K8" s="393">
        <f t="shared" ref="K8:K13" si="2">J8/G8</f>
        <v>2.7695886729639213E-2</v>
      </c>
      <c r="L8" s="392">
        <v>605.77999999999986</v>
      </c>
      <c r="M8" s="393">
        <f t="shared" ref="M8:M13" si="3">(H8+J8)/G8</f>
        <v>1.012684756232076</v>
      </c>
      <c r="N8" s="394">
        <v>7663.1170000000202</v>
      </c>
      <c r="O8" s="392">
        <v>0.42000000000000004</v>
      </c>
      <c r="P8" s="393">
        <f t="shared" ref="P8:P26" si="4">O8/G8</f>
        <v>4.2115396185548405E-4</v>
      </c>
      <c r="Q8" s="407">
        <f t="shared" ref="Q8:Q26" si="5">O8*L8</f>
        <v>254.42759999999996</v>
      </c>
      <c r="R8" s="395">
        <f t="shared" ref="R8:R26" si="6">((H8+J8)-G8)-O8</f>
        <v>12.230000000000091</v>
      </c>
      <c r="S8" s="393">
        <f t="shared" ref="S8:S26" si="7">R8/G8</f>
        <v>1.2263602270220495E-2</v>
      </c>
      <c r="T8" s="397" t="s">
        <v>174</v>
      </c>
      <c r="U8" s="397" t="s">
        <v>216</v>
      </c>
      <c r="V8" s="398" t="s">
        <v>574</v>
      </c>
      <c r="W8" s="398" t="s">
        <v>575</v>
      </c>
      <c r="X8" s="398">
        <v>1</v>
      </c>
      <c r="Y8" s="399" t="s">
        <v>344</v>
      </c>
      <c r="AA8" s="401"/>
      <c r="AB8" s="408">
        <f>SUMIF($U$7:$U$26,TRIM(AB6),$F$7:$F$26)</f>
        <v>0</v>
      </c>
      <c r="AC8" s="408">
        <f t="shared" ref="AC8:AH8" si="8">SUMIF($U$7:$U$26,TRIM(AC6),$F$7:$F$26)</f>
        <v>0</v>
      </c>
      <c r="AD8" s="408">
        <f t="shared" si="8"/>
        <v>0</v>
      </c>
      <c r="AE8" s="408">
        <f t="shared" si="8"/>
        <v>52450.623499999943</v>
      </c>
      <c r="AF8" s="408">
        <f t="shared" si="8"/>
        <v>18592.397300000004</v>
      </c>
      <c r="AG8" s="408">
        <f t="shared" si="8"/>
        <v>12788.929400000023</v>
      </c>
      <c r="AH8" s="408">
        <f t="shared" si="8"/>
        <v>0</v>
      </c>
    </row>
    <row r="9" spans="2:34" s="148" customFormat="1" ht="27" customHeight="1">
      <c r="B9" s="879"/>
      <c r="C9" s="880"/>
      <c r="D9" s="387">
        <v>3</v>
      </c>
      <c r="E9" s="390" t="s">
        <v>521</v>
      </c>
      <c r="F9" s="391">
        <v>4652.1392999999962</v>
      </c>
      <c r="G9" s="392">
        <v>1065.47</v>
      </c>
      <c r="H9" s="392">
        <v>1064.1199999999999</v>
      </c>
      <c r="I9" s="393">
        <f t="shared" si="1"/>
        <v>0.99873295353224389</v>
      </c>
      <c r="J9" s="392">
        <v>26.939999999999998</v>
      </c>
      <c r="K9" s="393">
        <f t="shared" si="2"/>
        <v>2.528461617877556E-2</v>
      </c>
      <c r="L9" s="392">
        <v>191.21</v>
      </c>
      <c r="M9" s="393">
        <f t="shared" si="3"/>
        <v>1.0240175697110194</v>
      </c>
      <c r="N9" s="394">
        <v>4893.0638999999956</v>
      </c>
      <c r="O9" s="392">
        <v>1.26</v>
      </c>
      <c r="P9" s="393">
        <f t="shared" si="4"/>
        <v>1.1825767032389461E-3</v>
      </c>
      <c r="Q9" s="407">
        <f t="shared" si="5"/>
        <v>240.9246</v>
      </c>
      <c r="R9" s="395">
        <f t="shared" si="6"/>
        <v>24.329999999999917</v>
      </c>
      <c r="S9" s="393">
        <f t="shared" si="7"/>
        <v>2.2834993007780524E-2</v>
      </c>
      <c r="T9" s="397" t="s">
        <v>174</v>
      </c>
      <c r="U9" s="397" t="s">
        <v>460</v>
      </c>
      <c r="V9" s="398" t="s">
        <v>581</v>
      </c>
      <c r="W9" s="398" t="s">
        <v>551</v>
      </c>
      <c r="X9" s="398">
        <v>1</v>
      </c>
      <c r="Y9" s="399" t="s">
        <v>522</v>
      </c>
      <c r="AA9" s="387"/>
      <c r="AB9" s="409">
        <f>AB7/$AA7</f>
        <v>0</v>
      </c>
      <c r="AC9" s="409">
        <f t="shared" ref="AC9:AH9" si="9">AC7/$AA7</f>
        <v>0</v>
      </c>
      <c r="AD9" s="409">
        <f t="shared" si="9"/>
        <v>0</v>
      </c>
      <c r="AE9" s="409">
        <f t="shared" si="9"/>
        <v>0.8</v>
      </c>
      <c r="AF9" s="409">
        <f t="shared" si="9"/>
        <v>0.05</v>
      </c>
      <c r="AG9" s="409">
        <f t="shared" si="9"/>
        <v>0.15</v>
      </c>
      <c r="AH9" s="409">
        <f t="shared" si="9"/>
        <v>0</v>
      </c>
    </row>
    <row r="10" spans="2:34" s="148" customFormat="1" ht="27" customHeight="1">
      <c r="B10" s="879"/>
      <c r="C10" s="880"/>
      <c r="D10" s="387">
        <v>4</v>
      </c>
      <c r="E10" s="390" t="s">
        <v>546</v>
      </c>
      <c r="F10" s="391">
        <v>4437.8080999999884</v>
      </c>
      <c r="G10" s="392">
        <v>1382.2800000000002</v>
      </c>
      <c r="H10" s="392">
        <v>1327.78</v>
      </c>
      <c r="I10" s="393">
        <f>H10/G10</f>
        <v>0.96057238764939068</v>
      </c>
      <c r="J10" s="392">
        <v>92.89</v>
      </c>
      <c r="K10" s="393">
        <f t="shared" si="2"/>
        <v>6.7200567178863899E-2</v>
      </c>
      <c r="L10" s="392">
        <v>118.30999999999997</v>
      </c>
      <c r="M10" s="393">
        <f t="shared" si="3"/>
        <v>1.0277729548282546</v>
      </c>
      <c r="N10" s="394">
        <v>4541.9208999999892</v>
      </c>
      <c r="O10" s="392">
        <v>0.88</v>
      </c>
      <c r="P10" s="393">
        <f t="shared" si="4"/>
        <v>6.3662933703735852E-4</v>
      </c>
      <c r="Q10" s="407">
        <f t="shared" si="5"/>
        <v>104.11279999999998</v>
      </c>
      <c r="R10" s="395">
        <f t="shared" si="6"/>
        <v>37.50999999999987</v>
      </c>
      <c r="S10" s="393">
        <f t="shared" si="7"/>
        <v>2.7136325491217313E-2</v>
      </c>
      <c r="T10" s="397" t="s">
        <v>174</v>
      </c>
      <c r="U10" s="397" t="s">
        <v>460</v>
      </c>
      <c r="V10" s="398" t="s">
        <v>568</v>
      </c>
      <c r="W10" s="398" t="s">
        <v>569</v>
      </c>
      <c r="X10" s="398">
        <v>1</v>
      </c>
      <c r="Y10" s="399" t="s">
        <v>536</v>
      </c>
    </row>
    <row r="11" spans="2:34" s="148" customFormat="1" ht="27" customHeight="1">
      <c r="B11" s="879"/>
      <c r="C11" s="880"/>
      <c r="D11" s="387">
        <v>5</v>
      </c>
      <c r="E11" s="390" t="s">
        <v>517</v>
      </c>
      <c r="F11" s="391">
        <v>4319.9719999999961</v>
      </c>
      <c r="G11" s="392">
        <v>151.08000000000001</v>
      </c>
      <c r="H11" s="392">
        <v>144.79</v>
      </c>
      <c r="I11" s="393">
        <f t="shared" ref="I11:I26" si="10">H11/G11</f>
        <v>0.9583664283823139</v>
      </c>
      <c r="J11" s="392">
        <v>13.84</v>
      </c>
      <c r="K11" s="393">
        <f t="shared" si="2"/>
        <v>9.1607095578501455E-2</v>
      </c>
      <c r="L11" s="392">
        <v>629</v>
      </c>
      <c r="M11" s="393">
        <f t="shared" si="3"/>
        <v>1.0499735239608154</v>
      </c>
      <c r="N11" s="394">
        <v>4748.9499999999962</v>
      </c>
      <c r="O11" s="392">
        <v>0.68199999999999994</v>
      </c>
      <c r="P11" s="393">
        <f t="shared" si="4"/>
        <v>4.5141646809637274E-3</v>
      </c>
      <c r="Q11" s="407">
        <f t="shared" si="5"/>
        <v>428.97799999999995</v>
      </c>
      <c r="R11" s="395">
        <f t="shared" si="6"/>
        <v>6.8679999999999826</v>
      </c>
      <c r="S11" s="393">
        <f t="shared" si="7"/>
        <v>4.5459359279851612E-2</v>
      </c>
      <c r="T11" s="397" t="s">
        <v>174</v>
      </c>
      <c r="U11" s="397" t="s">
        <v>460</v>
      </c>
      <c r="V11" s="398" t="s">
        <v>581</v>
      </c>
      <c r="W11" s="398" t="s">
        <v>551</v>
      </c>
      <c r="X11" s="398">
        <v>1</v>
      </c>
      <c r="Y11" s="399" t="s">
        <v>506</v>
      </c>
    </row>
    <row r="12" spans="2:34" s="148" customFormat="1" ht="27" customHeight="1">
      <c r="B12" s="879"/>
      <c r="C12" s="880"/>
      <c r="D12" s="387">
        <v>6</v>
      </c>
      <c r="E12" s="390" t="s">
        <v>458</v>
      </c>
      <c r="F12" s="391">
        <v>4039.1108999999929</v>
      </c>
      <c r="G12" s="392">
        <v>1216.92</v>
      </c>
      <c r="H12" s="392">
        <v>1174.07</v>
      </c>
      <c r="I12" s="393">
        <f t="shared" si="10"/>
        <v>0.96478815369950355</v>
      </c>
      <c r="J12" s="392">
        <v>87.800000000000011</v>
      </c>
      <c r="K12" s="393">
        <f t="shared" si="2"/>
        <v>7.2149360681063673E-2</v>
      </c>
      <c r="L12" s="392">
        <v>99.51</v>
      </c>
      <c r="M12" s="393">
        <f t="shared" si="3"/>
        <v>1.0369375143805672</v>
      </c>
      <c r="N12" s="394">
        <v>4472.974499999993</v>
      </c>
      <c r="O12" s="392">
        <v>4.3599999999999994</v>
      </c>
      <c r="P12" s="393">
        <f t="shared" si="4"/>
        <v>3.5828156329093114E-3</v>
      </c>
      <c r="Q12" s="407">
        <f t="shared" si="5"/>
        <v>433.86359999999996</v>
      </c>
      <c r="R12" s="395">
        <f t="shared" si="6"/>
        <v>40.589999999999819</v>
      </c>
      <c r="S12" s="393">
        <f t="shared" si="7"/>
        <v>3.3354698747657868E-2</v>
      </c>
      <c r="T12" s="397" t="s">
        <v>174</v>
      </c>
      <c r="U12" s="397" t="s">
        <v>460</v>
      </c>
      <c r="V12" s="398" t="s">
        <v>567</v>
      </c>
      <c r="W12" s="398" t="s">
        <v>592</v>
      </c>
      <c r="X12" s="398">
        <v>1</v>
      </c>
      <c r="Y12" s="399" t="s">
        <v>356</v>
      </c>
    </row>
    <row r="13" spans="2:34" s="148" customFormat="1" ht="27" customHeight="1">
      <c r="B13" s="879"/>
      <c r="C13" s="880"/>
      <c r="D13" s="387">
        <v>7</v>
      </c>
      <c r="E13" s="390" t="s">
        <v>545</v>
      </c>
      <c r="F13" s="391">
        <v>3920.7930000000019</v>
      </c>
      <c r="G13" s="392">
        <v>1632.02</v>
      </c>
      <c r="H13" s="392">
        <v>1584.27</v>
      </c>
      <c r="I13" s="393">
        <f t="shared" si="10"/>
        <v>0.97074178012524359</v>
      </c>
      <c r="J13" s="392">
        <v>94.26</v>
      </c>
      <c r="K13" s="393">
        <f t="shared" si="2"/>
        <v>5.7756645139152712E-2</v>
      </c>
      <c r="L13" s="392">
        <v>84.3</v>
      </c>
      <c r="M13" s="393">
        <f t="shared" si="3"/>
        <v>1.0284984252643963</v>
      </c>
      <c r="N13" s="394">
        <v>3920.7930000000019</v>
      </c>
      <c r="O13" s="392">
        <v>0</v>
      </c>
      <c r="P13" s="393">
        <f t="shared" si="4"/>
        <v>0</v>
      </c>
      <c r="Q13" s="407">
        <f t="shared" si="5"/>
        <v>0</v>
      </c>
      <c r="R13" s="395">
        <f t="shared" si="6"/>
        <v>46.509999999999991</v>
      </c>
      <c r="S13" s="393">
        <f t="shared" si="7"/>
        <v>2.8498425264396263E-2</v>
      </c>
      <c r="T13" s="397" t="s">
        <v>174</v>
      </c>
      <c r="U13" s="397" t="s">
        <v>460</v>
      </c>
      <c r="V13" s="398" t="s">
        <v>567</v>
      </c>
      <c r="W13" s="398" t="s">
        <v>663</v>
      </c>
      <c r="X13" s="398">
        <v>1</v>
      </c>
      <c r="Y13" s="399" t="s">
        <v>537</v>
      </c>
    </row>
    <row r="14" spans="2:34" s="148" customFormat="1" ht="27" customHeight="1">
      <c r="B14" s="879"/>
      <c r="C14" s="880"/>
      <c r="D14" s="387">
        <v>8</v>
      </c>
      <c r="E14" s="390" t="s">
        <v>589</v>
      </c>
      <c r="F14" s="391">
        <v>3730.4591999999993</v>
      </c>
      <c r="G14" s="392">
        <v>706.38000000000011</v>
      </c>
      <c r="H14" s="392">
        <v>711.1</v>
      </c>
      <c r="I14" s="393">
        <f t="shared" si="10"/>
        <v>1.0066819558877658</v>
      </c>
      <c r="J14" s="392">
        <v>30.160000000000004</v>
      </c>
      <c r="K14" s="393">
        <f>J14/G14</f>
        <v>4.2696565587927178E-2</v>
      </c>
      <c r="L14" s="392">
        <v>122.06999999999996</v>
      </c>
      <c r="M14" s="393">
        <f>(H14+J14)/G14</f>
        <v>1.0493785214756928</v>
      </c>
      <c r="N14" s="394">
        <v>4257.8015999999989</v>
      </c>
      <c r="O14" s="392">
        <v>4.3199999999999994</v>
      </c>
      <c r="P14" s="393">
        <f t="shared" si="4"/>
        <v>6.1156884396500449E-3</v>
      </c>
      <c r="Q14" s="407">
        <f t="shared" si="5"/>
        <v>527.34239999999977</v>
      </c>
      <c r="R14" s="395">
        <f t="shared" si="6"/>
        <v>30.559999999999881</v>
      </c>
      <c r="S14" s="393">
        <f t="shared" si="7"/>
        <v>4.3262833036042746E-2</v>
      </c>
      <c r="T14" s="397" t="s">
        <v>174</v>
      </c>
      <c r="U14" s="397" t="s">
        <v>460</v>
      </c>
      <c r="V14" s="398" t="s">
        <v>664</v>
      </c>
      <c r="W14" s="398" t="s">
        <v>566</v>
      </c>
      <c r="X14" s="398">
        <v>1</v>
      </c>
      <c r="Y14" s="399" t="s">
        <v>361</v>
      </c>
    </row>
    <row r="15" spans="2:34" s="148" customFormat="1" ht="27" customHeight="1">
      <c r="B15" s="879"/>
      <c r="C15" s="880"/>
      <c r="D15" s="387">
        <v>9</v>
      </c>
      <c r="E15" s="390" t="s">
        <v>464</v>
      </c>
      <c r="F15" s="391">
        <v>3408.9763999999959</v>
      </c>
      <c r="G15" s="392">
        <v>390.19</v>
      </c>
      <c r="H15" s="392">
        <v>381.48</v>
      </c>
      <c r="I15" s="393">
        <f t="shared" si="10"/>
        <v>0.97767754171044885</v>
      </c>
      <c r="J15" s="392">
        <v>18.59</v>
      </c>
      <c r="K15" s="393">
        <f t="shared" ref="K15:K26" si="11">J15/G15</f>
        <v>4.7643455752325793E-2</v>
      </c>
      <c r="L15" s="392">
        <v>368.13999999999993</v>
      </c>
      <c r="M15" s="393">
        <f t="shared" ref="M15:M26" si="12">(H15+J15)/G15</f>
        <v>1.0253209974627746</v>
      </c>
      <c r="N15" s="394">
        <v>3637.2231999999958</v>
      </c>
      <c r="O15" s="392">
        <v>0.62</v>
      </c>
      <c r="P15" s="393">
        <f t="shared" si="4"/>
        <v>1.588969476408929E-3</v>
      </c>
      <c r="Q15" s="407">
        <f t="shared" si="5"/>
        <v>228.24679999999995</v>
      </c>
      <c r="R15" s="395">
        <f t="shared" si="6"/>
        <v>9.2599999999999962</v>
      </c>
      <c r="S15" s="393">
        <f t="shared" si="7"/>
        <v>2.3732027986365607E-2</v>
      </c>
      <c r="T15" s="397" t="s">
        <v>174</v>
      </c>
      <c r="U15" s="397" t="s">
        <v>460</v>
      </c>
      <c r="V15" s="398" t="s">
        <v>578</v>
      </c>
      <c r="W15" s="398" t="s">
        <v>579</v>
      </c>
      <c r="X15" s="398">
        <v>1</v>
      </c>
      <c r="Y15" s="399" t="s">
        <v>465</v>
      </c>
    </row>
    <row r="16" spans="2:34" s="148" customFormat="1" ht="27" customHeight="1">
      <c r="B16" s="879"/>
      <c r="C16" s="880"/>
      <c r="D16" s="387">
        <v>10</v>
      </c>
      <c r="E16" s="390" t="s">
        <v>513</v>
      </c>
      <c r="F16" s="391">
        <v>3257.9469999999947</v>
      </c>
      <c r="G16" s="392">
        <v>620.76</v>
      </c>
      <c r="H16" s="392">
        <v>580.95000000000005</v>
      </c>
      <c r="I16" s="393">
        <f t="shared" si="10"/>
        <v>0.93586893485404998</v>
      </c>
      <c r="J16" s="392">
        <v>63.449999999999996</v>
      </c>
      <c r="K16" s="393">
        <f t="shared" si="11"/>
        <v>0.10221341581287453</v>
      </c>
      <c r="L16" s="392">
        <v>160.49</v>
      </c>
      <c r="M16" s="393">
        <f t="shared" si="12"/>
        <v>1.0380823506669246</v>
      </c>
      <c r="N16" s="394">
        <v>3793.9835999999946</v>
      </c>
      <c r="O16" s="392">
        <v>3.34</v>
      </c>
      <c r="P16" s="393">
        <f t="shared" si="4"/>
        <v>5.3805013209614018E-3</v>
      </c>
      <c r="Q16" s="407">
        <f t="shared" si="5"/>
        <v>536.03660000000002</v>
      </c>
      <c r="R16" s="395">
        <f t="shared" si="6"/>
        <v>20.3000000000001</v>
      </c>
      <c r="S16" s="393">
        <f t="shared" si="7"/>
        <v>3.2701849345963173E-2</v>
      </c>
      <c r="T16" s="397" t="s">
        <v>174</v>
      </c>
      <c r="U16" s="397" t="s">
        <v>460</v>
      </c>
      <c r="V16" s="398" t="s">
        <v>664</v>
      </c>
      <c r="W16" s="398" t="s">
        <v>566</v>
      </c>
      <c r="X16" s="398">
        <v>1</v>
      </c>
      <c r="Y16" s="399" t="s">
        <v>465</v>
      </c>
    </row>
    <row r="17" spans="2:34" s="148" customFormat="1" ht="27" customHeight="1">
      <c r="B17" s="879"/>
      <c r="C17" s="880"/>
      <c r="D17" s="387">
        <v>11</v>
      </c>
      <c r="E17" s="390" t="s">
        <v>499</v>
      </c>
      <c r="F17" s="391">
        <v>2978.5</v>
      </c>
      <c r="G17" s="392">
        <v>201743</v>
      </c>
      <c r="H17" s="392">
        <v>201438</v>
      </c>
      <c r="I17" s="393">
        <f t="shared" si="10"/>
        <v>0.99848817555008107</v>
      </c>
      <c r="J17" s="392">
        <v>1230</v>
      </c>
      <c r="K17" s="393">
        <f t="shared" si="11"/>
        <v>6.096865814427266E-3</v>
      </c>
      <c r="L17" s="392">
        <v>3.2199999999999998</v>
      </c>
      <c r="M17" s="393">
        <f t="shared" si="12"/>
        <v>1.0045850413645083</v>
      </c>
      <c r="N17" s="394">
        <v>2978.5</v>
      </c>
      <c r="O17" s="392">
        <v>0</v>
      </c>
      <c r="P17" s="393">
        <f t="shared" si="4"/>
        <v>0</v>
      </c>
      <c r="Q17" s="407">
        <f t="shared" si="5"/>
        <v>0</v>
      </c>
      <c r="R17" s="395">
        <f t="shared" si="6"/>
        <v>925</v>
      </c>
      <c r="S17" s="393">
        <f t="shared" si="7"/>
        <v>4.5850413645083105E-3</v>
      </c>
      <c r="T17" s="397" t="s">
        <v>174</v>
      </c>
      <c r="U17" s="397" t="s">
        <v>216</v>
      </c>
      <c r="V17" s="398" t="s">
        <v>578</v>
      </c>
      <c r="W17" s="398" t="s">
        <v>573</v>
      </c>
      <c r="X17" s="398">
        <v>1</v>
      </c>
      <c r="Y17" s="399" t="s">
        <v>342</v>
      </c>
    </row>
    <row r="18" spans="2:34" s="148" customFormat="1" ht="27" customHeight="1">
      <c r="B18" s="879"/>
      <c r="C18" s="880"/>
      <c r="D18" s="387">
        <v>12</v>
      </c>
      <c r="E18" s="390" t="s">
        <v>531</v>
      </c>
      <c r="F18" s="391">
        <v>2955.7079999999978</v>
      </c>
      <c r="G18" s="392">
        <v>1005.98</v>
      </c>
      <c r="H18" s="392">
        <v>1013.66</v>
      </c>
      <c r="I18" s="393">
        <f t="shared" si="10"/>
        <v>1.0076343466072883</v>
      </c>
      <c r="J18" s="392">
        <v>4.75</v>
      </c>
      <c r="K18" s="393">
        <f t="shared" si="11"/>
        <v>4.7217638521640584E-3</v>
      </c>
      <c r="L18" s="392">
        <v>266.27999999999997</v>
      </c>
      <c r="M18" s="393">
        <f t="shared" si="12"/>
        <v>1.0123561104594525</v>
      </c>
      <c r="N18" s="394">
        <v>3309.8603999999978</v>
      </c>
      <c r="O18" s="392">
        <v>1.33</v>
      </c>
      <c r="P18" s="393">
        <f t="shared" si="4"/>
        <v>1.3220938786059366E-3</v>
      </c>
      <c r="Q18" s="407">
        <f t="shared" si="5"/>
        <v>354.1524</v>
      </c>
      <c r="R18" s="395">
        <f t="shared" si="6"/>
        <v>11.09999999999995</v>
      </c>
      <c r="S18" s="393">
        <f t="shared" si="7"/>
        <v>1.1034016580846488E-2</v>
      </c>
      <c r="T18" s="397" t="s">
        <v>174</v>
      </c>
      <c r="U18" s="397" t="s">
        <v>460</v>
      </c>
      <c r="V18" s="398" t="s">
        <v>665</v>
      </c>
      <c r="W18" s="398" t="s">
        <v>579</v>
      </c>
      <c r="X18" s="398">
        <v>1</v>
      </c>
      <c r="Y18" s="399" t="s">
        <v>532</v>
      </c>
    </row>
    <row r="19" spans="2:34" s="148" customFormat="1" ht="27" customHeight="1">
      <c r="B19" s="879"/>
      <c r="C19" s="880"/>
      <c r="D19" s="387">
        <v>13</v>
      </c>
      <c r="E19" s="390" t="s">
        <v>548</v>
      </c>
      <c r="F19" s="391">
        <v>2920.3712999999989</v>
      </c>
      <c r="G19" s="392">
        <v>203.58</v>
      </c>
      <c r="H19" s="392">
        <v>189.3</v>
      </c>
      <c r="I19" s="393">
        <f t="shared" si="10"/>
        <v>0.92985558502799881</v>
      </c>
      <c r="J19" s="392">
        <v>21.21</v>
      </c>
      <c r="K19" s="393">
        <f t="shared" si="11"/>
        <v>0.10418508694370764</v>
      </c>
      <c r="L19" s="392">
        <v>421.40999999999997</v>
      </c>
      <c r="M19" s="393">
        <f t="shared" si="12"/>
        <v>1.0340406719717066</v>
      </c>
      <c r="N19" s="394">
        <v>2920.3712999999989</v>
      </c>
      <c r="O19" s="392">
        <v>0</v>
      </c>
      <c r="P19" s="393">
        <f t="shared" si="4"/>
        <v>0</v>
      </c>
      <c r="Q19" s="407">
        <f t="shared" si="5"/>
        <v>0</v>
      </c>
      <c r="R19" s="395">
        <f t="shared" si="6"/>
        <v>6.9300000000000068</v>
      </c>
      <c r="S19" s="393">
        <f t="shared" si="7"/>
        <v>3.4040671971706488E-2</v>
      </c>
      <c r="T19" s="397" t="s">
        <v>174</v>
      </c>
      <c r="U19" s="397" t="s">
        <v>460</v>
      </c>
      <c r="V19" s="398" t="s">
        <v>578</v>
      </c>
      <c r="W19" s="398" t="s">
        <v>579</v>
      </c>
      <c r="X19" s="398">
        <v>1</v>
      </c>
      <c r="Y19" s="399" t="s">
        <v>475</v>
      </c>
    </row>
    <row r="20" spans="2:34" s="148" customFormat="1" ht="27" customHeight="1">
      <c r="B20" s="879"/>
      <c r="C20" s="880"/>
      <c r="D20" s="387">
        <v>14</v>
      </c>
      <c r="E20" s="390" t="s">
        <v>398</v>
      </c>
      <c r="F20" s="391">
        <v>2885.3488000000016</v>
      </c>
      <c r="G20" s="392">
        <v>3700.5</v>
      </c>
      <c r="H20" s="392">
        <v>3608.9900000000002</v>
      </c>
      <c r="I20" s="393">
        <f t="shared" si="10"/>
        <v>0.97527090933657623</v>
      </c>
      <c r="J20" s="392">
        <v>120.31</v>
      </c>
      <c r="K20" s="393">
        <f t="shared" si="11"/>
        <v>3.2511822726658562E-2</v>
      </c>
      <c r="L20" s="392">
        <v>127.84000000000002</v>
      </c>
      <c r="M20" s="393">
        <f t="shared" si="12"/>
        <v>1.0077827320632347</v>
      </c>
      <c r="N20" s="394">
        <v>3681.7920000000013</v>
      </c>
      <c r="O20" s="392">
        <v>6.2299999999999995</v>
      </c>
      <c r="P20" s="393">
        <f t="shared" si="4"/>
        <v>1.6835562761788945E-3</v>
      </c>
      <c r="Q20" s="407">
        <f t="shared" si="5"/>
        <v>796.44320000000005</v>
      </c>
      <c r="R20" s="395">
        <f t="shared" si="6"/>
        <v>22.570000000000181</v>
      </c>
      <c r="S20" s="393">
        <f t="shared" si="7"/>
        <v>6.099175787055852E-3</v>
      </c>
      <c r="T20" s="397" t="s">
        <v>174</v>
      </c>
      <c r="U20" s="397" t="s">
        <v>460</v>
      </c>
      <c r="V20" s="398" t="s">
        <v>664</v>
      </c>
      <c r="W20" s="398" t="s">
        <v>666</v>
      </c>
      <c r="X20" s="398">
        <v>1</v>
      </c>
      <c r="Y20" s="399" t="s">
        <v>342</v>
      </c>
    </row>
    <row r="21" spans="2:34" s="148" customFormat="1" ht="27" customHeight="1">
      <c r="B21" s="879"/>
      <c r="C21" s="880"/>
      <c r="D21" s="387">
        <v>15</v>
      </c>
      <c r="E21" s="390" t="s">
        <v>338</v>
      </c>
      <c r="F21" s="391">
        <v>2543.3684000000021</v>
      </c>
      <c r="G21" s="392">
        <v>1583.5400000000002</v>
      </c>
      <c r="H21" s="392">
        <v>1500.54</v>
      </c>
      <c r="I21" s="393">
        <f t="shared" si="10"/>
        <v>0.9475857888023036</v>
      </c>
      <c r="J21" s="392">
        <v>131.83999999999997</v>
      </c>
      <c r="K21" s="393">
        <f t="shared" si="11"/>
        <v>8.325650125667805E-2</v>
      </c>
      <c r="L21" s="392">
        <v>70.220000000000013</v>
      </c>
      <c r="M21" s="393">
        <f t="shared" si="12"/>
        <v>1.0308422900589815</v>
      </c>
      <c r="N21" s="394">
        <v>3429.5448000000024</v>
      </c>
      <c r="O21" s="392">
        <v>12.620000000000001</v>
      </c>
      <c r="P21" s="393">
        <f t="shared" si="4"/>
        <v>7.9694860881316543E-3</v>
      </c>
      <c r="Q21" s="407">
        <f t="shared" si="5"/>
        <v>886.17640000000029</v>
      </c>
      <c r="R21" s="395">
        <f t="shared" si="6"/>
        <v>36.219999999999686</v>
      </c>
      <c r="S21" s="393">
        <f t="shared" si="7"/>
        <v>2.2872803970849918E-2</v>
      </c>
      <c r="T21" s="397" t="s">
        <v>174</v>
      </c>
      <c r="U21" s="397" t="s">
        <v>460</v>
      </c>
      <c r="V21" s="398" t="s">
        <v>567</v>
      </c>
      <c r="W21" s="398" t="s">
        <v>663</v>
      </c>
      <c r="X21" s="398">
        <v>1</v>
      </c>
      <c r="Y21" s="399" t="s">
        <v>345</v>
      </c>
    </row>
    <row r="22" spans="2:34" s="148" customFormat="1" ht="27" customHeight="1">
      <c r="B22" s="879"/>
      <c r="C22" s="880"/>
      <c r="D22" s="387">
        <v>16</v>
      </c>
      <c r="E22" s="390" t="s">
        <v>547</v>
      </c>
      <c r="F22" s="391">
        <v>2498.4694</v>
      </c>
      <c r="G22" s="392">
        <v>730.36000000000013</v>
      </c>
      <c r="H22" s="392">
        <v>714.46</v>
      </c>
      <c r="I22" s="393">
        <f t="shared" si="10"/>
        <v>0.97822991401500614</v>
      </c>
      <c r="J22" s="392">
        <v>38.76</v>
      </c>
      <c r="K22" s="393">
        <f t="shared" si="11"/>
        <v>5.3069719042663881E-2</v>
      </c>
      <c r="L22" s="392">
        <v>128.38999999999999</v>
      </c>
      <c r="M22" s="393">
        <f t="shared" si="12"/>
        <v>1.03129963305767</v>
      </c>
      <c r="N22" s="394">
        <v>2934.9953999999998</v>
      </c>
      <c r="O22" s="392">
        <v>3.4000000000000004</v>
      </c>
      <c r="P22" s="393">
        <f t="shared" si="4"/>
        <v>4.6552385125143763E-3</v>
      </c>
      <c r="Q22" s="407">
        <f t="shared" si="5"/>
        <v>436.52600000000001</v>
      </c>
      <c r="R22" s="395">
        <f t="shared" si="6"/>
        <v>19.459999999999901</v>
      </c>
      <c r="S22" s="393">
        <f t="shared" si="7"/>
        <v>2.6644394545155672E-2</v>
      </c>
      <c r="T22" s="397" t="s">
        <v>174</v>
      </c>
      <c r="U22" s="397" t="s">
        <v>460</v>
      </c>
      <c r="V22" s="398" t="s">
        <v>568</v>
      </c>
      <c r="W22" s="398" t="s">
        <v>569</v>
      </c>
      <c r="X22" s="398">
        <v>1</v>
      </c>
      <c r="Y22" s="399" t="s">
        <v>358</v>
      </c>
    </row>
    <row r="23" spans="2:34" s="148" customFormat="1" ht="27" customHeight="1">
      <c r="B23" s="879"/>
      <c r="C23" s="880"/>
      <c r="D23" s="387">
        <v>17</v>
      </c>
      <c r="E23" s="390" t="s">
        <v>512</v>
      </c>
      <c r="F23" s="391">
        <v>2466.8269999999834</v>
      </c>
      <c r="G23" s="392">
        <v>1028.8899999999999</v>
      </c>
      <c r="H23" s="392">
        <v>1030.3499999999999</v>
      </c>
      <c r="I23" s="393">
        <f t="shared" si="10"/>
        <v>1.001419004947079</v>
      </c>
      <c r="J23" s="392">
        <v>6.46</v>
      </c>
      <c r="K23" s="393">
        <f t="shared" si="11"/>
        <v>6.2786109302257779E-3</v>
      </c>
      <c r="L23" s="392">
        <v>407.74000000000007</v>
      </c>
      <c r="M23" s="393">
        <f t="shared" si="12"/>
        <v>1.0076976158773048</v>
      </c>
      <c r="N23" s="394">
        <v>3229.3007999999836</v>
      </c>
      <c r="O23" s="392">
        <v>1.87</v>
      </c>
      <c r="P23" s="393">
        <f t="shared" si="4"/>
        <v>1.8174926376969358E-3</v>
      </c>
      <c r="Q23" s="407">
        <f t="shared" si="5"/>
        <v>762.47380000000021</v>
      </c>
      <c r="R23" s="395">
        <f t="shared" si="6"/>
        <v>6.0500000000000727</v>
      </c>
      <c r="S23" s="393">
        <f t="shared" si="7"/>
        <v>5.8801232396078042E-3</v>
      </c>
      <c r="T23" s="397" t="s">
        <v>174</v>
      </c>
      <c r="U23" s="397" t="s">
        <v>460</v>
      </c>
      <c r="V23" s="398" t="s">
        <v>570</v>
      </c>
      <c r="W23" s="398" t="s">
        <v>580</v>
      </c>
      <c r="X23" s="398">
        <v>1</v>
      </c>
      <c r="Y23" s="399" t="s">
        <v>514</v>
      </c>
    </row>
    <row r="24" spans="2:34" s="148" customFormat="1" ht="27" customHeight="1">
      <c r="B24" s="879"/>
      <c r="C24" s="880"/>
      <c r="D24" s="387">
        <v>18</v>
      </c>
      <c r="E24" s="390" t="s">
        <v>557</v>
      </c>
      <c r="F24" s="391">
        <v>2401.7400000000016</v>
      </c>
      <c r="G24" s="392">
        <v>607.26</v>
      </c>
      <c r="H24" s="392">
        <v>609.18000000000006</v>
      </c>
      <c r="I24" s="393">
        <f t="shared" si="10"/>
        <v>1.0031617429107798</v>
      </c>
      <c r="J24" s="392">
        <v>11.46</v>
      </c>
      <c r="K24" s="393">
        <f t="shared" si="11"/>
        <v>1.8871652998715543E-2</v>
      </c>
      <c r="L24" s="392">
        <v>198</v>
      </c>
      <c r="M24" s="393">
        <f t="shared" si="12"/>
        <v>1.0220333959094954</v>
      </c>
      <c r="N24" s="394">
        <v>2649.2400000000021</v>
      </c>
      <c r="O24" s="392">
        <v>1.25</v>
      </c>
      <c r="P24" s="393">
        <f t="shared" si="4"/>
        <v>2.0584263742054474E-3</v>
      </c>
      <c r="Q24" s="407">
        <f t="shared" si="5"/>
        <v>247.5</v>
      </c>
      <c r="R24" s="395">
        <f t="shared" si="6"/>
        <v>12.130000000000109</v>
      </c>
      <c r="S24" s="393">
        <f t="shared" si="7"/>
        <v>1.9974969535289842E-2</v>
      </c>
      <c r="T24" s="397" t="s">
        <v>174</v>
      </c>
      <c r="U24" s="397" t="s">
        <v>216</v>
      </c>
      <c r="V24" s="398" t="s">
        <v>576</v>
      </c>
      <c r="W24" s="398" t="s">
        <v>577</v>
      </c>
      <c r="X24" s="398">
        <v>1</v>
      </c>
      <c r="Y24" s="399" t="s">
        <v>342</v>
      </c>
    </row>
    <row r="25" spans="2:34" s="148" customFormat="1" ht="27" customHeight="1">
      <c r="B25" s="879"/>
      <c r="C25" s="880"/>
      <c r="D25" s="387">
        <v>19</v>
      </c>
      <c r="E25" s="390" t="s">
        <v>501</v>
      </c>
      <c r="F25" s="391">
        <v>2239.7466000000004</v>
      </c>
      <c r="G25" s="392">
        <v>1021.78</v>
      </c>
      <c r="H25" s="392">
        <v>968.23999999999978</v>
      </c>
      <c r="I25" s="393">
        <f t="shared" si="10"/>
        <v>0.94760124488637454</v>
      </c>
      <c r="J25" s="392">
        <v>73.13</v>
      </c>
      <c r="K25" s="393">
        <f t="shared" si="11"/>
        <v>7.1571179706003241E-2</v>
      </c>
      <c r="L25" s="392">
        <v>144.78</v>
      </c>
      <c r="M25" s="393">
        <f t="shared" si="12"/>
        <v>1.0191724245923779</v>
      </c>
      <c r="N25" s="394">
        <v>2836.2402000000006</v>
      </c>
      <c r="O25" s="392">
        <v>4.12</v>
      </c>
      <c r="P25" s="393">
        <f t="shared" si="4"/>
        <v>4.0321791383663803E-3</v>
      </c>
      <c r="Q25" s="407">
        <f t="shared" si="5"/>
        <v>596.49360000000001</v>
      </c>
      <c r="R25" s="395">
        <f t="shared" si="6"/>
        <v>15.469999999999917</v>
      </c>
      <c r="S25" s="393">
        <f t="shared" si="7"/>
        <v>1.5140245454011545E-2</v>
      </c>
      <c r="T25" s="397" t="s">
        <v>174</v>
      </c>
      <c r="U25" s="397" t="s">
        <v>460</v>
      </c>
      <c r="V25" s="398" t="s">
        <v>571</v>
      </c>
      <c r="W25" s="398" t="s">
        <v>572</v>
      </c>
      <c r="X25" s="398">
        <v>1</v>
      </c>
      <c r="Y25" s="399" t="s">
        <v>498</v>
      </c>
    </row>
    <row r="26" spans="2:34" s="148" customFormat="1" ht="27" customHeight="1">
      <c r="B26" s="881"/>
      <c r="C26" s="882"/>
      <c r="D26" s="387">
        <v>20</v>
      </c>
      <c r="E26" s="390" t="s">
        <v>555</v>
      </c>
      <c r="F26" s="391">
        <v>2173.5781000000006</v>
      </c>
      <c r="G26" s="392">
        <v>1043.6499999999999</v>
      </c>
      <c r="H26" s="392">
        <v>1026.5999999999999</v>
      </c>
      <c r="I26" s="393">
        <f t="shared" si="10"/>
        <v>0.98366310544722857</v>
      </c>
      <c r="J26" s="392">
        <v>70.19</v>
      </c>
      <c r="K26" s="393">
        <f t="shared" si="11"/>
        <v>6.7254347721937432E-2</v>
      </c>
      <c r="L26" s="392">
        <v>51.470000000000013</v>
      </c>
      <c r="M26" s="393">
        <f t="shared" si="12"/>
        <v>1.0509174531691661</v>
      </c>
      <c r="N26" s="394">
        <v>2735.1158000000005</v>
      </c>
      <c r="O26" s="392">
        <v>10.91</v>
      </c>
      <c r="P26" s="393">
        <f t="shared" si="4"/>
        <v>1.0453696162506588E-2</v>
      </c>
      <c r="Q26" s="407">
        <f t="shared" si="5"/>
        <v>561.5377000000002</v>
      </c>
      <c r="R26" s="395">
        <f t="shared" si="6"/>
        <v>42.230000000000103</v>
      </c>
      <c r="S26" s="393">
        <f t="shared" si="7"/>
        <v>4.0463757006659426E-2</v>
      </c>
      <c r="T26" s="397" t="s">
        <v>174</v>
      </c>
      <c r="U26" s="397" t="s">
        <v>460</v>
      </c>
      <c r="V26" s="398" t="s">
        <v>567</v>
      </c>
      <c r="W26" s="398" t="s">
        <v>663</v>
      </c>
      <c r="X26" s="398">
        <v>1</v>
      </c>
      <c r="Y26" s="399" t="s">
        <v>344</v>
      </c>
      <c r="AC26" s="403"/>
    </row>
    <row r="27" spans="2:34" ht="16.5" customHeight="1">
      <c r="B27" s="896" t="s">
        <v>478</v>
      </c>
      <c r="C27" s="897"/>
      <c r="D27" s="893" t="s">
        <v>170</v>
      </c>
      <c r="E27" s="893"/>
      <c r="F27" s="893"/>
      <c r="G27" s="893" t="s">
        <v>184</v>
      </c>
      <c r="H27" s="893"/>
      <c r="I27" s="893"/>
      <c r="J27" s="893"/>
      <c r="K27" s="893"/>
      <c r="L27" s="893"/>
      <c r="M27" s="893"/>
      <c r="N27" s="893"/>
      <c r="O27" s="893"/>
      <c r="P27" s="893"/>
      <c r="Q27" s="893"/>
      <c r="R27" s="893"/>
      <c r="S27" s="893"/>
      <c r="T27" s="893" t="s">
        <v>171</v>
      </c>
      <c r="U27" s="883" t="s">
        <v>245</v>
      </c>
      <c r="V27" s="914" t="s">
        <v>486</v>
      </c>
      <c r="W27" s="914" t="s">
        <v>480</v>
      </c>
      <c r="X27" s="905" t="s">
        <v>246</v>
      </c>
      <c r="Y27" s="894" t="s">
        <v>172</v>
      </c>
      <c r="AA27" s="893" t="s">
        <v>247</v>
      </c>
      <c r="AB27" s="893"/>
      <c r="AC27" s="893"/>
      <c r="AD27" s="893"/>
      <c r="AE27" s="893"/>
      <c r="AF27" s="893"/>
      <c r="AG27" s="893"/>
      <c r="AH27" s="893"/>
    </row>
    <row r="28" spans="2:34" ht="17.100000000000001" customHeight="1">
      <c r="B28" s="898"/>
      <c r="C28" s="899"/>
      <c r="D28" s="892" t="s">
        <v>169</v>
      </c>
      <c r="E28" s="893" t="s">
        <v>173</v>
      </c>
      <c r="F28" s="893"/>
      <c r="G28" s="893" t="s">
        <v>185</v>
      </c>
      <c r="H28" s="893"/>
      <c r="I28" s="893"/>
      <c r="J28" s="893"/>
      <c r="K28" s="893"/>
      <c r="L28" s="893"/>
      <c r="M28" s="893"/>
      <c r="N28" s="893"/>
      <c r="O28" s="893" t="s">
        <v>174</v>
      </c>
      <c r="P28" s="893"/>
      <c r="Q28" s="893"/>
      <c r="R28" s="893"/>
      <c r="S28" s="893"/>
      <c r="T28" s="893"/>
      <c r="U28" s="886"/>
      <c r="V28" s="906"/>
      <c r="W28" s="915"/>
      <c r="X28" s="906"/>
      <c r="Y28" s="894"/>
      <c r="AA28" s="893"/>
      <c r="AB28" s="893"/>
      <c r="AC28" s="893"/>
      <c r="AD28" s="893"/>
      <c r="AE28" s="893"/>
      <c r="AF28" s="893"/>
      <c r="AG28" s="893"/>
      <c r="AH28" s="893"/>
    </row>
    <row r="29" spans="2:34" ht="17.100000000000001" customHeight="1">
      <c r="B29" s="898"/>
      <c r="C29" s="899"/>
      <c r="D29" s="892"/>
      <c r="E29" s="892" t="s">
        <v>175</v>
      </c>
      <c r="F29" s="910" t="s">
        <v>487</v>
      </c>
      <c r="G29" s="895" t="s">
        <v>186</v>
      </c>
      <c r="H29" s="895"/>
      <c r="I29" s="895"/>
      <c r="J29" s="895"/>
      <c r="K29" s="895"/>
      <c r="L29" s="895"/>
      <c r="M29" s="895"/>
      <c r="N29" s="895"/>
      <c r="O29" s="911" t="s">
        <v>168</v>
      </c>
      <c r="P29" s="912"/>
      <c r="Q29" s="913"/>
      <c r="R29" s="895" t="s">
        <v>176</v>
      </c>
      <c r="S29" s="895"/>
      <c r="T29" s="893"/>
      <c r="U29" s="886"/>
      <c r="V29" s="906"/>
      <c r="W29" s="915"/>
      <c r="X29" s="906"/>
      <c r="Y29" s="894"/>
      <c r="AA29" s="893"/>
      <c r="AB29" s="893"/>
      <c r="AC29" s="893"/>
      <c r="AD29" s="893"/>
      <c r="AE29" s="893"/>
      <c r="AF29" s="893"/>
      <c r="AG29" s="893"/>
      <c r="AH29" s="893"/>
    </row>
    <row r="30" spans="2:34" ht="38.450000000000003" customHeight="1">
      <c r="B30" s="900"/>
      <c r="C30" s="901"/>
      <c r="D30" s="892"/>
      <c r="E30" s="892"/>
      <c r="F30" s="910"/>
      <c r="G30" s="388" t="s">
        <v>177</v>
      </c>
      <c r="H30" s="388" t="s">
        <v>252</v>
      </c>
      <c r="I30" s="388" t="s">
        <v>253</v>
      </c>
      <c r="J30" s="388" t="s">
        <v>178</v>
      </c>
      <c r="K30" s="388" t="s">
        <v>250</v>
      </c>
      <c r="L30" s="388" t="s">
        <v>179</v>
      </c>
      <c r="M30" s="388" t="s">
        <v>187</v>
      </c>
      <c r="N30" s="388" t="s">
        <v>180</v>
      </c>
      <c r="O30" s="389" t="s">
        <v>181</v>
      </c>
      <c r="P30" s="389" t="s">
        <v>182</v>
      </c>
      <c r="Q30" s="388" t="s">
        <v>183</v>
      </c>
      <c r="R30" s="389" t="s">
        <v>181</v>
      </c>
      <c r="S30" s="389" t="s">
        <v>182</v>
      </c>
      <c r="T30" s="893"/>
      <c r="U30" s="889"/>
      <c r="V30" s="907"/>
      <c r="W30" s="916"/>
      <c r="X30" s="907"/>
      <c r="Y30" s="894"/>
      <c r="AA30" s="161" t="s">
        <v>244</v>
      </c>
      <c r="AB30" s="161" t="s">
        <v>481</v>
      </c>
      <c r="AC30" s="156" t="s">
        <v>395</v>
      </c>
      <c r="AD30" s="156" t="s">
        <v>339</v>
      </c>
      <c r="AE30" s="156" t="s">
        <v>460</v>
      </c>
      <c r="AF30" s="156" t="s">
        <v>215</v>
      </c>
      <c r="AG30" s="156" t="s">
        <v>216</v>
      </c>
      <c r="AH30" s="156" t="s">
        <v>396</v>
      </c>
    </row>
    <row r="31" spans="2:34" s="148" customFormat="1" ht="27" customHeight="1">
      <c r="B31" s="877" t="s">
        <v>683</v>
      </c>
      <c r="C31" s="878"/>
      <c r="D31" s="387">
        <v>1</v>
      </c>
      <c r="E31" s="390" t="s">
        <v>337</v>
      </c>
      <c r="F31" s="391">
        <v>18414.007000000049</v>
      </c>
      <c r="G31" s="392">
        <v>5376.0000000000009</v>
      </c>
      <c r="H31" s="392">
        <v>5366.19</v>
      </c>
      <c r="I31" s="393">
        <f>H31/G31</f>
        <v>0.99817522321428542</v>
      </c>
      <c r="J31" s="392">
        <v>134.70999999999998</v>
      </c>
      <c r="K31" s="393">
        <f>J31/G31</f>
        <v>2.5057663690476184E-2</v>
      </c>
      <c r="L31" s="392">
        <v>147.43000000000004</v>
      </c>
      <c r="M31" s="393">
        <f>(H31+J31)/G31</f>
        <v>1.0232328869047618</v>
      </c>
      <c r="N31" s="394">
        <v>18414.007000000049</v>
      </c>
      <c r="O31" s="392">
        <v>0</v>
      </c>
      <c r="P31" s="393">
        <f>O31/G31</f>
        <v>0</v>
      </c>
      <c r="Q31" s="407">
        <f>O31*L31</f>
        <v>0</v>
      </c>
      <c r="R31" s="395">
        <f>((H31+J31)-G31)-O31</f>
        <v>124.89999999999873</v>
      </c>
      <c r="S31" s="393">
        <f>R31/G31</f>
        <v>2.3232886904761663E-2</v>
      </c>
      <c r="T31" s="397" t="s">
        <v>174</v>
      </c>
      <c r="U31" s="397" t="s">
        <v>215</v>
      </c>
      <c r="V31" s="398" t="s">
        <v>565</v>
      </c>
      <c r="W31" s="398" t="s">
        <v>700</v>
      </c>
      <c r="X31" s="398">
        <v>1</v>
      </c>
      <c r="Y31" s="399" t="s">
        <v>342</v>
      </c>
      <c r="Z31" s="400" t="s">
        <v>482</v>
      </c>
      <c r="AA31" s="401">
        <f>SUM(X31:X50)</f>
        <v>20</v>
      </c>
      <c r="AB31" s="402">
        <f>SUMIF($U$31:$U$50,TRIM(AB30),$X$31:$X$50)</f>
        <v>0</v>
      </c>
      <c r="AC31" s="402">
        <f t="shared" ref="AC31:AH31" si="13">SUMIF($U$31:$U$50,TRIM(AC30),$X$31:$X$50)</f>
        <v>0</v>
      </c>
      <c r="AD31" s="402">
        <f t="shared" si="13"/>
        <v>0</v>
      </c>
      <c r="AE31" s="402">
        <f t="shared" si="13"/>
        <v>17</v>
      </c>
      <c r="AF31" s="402">
        <f t="shared" si="13"/>
        <v>1</v>
      </c>
      <c r="AG31" s="402">
        <f t="shared" si="13"/>
        <v>2</v>
      </c>
      <c r="AH31" s="402">
        <f t="shared" si="13"/>
        <v>0</v>
      </c>
    </row>
    <row r="32" spans="2:34" s="148" customFormat="1" ht="27" customHeight="1">
      <c r="B32" s="879"/>
      <c r="C32" s="880"/>
      <c r="D32" s="387">
        <v>2</v>
      </c>
      <c r="E32" s="390" t="s">
        <v>546</v>
      </c>
      <c r="F32" s="391">
        <v>6216.0073999999986</v>
      </c>
      <c r="G32" s="392">
        <v>1491.83</v>
      </c>
      <c r="H32" s="392">
        <v>1436.8</v>
      </c>
      <c r="I32" s="393">
        <f t="shared" ref="I32:I33" si="14">H32/G32</f>
        <v>0.96311241897535249</v>
      </c>
      <c r="J32" s="392">
        <v>108.22999999999999</v>
      </c>
      <c r="K32" s="393">
        <f t="shared" ref="K32:K37" si="15">J32/G32</f>
        <v>7.2548480725015588E-2</v>
      </c>
      <c r="L32" s="392">
        <v>118.30999999999997</v>
      </c>
      <c r="M32" s="393">
        <f t="shared" ref="M32:M37" si="16">(H32+J32)/G32</f>
        <v>1.035660899700368</v>
      </c>
      <c r="N32" s="394">
        <v>6294.0919999999987</v>
      </c>
      <c r="O32" s="392">
        <v>0.66</v>
      </c>
      <c r="P32" s="393">
        <f t="shared" ref="P32:P50" si="17">O32/G32</f>
        <v>4.4240965793689632E-4</v>
      </c>
      <c r="Q32" s="407">
        <f t="shared" ref="Q32:Q50" si="18">O32*L32</f>
        <v>78.08459999999998</v>
      </c>
      <c r="R32" s="395">
        <f t="shared" ref="R32:R50" si="19">((H32+J32)-G32)-O32</f>
        <v>52.540000000000049</v>
      </c>
      <c r="S32" s="393">
        <f t="shared" ref="S32:S50" si="20">R32/G32</f>
        <v>3.521849004243114E-2</v>
      </c>
      <c r="T32" s="397" t="s">
        <v>174</v>
      </c>
      <c r="U32" s="397" t="s">
        <v>460</v>
      </c>
      <c r="V32" s="398" t="s">
        <v>568</v>
      </c>
      <c r="W32" s="398" t="s">
        <v>701</v>
      </c>
      <c r="X32" s="398">
        <v>1</v>
      </c>
      <c r="Y32" s="399" t="s">
        <v>536</v>
      </c>
      <c r="AA32" s="401"/>
      <c r="AB32" s="408">
        <f>SUMIF($U$31:$U$50,TRIM(AB30),$F$31:$F$50)</f>
        <v>0</v>
      </c>
      <c r="AC32" s="408">
        <f t="shared" ref="AC32:AH32" si="21">SUMIF($U$31:$U$50,TRIM(AC30),$F$31:$F$50)</f>
        <v>0</v>
      </c>
      <c r="AD32" s="408">
        <f t="shared" si="21"/>
        <v>0</v>
      </c>
      <c r="AE32" s="408">
        <f t="shared" si="21"/>
        <v>62898.585099999997</v>
      </c>
      <c r="AF32" s="408">
        <f t="shared" si="21"/>
        <v>18414.007000000049</v>
      </c>
      <c r="AG32" s="408">
        <f t="shared" si="21"/>
        <v>8165.9530000000341</v>
      </c>
      <c r="AH32" s="408">
        <f t="shared" si="21"/>
        <v>0</v>
      </c>
    </row>
    <row r="33" spans="2:34" s="148" customFormat="1" ht="27" customHeight="1">
      <c r="B33" s="879"/>
      <c r="C33" s="880"/>
      <c r="D33" s="387">
        <v>3</v>
      </c>
      <c r="E33" s="390" t="s">
        <v>507</v>
      </c>
      <c r="F33" s="391">
        <v>5797.3146000000288</v>
      </c>
      <c r="G33" s="392">
        <v>1208.47</v>
      </c>
      <c r="H33" s="392">
        <v>1194.98</v>
      </c>
      <c r="I33" s="393">
        <f t="shared" si="14"/>
        <v>0.98883712462866269</v>
      </c>
      <c r="J33" s="392">
        <v>23.5</v>
      </c>
      <c r="K33" s="393">
        <f t="shared" si="15"/>
        <v>1.9446076443767737E-2</v>
      </c>
      <c r="L33" s="392">
        <v>605.77999999999986</v>
      </c>
      <c r="M33" s="393">
        <f t="shared" si="16"/>
        <v>1.0082832010724305</v>
      </c>
      <c r="N33" s="394">
        <v>6063.8578000000289</v>
      </c>
      <c r="O33" s="392">
        <v>0.44</v>
      </c>
      <c r="P33" s="393">
        <f t="shared" si="17"/>
        <v>3.6409675043650233E-4</v>
      </c>
      <c r="Q33" s="407">
        <f t="shared" si="18"/>
        <v>266.54319999999996</v>
      </c>
      <c r="R33" s="395">
        <f t="shared" si="19"/>
        <v>9.5699999999999914</v>
      </c>
      <c r="S33" s="393">
        <f t="shared" si="20"/>
        <v>7.9191043219939191E-3</v>
      </c>
      <c r="T33" s="397" t="s">
        <v>174</v>
      </c>
      <c r="U33" s="397" t="s">
        <v>216</v>
      </c>
      <c r="V33" s="398" t="s">
        <v>574</v>
      </c>
      <c r="W33" s="398" t="s">
        <v>702</v>
      </c>
      <c r="X33" s="398">
        <v>1</v>
      </c>
      <c r="Y33" s="399" t="s">
        <v>344</v>
      </c>
      <c r="AA33" s="387"/>
      <c r="AB33" s="409">
        <f>AB31/$AA31</f>
        <v>0</v>
      </c>
      <c r="AC33" s="409">
        <f t="shared" ref="AC33:AH33" si="22">AC31/$AA31</f>
        <v>0</v>
      </c>
      <c r="AD33" s="409">
        <f t="shared" si="22"/>
        <v>0</v>
      </c>
      <c r="AE33" s="409">
        <f t="shared" si="22"/>
        <v>0.85</v>
      </c>
      <c r="AF33" s="409">
        <f t="shared" si="22"/>
        <v>0.05</v>
      </c>
      <c r="AG33" s="409">
        <f t="shared" si="22"/>
        <v>0.1</v>
      </c>
      <c r="AH33" s="409">
        <f t="shared" si="22"/>
        <v>0</v>
      </c>
    </row>
    <row r="34" spans="2:34" s="148" customFormat="1" ht="27" customHeight="1">
      <c r="B34" s="879"/>
      <c r="C34" s="880"/>
      <c r="D34" s="387">
        <v>4</v>
      </c>
      <c r="E34" s="390" t="s">
        <v>517</v>
      </c>
      <c r="F34" s="391">
        <v>4904.9420000000046</v>
      </c>
      <c r="G34" s="392">
        <v>166.76999999999998</v>
      </c>
      <c r="H34" s="392">
        <v>163.87</v>
      </c>
      <c r="I34" s="393">
        <f>H34/G34</f>
        <v>0.98261078131558444</v>
      </c>
      <c r="J34" s="392">
        <v>10.920000000000002</v>
      </c>
      <c r="K34" s="393">
        <f t="shared" si="15"/>
        <v>6.5479402770282441E-2</v>
      </c>
      <c r="L34" s="392">
        <v>629</v>
      </c>
      <c r="M34" s="393">
        <f t="shared" si="16"/>
        <v>1.048090184085867</v>
      </c>
      <c r="N34" s="394">
        <v>5044.5800000000036</v>
      </c>
      <c r="O34" s="392">
        <v>0.222</v>
      </c>
      <c r="P34" s="393">
        <f t="shared" si="17"/>
        <v>1.331174671703544E-3</v>
      </c>
      <c r="Q34" s="407">
        <f t="shared" si="18"/>
        <v>139.63800000000001</v>
      </c>
      <c r="R34" s="395">
        <f t="shared" si="19"/>
        <v>7.7980000000000382</v>
      </c>
      <c r="S34" s="393">
        <f t="shared" si="20"/>
        <v>4.6759009414163451E-2</v>
      </c>
      <c r="T34" s="397" t="s">
        <v>174</v>
      </c>
      <c r="U34" s="397" t="s">
        <v>460</v>
      </c>
      <c r="V34" s="398" t="s">
        <v>581</v>
      </c>
      <c r="W34" s="398" t="s">
        <v>703</v>
      </c>
      <c r="X34" s="398">
        <v>1</v>
      </c>
      <c r="Y34" s="399" t="s">
        <v>506</v>
      </c>
    </row>
    <row r="35" spans="2:34" s="148" customFormat="1" ht="27" customHeight="1">
      <c r="B35" s="879"/>
      <c r="C35" s="880"/>
      <c r="D35" s="387">
        <v>5</v>
      </c>
      <c r="E35" s="390" t="s">
        <v>548</v>
      </c>
      <c r="F35" s="391">
        <v>4268.8832999999995</v>
      </c>
      <c r="G35" s="392">
        <v>220.91</v>
      </c>
      <c r="H35" s="392">
        <v>214.7</v>
      </c>
      <c r="I35" s="393">
        <f t="shared" ref="I35:I50" si="23">H35/G35</f>
        <v>0.97188900457199756</v>
      </c>
      <c r="J35" s="392">
        <v>16.34</v>
      </c>
      <c r="K35" s="393">
        <f t="shared" si="15"/>
        <v>7.3966773799284777E-2</v>
      </c>
      <c r="L35" s="392">
        <v>421.40999999999997</v>
      </c>
      <c r="M35" s="393">
        <f t="shared" si="16"/>
        <v>1.0458557783712823</v>
      </c>
      <c r="N35" s="394">
        <v>4268.8832999999995</v>
      </c>
      <c r="O35" s="392">
        <v>0</v>
      </c>
      <c r="P35" s="393">
        <f t="shared" si="17"/>
        <v>0</v>
      </c>
      <c r="Q35" s="407">
        <f t="shared" si="18"/>
        <v>0</v>
      </c>
      <c r="R35" s="395">
        <f t="shared" si="19"/>
        <v>10.129999999999995</v>
      </c>
      <c r="S35" s="393">
        <f t="shared" si="20"/>
        <v>4.58557783712824E-2</v>
      </c>
      <c r="T35" s="397" t="s">
        <v>174</v>
      </c>
      <c r="U35" s="397" t="s">
        <v>460</v>
      </c>
      <c r="V35" s="398" t="s">
        <v>578</v>
      </c>
      <c r="W35" s="398" t="s">
        <v>579</v>
      </c>
      <c r="X35" s="398">
        <v>1</v>
      </c>
      <c r="Y35" s="399" t="s">
        <v>475</v>
      </c>
    </row>
    <row r="36" spans="2:34" s="148" customFormat="1" ht="27" customHeight="1">
      <c r="B36" s="879"/>
      <c r="C36" s="880"/>
      <c r="D36" s="387">
        <v>6</v>
      </c>
      <c r="E36" s="390" t="s">
        <v>398</v>
      </c>
      <c r="F36" s="391">
        <v>4202.1008000000102</v>
      </c>
      <c r="G36" s="392">
        <v>4469.9799999999996</v>
      </c>
      <c r="H36" s="392">
        <v>4303.76</v>
      </c>
      <c r="I36" s="393">
        <f t="shared" si="23"/>
        <v>0.96281415129374193</v>
      </c>
      <c r="J36" s="392">
        <v>204.07</v>
      </c>
      <c r="K36" s="393">
        <f t="shared" si="15"/>
        <v>4.5653448113861808E-2</v>
      </c>
      <c r="L36" s="392">
        <v>127.84000000000002</v>
      </c>
      <c r="M36" s="393">
        <f t="shared" si="16"/>
        <v>1.0084675994076038</v>
      </c>
      <c r="N36" s="394">
        <v>4838.7440000000106</v>
      </c>
      <c r="O36" s="392">
        <v>4.9799999999999995</v>
      </c>
      <c r="P36" s="393">
        <f t="shared" si="17"/>
        <v>1.1140989445142932E-3</v>
      </c>
      <c r="Q36" s="407">
        <f t="shared" si="18"/>
        <v>636.64319999999998</v>
      </c>
      <c r="R36" s="395">
        <f t="shared" si="19"/>
        <v>32.870000000000367</v>
      </c>
      <c r="S36" s="393">
        <f t="shared" si="20"/>
        <v>7.3535004630894034E-3</v>
      </c>
      <c r="T36" s="397" t="s">
        <v>174</v>
      </c>
      <c r="U36" s="397" t="s">
        <v>460</v>
      </c>
      <c r="V36" s="398" t="s">
        <v>704</v>
      </c>
      <c r="W36" s="398" t="s">
        <v>705</v>
      </c>
      <c r="X36" s="398">
        <v>1</v>
      </c>
      <c r="Y36" s="399" t="s">
        <v>342</v>
      </c>
    </row>
    <row r="37" spans="2:34" s="148" customFormat="1" ht="27" customHeight="1">
      <c r="B37" s="879"/>
      <c r="C37" s="880"/>
      <c r="D37" s="387">
        <v>7</v>
      </c>
      <c r="E37" s="390" t="s">
        <v>367</v>
      </c>
      <c r="F37" s="391">
        <v>4139.2194999999974</v>
      </c>
      <c r="G37" s="392">
        <v>1252.06</v>
      </c>
      <c r="H37" s="392">
        <v>1272.57</v>
      </c>
      <c r="I37" s="393">
        <f t="shared" si="23"/>
        <v>1.0163810041052346</v>
      </c>
      <c r="J37" s="392">
        <v>6.5880000000000001</v>
      </c>
      <c r="K37" s="393">
        <f t="shared" si="15"/>
        <v>5.2617286711499449E-3</v>
      </c>
      <c r="L37" s="392">
        <v>152.75</v>
      </c>
      <c r="M37" s="393">
        <f t="shared" si="16"/>
        <v>1.0216427327763844</v>
      </c>
      <c r="N37" s="394">
        <v>4139.2194999999974</v>
      </c>
      <c r="O37" s="392">
        <v>0</v>
      </c>
      <c r="P37" s="393">
        <f t="shared" si="17"/>
        <v>0</v>
      </c>
      <c r="Q37" s="407">
        <f t="shared" si="18"/>
        <v>0</v>
      </c>
      <c r="R37" s="395">
        <f t="shared" si="19"/>
        <v>27.097999999999956</v>
      </c>
      <c r="S37" s="393">
        <f t="shared" si="20"/>
        <v>2.1642732776384486E-2</v>
      </c>
      <c r="T37" s="397" t="s">
        <v>174</v>
      </c>
      <c r="U37" s="397" t="s">
        <v>460</v>
      </c>
      <c r="V37" s="398" t="s">
        <v>581</v>
      </c>
      <c r="W37" s="398" t="s">
        <v>703</v>
      </c>
      <c r="X37" s="398">
        <v>1</v>
      </c>
      <c r="Y37" s="399" t="s">
        <v>370</v>
      </c>
    </row>
    <row r="38" spans="2:34" s="148" customFormat="1" ht="27" customHeight="1">
      <c r="B38" s="879"/>
      <c r="C38" s="880"/>
      <c r="D38" s="387">
        <v>8</v>
      </c>
      <c r="E38" s="390" t="s">
        <v>464</v>
      </c>
      <c r="F38" s="391">
        <v>3972.2305999999953</v>
      </c>
      <c r="G38" s="392">
        <v>460.35</v>
      </c>
      <c r="H38" s="392">
        <v>451.97</v>
      </c>
      <c r="I38" s="393">
        <f t="shared" si="23"/>
        <v>0.98179645921581404</v>
      </c>
      <c r="J38" s="392">
        <v>19.55</v>
      </c>
      <c r="K38" s="393">
        <f>J38/G38</f>
        <v>4.246768762897795E-2</v>
      </c>
      <c r="L38" s="392">
        <v>368.13999999999993</v>
      </c>
      <c r="M38" s="393">
        <f>(H38+J38)/G38</f>
        <v>1.0242641468447919</v>
      </c>
      <c r="N38" s="394">
        <v>4112.1237999999958</v>
      </c>
      <c r="O38" s="392">
        <v>0.38</v>
      </c>
      <c r="P38" s="393">
        <f t="shared" si="17"/>
        <v>8.2545888997501897E-4</v>
      </c>
      <c r="Q38" s="407">
        <f t="shared" si="18"/>
        <v>139.89319999999998</v>
      </c>
      <c r="R38" s="395">
        <f t="shared" si="19"/>
        <v>10.790000000000015</v>
      </c>
      <c r="S38" s="393">
        <f t="shared" si="20"/>
        <v>2.343868795481702E-2</v>
      </c>
      <c r="T38" s="397" t="s">
        <v>174</v>
      </c>
      <c r="U38" s="397" t="s">
        <v>460</v>
      </c>
      <c r="V38" s="398" t="s">
        <v>578</v>
      </c>
      <c r="W38" s="398" t="s">
        <v>579</v>
      </c>
      <c r="X38" s="398">
        <v>1</v>
      </c>
      <c r="Y38" s="399" t="s">
        <v>465</v>
      </c>
    </row>
    <row r="39" spans="2:34" s="148" customFormat="1" ht="27" customHeight="1">
      <c r="B39" s="879"/>
      <c r="C39" s="880"/>
      <c r="D39" s="387">
        <v>9</v>
      </c>
      <c r="E39" s="390" t="s">
        <v>545</v>
      </c>
      <c r="F39" s="391">
        <v>3862.6260000000038</v>
      </c>
      <c r="G39" s="392">
        <v>1941.27</v>
      </c>
      <c r="H39" s="392">
        <v>1878.68</v>
      </c>
      <c r="I39" s="393">
        <f t="shared" si="23"/>
        <v>0.96775822013424206</v>
      </c>
      <c r="J39" s="392">
        <v>108.41</v>
      </c>
      <c r="K39" s="393">
        <f t="shared" ref="K39:K50" si="24">J39/G39</f>
        <v>5.5844885049477919E-2</v>
      </c>
      <c r="L39" s="392">
        <v>84.3</v>
      </c>
      <c r="M39" s="393">
        <f t="shared" ref="M39:M50" si="25">(H39+J39)/G39</f>
        <v>1.02360310518372</v>
      </c>
      <c r="N39" s="394">
        <v>3862.6260000000038</v>
      </c>
      <c r="O39" s="392">
        <v>0</v>
      </c>
      <c r="P39" s="393">
        <f t="shared" si="17"/>
        <v>0</v>
      </c>
      <c r="Q39" s="407">
        <f t="shared" si="18"/>
        <v>0</v>
      </c>
      <c r="R39" s="395">
        <f t="shared" si="19"/>
        <v>45.820000000000164</v>
      </c>
      <c r="S39" s="393">
        <f t="shared" si="20"/>
        <v>2.3603105183720021E-2</v>
      </c>
      <c r="T39" s="397" t="s">
        <v>174</v>
      </c>
      <c r="U39" s="397" t="s">
        <v>460</v>
      </c>
      <c r="V39" s="398" t="s">
        <v>567</v>
      </c>
      <c r="W39" s="398" t="s">
        <v>706</v>
      </c>
      <c r="X39" s="398">
        <v>1</v>
      </c>
      <c r="Y39" s="399" t="s">
        <v>537</v>
      </c>
    </row>
    <row r="40" spans="2:34" s="148" customFormat="1" ht="27" customHeight="1">
      <c r="B40" s="879"/>
      <c r="C40" s="880"/>
      <c r="D40" s="387">
        <v>10</v>
      </c>
      <c r="E40" s="390" t="s">
        <v>458</v>
      </c>
      <c r="F40" s="391">
        <v>3785.3603999999914</v>
      </c>
      <c r="G40" s="392">
        <v>1424.6399999999999</v>
      </c>
      <c r="H40" s="392">
        <v>1394.21</v>
      </c>
      <c r="I40" s="393">
        <f t="shared" si="23"/>
        <v>0.97864021787960476</v>
      </c>
      <c r="J40" s="392">
        <v>73.149999999999991</v>
      </c>
      <c r="K40" s="393">
        <f t="shared" si="24"/>
        <v>5.1346305031446542E-2</v>
      </c>
      <c r="L40" s="392">
        <v>99.51</v>
      </c>
      <c r="M40" s="393">
        <f t="shared" si="25"/>
        <v>1.0299865229110514</v>
      </c>
      <c r="N40" s="394">
        <v>4251.0671999999913</v>
      </c>
      <c r="O40" s="392">
        <v>4.6800000000000006</v>
      </c>
      <c r="P40" s="393">
        <f t="shared" si="17"/>
        <v>3.2850404312668472E-3</v>
      </c>
      <c r="Q40" s="407">
        <f t="shared" si="18"/>
        <v>465.7068000000001</v>
      </c>
      <c r="R40" s="395">
        <f t="shared" si="19"/>
        <v>38.040000000000255</v>
      </c>
      <c r="S40" s="393">
        <f t="shared" si="20"/>
        <v>2.6701482479784548E-2</v>
      </c>
      <c r="T40" s="397" t="s">
        <v>174</v>
      </c>
      <c r="U40" s="397" t="s">
        <v>460</v>
      </c>
      <c r="V40" s="398" t="s">
        <v>567</v>
      </c>
      <c r="W40" s="398" t="s">
        <v>592</v>
      </c>
      <c r="X40" s="398">
        <v>1</v>
      </c>
      <c r="Y40" s="399" t="s">
        <v>356</v>
      </c>
    </row>
    <row r="41" spans="2:34" s="148" customFormat="1" ht="27" customHeight="1">
      <c r="B41" s="879"/>
      <c r="C41" s="880"/>
      <c r="D41" s="387">
        <v>11</v>
      </c>
      <c r="E41" s="390" t="s">
        <v>369</v>
      </c>
      <c r="F41" s="391">
        <v>3767.6726999999973</v>
      </c>
      <c r="G41" s="392">
        <v>770.48</v>
      </c>
      <c r="H41" s="392">
        <v>777.93000000000006</v>
      </c>
      <c r="I41" s="393">
        <f t="shared" si="23"/>
        <v>1.0096692970615722</v>
      </c>
      <c r="J41" s="392">
        <v>2.4000000000000004</v>
      </c>
      <c r="K41" s="393">
        <f t="shared" si="24"/>
        <v>3.1149413352715193E-3</v>
      </c>
      <c r="L41" s="392">
        <v>426.69</v>
      </c>
      <c r="M41" s="393">
        <f t="shared" si="25"/>
        <v>1.0127842383968435</v>
      </c>
      <c r="N41" s="394">
        <v>4202.896499999998</v>
      </c>
      <c r="O41" s="392">
        <v>1.02</v>
      </c>
      <c r="P41" s="393">
        <f t="shared" si="17"/>
        <v>1.3238500674903955E-3</v>
      </c>
      <c r="Q41" s="407">
        <f t="shared" si="18"/>
        <v>435.22379999999998</v>
      </c>
      <c r="R41" s="395">
        <f t="shared" si="19"/>
        <v>8.8300000000000232</v>
      </c>
      <c r="S41" s="393">
        <f t="shared" si="20"/>
        <v>1.146038832935316E-2</v>
      </c>
      <c r="T41" s="397" t="s">
        <v>174</v>
      </c>
      <c r="U41" s="397" t="s">
        <v>460</v>
      </c>
      <c r="V41" s="398" t="s">
        <v>576</v>
      </c>
      <c r="W41" s="398" t="s">
        <v>707</v>
      </c>
      <c r="X41" s="398">
        <v>1</v>
      </c>
      <c r="Y41" s="399" t="s">
        <v>370</v>
      </c>
    </row>
    <row r="42" spans="2:34" s="148" customFormat="1" ht="27" customHeight="1">
      <c r="B42" s="879"/>
      <c r="C42" s="880"/>
      <c r="D42" s="387">
        <v>12</v>
      </c>
      <c r="E42" s="390" t="s">
        <v>547</v>
      </c>
      <c r="F42" s="391">
        <v>3687.3607999999958</v>
      </c>
      <c r="G42" s="392">
        <v>835.5</v>
      </c>
      <c r="H42" s="392">
        <v>813.44999999999993</v>
      </c>
      <c r="I42" s="393">
        <f t="shared" si="23"/>
        <v>0.97360861759425488</v>
      </c>
      <c r="J42" s="392">
        <v>52.489999999999995</v>
      </c>
      <c r="K42" s="393">
        <f t="shared" si="24"/>
        <v>6.2824655894673842E-2</v>
      </c>
      <c r="L42" s="392">
        <v>128.38999999999999</v>
      </c>
      <c r="M42" s="393">
        <f t="shared" si="25"/>
        <v>1.0364332734889288</v>
      </c>
      <c r="N42" s="394">
        <v>3908.191599999996</v>
      </c>
      <c r="O42" s="392">
        <v>1.72</v>
      </c>
      <c r="P42" s="393">
        <f t="shared" si="17"/>
        <v>2.058647516457211E-3</v>
      </c>
      <c r="Q42" s="407">
        <f t="shared" si="18"/>
        <v>220.83079999999998</v>
      </c>
      <c r="R42" s="395">
        <f t="shared" si="19"/>
        <v>28.719999999999942</v>
      </c>
      <c r="S42" s="393">
        <f t="shared" si="20"/>
        <v>3.4374625972471505E-2</v>
      </c>
      <c r="T42" s="397" t="s">
        <v>174</v>
      </c>
      <c r="U42" s="397" t="s">
        <v>460</v>
      </c>
      <c r="V42" s="398" t="s">
        <v>568</v>
      </c>
      <c r="W42" s="398" t="s">
        <v>569</v>
      </c>
      <c r="X42" s="398">
        <v>1</v>
      </c>
      <c r="Y42" s="399" t="s">
        <v>358</v>
      </c>
    </row>
    <row r="43" spans="2:34" s="148" customFormat="1" ht="27" customHeight="1">
      <c r="B43" s="879"/>
      <c r="C43" s="880"/>
      <c r="D43" s="387">
        <v>13</v>
      </c>
      <c r="E43" s="390" t="s">
        <v>584</v>
      </c>
      <c r="F43" s="391">
        <v>3672.8499999999958</v>
      </c>
      <c r="G43" s="392">
        <v>65.5</v>
      </c>
      <c r="H43" s="392">
        <v>66.03</v>
      </c>
      <c r="I43" s="393">
        <f t="shared" si="23"/>
        <v>1.008091603053435</v>
      </c>
      <c r="J43" s="392">
        <v>0.96</v>
      </c>
      <c r="K43" s="393">
        <f t="shared" si="24"/>
        <v>1.465648854961832E-2</v>
      </c>
      <c r="L43" s="392">
        <v>2465</v>
      </c>
      <c r="M43" s="393">
        <f t="shared" si="25"/>
        <v>1.0227480916030534</v>
      </c>
      <c r="N43" s="394">
        <v>3672.8499999999958</v>
      </c>
      <c r="O43" s="392">
        <v>0</v>
      </c>
      <c r="P43" s="393">
        <f t="shared" si="17"/>
        <v>0</v>
      </c>
      <c r="Q43" s="407">
        <f t="shared" si="18"/>
        <v>0</v>
      </c>
      <c r="R43" s="395">
        <f t="shared" si="19"/>
        <v>1.4899999999999949</v>
      </c>
      <c r="S43" s="393">
        <f t="shared" si="20"/>
        <v>2.2748091603053355E-2</v>
      </c>
      <c r="T43" s="397" t="s">
        <v>174</v>
      </c>
      <c r="U43" s="397" t="s">
        <v>460</v>
      </c>
      <c r="V43" s="398" t="s">
        <v>576</v>
      </c>
      <c r="W43" s="398" t="s">
        <v>703</v>
      </c>
      <c r="X43" s="398">
        <v>1</v>
      </c>
      <c r="Y43" s="399" t="s">
        <v>520</v>
      </c>
    </row>
    <row r="44" spans="2:34" s="148" customFormat="1" ht="27" customHeight="1">
      <c r="B44" s="879"/>
      <c r="C44" s="880"/>
      <c r="D44" s="387">
        <v>14</v>
      </c>
      <c r="E44" s="390" t="s">
        <v>338</v>
      </c>
      <c r="F44" s="391">
        <v>3503.2758000000026</v>
      </c>
      <c r="G44" s="392">
        <v>1840.58</v>
      </c>
      <c r="H44" s="392">
        <v>1742.3900000000003</v>
      </c>
      <c r="I44" s="393">
        <f t="shared" si="23"/>
        <v>0.94665268556650639</v>
      </c>
      <c r="J44" s="392">
        <v>155.90000000000003</v>
      </c>
      <c r="K44" s="393">
        <f t="shared" si="24"/>
        <v>8.4701561464321048E-2</v>
      </c>
      <c r="L44" s="392">
        <v>70.220000000000013</v>
      </c>
      <c r="M44" s="393">
        <f t="shared" si="25"/>
        <v>1.0313542470308275</v>
      </c>
      <c r="N44" s="394">
        <v>4052.3962000000029</v>
      </c>
      <c r="O44" s="392">
        <v>7.82</v>
      </c>
      <c r="P44" s="393">
        <f t="shared" si="17"/>
        <v>4.2486607482424025E-3</v>
      </c>
      <c r="Q44" s="407">
        <f t="shared" si="18"/>
        <v>549.12040000000013</v>
      </c>
      <c r="R44" s="395">
        <f t="shared" si="19"/>
        <v>49.890000000000491</v>
      </c>
      <c r="S44" s="393">
        <f t="shared" si="20"/>
        <v>2.7105586282585106E-2</v>
      </c>
      <c r="T44" s="397" t="s">
        <v>174</v>
      </c>
      <c r="U44" s="397" t="s">
        <v>460</v>
      </c>
      <c r="V44" s="398" t="s">
        <v>567</v>
      </c>
      <c r="W44" s="398" t="s">
        <v>706</v>
      </c>
      <c r="X44" s="398">
        <v>1</v>
      </c>
      <c r="Y44" s="399" t="s">
        <v>345</v>
      </c>
      <c r="AC44" s="404"/>
    </row>
    <row r="45" spans="2:34" s="148" customFormat="1" ht="27" customHeight="1">
      <c r="B45" s="879"/>
      <c r="C45" s="880"/>
      <c r="D45" s="387">
        <v>15</v>
      </c>
      <c r="E45" s="390" t="s">
        <v>521</v>
      </c>
      <c r="F45" s="391">
        <v>2829.9080000000004</v>
      </c>
      <c r="G45" s="392">
        <v>1361.18</v>
      </c>
      <c r="H45" s="392">
        <v>1355.1400000000003</v>
      </c>
      <c r="I45" s="393">
        <f t="shared" si="23"/>
        <v>0.99556267356264438</v>
      </c>
      <c r="J45" s="392">
        <v>23.1</v>
      </c>
      <c r="K45" s="393">
        <f t="shared" si="24"/>
        <v>1.6970569652801245E-2</v>
      </c>
      <c r="L45" s="392">
        <v>191.21</v>
      </c>
      <c r="M45" s="393">
        <f t="shared" si="25"/>
        <v>1.0125332432154455</v>
      </c>
      <c r="N45" s="394">
        <v>3262.0426000000007</v>
      </c>
      <c r="O45" s="392">
        <v>2.2599999999999998</v>
      </c>
      <c r="P45" s="393">
        <f t="shared" si="17"/>
        <v>1.6603241305338013E-3</v>
      </c>
      <c r="Q45" s="407">
        <f t="shared" si="18"/>
        <v>432.13459999999998</v>
      </c>
      <c r="R45" s="395">
        <f t="shared" si="19"/>
        <v>14.800000000000173</v>
      </c>
      <c r="S45" s="393">
        <f t="shared" si="20"/>
        <v>1.0872919084911748E-2</v>
      </c>
      <c r="T45" s="397" t="s">
        <v>174</v>
      </c>
      <c r="U45" s="397" t="s">
        <v>460</v>
      </c>
      <c r="V45" s="398" t="s">
        <v>581</v>
      </c>
      <c r="W45" s="398" t="s">
        <v>708</v>
      </c>
      <c r="X45" s="398">
        <v>1</v>
      </c>
      <c r="Y45" s="399" t="s">
        <v>522</v>
      </c>
      <c r="AC45" s="403"/>
    </row>
    <row r="46" spans="2:34" s="148" customFormat="1" ht="27" customHeight="1">
      <c r="B46" s="879"/>
      <c r="C46" s="880"/>
      <c r="D46" s="387">
        <v>16</v>
      </c>
      <c r="E46" s="390" t="s">
        <v>699</v>
      </c>
      <c r="F46" s="391">
        <v>2576.6000000000004</v>
      </c>
      <c r="G46" s="392">
        <v>304.88</v>
      </c>
      <c r="H46" s="392">
        <v>297.32</v>
      </c>
      <c r="I46" s="393">
        <f t="shared" si="23"/>
        <v>0.97520335869850427</v>
      </c>
      <c r="J46" s="392">
        <v>30.44</v>
      </c>
      <c r="K46" s="393">
        <f t="shared" si="24"/>
        <v>9.9842561007609562E-2</v>
      </c>
      <c r="L46" s="392">
        <v>130</v>
      </c>
      <c r="M46" s="393">
        <f t="shared" si="25"/>
        <v>1.075045919706114</v>
      </c>
      <c r="N46" s="394">
        <v>2974.4</v>
      </c>
      <c r="O46" s="392">
        <v>3.06</v>
      </c>
      <c r="P46" s="393">
        <f t="shared" si="17"/>
        <v>1.0036735764891105E-2</v>
      </c>
      <c r="Q46" s="407">
        <f t="shared" si="18"/>
        <v>397.8</v>
      </c>
      <c r="R46" s="395">
        <f t="shared" si="19"/>
        <v>19.819999999999997</v>
      </c>
      <c r="S46" s="393">
        <f t="shared" si="20"/>
        <v>6.5009183941222765E-2</v>
      </c>
      <c r="T46" s="397" t="s">
        <v>174</v>
      </c>
      <c r="U46" s="397" t="s">
        <v>460</v>
      </c>
      <c r="V46" s="398" t="s">
        <v>578</v>
      </c>
      <c r="W46" s="398" t="s">
        <v>709</v>
      </c>
      <c r="X46" s="398">
        <v>1</v>
      </c>
      <c r="Y46" s="399" t="s">
        <v>641</v>
      </c>
      <c r="AC46" s="403"/>
    </row>
    <row r="47" spans="2:34" s="148" customFormat="1" ht="27" customHeight="1">
      <c r="B47" s="879"/>
      <c r="C47" s="880"/>
      <c r="D47" s="387">
        <v>17</v>
      </c>
      <c r="E47" s="390" t="s">
        <v>531</v>
      </c>
      <c r="F47" s="391">
        <v>2537.6483999999973</v>
      </c>
      <c r="G47" s="392">
        <v>1155.76</v>
      </c>
      <c r="H47" s="392">
        <v>1159.5200000000002</v>
      </c>
      <c r="I47" s="393">
        <f t="shared" si="23"/>
        <v>1.0032532705752062</v>
      </c>
      <c r="J47" s="392">
        <v>6.75</v>
      </c>
      <c r="K47" s="393">
        <f t="shared" si="24"/>
        <v>5.840312867723403E-3</v>
      </c>
      <c r="L47" s="392">
        <v>266.27999999999997</v>
      </c>
      <c r="M47" s="393">
        <f t="shared" si="25"/>
        <v>1.0090935834429295</v>
      </c>
      <c r="N47" s="394">
        <v>2798.6027999999974</v>
      </c>
      <c r="O47" s="392">
        <v>0.98</v>
      </c>
      <c r="P47" s="393">
        <f t="shared" si="17"/>
        <v>8.4792690523984222E-4</v>
      </c>
      <c r="Q47" s="407">
        <f t="shared" si="18"/>
        <v>260.95439999999996</v>
      </c>
      <c r="R47" s="395">
        <f t="shared" si="19"/>
        <v>9.5300000000002179</v>
      </c>
      <c r="S47" s="393">
        <f t="shared" si="20"/>
        <v>8.2456565376896745E-3</v>
      </c>
      <c r="T47" s="397" t="s">
        <v>174</v>
      </c>
      <c r="U47" s="397" t="s">
        <v>460</v>
      </c>
      <c r="V47" s="398" t="s">
        <v>576</v>
      </c>
      <c r="W47" s="398" t="s">
        <v>710</v>
      </c>
      <c r="X47" s="398">
        <v>1</v>
      </c>
      <c r="Y47" s="399" t="s">
        <v>532</v>
      </c>
      <c r="AB47" s="405"/>
      <c r="AC47" s="403"/>
    </row>
    <row r="48" spans="2:34" s="148" customFormat="1" ht="27" customHeight="1">
      <c r="B48" s="879"/>
      <c r="C48" s="880"/>
      <c r="D48" s="387">
        <v>18</v>
      </c>
      <c r="E48" s="390" t="s">
        <v>513</v>
      </c>
      <c r="F48" s="391">
        <v>2503.6440000000007</v>
      </c>
      <c r="G48" s="392">
        <v>732.4</v>
      </c>
      <c r="H48" s="392">
        <v>693</v>
      </c>
      <c r="I48" s="393">
        <f t="shared" si="23"/>
        <v>0.94620425996723101</v>
      </c>
      <c r="J48" s="392">
        <v>56.88</v>
      </c>
      <c r="K48" s="393">
        <f t="shared" si="24"/>
        <v>7.7662479519388317E-2</v>
      </c>
      <c r="L48" s="392">
        <v>160.49</v>
      </c>
      <c r="M48" s="393">
        <f t="shared" si="25"/>
        <v>1.0238667394866194</v>
      </c>
      <c r="N48" s="394">
        <v>2805.3652000000006</v>
      </c>
      <c r="O48" s="392">
        <v>1.88</v>
      </c>
      <c r="P48" s="393">
        <f t="shared" si="17"/>
        <v>2.5669033315128343E-3</v>
      </c>
      <c r="Q48" s="407">
        <f t="shared" si="18"/>
        <v>301.72120000000001</v>
      </c>
      <c r="R48" s="395">
        <f t="shared" si="19"/>
        <v>15.600000000000019</v>
      </c>
      <c r="S48" s="393">
        <f t="shared" si="20"/>
        <v>2.1299836155106527E-2</v>
      </c>
      <c r="T48" s="397" t="s">
        <v>174</v>
      </c>
      <c r="U48" s="397" t="s">
        <v>460</v>
      </c>
      <c r="V48" s="398" t="s">
        <v>704</v>
      </c>
      <c r="W48" s="398" t="s">
        <v>705</v>
      </c>
      <c r="X48" s="398">
        <v>1</v>
      </c>
      <c r="Y48" s="399" t="s">
        <v>465</v>
      </c>
      <c r="AC48" s="403"/>
    </row>
    <row r="49" spans="2:34" s="148" customFormat="1" ht="27" customHeight="1">
      <c r="B49" s="879"/>
      <c r="C49" s="880"/>
      <c r="D49" s="387">
        <v>19</v>
      </c>
      <c r="E49" s="390" t="s">
        <v>589</v>
      </c>
      <c r="F49" s="391">
        <v>2468.2553999999996</v>
      </c>
      <c r="G49" s="392">
        <v>807.42</v>
      </c>
      <c r="H49" s="392">
        <v>795.99999999999989</v>
      </c>
      <c r="I49" s="393">
        <f t="shared" si="23"/>
        <v>0.98585618389437957</v>
      </c>
      <c r="J49" s="392">
        <v>34.5</v>
      </c>
      <c r="K49" s="393">
        <f t="shared" si="24"/>
        <v>4.2728691387382035E-2</v>
      </c>
      <c r="L49" s="392">
        <v>122.06999999999996</v>
      </c>
      <c r="M49" s="393">
        <f t="shared" si="25"/>
        <v>1.0285848752817617</v>
      </c>
      <c r="N49" s="394">
        <v>2817.3755999999994</v>
      </c>
      <c r="O49" s="392">
        <v>2.8600000000000003</v>
      </c>
      <c r="P49" s="393">
        <f t="shared" si="17"/>
        <v>3.5421465903742793E-3</v>
      </c>
      <c r="Q49" s="407">
        <f t="shared" si="18"/>
        <v>349.12019999999995</v>
      </c>
      <c r="R49" s="395">
        <f t="shared" si="19"/>
        <v>20.219999999999928</v>
      </c>
      <c r="S49" s="393">
        <f t="shared" si="20"/>
        <v>2.5042728691387295E-2</v>
      </c>
      <c r="T49" s="397" t="s">
        <v>174</v>
      </c>
      <c r="U49" s="397" t="s">
        <v>460</v>
      </c>
      <c r="V49" s="398" t="s">
        <v>704</v>
      </c>
      <c r="W49" s="398" t="s">
        <v>705</v>
      </c>
      <c r="X49" s="398">
        <v>1</v>
      </c>
      <c r="Y49" s="399" t="s">
        <v>361</v>
      </c>
      <c r="AB49" s="406"/>
      <c r="AC49" s="403"/>
    </row>
    <row r="50" spans="2:34" s="148" customFormat="1" ht="27" customHeight="1">
      <c r="B50" s="881"/>
      <c r="C50" s="882"/>
      <c r="D50" s="387">
        <v>20</v>
      </c>
      <c r="E50" s="390" t="s">
        <v>500</v>
      </c>
      <c r="F50" s="391">
        <v>2368.6384000000048</v>
      </c>
      <c r="G50" s="392">
        <v>367.32</v>
      </c>
      <c r="H50" s="392">
        <v>362.86</v>
      </c>
      <c r="I50" s="393">
        <f t="shared" si="23"/>
        <v>0.98785799847544375</v>
      </c>
      <c r="J50" s="392">
        <v>13.92</v>
      </c>
      <c r="K50" s="393">
        <f t="shared" si="24"/>
        <v>3.789611238157465E-2</v>
      </c>
      <c r="L50" s="392">
        <v>327.16000000000003</v>
      </c>
      <c r="M50" s="393">
        <f t="shared" si="25"/>
        <v>1.0257541108570185</v>
      </c>
      <c r="N50" s="394">
        <v>3094.9336000000053</v>
      </c>
      <c r="O50" s="392">
        <v>2.2200000000000002</v>
      </c>
      <c r="P50" s="393">
        <f t="shared" si="17"/>
        <v>6.0437765436131986E-3</v>
      </c>
      <c r="Q50" s="407">
        <f t="shared" si="18"/>
        <v>726.29520000000014</v>
      </c>
      <c r="R50" s="395">
        <f t="shared" si="19"/>
        <v>7.2400000000000357</v>
      </c>
      <c r="S50" s="393">
        <f t="shared" si="20"/>
        <v>1.9710334313405301E-2</v>
      </c>
      <c r="T50" s="397" t="s">
        <v>174</v>
      </c>
      <c r="U50" s="397" t="s">
        <v>216</v>
      </c>
      <c r="V50" s="398" t="s">
        <v>578</v>
      </c>
      <c r="W50" s="398" t="s">
        <v>579</v>
      </c>
      <c r="X50" s="398">
        <v>1</v>
      </c>
      <c r="Y50" s="399" t="s">
        <v>498</v>
      </c>
      <c r="AB50" s="406"/>
      <c r="AC50" s="403"/>
    </row>
    <row r="51" spans="2:34" ht="16.5" customHeight="1">
      <c r="B51" s="896" t="s">
        <v>478</v>
      </c>
      <c r="C51" s="897"/>
      <c r="D51" s="893" t="s">
        <v>170</v>
      </c>
      <c r="E51" s="893"/>
      <c r="F51" s="893"/>
      <c r="G51" s="893" t="s">
        <v>184</v>
      </c>
      <c r="H51" s="893"/>
      <c r="I51" s="893"/>
      <c r="J51" s="893"/>
      <c r="K51" s="893"/>
      <c r="L51" s="893"/>
      <c r="M51" s="893"/>
      <c r="N51" s="893"/>
      <c r="O51" s="893"/>
      <c r="P51" s="893"/>
      <c r="Q51" s="893"/>
      <c r="R51" s="893"/>
      <c r="S51" s="893"/>
      <c r="T51" s="893" t="s">
        <v>171</v>
      </c>
      <c r="U51" s="883" t="s">
        <v>245</v>
      </c>
      <c r="V51" s="914" t="s">
        <v>486</v>
      </c>
      <c r="W51" s="914" t="s">
        <v>480</v>
      </c>
      <c r="X51" s="905" t="s">
        <v>246</v>
      </c>
      <c r="Y51" s="894" t="s">
        <v>172</v>
      </c>
      <c r="AA51" s="893" t="s">
        <v>247</v>
      </c>
      <c r="AB51" s="893"/>
      <c r="AC51" s="893"/>
      <c r="AD51" s="893"/>
      <c r="AE51" s="893"/>
      <c r="AF51" s="893"/>
      <c r="AG51" s="893"/>
      <c r="AH51" s="893"/>
    </row>
    <row r="52" spans="2:34" ht="17.100000000000001" customHeight="1">
      <c r="B52" s="898"/>
      <c r="C52" s="899"/>
      <c r="D52" s="892" t="s">
        <v>169</v>
      </c>
      <c r="E52" s="893" t="s">
        <v>173</v>
      </c>
      <c r="F52" s="893"/>
      <c r="G52" s="893" t="s">
        <v>185</v>
      </c>
      <c r="H52" s="893"/>
      <c r="I52" s="893"/>
      <c r="J52" s="893"/>
      <c r="K52" s="893"/>
      <c r="L52" s="893"/>
      <c r="M52" s="893"/>
      <c r="N52" s="893"/>
      <c r="O52" s="893" t="s">
        <v>174</v>
      </c>
      <c r="P52" s="893"/>
      <c r="Q52" s="893"/>
      <c r="R52" s="893"/>
      <c r="S52" s="893"/>
      <c r="T52" s="893"/>
      <c r="U52" s="886"/>
      <c r="V52" s="906"/>
      <c r="W52" s="915"/>
      <c r="X52" s="906"/>
      <c r="Y52" s="894"/>
      <c r="AA52" s="893"/>
      <c r="AB52" s="893"/>
      <c r="AC52" s="893"/>
      <c r="AD52" s="893"/>
      <c r="AE52" s="893"/>
      <c r="AF52" s="893"/>
      <c r="AG52" s="893"/>
      <c r="AH52" s="893"/>
    </row>
    <row r="53" spans="2:34" ht="17.100000000000001" customHeight="1">
      <c r="B53" s="898"/>
      <c r="C53" s="899"/>
      <c r="D53" s="892"/>
      <c r="E53" s="892" t="s">
        <v>175</v>
      </c>
      <c r="F53" s="910" t="s">
        <v>487</v>
      </c>
      <c r="G53" s="895" t="s">
        <v>186</v>
      </c>
      <c r="H53" s="895"/>
      <c r="I53" s="895"/>
      <c r="J53" s="895"/>
      <c r="K53" s="895"/>
      <c r="L53" s="895"/>
      <c r="M53" s="895"/>
      <c r="N53" s="895"/>
      <c r="O53" s="911" t="s">
        <v>168</v>
      </c>
      <c r="P53" s="912"/>
      <c r="Q53" s="913"/>
      <c r="R53" s="895" t="s">
        <v>176</v>
      </c>
      <c r="S53" s="895"/>
      <c r="T53" s="893"/>
      <c r="U53" s="886"/>
      <c r="V53" s="906"/>
      <c r="W53" s="915"/>
      <c r="X53" s="906"/>
      <c r="Y53" s="894"/>
      <c r="AA53" s="893"/>
      <c r="AB53" s="893"/>
      <c r="AC53" s="893"/>
      <c r="AD53" s="893"/>
      <c r="AE53" s="893"/>
      <c r="AF53" s="893"/>
      <c r="AG53" s="893"/>
      <c r="AH53" s="893"/>
    </row>
    <row r="54" spans="2:34" ht="38.450000000000003" customHeight="1">
      <c r="B54" s="900"/>
      <c r="C54" s="901"/>
      <c r="D54" s="892"/>
      <c r="E54" s="892"/>
      <c r="F54" s="910"/>
      <c r="G54" s="388" t="s">
        <v>177</v>
      </c>
      <c r="H54" s="388" t="s">
        <v>252</v>
      </c>
      <c r="I54" s="388" t="s">
        <v>253</v>
      </c>
      <c r="J54" s="388" t="s">
        <v>178</v>
      </c>
      <c r="K54" s="388" t="s">
        <v>250</v>
      </c>
      <c r="L54" s="388" t="s">
        <v>179</v>
      </c>
      <c r="M54" s="388" t="s">
        <v>187</v>
      </c>
      <c r="N54" s="388" t="s">
        <v>180</v>
      </c>
      <c r="O54" s="389" t="s">
        <v>181</v>
      </c>
      <c r="P54" s="389" t="s">
        <v>182</v>
      </c>
      <c r="Q54" s="388" t="s">
        <v>183</v>
      </c>
      <c r="R54" s="389" t="s">
        <v>181</v>
      </c>
      <c r="S54" s="389" t="s">
        <v>182</v>
      </c>
      <c r="T54" s="893"/>
      <c r="U54" s="889"/>
      <c r="V54" s="907"/>
      <c r="W54" s="916"/>
      <c r="X54" s="907"/>
      <c r="Y54" s="894"/>
      <c r="AA54" s="161" t="s">
        <v>244</v>
      </c>
      <c r="AB54" s="161" t="s">
        <v>481</v>
      </c>
      <c r="AC54" s="156" t="s">
        <v>395</v>
      </c>
      <c r="AD54" s="156" t="s">
        <v>339</v>
      </c>
      <c r="AE54" s="156" t="s">
        <v>460</v>
      </c>
      <c r="AF54" s="156" t="s">
        <v>215</v>
      </c>
      <c r="AG54" s="156" t="s">
        <v>216</v>
      </c>
      <c r="AH54" s="156" t="s">
        <v>396</v>
      </c>
    </row>
    <row r="55" spans="2:34" s="148" customFormat="1" ht="27" customHeight="1">
      <c r="B55" s="877" t="s">
        <v>684</v>
      </c>
      <c r="C55" s="878"/>
      <c r="D55" s="387">
        <v>1</v>
      </c>
      <c r="E55" s="390" t="s">
        <v>337</v>
      </c>
      <c r="F55" s="391">
        <v>22238.341199999988</v>
      </c>
      <c r="G55" s="392">
        <v>5385.91</v>
      </c>
      <c r="H55" s="392">
        <v>5383.23</v>
      </c>
      <c r="I55" s="393">
        <f>H55/G55</f>
        <v>0.99950240535025647</v>
      </c>
      <c r="J55" s="392">
        <v>153.52000000000001</v>
      </c>
      <c r="K55" s="393">
        <f>J55/G55</f>
        <v>2.8504003965903628E-2</v>
      </c>
      <c r="L55" s="392">
        <v>147.43000000000004</v>
      </c>
      <c r="M55" s="393">
        <f>(H55+J55)/G55</f>
        <v>1.0280064093161601</v>
      </c>
      <c r="N55" s="394">
        <v>22238.341199999988</v>
      </c>
      <c r="O55" s="392">
        <v>0</v>
      </c>
      <c r="P55" s="393">
        <f>O55/G55</f>
        <v>0</v>
      </c>
      <c r="Q55" s="407">
        <f>O55*L55</f>
        <v>0</v>
      </c>
      <c r="R55" s="395">
        <f>((H55+J55)-G55)-O55</f>
        <v>150.84000000000015</v>
      </c>
      <c r="S55" s="393">
        <f>R55/G55</f>
        <v>2.8006409316160157E-2</v>
      </c>
      <c r="T55" s="397" t="s">
        <v>174</v>
      </c>
      <c r="U55" s="397" t="s">
        <v>215</v>
      </c>
      <c r="V55" s="398"/>
      <c r="W55" s="398"/>
      <c r="X55" s="398">
        <v>1</v>
      </c>
      <c r="Y55" s="399" t="s">
        <v>342</v>
      </c>
      <c r="Z55" s="400" t="s">
        <v>482</v>
      </c>
      <c r="AA55" s="401">
        <f>SUM(X55:X74)</f>
        <v>20</v>
      </c>
      <c r="AB55" s="402">
        <f>SUMIF($U$55:$U$74,TRIM(AB54),$X$55:$X$74)</f>
        <v>0</v>
      </c>
      <c r="AC55" s="402">
        <f t="shared" ref="AC55:AH55" si="26">SUMIF($U$55:$U$74,TRIM(AC54),$X$55:$X$74)</f>
        <v>0</v>
      </c>
      <c r="AD55" s="402">
        <f t="shared" si="26"/>
        <v>0</v>
      </c>
      <c r="AE55" s="402">
        <f t="shared" si="26"/>
        <v>16</v>
      </c>
      <c r="AF55" s="402">
        <f t="shared" si="26"/>
        <v>1</v>
      </c>
      <c r="AG55" s="402">
        <f t="shared" si="26"/>
        <v>3</v>
      </c>
      <c r="AH55" s="402">
        <f t="shared" si="26"/>
        <v>0</v>
      </c>
    </row>
    <row r="56" spans="2:34" s="148" customFormat="1" ht="27" customHeight="1">
      <c r="B56" s="879"/>
      <c r="C56" s="880"/>
      <c r="D56" s="387">
        <v>2</v>
      </c>
      <c r="E56" s="390" t="s">
        <v>750</v>
      </c>
      <c r="F56" s="391">
        <v>9822.6842999999735</v>
      </c>
      <c r="G56" s="392">
        <v>25172.1</v>
      </c>
      <c r="H56" s="392">
        <v>25100.99</v>
      </c>
      <c r="I56" s="393">
        <f t="shared" ref="I56:I57" si="27">H56/G56</f>
        <v>0.99717504697661308</v>
      </c>
      <c r="J56" s="392">
        <v>324.60000000000002</v>
      </c>
      <c r="K56" s="393">
        <f t="shared" ref="K56:K61" si="28">J56/G56</f>
        <v>1.2895229241898771E-2</v>
      </c>
      <c r="L56" s="392">
        <v>39.389999999999993</v>
      </c>
      <c r="M56" s="393">
        <f t="shared" ref="M56:M61" si="29">(H56+J56)/G56</f>
        <v>1.0100702762185119</v>
      </c>
      <c r="N56" s="394">
        <v>9984.9710999999734</v>
      </c>
      <c r="O56" s="392">
        <v>4.12</v>
      </c>
      <c r="P56" s="393">
        <f t="shared" ref="P56:P74" si="30">O56/G56</f>
        <v>1.636732731873781E-4</v>
      </c>
      <c r="Q56" s="407">
        <f t="shared" ref="Q56:Q74" si="31">O56*L56</f>
        <v>162.28679999999997</v>
      </c>
      <c r="R56" s="395">
        <f t="shared" ref="R56:R74" si="32">((H56+J56)-G56)-O56</f>
        <v>249.3700000000016</v>
      </c>
      <c r="S56" s="393">
        <f t="shared" ref="S56:S74" si="33">R56/G56</f>
        <v>9.9066029453244511E-3</v>
      </c>
      <c r="T56" s="397" t="s">
        <v>174</v>
      </c>
      <c r="U56" s="397" t="s">
        <v>216</v>
      </c>
      <c r="V56" s="398"/>
      <c r="W56" s="398"/>
      <c r="X56" s="398">
        <v>1</v>
      </c>
      <c r="Y56" s="399" t="s">
        <v>342</v>
      </c>
      <c r="AA56" s="401"/>
      <c r="AB56" s="408">
        <f>SUMIF($U$55:$U$74,TRIM(AB54),$F$55:$F$74)</f>
        <v>0</v>
      </c>
      <c r="AC56" s="408">
        <f t="shared" ref="AC56:AF56" si="34">SUMIF($U$55:$U$74,TRIM(AC54),$F$55:$F$74)</f>
        <v>0</v>
      </c>
      <c r="AD56" s="408">
        <f t="shared" si="34"/>
        <v>0</v>
      </c>
      <c r="AE56" s="408">
        <f t="shared" si="34"/>
        <v>64632.062299999998</v>
      </c>
      <c r="AF56" s="408">
        <f t="shared" si="34"/>
        <v>22238.341199999988</v>
      </c>
      <c r="AG56" s="408">
        <f>SUMIF($U$55:$U$74,TRIM(AG54),$F$55:$F$74)</f>
        <v>17965.214300000003</v>
      </c>
      <c r="AH56" s="408">
        <f t="shared" ref="AH56" si="35">SUMIF($U$55:$U$74,TRIM(AH54),$G$55:$G$74)</f>
        <v>0</v>
      </c>
    </row>
    <row r="57" spans="2:34" s="148" customFormat="1" ht="27" customHeight="1">
      <c r="B57" s="879"/>
      <c r="C57" s="880"/>
      <c r="D57" s="387">
        <v>3</v>
      </c>
      <c r="E57" s="390" t="s">
        <v>369</v>
      </c>
      <c r="F57" s="391">
        <v>6869.7090000000153</v>
      </c>
      <c r="G57" s="392">
        <v>817.05000000000007</v>
      </c>
      <c r="H57" s="392">
        <v>817.20999999999992</v>
      </c>
      <c r="I57" s="393">
        <f t="shared" si="27"/>
        <v>1.0001958264488096</v>
      </c>
      <c r="J57" s="392">
        <v>16.3</v>
      </c>
      <c r="K57" s="393">
        <f t="shared" si="28"/>
        <v>1.9949819472492504E-2</v>
      </c>
      <c r="L57" s="392">
        <v>426.69</v>
      </c>
      <c r="M57" s="393">
        <f t="shared" si="29"/>
        <v>1.0201456459213021</v>
      </c>
      <c r="N57" s="394">
        <v>7023.3174000000154</v>
      </c>
      <c r="O57" s="392">
        <v>0.36</v>
      </c>
      <c r="P57" s="393">
        <f t="shared" si="30"/>
        <v>4.4060950982192026E-4</v>
      </c>
      <c r="Q57" s="407">
        <f t="shared" si="31"/>
        <v>153.60839999999999</v>
      </c>
      <c r="R57" s="395">
        <f t="shared" si="32"/>
        <v>16.09999999999981</v>
      </c>
      <c r="S57" s="393">
        <f t="shared" si="33"/>
        <v>1.9705036411480092E-2</v>
      </c>
      <c r="T57" s="397" t="s">
        <v>174</v>
      </c>
      <c r="U57" s="397" t="s">
        <v>460</v>
      </c>
      <c r="V57" s="398"/>
      <c r="W57" s="398"/>
      <c r="X57" s="398">
        <v>1</v>
      </c>
      <c r="Y57" s="399" t="s">
        <v>370</v>
      </c>
      <c r="AA57" s="387"/>
      <c r="AB57" s="409">
        <f>AB55/$AA55</f>
        <v>0</v>
      </c>
      <c r="AC57" s="409">
        <f t="shared" ref="AC57:AH57" si="36">AC55/$AA55</f>
        <v>0</v>
      </c>
      <c r="AD57" s="409">
        <f t="shared" si="36"/>
        <v>0</v>
      </c>
      <c r="AE57" s="409">
        <f t="shared" si="36"/>
        <v>0.8</v>
      </c>
      <c r="AF57" s="409">
        <f t="shared" si="36"/>
        <v>0.05</v>
      </c>
      <c r="AG57" s="409">
        <f t="shared" si="36"/>
        <v>0.15</v>
      </c>
      <c r="AH57" s="409">
        <f t="shared" si="36"/>
        <v>0</v>
      </c>
    </row>
    <row r="58" spans="2:34" s="148" customFormat="1" ht="27" customHeight="1">
      <c r="B58" s="879"/>
      <c r="C58" s="880"/>
      <c r="D58" s="387">
        <v>4</v>
      </c>
      <c r="E58" s="390" t="s">
        <v>751</v>
      </c>
      <c r="F58" s="391">
        <v>5492.4799999999832</v>
      </c>
      <c r="G58" s="392">
        <v>424</v>
      </c>
      <c r="H58" s="392">
        <v>424.13</v>
      </c>
      <c r="I58" s="393">
        <f>H58/G58</f>
        <v>1.0003066037735848</v>
      </c>
      <c r="J58" s="392">
        <v>6</v>
      </c>
      <c r="K58" s="393">
        <f t="shared" si="28"/>
        <v>1.4150943396226415E-2</v>
      </c>
      <c r="L58" s="392">
        <v>896</v>
      </c>
      <c r="M58" s="393">
        <f t="shared" si="29"/>
        <v>1.0144575471698114</v>
      </c>
      <c r="N58" s="394">
        <v>5492.4799999999832</v>
      </c>
      <c r="O58" s="392">
        <v>0</v>
      </c>
      <c r="P58" s="393">
        <f t="shared" si="30"/>
        <v>0</v>
      </c>
      <c r="Q58" s="407">
        <f t="shared" si="31"/>
        <v>0</v>
      </c>
      <c r="R58" s="395">
        <f t="shared" si="32"/>
        <v>6.1299999999999955</v>
      </c>
      <c r="S58" s="393">
        <f t="shared" si="33"/>
        <v>1.445754716981131E-2</v>
      </c>
      <c r="T58" s="397" t="s">
        <v>174</v>
      </c>
      <c r="U58" s="397" t="s">
        <v>460</v>
      </c>
      <c r="V58" s="398"/>
      <c r="W58" s="398"/>
      <c r="X58" s="398">
        <v>1</v>
      </c>
      <c r="Y58" s="399" t="s">
        <v>758</v>
      </c>
    </row>
    <row r="59" spans="2:34" s="148" customFormat="1" ht="27" customHeight="1">
      <c r="B59" s="879"/>
      <c r="C59" s="880"/>
      <c r="D59" s="387">
        <v>5</v>
      </c>
      <c r="E59" s="390" t="s">
        <v>584</v>
      </c>
      <c r="F59" s="391">
        <v>5447.6500000000115</v>
      </c>
      <c r="G59" s="392">
        <v>105.88000000000001</v>
      </c>
      <c r="H59" s="392">
        <v>105.29</v>
      </c>
      <c r="I59" s="393">
        <f t="shared" ref="I59:I74" si="37">H59/G59</f>
        <v>0.99442765394786548</v>
      </c>
      <c r="J59" s="392">
        <v>2.8000000000000003</v>
      </c>
      <c r="K59" s="393">
        <f t="shared" si="28"/>
        <v>2.6445032111824706E-2</v>
      </c>
      <c r="L59" s="392">
        <v>2465</v>
      </c>
      <c r="M59" s="393">
        <f t="shared" si="29"/>
        <v>1.0208726860596902</v>
      </c>
      <c r="N59" s="394">
        <v>5447.6500000000115</v>
      </c>
      <c r="O59" s="392">
        <v>0</v>
      </c>
      <c r="P59" s="393">
        <f t="shared" si="30"/>
        <v>0</v>
      </c>
      <c r="Q59" s="407">
        <f t="shared" si="31"/>
        <v>0</v>
      </c>
      <c r="R59" s="395">
        <f t="shared" si="32"/>
        <v>2.2099999999999937</v>
      </c>
      <c r="S59" s="393">
        <f t="shared" si="33"/>
        <v>2.0872686059690154E-2</v>
      </c>
      <c r="T59" s="397" t="s">
        <v>174</v>
      </c>
      <c r="U59" s="397" t="s">
        <v>460</v>
      </c>
      <c r="V59" s="398"/>
      <c r="W59" s="398"/>
      <c r="X59" s="398">
        <v>1</v>
      </c>
      <c r="Y59" s="399" t="s">
        <v>520</v>
      </c>
    </row>
    <row r="60" spans="2:34" s="148" customFormat="1" ht="27" customHeight="1">
      <c r="B60" s="879"/>
      <c r="C60" s="880"/>
      <c r="D60" s="387">
        <v>6</v>
      </c>
      <c r="E60" s="390" t="s">
        <v>517</v>
      </c>
      <c r="F60" s="391">
        <v>4648.3100000000031</v>
      </c>
      <c r="G60" s="392">
        <v>168.84000000000003</v>
      </c>
      <c r="H60" s="392">
        <v>164.60999999999999</v>
      </c>
      <c r="I60" s="393">
        <f t="shared" si="37"/>
        <v>0.97494669509594856</v>
      </c>
      <c r="J60" s="392">
        <v>12.1</v>
      </c>
      <c r="K60" s="393">
        <f t="shared" si="28"/>
        <v>7.1665482113243292E-2</v>
      </c>
      <c r="L60" s="392">
        <v>629</v>
      </c>
      <c r="M60" s="393">
        <f t="shared" si="29"/>
        <v>1.0466121772091919</v>
      </c>
      <c r="N60" s="394">
        <v>4950.2300000000032</v>
      </c>
      <c r="O60" s="392">
        <v>0.48</v>
      </c>
      <c r="P60" s="393">
        <f t="shared" si="30"/>
        <v>2.8429282160625439E-3</v>
      </c>
      <c r="Q60" s="407">
        <f t="shared" si="31"/>
        <v>301.92</v>
      </c>
      <c r="R60" s="395">
        <f t="shared" si="32"/>
        <v>7.3899999999999473</v>
      </c>
      <c r="S60" s="393">
        <f t="shared" si="33"/>
        <v>4.376924899312927E-2</v>
      </c>
      <c r="T60" s="397" t="s">
        <v>174</v>
      </c>
      <c r="U60" s="397" t="s">
        <v>460</v>
      </c>
      <c r="V60" s="398"/>
      <c r="W60" s="398"/>
      <c r="X60" s="398">
        <v>1</v>
      </c>
      <c r="Y60" s="399" t="s">
        <v>506</v>
      </c>
    </row>
    <row r="61" spans="2:34" s="148" customFormat="1" ht="27" customHeight="1">
      <c r="B61" s="879"/>
      <c r="C61" s="880"/>
      <c r="D61" s="387">
        <v>7</v>
      </c>
      <c r="E61" s="390" t="s">
        <v>521</v>
      </c>
      <c r="F61" s="391">
        <v>4489.6107999999977</v>
      </c>
      <c r="G61" s="392">
        <v>1269.8499999999999</v>
      </c>
      <c r="H61" s="392">
        <v>1278.21</v>
      </c>
      <c r="I61" s="393">
        <f t="shared" si="37"/>
        <v>1.0065834547387487</v>
      </c>
      <c r="J61" s="392">
        <v>18.5</v>
      </c>
      <c r="K61" s="393">
        <f t="shared" si="28"/>
        <v>1.4568649840532348E-2</v>
      </c>
      <c r="L61" s="392">
        <v>191.21</v>
      </c>
      <c r="M61" s="393">
        <f t="shared" si="29"/>
        <v>1.0211521045792811</v>
      </c>
      <c r="N61" s="394">
        <v>5135.9005999999981</v>
      </c>
      <c r="O61" s="392">
        <v>3.38</v>
      </c>
      <c r="P61" s="393">
        <f t="shared" si="30"/>
        <v>2.6617317005945586E-3</v>
      </c>
      <c r="Q61" s="407">
        <f t="shared" si="31"/>
        <v>646.28980000000001</v>
      </c>
      <c r="R61" s="395">
        <f t="shared" si="32"/>
        <v>23.480000000000128</v>
      </c>
      <c r="S61" s="393">
        <f t="shared" si="33"/>
        <v>1.8490372878686562E-2</v>
      </c>
      <c r="T61" s="397" t="s">
        <v>174</v>
      </c>
      <c r="U61" s="397" t="s">
        <v>460</v>
      </c>
      <c r="V61" s="398"/>
      <c r="W61" s="398"/>
      <c r="X61" s="398">
        <v>1</v>
      </c>
      <c r="Y61" s="399" t="s">
        <v>522</v>
      </c>
    </row>
    <row r="62" spans="2:34" s="148" customFormat="1" ht="27" customHeight="1">
      <c r="B62" s="879"/>
      <c r="C62" s="880"/>
      <c r="D62" s="387">
        <v>8</v>
      </c>
      <c r="E62" s="390" t="s">
        <v>507</v>
      </c>
      <c r="F62" s="391">
        <v>4452.4830000000165</v>
      </c>
      <c r="G62" s="392">
        <v>1164.06</v>
      </c>
      <c r="H62" s="392">
        <v>1160.9000000000001</v>
      </c>
      <c r="I62" s="393">
        <f t="shared" si="37"/>
        <v>0.99728536329742468</v>
      </c>
      <c r="J62" s="392">
        <v>11.27</v>
      </c>
      <c r="K62" s="393">
        <f>J62/G62</f>
        <v>9.6816315310207374E-3</v>
      </c>
      <c r="L62" s="392">
        <v>605.77999999999986</v>
      </c>
      <c r="M62" s="393">
        <f>(H62+J62)/G62</f>
        <v>1.0069669948284454</v>
      </c>
      <c r="N62" s="394">
        <v>4912.8758000000162</v>
      </c>
      <c r="O62" s="392">
        <v>0.76</v>
      </c>
      <c r="P62" s="393">
        <f t="shared" si="30"/>
        <v>6.5288730821435324E-4</v>
      </c>
      <c r="Q62" s="407">
        <f t="shared" si="31"/>
        <v>460.39279999999991</v>
      </c>
      <c r="R62" s="395">
        <f t="shared" si="32"/>
        <v>7.3500000000001275</v>
      </c>
      <c r="S62" s="393">
        <f t="shared" si="33"/>
        <v>6.314107520231026E-3</v>
      </c>
      <c r="T62" s="397" t="s">
        <v>174</v>
      </c>
      <c r="U62" s="397" t="s">
        <v>216</v>
      </c>
      <c r="V62" s="398"/>
      <c r="W62" s="398"/>
      <c r="X62" s="398">
        <v>1</v>
      </c>
      <c r="Y62" s="399" t="s">
        <v>344</v>
      </c>
    </row>
    <row r="63" spans="2:34" s="148" customFormat="1" ht="27" customHeight="1">
      <c r="B63" s="879"/>
      <c r="C63" s="880"/>
      <c r="D63" s="387">
        <v>9</v>
      </c>
      <c r="E63" s="390" t="s">
        <v>752</v>
      </c>
      <c r="F63" s="391">
        <v>4372.9600000000037</v>
      </c>
      <c r="G63" s="392">
        <v>1211.82</v>
      </c>
      <c r="H63" s="392">
        <v>1215.7</v>
      </c>
      <c r="I63" s="393">
        <f t="shared" si="37"/>
        <v>1.0032017956462183</v>
      </c>
      <c r="J63" s="392">
        <v>29</v>
      </c>
      <c r="K63" s="393">
        <f t="shared" ref="K63:K74" si="38">J63/G63</f>
        <v>2.3930946840289815E-2</v>
      </c>
      <c r="L63" s="392">
        <v>144.79999999999998</v>
      </c>
      <c r="M63" s="393">
        <f t="shared" ref="M63:M74" si="39">(H63+J63)/G63</f>
        <v>1.027132742486508</v>
      </c>
      <c r="N63" s="394">
        <v>4761.024000000004</v>
      </c>
      <c r="O63" s="392">
        <v>2.6799999999999997</v>
      </c>
      <c r="P63" s="393">
        <f t="shared" si="30"/>
        <v>2.2115495700681617E-3</v>
      </c>
      <c r="Q63" s="407">
        <f t="shared" si="31"/>
        <v>388.06399999999991</v>
      </c>
      <c r="R63" s="395">
        <f t="shared" si="32"/>
        <v>30.200000000000109</v>
      </c>
      <c r="S63" s="393">
        <f t="shared" si="33"/>
        <v>2.4921192916439829E-2</v>
      </c>
      <c r="T63" s="397" t="s">
        <v>174</v>
      </c>
      <c r="U63" s="397" t="s">
        <v>460</v>
      </c>
      <c r="V63" s="398"/>
      <c r="W63" s="398"/>
      <c r="X63" s="398">
        <v>1</v>
      </c>
      <c r="Y63" s="399" t="s">
        <v>342</v>
      </c>
    </row>
    <row r="64" spans="2:34" s="148" customFormat="1" ht="27" customHeight="1">
      <c r="B64" s="879"/>
      <c r="C64" s="880"/>
      <c r="D64" s="387">
        <v>10</v>
      </c>
      <c r="E64" s="390" t="s">
        <v>458</v>
      </c>
      <c r="F64" s="391">
        <v>4261.0182000000013</v>
      </c>
      <c r="G64" s="392">
        <v>1319.7599999999998</v>
      </c>
      <c r="H64" s="392">
        <v>1279.8499999999999</v>
      </c>
      <c r="I64" s="393">
        <f t="shared" si="37"/>
        <v>0.96975965327029168</v>
      </c>
      <c r="J64" s="392">
        <v>86.740000000000009</v>
      </c>
      <c r="K64" s="393">
        <f t="shared" si="38"/>
        <v>6.5724071043219992E-2</v>
      </c>
      <c r="L64" s="392">
        <v>99.51</v>
      </c>
      <c r="M64" s="393">
        <f t="shared" si="39"/>
        <v>1.0354837243135118</v>
      </c>
      <c r="N64" s="394">
        <v>4660.0533000000014</v>
      </c>
      <c r="O64" s="392">
        <v>4.01</v>
      </c>
      <c r="P64" s="393">
        <f t="shared" si="30"/>
        <v>3.038431229920592E-3</v>
      </c>
      <c r="Q64" s="407">
        <f t="shared" si="31"/>
        <v>399.0351</v>
      </c>
      <c r="R64" s="395">
        <f t="shared" si="32"/>
        <v>42.820000000000157</v>
      </c>
      <c r="S64" s="393">
        <f t="shared" si="33"/>
        <v>3.2445293083591079E-2</v>
      </c>
      <c r="T64" s="397" t="s">
        <v>174</v>
      </c>
      <c r="U64" s="397" t="s">
        <v>460</v>
      </c>
      <c r="V64" s="398"/>
      <c r="W64" s="398"/>
      <c r="X64" s="398">
        <v>1</v>
      </c>
      <c r="Y64" s="399" t="s">
        <v>356</v>
      </c>
    </row>
    <row r="65" spans="2:34" s="148" customFormat="1" ht="27" customHeight="1">
      <c r="B65" s="879"/>
      <c r="C65" s="880"/>
      <c r="D65" s="387">
        <v>11</v>
      </c>
      <c r="E65" s="390" t="s">
        <v>548</v>
      </c>
      <c r="F65" s="391">
        <v>4184.6013000000066</v>
      </c>
      <c r="G65" s="392">
        <v>221.75</v>
      </c>
      <c r="H65" s="392">
        <v>219.85000000000002</v>
      </c>
      <c r="I65" s="393">
        <f t="shared" si="37"/>
        <v>0.99143179255918834</v>
      </c>
      <c r="J65" s="392">
        <v>12.91</v>
      </c>
      <c r="K65" s="393">
        <f t="shared" si="38"/>
        <v>5.8218714768883878E-2</v>
      </c>
      <c r="L65" s="392">
        <v>421.40999999999997</v>
      </c>
      <c r="M65" s="393">
        <f t="shared" si="39"/>
        <v>1.0496505073280722</v>
      </c>
      <c r="N65" s="394">
        <v>4639.7241000000067</v>
      </c>
      <c r="O65" s="392">
        <v>1.08</v>
      </c>
      <c r="P65" s="393">
        <f t="shared" si="30"/>
        <v>4.8703494926719279E-3</v>
      </c>
      <c r="Q65" s="407">
        <f t="shared" si="31"/>
        <v>455.12279999999998</v>
      </c>
      <c r="R65" s="395">
        <f t="shared" si="32"/>
        <v>9.9300000000000193</v>
      </c>
      <c r="S65" s="393">
        <f t="shared" si="33"/>
        <v>4.4780157835400312E-2</v>
      </c>
      <c r="T65" s="397" t="s">
        <v>174</v>
      </c>
      <c r="U65" s="397" t="s">
        <v>460</v>
      </c>
      <c r="V65" s="398"/>
      <c r="W65" s="398"/>
      <c r="X65" s="398">
        <v>1</v>
      </c>
      <c r="Y65" s="399" t="s">
        <v>475</v>
      </c>
    </row>
    <row r="66" spans="2:34" s="148" customFormat="1" ht="27" customHeight="1">
      <c r="B66" s="879"/>
      <c r="C66" s="880"/>
      <c r="D66" s="387">
        <v>12</v>
      </c>
      <c r="E66" s="390" t="s">
        <v>753</v>
      </c>
      <c r="F66" s="391">
        <v>4081.199999999998</v>
      </c>
      <c r="G66" s="392">
        <v>405.60999999999996</v>
      </c>
      <c r="H66" s="392">
        <v>404.28</v>
      </c>
      <c r="I66" s="393">
        <f t="shared" si="37"/>
        <v>0.99672098814131804</v>
      </c>
      <c r="J66" s="392">
        <v>6.7</v>
      </c>
      <c r="K66" s="393">
        <f t="shared" si="38"/>
        <v>1.6518330415916771E-2</v>
      </c>
      <c r="L66" s="392">
        <v>760</v>
      </c>
      <c r="M66" s="393">
        <f t="shared" si="39"/>
        <v>1.0132393185572348</v>
      </c>
      <c r="N66" s="394">
        <v>4081.199999999998</v>
      </c>
      <c r="O66" s="392">
        <v>0</v>
      </c>
      <c r="P66" s="393">
        <f t="shared" si="30"/>
        <v>0</v>
      </c>
      <c r="Q66" s="407">
        <f t="shared" si="31"/>
        <v>0</v>
      </c>
      <c r="R66" s="395">
        <f t="shared" si="32"/>
        <v>5.3700000000000045</v>
      </c>
      <c r="S66" s="393">
        <f t="shared" si="33"/>
        <v>1.3239318557234795E-2</v>
      </c>
      <c r="T66" s="397" t="s">
        <v>174</v>
      </c>
      <c r="U66" s="397" t="s">
        <v>460</v>
      </c>
      <c r="V66" s="398"/>
      <c r="W66" s="398"/>
      <c r="X66" s="398">
        <v>1</v>
      </c>
      <c r="Y66" s="399" t="s">
        <v>737</v>
      </c>
    </row>
    <row r="67" spans="2:34" s="148" customFormat="1" ht="27" customHeight="1">
      <c r="B67" s="879"/>
      <c r="C67" s="880"/>
      <c r="D67" s="387">
        <v>13</v>
      </c>
      <c r="E67" s="390" t="s">
        <v>512</v>
      </c>
      <c r="F67" s="391">
        <v>3690.0470000000118</v>
      </c>
      <c r="G67" s="392">
        <v>1253.32</v>
      </c>
      <c r="H67" s="392">
        <v>1254.8699999999999</v>
      </c>
      <c r="I67" s="393">
        <f t="shared" si="37"/>
        <v>1.0012367152842052</v>
      </c>
      <c r="J67" s="392">
        <v>7.7</v>
      </c>
      <c r="K67" s="393">
        <f t="shared" si="38"/>
        <v>6.1436823795997832E-3</v>
      </c>
      <c r="L67" s="392">
        <v>407.74000000000007</v>
      </c>
      <c r="M67" s="393">
        <f t="shared" si="39"/>
        <v>1.0073803976638049</v>
      </c>
      <c r="N67" s="394">
        <v>3771.5950000000116</v>
      </c>
      <c r="O67" s="392">
        <v>0.2</v>
      </c>
      <c r="P67" s="393">
        <f t="shared" si="30"/>
        <v>1.5957616570389047E-4</v>
      </c>
      <c r="Q67" s="407">
        <f t="shared" si="31"/>
        <v>81.548000000000016</v>
      </c>
      <c r="R67" s="395">
        <f t="shared" si="32"/>
        <v>9.0500000000000007</v>
      </c>
      <c r="S67" s="393">
        <f t="shared" si="33"/>
        <v>7.2208214981010444E-3</v>
      </c>
      <c r="T67" s="397" t="s">
        <v>174</v>
      </c>
      <c r="U67" s="397" t="s">
        <v>216</v>
      </c>
      <c r="V67" s="398"/>
      <c r="W67" s="398"/>
      <c r="X67" s="398">
        <v>1</v>
      </c>
      <c r="Y67" s="399" t="s">
        <v>514</v>
      </c>
    </row>
    <row r="68" spans="2:34" s="148" customFormat="1" ht="27" customHeight="1">
      <c r="B68" s="879"/>
      <c r="C68" s="880"/>
      <c r="D68" s="387">
        <v>14</v>
      </c>
      <c r="E68" s="390" t="s">
        <v>754</v>
      </c>
      <c r="F68" s="391">
        <v>3289.2950999999821</v>
      </c>
      <c r="G68" s="392">
        <v>2449.38</v>
      </c>
      <c r="H68" s="392">
        <v>2445.67</v>
      </c>
      <c r="I68" s="393">
        <f t="shared" si="37"/>
        <v>0.99848533098171777</v>
      </c>
      <c r="J68" s="392">
        <v>22</v>
      </c>
      <c r="K68" s="393">
        <f t="shared" si="38"/>
        <v>8.9818647984387882E-3</v>
      </c>
      <c r="L68" s="392">
        <v>193.82999999999998</v>
      </c>
      <c r="M68" s="393">
        <f t="shared" si="39"/>
        <v>1.0074671957801566</v>
      </c>
      <c r="N68" s="394">
        <v>3545.1506999999824</v>
      </c>
      <c r="O68" s="392">
        <v>1.32</v>
      </c>
      <c r="P68" s="393">
        <f t="shared" si="30"/>
        <v>5.3891188790632734E-4</v>
      </c>
      <c r="Q68" s="407">
        <f t="shared" si="31"/>
        <v>255.85559999999998</v>
      </c>
      <c r="R68" s="395">
        <f t="shared" si="32"/>
        <v>16.969999999999963</v>
      </c>
      <c r="S68" s="393">
        <f t="shared" si="33"/>
        <v>6.9282838922502688E-3</v>
      </c>
      <c r="T68" s="397" t="s">
        <v>174</v>
      </c>
      <c r="U68" s="397" t="s">
        <v>460</v>
      </c>
      <c r="V68" s="398"/>
      <c r="W68" s="398"/>
      <c r="X68" s="398">
        <v>1</v>
      </c>
      <c r="Y68" s="399" t="s">
        <v>759</v>
      </c>
      <c r="AC68" s="404"/>
    </row>
    <row r="69" spans="2:34" s="148" customFormat="1" ht="27" customHeight="1">
      <c r="B69" s="879"/>
      <c r="C69" s="880"/>
      <c r="D69" s="387">
        <v>15</v>
      </c>
      <c r="E69" s="390" t="s">
        <v>755</v>
      </c>
      <c r="F69" s="391">
        <v>3094.3628999999996</v>
      </c>
      <c r="G69" s="392">
        <v>707.59</v>
      </c>
      <c r="H69" s="392">
        <v>694.22</v>
      </c>
      <c r="I69" s="393">
        <f t="shared" si="37"/>
        <v>0.98110487711810512</v>
      </c>
      <c r="J69" s="392">
        <v>45</v>
      </c>
      <c r="K69" s="393">
        <f t="shared" si="38"/>
        <v>6.359615031303438E-2</v>
      </c>
      <c r="L69" s="392">
        <v>97.83</v>
      </c>
      <c r="M69" s="393">
        <f t="shared" si="39"/>
        <v>1.0447010274311395</v>
      </c>
      <c r="N69" s="394">
        <v>3094.3628999999996</v>
      </c>
      <c r="O69" s="392">
        <v>0</v>
      </c>
      <c r="P69" s="393">
        <f t="shared" si="30"/>
        <v>0</v>
      </c>
      <c r="Q69" s="407">
        <f t="shared" si="31"/>
        <v>0</v>
      </c>
      <c r="R69" s="395">
        <f t="shared" si="32"/>
        <v>31.629999999999995</v>
      </c>
      <c r="S69" s="393">
        <f t="shared" si="33"/>
        <v>4.4701027431139496E-2</v>
      </c>
      <c r="T69" s="397" t="s">
        <v>174</v>
      </c>
      <c r="U69" s="397" t="s">
        <v>460</v>
      </c>
      <c r="V69" s="397"/>
      <c r="W69" s="398"/>
      <c r="X69" s="398">
        <v>1</v>
      </c>
      <c r="Y69" s="399" t="s">
        <v>741</v>
      </c>
      <c r="AC69" s="403"/>
    </row>
    <row r="70" spans="2:34" s="148" customFormat="1" ht="27" customHeight="1">
      <c r="B70" s="879"/>
      <c r="C70" s="880"/>
      <c r="D70" s="387">
        <v>16</v>
      </c>
      <c r="E70" s="390" t="s">
        <v>547</v>
      </c>
      <c r="F70" s="391">
        <v>2987.6352999999976</v>
      </c>
      <c r="G70" s="392">
        <v>773.38</v>
      </c>
      <c r="H70" s="392">
        <v>774.62</v>
      </c>
      <c r="I70" s="393">
        <f t="shared" si="37"/>
        <v>1.0016033515218909</v>
      </c>
      <c r="J70" s="392">
        <v>34.929999999999993</v>
      </c>
      <c r="K70" s="393">
        <f t="shared" si="38"/>
        <v>4.5165377951330514E-2</v>
      </c>
      <c r="L70" s="392">
        <v>128.38999999999999</v>
      </c>
      <c r="M70" s="393">
        <f t="shared" si="39"/>
        <v>1.0467687294732213</v>
      </c>
      <c r="N70" s="394">
        <v>4643.866299999996</v>
      </c>
      <c r="O70" s="392">
        <v>12.9</v>
      </c>
      <c r="P70" s="393">
        <f t="shared" si="30"/>
        <v>1.6680027929349091E-2</v>
      </c>
      <c r="Q70" s="407">
        <f t="shared" si="31"/>
        <v>1656.2309999999998</v>
      </c>
      <c r="R70" s="395">
        <f t="shared" si="32"/>
        <v>23.26999999999996</v>
      </c>
      <c r="S70" s="393">
        <f t="shared" si="33"/>
        <v>3.00887015438723E-2</v>
      </c>
      <c r="T70" s="397" t="s">
        <v>174</v>
      </c>
      <c r="U70" s="397" t="s">
        <v>460</v>
      </c>
      <c r="V70" s="398"/>
      <c r="W70" s="398"/>
      <c r="X70" s="398">
        <v>1</v>
      </c>
      <c r="Y70" s="399" t="s">
        <v>358</v>
      </c>
      <c r="AC70" s="403"/>
    </row>
    <row r="71" spans="2:34" s="148" customFormat="1" ht="27" customHeight="1">
      <c r="B71" s="879"/>
      <c r="C71" s="880"/>
      <c r="D71" s="387">
        <v>17</v>
      </c>
      <c r="E71" s="390" t="s">
        <v>434</v>
      </c>
      <c r="F71" s="391">
        <v>2969.5347000000015</v>
      </c>
      <c r="G71" s="392">
        <v>1937.33</v>
      </c>
      <c r="H71" s="392">
        <v>1940.4899999999998</v>
      </c>
      <c r="I71" s="393">
        <f t="shared" si="37"/>
        <v>1.0016311108587592</v>
      </c>
      <c r="J71" s="392">
        <v>21.36</v>
      </c>
      <c r="K71" s="393">
        <f t="shared" si="38"/>
        <v>1.10254835262965E-2</v>
      </c>
      <c r="L71" s="392">
        <v>157.87000000000003</v>
      </c>
      <c r="M71" s="393">
        <f t="shared" si="39"/>
        <v>1.0126565943850556</v>
      </c>
      <c r="N71" s="394">
        <v>3870.9724000000019</v>
      </c>
      <c r="O71" s="392">
        <v>5.7099999999999991</v>
      </c>
      <c r="P71" s="393">
        <f t="shared" si="30"/>
        <v>2.9473553808592235E-3</v>
      </c>
      <c r="Q71" s="407">
        <f t="shared" si="31"/>
        <v>901.43770000000006</v>
      </c>
      <c r="R71" s="395">
        <f t="shared" si="32"/>
        <v>18.809999999999754</v>
      </c>
      <c r="S71" s="393">
        <f t="shared" si="33"/>
        <v>9.7092390041963704E-3</v>
      </c>
      <c r="T71" s="397" t="s">
        <v>174</v>
      </c>
      <c r="U71" s="397" t="s">
        <v>460</v>
      </c>
      <c r="V71" s="398"/>
      <c r="W71" s="398"/>
      <c r="X71" s="398">
        <v>1</v>
      </c>
      <c r="Y71" s="399" t="s">
        <v>342</v>
      </c>
      <c r="AB71" s="405"/>
      <c r="AC71" s="403"/>
    </row>
    <row r="72" spans="2:34" s="148" customFormat="1" ht="27" customHeight="1">
      <c r="B72" s="879"/>
      <c r="C72" s="880"/>
      <c r="D72" s="387">
        <v>18</v>
      </c>
      <c r="E72" s="390" t="s">
        <v>756</v>
      </c>
      <c r="F72" s="391">
        <v>2882.8599999999929</v>
      </c>
      <c r="G72" s="392">
        <v>698.35</v>
      </c>
      <c r="H72" s="392">
        <v>700.67</v>
      </c>
      <c r="I72" s="393">
        <f t="shared" si="37"/>
        <v>1.0033221164172692</v>
      </c>
      <c r="J72" s="392">
        <v>8</v>
      </c>
      <c r="K72" s="393">
        <f t="shared" si="38"/>
        <v>1.1455573852652681E-2</v>
      </c>
      <c r="L72" s="392">
        <v>339.16</v>
      </c>
      <c r="M72" s="393">
        <f t="shared" si="39"/>
        <v>1.0147776902699219</v>
      </c>
      <c r="N72" s="394">
        <v>3500.1311999999925</v>
      </c>
      <c r="O72" s="392">
        <v>1.8199999999999998</v>
      </c>
      <c r="P72" s="393">
        <f t="shared" si="30"/>
        <v>2.6061430514784847E-3</v>
      </c>
      <c r="Q72" s="407">
        <f t="shared" si="31"/>
        <v>617.27120000000002</v>
      </c>
      <c r="R72" s="395">
        <f t="shared" si="32"/>
        <v>8.4999999999999361</v>
      </c>
      <c r="S72" s="393">
        <f t="shared" si="33"/>
        <v>1.2171547218443383E-2</v>
      </c>
      <c r="T72" s="397" t="s">
        <v>174</v>
      </c>
      <c r="U72" s="397" t="s">
        <v>460</v>
      </c>
      <c r="V72" s="398"/>
      <c r="W72" s="398"/>
      <c r="X72" s="398">
        <v>1</v>
      </c>
      <c r="Y72" s="399" t="s">
        <v>760</v>
      </c>
      <c r="AC72" s="403"/>
    </row>
    <row r="73" spans="2:34" s="148" customFormat="1" ht="27" customHeight="1">
      <c r="B73" s="879"/>
      <c r="C73" s="880"/>
      <c r="D73" s="387">
        <v>19</v>
      </c>
      <c r="E73" s="390" t="s">
        <v>546</v>
      </c>
      <c r="F73" s="391">
        <v>2837.0738000000051</v>
      </c>
      <c r="G73" s="392">
        <v>1331.7900000000002</v>
      </c>
      <c r="H73" s="392">
        <v>1288.57</v>
      </c>
      <c r="I73" s="393">
        <f t="shared" si="37"/>
        <v>0.96754743615735195</v>
      </c>
      <c r="J73" s="392">
        <v>74.990000000000009</v>
      </c>
      <c r="K73" s="393">
        <f t="shared" si="38"/>
        <v>5.6307676135126411E-2</v>
      </c>
      <c r="L73" s="392">
        <v>118.30999999999997</v>
      </c>
      <c r="M73" s="393">
        <f t="shared" si="39"/>
        <v>1.0238551122924784</v>
      </c>
      <c r="N73" s="394">
        <v>3758.7087000000042</v>
      </c>
      <c r="O73" s="392">
        <v>7.7899999999999991</v>
      </c>
      <c r="P73" s="393">
        <f t="shared" si="30"/>
        <v>5.8492705306392133E-3</v>
      </c>
      <c r="Q73" s="407">
        <f t="shared" si="31"/>
        <v>921.63489999999967</v>
      </c>
      <c r="R73" s="395">
        <f t="shared" si="32"/>
        <v>23.979999999999755</v>
      </c>
      <c r="S73" s="393">
        <f t="shared" si="33"/>
        <v>1.8005841761839142E-2</v>
      </c>
      <c r="T73" s="397" t="s">
        <v>174</v>
      </c>
      <c r="U73" s="397" t="s">
        <v>460</v>
      </c>
      <c r="V73" s="398"/>
      <c r="W73" s="398"/>
      <c r="X73" s="398">
        <v>1</v>
      </c>
      <c r="Y73" s="399" t="s">
        <v>536</v>
      </c>
      <c r="AB73" s="406"/>
      <c r="AC73" s="403"/>
    </row>
    <row r="74" spans="2:34" s="148" customFormat="1" ht="27" customHeight="1">
      <c r="B74" s="881"/>
      <c r="C74" s="882"/>
      <c r="D74" s="387">
        <v>20</v>
      </c>
      <c r="E74" s="390" t="s">
        <v>757</v>
      </c>
      <c r="F74" s="391">
        <v>2723.761199999999</v>
      </c>
      <c r="G74" s="392">
        <v>1331.7900000000002</v>
      </c>
      <c r="H74" s="392">
        <v>1264.9000000000001</v>
      </c>
      <c r="I74" s="393">
        <f t="shared" si="37"/>
        <v>0.94977436382612868</v>
      </c>
      <c r="J74" s="392">
        <v>99.28</v>
      </c>
      <c r="K74" s="393">
        <f t="shared" si="38"/>
        <v>7.4546287327581673E-2</v>
      </c>
      <c r="L74" s="392">
        <v>114.53999999999999</v>
      </c>
      <c r="M74" s="393">
        <f t="shared" si="39"/>
        <v>1.0243206511537104</v>
      </c>
      <c r="N74" s="394">
        <v>3709.9505999999983</v>
      </c>
      <c r="O74" s="392">
        <v>8.61</v>
      </c>
      <c r="P74" s="393">
        <f t="shared" si="30"/>
        <v>6.4649832180749206E-3</v>
      </c>
      <c r="Q74" s="407">
        <f t="shared" si="31"/>
        <v>986.18939999999986</v>
      </c>
      <c r="R74" s="395">
        <f t="shared" si="32"/>
        <v>23.779999999999873</v>
      </c>
      <c r="S74" s="393">
        <f t="shared" si="33"/>
        <v>1.7855667935635401E-2</v>
      </c>
      <c r="T74" s="397" t="s">
        <v>174</v>
      </c>
      <c r="U74" s="397" t="s">
        <v>460</v>
      </c>
      <c r="V74" s="398"/>
      <c r="W74" s="398"/>
      <c r="X74" s="398">
        <v>1</v>
      </c>
      <c r="Y74" s="399" t="s">
        <v>536</v>
      </c>
      <c r="AB74" s="406"/>
      <c r="AC74" s="403"/>
    </row>
    <row r="75" spans="2:34" ht="16.5" customHeight="1">
      <c r="B75" s="896" t="s">
        <v>478</v>
      </c>
      <c r="C75" s="897"/>
      <c r="D75" s="893" t="s">
        <v>170</v>
      </c>
      <c r="E75" s="893"/>
      <c r="F75" s="893"/>
      <c r="G75" s="893" t="s">
        <v>184</v>
      </c>
      <c r="H75" s="893"/>
      <c r="I75" s="893"/>
      <c r="J75" s="893"/>
      <c r="K75" s="893"/>
      <c r="L75" s="893"/>
      <c r="M75" s="893"/>
      <c r="N75" s="893"/>
      <c r="O75" s="893"/>
      <c r="P75" s="893"/>
      <c r="Q75" s="893"/>
      <c r="R75" s="893"/>
      <c r="S75" s="893"/>
      <c r="T75" s="893" t="s">
        <v>171</v>
      </c>
      <c r="U75" s="883" t="s">
        <v>245</v>
      </c>
      <c r="V75" s="914" t="s">
        <v>486</v>
      </c>
      <c r="W75" s="914" t="s">
        <v>480</v>
      </c>
      <c r="X75" s="905" t="s">
        <v>246</v>
      </c>
      <c r="Y75" s="894" t="s">
        <v>172</v>
      </c>
      <c r="AA75" s="893" t="s">
        <v>247</v>
      </c>
      <c r="AB75" s="893"/>
      <c r="AC75" s="893"/>
      <c r="AD75" s="893"/>
      <c r="AE75" s="893"/>
      <c r="AF75" s="893"/>
      <c r="AG75" s="893"/>
      <c r="AH75" s="893"/>
    </row>
    <row r="76" spans="2:34" ht="17.100000000000001" customHeight="1">
      <c r="B76" s="898"/>
      <c r="C76" s="899"/>
      <c r="D76" s="892" t="s">
        <v>169</v>
      </c>
      <c r="E76" s="893" t="s">
        <v>173</v>
      </c>
      <c r="F76" s="893"/>
      <c r="G76" s="893" t="s">
        <v>185</v>
      </c>
      <c r="H76" s="893"/>
      <c r="I76" s="893"/>
      <c r="J76" s="893"/>
      <c r="K76" s="893"/>
      <c r="L76" s="893"/>
      <c r="M76" s="893"/>
      <c r="N76" s="893"/>
      <c r="O76" s="893" t="s">
        <v>174</v>
      </c>
      <c r="P76" s="893"/>
      <c r="Q76" s="893"/>
      <c r="R76" s="893"/>
      <c r="S76" s="893"/>
      <c r="T76" s="893"/>
      <c r="U76" s="886"/>
      <c r="V76" s="906"/>
      <c r="W76" s="915"/>
      <c r="X76" s="906"/>
      <c r="Y76" s="894"/>
      <c r="AA76" s="893"/>
      <c r="AB76" s="893"/>
      <c r="AC76" s="893"/>
      <c r="AD76" s="893"/>
      <c r="AE76" s="893"/>
      <c r="AF76" s="893"/>
      <c r="AG76" s="893"/>
      <c r="AH76" s="893"/>
    </row>
    <row r="77" spans="2:34" ht="17.100000000000001" customHeight="1">
      <c r="B77" s="898"/>
      <c r="C77" s="899"/>
      <c r="D77" s="892"/>
      <c r="E77" s="892" t="s">
        <v>175</v>
      </c>
      <c r="F77" s="910" t="s">
        <v>487</v>
      </c>
      <c r="G77" s="895" t="s">
        <v>186</v>
      </c>
      <c r="H77" s="895"/>
      <c r="I77" s="895"/>
      <c r="J77" s="895"/>
      <c r="K77" s="895"/>
      <c r="L77" s="895"/>
      <c r="M77" s="895"/>
      <c r="N77" s="895"/>
      <c r="O77" s="911" t="s">
        <v>168</v>
      </c>
      <c r="P77" s="912"/>
      <c r="Q77" s="913"/>
      <c r="R77" s="895" t="s">
        <v>176</v>
      </c>
      <c r="S77" s="895"/>
      <c r="T77" s="893"/>
      <c r="U77" s="886"/>
      <c r="V77" s="906"/>
      <c r="W77" s="915"/>
      <c r="X77" s="906"/>
      <c r="Y77" s="894"/>
      <c r="AA77" s="893"/>
      <c r="AB77" s="893"/>
      <c r="AC77" s="893"/>
      <c r="AD77" s="893"/>
      <c r="AE77" s="893"/>
      <c r="AF77" s="893"/>
      <c r="AG77" s="893"/>
      <c r="AH77" s="893"/>
    </row>
    <row r="78" spans="2:34" ht="38.450000000000003" customHeight="1">
      <c r="B78" s="900"/>
      <c r="C78" s="901"/>
      <c r="D78" s="892"/>
      <c r="E78" s="892"/>
      <c r="F78" s="910"/>
      <c r="G78" s="388" t="s">
        <v>177</v>
      </c>
      <c r="H78" s="388" t="s">
        <v>252</v>
      </c>
      <c r="I78" s="388" t="s">
        <v>253</v>
      </c>
      <c r="J78" s="388" t="s">
        <v>178</v>
      </c>
      <c r="K78" s="388" t="s">
        <v>250</v>
      </c>
      <c r="L78" s="388" t="s">
        <v>179</v>
      </c>
      <c r="M78" s="388" t="s">
        <v>187</v>
      </c>
      <c r="N78" s="388" t="s">
        <v>180</v>
      </c>
      <c r="O78" s="389" t="s">
        <v>181</v>
      </c>
      <c r="P78" s="389" t="s">
        <v>182</v>
      </c>
      <c r="Q78" s="388" t="s">
        <v>183</v>
      </c>
      <c r="R78" s="389" t="s">
        <v>181</v>
      </c>
      <c r="S78" s="389" t="s">
        <v>182</v>
      </c>
      <c r="T78" s="893"/>
      <c r="U78" s="889"/>
      <c r="V78" s="907"/>
      <c r="W78" s="916"/>
      <c r="X78" s="907"/>
      <c r="Y78" s="894"/>
      <c r="AA78" s="161" t="s">
        <v>244</v>
      </c>
      <c r="AB78" s="161" t="s">
        <v>481</v>
      </c>
      <c r="AC78" s="156" t="s">
        <v>395</v>
      </c>
      <c r="AD78" s="156" t="s">
        <v>339</v>
      </c>
      <c r="AE78" s="156" t="s">
        <v>460</v>
      </c>
      <c r="AF78" s="156" t="s">
        <v>215</v>
      </c>
      <c r="AG78" s="156" t="s">
        <v>216</v>
      </c>
      <c r="AH78" s="156" t="s">
        <v>396</v>
      </c>
    </row>
    <row r="79" spans="2:34" s="148" customFormat="1" ht="27" customHeight="1">
      <c r="B79" s="877" t="s">
        <v>685</v>
      </c>
      <c r="C79" s="878"/>
      <c r="D79" s="387">
        <v>1</v>
      </c>
      <c r="E79" s="390"/>
      <c r="F79" s="391"/>
      <c r="G79" s="392"/>
      <c r="H79" s="392"/>
      <c r="I79" s="393" t="e">
        <f>H79/G79</f>
        <v>#DIV/0!</v>
      </c>
      <c r="J79" s="392"/>
      <c r="K79" s="393" t="e">
        <f>J79/G79</f>
        <v>#DIV/0!</v>
      </c>
      <c r="L79" s="392"/>
      <c r="M79" s="393" t="e">
        <f>(H79+J79)/G79</f>
        <v>#DIV/0!</v>
      </c>
      <c r="N79" s="394"/>
      <c r="O79" s="392"/>
      <c r="P79" s="393" t="e">
        <f>O79/G79</f>
        <v>#DIV/0!</v>
      </c>
      <c r="Q79" s="407">
        <f>O79*L79</f>
        <v>0</v>
      </c>
      <c r="R79" s="395">
        <f>((H79+J79)-G79)-O79</f>
        <v>0</v>
      </c>
      <c r="S79" s="393" t="e">
        <f>R79/G79</f>
        <v>#DIV/0!</v>
      </c>
      <c r="T79" s="397"/>
      <c r="U79" s="397"/>
      <c r="V79" s="398"/>
      <c r="W79" s="398"/>
      <c r="X79" s="398">
        <v>1</v>
      </c>
      <c r="Y79" s="399"/>
      <c r="Z79" s="400" t="s">
        <v>482</v>
      </c>
      <c r="AA79" s="401">
        <f>SUM(X79:X98)</f>
        <v>20</v>
      </c>
      <c r="AB79" s="402">
        <f>SUMIF($U$79:$U$98,TRIM(AB78),$X$79:$X$98)</f>
        <v>0</v>
      </c>
      <c r="AC79" s="402">
        <f t="shared" ref="AC79:AH79" si="40">SUMIF($U$79:$U$98,TRIM(AC78),$X$79:$X$98)</f>
        <v>0</v>
      </c>
      <c r="AD79" s="402">
        <f t="shared" si="40"/>
        <v>0</v>
      </c>
      <c r="AE79" s="402">
        <f t="shared" si="40"/>
        <v>0</v>
      </c>
      <c r="AF79" s="402">
        <f t="shared" si="40"/>
        <v>0</v>
      </c>
      <c r="AG79" s="402">
        <f t="shared" si="40"/>
        <v>0</v>
      </c>
      <c r="AH79" s="402">
        <f t="shared" si="40"/>
        <v>0</v>
      </c>
    </row>
    <row r="80" spans="2:34" s="148" customFormat="1" ht="27" customHeight="1">
      <c r="B80" s="879"/>
      <c r="C80" s="880"/>
      <c r="D80" s="387">
        <v>2</v>
      </c>
      <c r="E80" s="390"/>
      <c r="F80" s="391"/>
      <c r="G80" s="392"/>
      <c r="H80" s="392"/>
      <c r="I80" s="393" t="e">
        <f t="shared" ref="I80:I81" si="41">H80/G80</f>
        <v>#DIV/0!</v>
      </c>
      <c r="J80" s="392"/>
      <c r="K80" s="393" t="e">
        <f t="shared" ref="K80:K85" si="42">J80/G80</f>
        <v>#DIV/0!</v>
      </c>
      <c r="L80" s="392"/>
      <c r="M80" s="393" t="e">
        <f t="shared" ref="M80:M85" si="43">(H80+J80)/G80</f>
        <v>#DIV/0!</v>
      </c>
      <c r="N80" s="394"/>
      <c r="O80" s="392"/>
      <c r="P80" s="393" t="e">
        <f t="shared" ref="P80:P98" si="44">O80/G80</f>
        <v>#DIV/0!</v>
      </c>
      <c r="Q80" s="407">
        <f t="shared" ref="Q80:Q98" si="45">O80*L80</f>
        <v>0</v>
      </c>
      <c r="R80" s="395">
        <f t="shared" ref="R80:R98" si="46">((H80+J80)-G80)-O80</f>
        <v>0</v>
      </c>
      <c r="S80" s="393" t="e">
        <f t="shared" ref="S80:S98" si="47">R80/G80</f>
        <v>#DIV/0!</v>
      </c>
      <c r="T80" s="397"/>
      <c r="U80" s="397"/>
      <c r="V80" s="398"/>
      <c r="W80" s="398"/>
      <c r="X80" s="398">
        <v>1</v>
      </c>
      <c r="Y80" s="399"/>
      <c r="AA80" s="401"/>
      <c r="AB80" s="408">
        <f>SUMIF($U$79:$U$98,TRIM(AB78),$F$79:$F$98)</f>
        <v>0</v>
      </c>
      <c r="AC80" s="408">
        <f t="shared" ref="AC80:AH80" si="48">SUMIF($U$79:$U$98,TRIM(AC78),$F$79:$F$98)</f>
        <v>0</v>
      </c>
      <c r="AD80" s="408">
        <f t="shared" si="48"/>
        <v>0</v>
      </c>
      <c r="AE80" s="408">
        <f t="shared" si="48"/>
        <v>0</v>
      </c>
      <c r="AF80" s="408">
        <f t="shared" si="48"/>
        <v>0</v>
      </c>
      <c r="AG80" s="408">
        <f t="shared" si="48"/>
        <v>0</v>
      </c>
      <c r="AH80" s="408">
        <f t="shared" si="48"/>
        <v>0</v>
      </c>
    </row>
    <row r="81" spans="2:34" s="148" customFormat="1" ht="27" customHeight="1">
      <c r="B81" s="879"/>
      <c r="C81" s="880"/>
      <c r="D81" s="387">
        <v>3</v>
      </c>
      <c r="E81" s="390"/>
      <c r="F81" s="391"/>
      <c r="G81" s="392"/>
      <c r="H81" s="392"/>
      <c r="I81" s="393" t="e">
        <f t="shared" si="41"/>
        <v>#DIV/0!</v>
      </c>
      <c r="J81" s="392"/>
      <c r="K81" s="393" t="e">
        <f t="shared" si="42"/>
        <v>#DIV/0!</v>
      </c>
      <c r="L81" s="392"/>
      <c r="M81" s="393" t="e">
        <f t="shared" si="43"/>
        <v>#DIV/0!</v>
      </c>
      <c r="N81" s="394"/>
      <c r="O81" s="392"/>
      <c r="P81" s="393" t="e">
        <f t="shared" si="44"/>
        <v>#DIV/0!</v>
      </c>
      <c r="Q81" s="407">
        <f t="shared" si="45"/>
        <v>0</v>
      </c>
      <c r="R81" s="395">
        <f t="shared" si="46"/>
        <v>0</v>
      </c>
      <c r="S81" s="393" t="e">
        <f t="shared" si="47"/>
        <v>#DIV/0!</v>
      </c>
      <c r="T81" s="397"/>
      <c r="U81" s="397"/>
      <c r="V81" s="398"/>
      <c r="W81" s="398"/>
      <c r="X81" s="398">
        <v>1</v>
      </c>
      <c r="Y81" s="399"/>
      <c r="AA81" s="387"/>
      <c r="AB81" s="409">
        <f>AB79/$AA79</f>
        <v>0</v>
      </c>
      <c r="AC81" s="409">
        <f t="shared" ref="AC81:AH81" si="49">AC79/$AA79</f>
        <v>0</v>
      </c>
      <c r="AD81" s="409">
        <f t="shared" si="49"/>
        <v>0</v>
      </c>
      <c r="AE81" s="409">
        <f t="shared" si="49"/>
        <v>0</v>
      </c>
      <c r="AF81" s="409">
        <f t="shared" si="49"/>
        <v>0</v>
      </c>
      <c r="AG81" s="409">
        <f t="shared" si="49"/>
        <v>0</v>
      </c>
      <c r="AH81" s="409">
        <f t="shared" si="49"/>
        <v>0</v>
      </c>
    </row>
    <row r="82" spans="2:34" s="148" customFormat="1" ht="27" customHeight="1">
      <c r="B82" s="879"/>
      <c r="C82" s="880"/>
      <c r="D82" s="387">
        <v>4</v>
      </c>
      <c r="E82" s="390"/>
      <c r="F82" s="391"/>
      <c r="G82" s="392"/>
      <c r="H82" s="392"/>
      <c r="I82" s="393" t="e">
        <f>H82/G82</f>
        <v>#DIV/0!</v>
      </c>
      <c r="J82" s="392"/>
      <c r="K82" s="393" t="e">
        <f t="shared" si="42"/>
        <v>#DIV/0!</v>
      </c>
      <c r="L82" s="392"/>
      <c r="M82" s="393" t="e">
        <f t="shared" si="43"/>
        <v>#DIV/0!</v>
      </c>
      <c r="N82" s="394"/>
      <c r="O82" s="392"/>
      <c r="P82" s="393" t="e">
        <f t="shared" si="44"/>
        <v>#DIV/0!</v>
      </c>
      <c r="Q82" s="407">
        <f t="shared" si="45"/>
        <v>0</v>
      </c>
      <c r="R82" s="395">
        <f t="shared" si="46"/>
        <v>0</v>
      </c>
      <c r="S82" s="393" t="e">
        <f t="shared" si="47"/>
        <v>#DIV/0!</v>
      </c>
      <c r="T82" s="397"/>
      <c r="U82" s="397"/>
      <c r="V82" s="398"/>
      <c r="W82" s="398"/>
      <c r="X82" s="398">
        <v>1</v>
      </c>
      <c r="Y82" s="399"/>
    </row>
    <row r="83" spans="2:34" s="148" customFormat="1" ht="27" customHeight="1">
      <c r="B83" s="879"/>
      <c r="C83" s="880"/>
      <c r="D83" s="387">
        <v>5</v>
      </c>
      <c r="E83" s="390"/>
      <c r="F83" s="391"/>
      <c r="G83" s="392"/>
      <c r="H83" s="392"/>
      <c r="I83" s="393" t="e">
        <f t="shared" ref="I83:I98" si="50">H83/G83</f>
        <v>#DIV/0!</v>
      </c>
      <c r="J83" s="392"/>
      <c r="K83" s="393" t="e">
        <f t="shared" si="42"/>
        <v>#DIV/0!</v>
      </c>
      <c r="L83" s="392"/>
      <c r="M83" s="393" t="e">
        <f t="shared" si="43"/>
        <v>#DIV/0!</v>
      </c>
      <c r="N83" s="394"/>
      <c r="O83" s="392"/>
      <c r="P83" s="393" t="e">
        <f t="shared" si="44"/>
        <v>#DIV/0!</v>
      </c>
      <c r="Q83" s="407">
        <f t="shared" si="45"/>
        <v>0</v>
      </c>
      <c r="R83" s="395">
        <f t="shared" si="46"/>
        <v>0</v>
      </c>
      <c r="S83" s="393" t="e">
        <f t="shared" si="47"/>
        <v>#DIV/0!</v>
      </c>
      <c r="T83" s="397"/>
      <c r="U83" s="397"/>
      <c r="V83" s="398"/>
      <c r="W83" s="398"/>
      <c r="X83" s="398">
        <v>1</v>
      </c>
      <c r="Y83" s="399"/>
    </row>
    <row r="84" spans="2:34" s="148" customFormat="1" ht="27" customHeight="1">
      <c r="B84" s="879"/>
      <c r="C84" s="880"/>
      <c r="D84" s="387">
        <v>6</v>
      </c>
      <c r="E84" s="390"/>
      <c r="F84" s="391"/>
      <c r="G84" s="392"/>
      <c r="H84" s="392"/>
      <c r="I84" s="393" t="e">
        <f t="shared" si="50"/>
        <v>#DIV/0!</v>
      </c>
      <c r="J84" s="392"/>
      <c r="K84" s="393" t="e">
        <f t="shared" si="42"/>
        <v>#DIV/0!</v>
      </c>
      <c r="L84" s="392"/>
      <c r="M84" s="393" t="e">
        <f t="shared" si="43"/>
        <v>#DIV/0!</v>
      </c>
      <c r="N84" s="394"/>
      <c r="O84" s="392"/>
      <c r="P84" s="393" t="e">
        <f t="shared" si="44"/>
        <v>#DIV/0!</v>
      </c>
      <c r="Q84" s="407">
        <f t="shared" si="45"/>
        <v>0</v>
      </c>
      <c r="R84" s="395">
        <f t="shared" si="46"/>
        <v>0</v>
      </c>
      <c r="S84" s="393" t="e">
        <f t="shared" si="47"/>
        <v>#DIV/0!</v>
      </c>
      <c r="T84" s="397"/>
      <c r="U84" s="397"/>
      <c r="V84" s="398"/>
      <c r="W84" s="398"/>
      <c r="X84" s="398">
        <v>1</v>
      </c>
      <c r="Y84" s="399"/>
    </row>
    <row r="85" spans="2:34" s="148" customFormat="1" ht="27" customHeight="1">
      <c r="B85" s="879"/>
      <c r="C85" s="880"/>
      <c r="D85" s="387">
        <v>7</v>
      </c>
      <c r="E85" s="390"/>
      <c r="F85" s="391"/>
      <c r="G85" s="392"/>
      <c r="H85" s="392"/>
      <c r="I85" s="393" t="e">
        <f t="shared" si="50"/>
        <v>#DIV/0!</v>
      </c>
      <c r="J85" s="392"/>
      <c r="K85" s="393" t="e">
        <f t="shared" si="42"/>
        <v>#DIV/0!</v>
      </c>
      <c r="L85" s="392"/>
      <c r="M85" s="393" t="e">
        <f t="shared" si="43"/>
        <v>#DIV/0!</v>
      </c>
      <c r="N85" s="394"/>
      <c r="O85" s="392"/>
      <c r="P85" s="393" t="e">
        <f t="shared" si="44"/>
        <v>#DIV/0!</v>
      </c>
      <c r="Q85" s="407">
        <f t="shared" si="45"/>
        <v>0</v>
      </c>
      <c r="R85" s="395">
        <f t="shared" si="46"/>
        <v>0</v>
      </c>
      <c r="S85" s="393" t="e">
        <f t="shared" si="47"/>
        <v>#DIV/0!</v>
      </c>
      <c r="T85" s="397"/>
      <c r="U85" s="397"/>
      <c r="V85" s="398"/>
      <c r="W85" s="398"/>
      <c r="X85" s="398">
        <v>1</v>
      </c>
      <c r="Y85" s="399"/>
    </row>
    <row r="86" spans="2:34" s="148" customFormat="1" ht="27" customHeight="1">
      <c r="B86" s="879"/>
      <c r="C86" s="880"/>
      <c r="D86" s="387">
        <v>8</v>
      </c>
      <c r="E86" s="390"/>
      <c r="F86" s="391"/>
      <c r="G86" s="392"/>
      <c r="H86" s="392"/>
      <c r="I86" s="393" t="e">
        <f t="shared" si="50"/>
        <v>#DIV/0!</v>
      </c>
      <c r="J86" s="392"/>
      <c r="K86" s="393" t="e">
        <f>J86/G86</f>
        <v>#DIV/0!</v>
      </c>
      <c r="L86" s="392"/>
      <c r="M86" s="393" t="e">
        <f>(H86+J86)/G86</f>
        <v>#DIV/0!</v>
      </c>
      <c r="N86" s="394"/>
      <c r="O86" s="392"/>
      <c r="P86" s="393" t="e">
        <f t="shared" si="44"/>
        <v>#DIV/0!</v>
      </c>
      <c r="Q86" s="407">
        <f t="shared" si="45"/>
        <v>0</v>
      </c>
      <c r="R86" s="395">
        <f t="shared" si="46"/>
        <v>0</v>
      </c>
      <c r="S86" s="393" t="e">
        <f t="shared" si="47"/>
        <v>#DIV/0!</v>
      </c>
      <c r="T86" s="397"/>
      <c r="U86" s="397"/>
      <c r="V86" s="398"/>
      <c r="W86" s="398"/>
      <c r="X86" s="398">
        <v>1</v>
      </c>
      <c r="Y86" s="399"/>
    </row>
    <row r="87" spans="2:34" s="148" customFormat="1" ht="27" customHeight="1">
      <c r="B87" s="879"/>
      <c r="C87" s="880"/>
      <c r="D87" s="387">
        <v>9</v>
      </c>
      <c r="E87" s="390"/>
      <c r="F87" s="391"/>
      <c r="G87" s="392"/>
      <c r="H87" s="392"/>
      <c r="I87" s="393" t="e">
        <f t="shared" si="50"/>
        <v>#DIV/0!</v>
      </c>
      <c r="J87" s="392"/>
      <c r="K87" s="393" t="e">
        <f t="shared" ref="K87:K98" si="51">J87/G87</f>
        <v>#DIV/0!</v>
      </c>
      <c r="L87" s="392"/>
      <c r="M87" s="393" t="e">
        <f t="shared" ref="M87:M98" si="52">(H87+J87)/G87</f>
        <v>#DIV/0!</v>
      </c>
      <c r="N87" s="394"/>
      <c r="O87" s="392"/>
      <c r="P87" s="393" t="e">
        <f t="shared" si="44"/>
        <v>#DIV/0!</v>
      </c>
      <c r="Q87" s="407">
        <f t="shared" si="45"/>
        <v>0</v>
      </c>
      <c r="R87" s="395">
        <f t="shared" si="46"/>
        <v>0</v>
      </c>
      <c r="S87" s="393" t="e">
        <f t="shared" si="47"/>
        <v>#DIV/0!</v>
      </c>
      <c r="T87" s="397"/>
      <c r="U87" s="397"/>
      <c r="V87" s="398"/>
      <c r="W87" s="398"/>
      <c r="X87" s="398">
        <v>1</v>
      </c>
      <c r="Y87" s="399"/>
    </row>
    <row r="88" spans="2:34" s="148" customFormat="1" ht="27" customHeight="1">
      <c r="B88" s="879"/>
      <c r="C88" s="880"/>
      <c r="D88" s="387">
        <v>10</v>
      </c>
      <c r="E88" s="390"/>
      <c r="F88" s="391"/>
      <c r="G88" s="392"/>
      <c r="H88" s="392"/>
      <c r="I88" s="393" t="e">
        <f t="shared" si="50"/>
        <v>#DIV/0!</v>
      </c>
      <c r="J88" s="392"/>
      <c r="K88" s="393" t="e">
        <f t="shared" si="51"/>
        <v>#DIV/0!</v>
      </c>
      <c r="L88" s="392"/>
      <c r="M88" s="393" t="e">
        <f t="shared" si="52"/>
        <v>#DIV/0!</v>
      </c>
      <c r="N88" s="394"/>
      <c r="O88" s="392"/>
      <c r="P88" s="393" t="e">
        <f t="shared" si="44"/>
        <v>#DIV/0!</v>
      </c>
      <c r="Q88" s="407">
        <f t="shared" si="45"/>
        <v>0</v>
      </c>
      <c r="R88" s="395">
        <f t="shared" si="46"/>
        <v>0</v>
      </c>
      <c r="S88" s="393" t="e">
        <f t="shared" si="47"/>
        <v>#DIV/0!</v>
      </c>
      <c r="T88" s="397"/>
      <c r="U88" s="397"/>
      <c r="V88" s="398"/>
      <c r="W88" s="398"/>
      <c r="X88" s="398">
        <v>1</v>
      </c>
      <c r="Y88" s="399"/>
    </row>
    <row r="89" spans="2:34" s="148" customFormat="1" ht="27" customHeight="1">
      <c r="B89" s="879"/>
      <c r="C89" s="880"/>
      <c r="D89" s="387">
        <v>11</v>
      </c>
      <c r="E89" s="390"/>
      <c r="F89" s="391"/>
      <c r="G89" s="392"/>
      <c r="H89" s="392"/>
      <c r="I89" s="393" t="e">
        <f t="shared" si="50"/>
        <v>#DIV/0!</v>
      </c>
      <c r="J89" s="392"/>
      <c r="K89" s="393" t="e">
        <f t="shared" si="51"/>
        <v>#DIV/0!</v>
      </c>
      <c r="L89" s="392"/>
      <c r="M89" s="393" t="e">
        <f t="shared" si="52"/>
        <v>#DIV/0!</v>
      </c>
      <c r="N89" s="394"/>
      <c r="O89" s="392"/>
      <c r="P89" s="393" t="e">
        <f t="shared" si="44"/>
        <v>#DIV/0!</v>
      </c>
      <c r="Q89" s="407">
        <f t="shared" si="45"/>
        <v>0</v>
      </c>
      <c r="R89" s="395">
        <f t="shared" si="46"/>
        <v>0</v>
      </c>
      <c r="S89" s="393" t="e">
        <f t="shared" si="47"/>
        <v>#DIV/0!</v>
      </c>
      <c r="T89" s="397"/>
      <c r="U89" s="397"/>
      <c r="V89" s="398"/>
      <c r="W89" s="398"/>
      <c r="X89" s="398">
        <v>1</v>
      </c>
      <c r="Y89" s="399"/>
    </row>
    <row r="90" spans="2:34" s="148" customFormat="1" ht="27" customHeight="1">
      <c r="B90" s="879"/>
      <c r="C90" s="880"/>
      <c r="D90" s="387">
        <v>12</v>
      </c>
      <c r="E90" s="390"/>
      <c r="F90" s="391"/>
      <c r="G90" s="392"/>
      <c r="H90" s="392"/>
      <c r="I90" s="393" t="e">
        <f t="shared" si="50"/>
        <v>#DIV/0!</v>
      </c>
      <c r="J90" s="392"/>
      <c r="K90" s="393" t="e">
        <f t="shared" si="51"/>
        <v>#DIV/0!</v>
      </c>
      <c r="L90" s="392"/>
      <c r="M90" s="393" t="e">
        <f t="shared" si="52"/>
        <v>#DIV/0!</v>
      </c>
      <c r="N90" s="394"/>
      <c r="O90" s="392"/>
      <c r="P90" s="393" t="e">
        <f t="shared" si="44"/>
        <v>#DIV/0!</v>
      </c>
      <c r="Q90" s="407">
        <f t="shared" si="45"/>
        <v>0</v>
      </c>
      <c r="R90" s="395">
        <f t="shared" si="46"/>
        <v>0</v>
      </c>
      <c r="S90" s="393" t="e">
        <f t="shared" si="47"/>
        <v>#DIV/0!</v>
      </c>
      <c r="T90" s="397"/>
      <c r="U90" s="397"/>
      <c r="V90" s="398"/>
      <c r="W90" s="398"/>
      <c r="X90" s="398">
        <v>1</v>
      </c>
      <c r="Y90" s="399"/>
    </row>
    <row r="91" spans="2:34" s="148" customFormat="1" ht="27" customHeight="1">
      <c r="B91" s="879"/>
      <c r="C91" s="880"/>
      <c r="D91" s="387">
        <v>13</v>
      </c>
      <c r="E91" s="390"/>
      <c r="F91" s="391"/>
      <c r="G91" s="392"/>
      <c r="H91" s="392"/>
      <c r="I91" s="393" t="e">
        <f t="shared" si="50"/>
        <v>#DIV/0!</v>
      </c>
      <c r="J91" s="392"/>
      <c r="K91" s="393" t="e">
        <f t="shared" si="51"/>
        <v>#DIV/0!</v>
      </c>
      <c r="L91" s="392"/>
      <c r="M91" s="393" t="e">
        <f t="shared" si="52"/>
        <v>#DIV/0!</v>
      </c>
      <c r="N91" s="394"/>
      <c r="O91" s="392"/>
      <c r="P91" s="393" t="e">
        <f t="shared" si="44"/>
        <v>#DIV/0!</v>
      </c>
      <c r="Q91" s="407">
        <f t="shared" si="45"/>
        <v>0</v>
      </c>
      <c r="R91" s="395">
        <f t="shared" si="46"/>
        <v>0</v>
      </c>
      <c r="S91" s="393" t="e">
        <f t="shared" si="47"/>
        <v>#DIV/0!</v>
      </c>
      <c r="T91" s="397"/>
      <c r="U91" s="397"/>
      <c r="V91" s="398"/>
      <c r="W91" s="398"/>
      <c r="X91" s="398">
        <v>1</v>
      </c>
      <c r="Y91" s="399"/>
    </row>
    <row r="92" spans="2:34" s="148" customFormat="1" ht="27" customHeight="1">
      <c r="B92" s="879"/>
      <c r="C92" s="880"/>
      <c r="D92" s="387">
        <v>14</v>
      </c>
      <c r="E92" s="390"/>
      <c r="F92" s="391"/>
      <c r="G92" s="392"/>
      <c r="H92" s="392"/>
      <c r="I92" s="393" t="e">
        <f t="shared" si="50"/>
        <v>#DIV/0!</v>
      </c>
      <c r="J92" s="392"/>
      <c r="K92" s="393" t="e">
        <f t="shared" si="51"/>
        <v>#DIV/0!</v>
      </c>
      <c r="L92" s="392"/>
      <c r="M92" s="393" t="e">
        <f t="shared" si="52"/>
        <v>#DIV/0!</v>
      </c>
      <c r="N92" s="394"/>
      <c r="O92" s="392"/>
      <c r="P92" s="393" t="e">
        <f t="shared" si="44"/>
        <v>#DIV/0!</v>
      </c>
      <c r="Q92" s="407">
        <f t="shared" si="45"/>
        <v>0</v>
      </c>
      <c r="R92" s="395">
        <f t="shared" si="46"/>
        <v>0</v>
      </c>
      <c r="S92" s="393" t="e">
        <f t="shared" si="47"/>
        <v>#DIV/0!</v>
      </c>
      <c r="T92" s="397"/>
      <c r="U92" s="397"/>
      <c r="V92" s="398"/>
      <c r="W92" s="398"/>
      <c r="X92" s="398">
        <v>1</v>
      </c>
      <c r="Y92" s="399"/>
      <c r="AC92" s="404"/>
    </row>
    <row r="93" spans="2:34" s="148" customFormat="1" ht="27" customHeight="1">
      <c r="B93" s="879"/>
      <c r="C93" s="880"/>
      <c r="D93" s="387">
        <v>15</v>
      </c>
      <c r="E93" s="390"/>
      <c r="F93" s="391"/>
      <c r="G93" s="392"/>
      <c r="H93" s="392"/>
      <c r="I93" s="393" t="e">
        <f t="shared" si="50"/>
        <v>#DIV/0!</v>
      </c>
      <c r="J93" s="392"/>
      <c r="K93" s="393" t="e">
        <f t="shared" si="51"/>
        <v>#DIV/0!</v>
      </c>
      <c r="L93" s="392"/>
      <c r="M93" s="393" t="e">
        <f t="shared" si="52"/>
        <v>#DIV/0!</v>
      </c>
      <c r="N93" s="394"/>
      <c r="O93" s="392"/>
      <c r="P93" s="393" t="e">
        <f t="shared" si="44"/>
        <v>#DIV/0!</v>
      </c>
      <c r="Q93" s="407">
        <f t="shared" si="45"/>
        <v>0</v>
      </c>
      <c r="R93" s="395">
        <f t="shared" si="46"/>
        <v>0</v>
      </c>
      <c r="S93" s="393" t="e">
        <f t="shared" si="47"/>
        <v>#DIV/0!</v>
      </c>
      <c r="T93" s="397"/>
      <c r="U93" s="397"/>
      <c r="V93" s="397"/>
      <c r="W93" s="398"/>
      <c r="X93" s="398">
        <v>1</v>
      </c>
      <c r="Y93" s="399"/>
      <c r="AC93" s="403"/>
    </row>
    <row r="94" spans="2:34" s="148" customFormat="1" ht="27" customHeight="1">
      <c r="B94" s="879"/>
      <c r="C94" s="880"/>
      <c r="D94" s="387">
        <v>16</v>
      </c>
      <c r="E94" s="390"/>
      <c r="F94" s="391"/>
      <c r="G94" s="392"/>
      <c r="H94" s="392"/>
      <c r="I94" s="393" t="e">
        <f t="shared" si="50"/>
        <v>#DIV/0!</v>
      </c>
      <c r="J94" s="392"/>
      <c r="K94" s="393" t="e">
        <f t="shared" si="51"/>
        <v>#DIV/0!</v>
      </c>
      <c r="L94" s="392"/>
      <c r="M94" s="393" t="e">
        <f t="shared" si="52"/>
        <v>#DIV/0!</v>
      </c>
      <c r="N94" s="394"/>
      <c r="O94" s="392"/>
      <c r="P94" s="393" t="e">
        <f t="shared" si="44"/>
        <v>#DIV/0!</v>
      </c>
      <c r="Q94" s="407">
        <f t="shared" si="45"/>
        <v>0</v>
      </c>
      <c r="R94" s="395">
        <f t="shared" si="46"/>
        <v>0</v>
      </c>
      <c r="S94" s="393" t="e">
        <f t="shared" si="47"/>
        <v>#DIV/0!</v>
      </c>
      <c r="T94" s="397"/>
      <c r="U94" s="397"/>
      <c r="V94" s="398"/>
      <c r="W94" s="398"/>
      <c r="X94" s="398">
        <v>1</v>
      </c>
      <c r="Y94" s="399"/>
      <c r="AC94" s="403"/>
    </row>
    <row r="95" spans="2:34" s="148" customFormat="1" ht="27" customHeight="1">
      <c r="B95" s="879"/>
      <c r="C95" s="880"/>
      <c r="D95" s="387">
        <v>17</v>
      </c>
      <c r="E95" s="390"/>
      <c r="F95" s="391"/>
      <c r="G95" s="392"/>
      <c r="H95" s="392"/>
      <c r="I95" s="393" t="e">
        <f t="shared" si="50"/>
        <v>#DIV/0!</v>
      </c>
      <c r="J95" s="392"/>
      <c r="K95" s="393" t="e">
        <f t="shared" si="51"/>
        <v>#DIV/0!</v>
      </c>
      <c r="L95" s="392"/>
      <c r="M95" s="393" t="e">
        <f t="shared" si="52"/>
        <v>#DIV/0!</v>
      </c>
      <c r="N95" s="394"/>
      <c r="O95" s="392"/>
      <c r="P95" s="393" t="e">
        <f t="shared" si="44"/>
        <v>#DIV/0!</v>
      </c>
      <c r="Q95" s="407">
        <f t="shared" si="45"/>
        <v>0</v>
      </c>
      <c r="R95" s="395">
        <f t="shared" si="46"/>
        <v>0</v>
      </c>
      <c r="S95" s="393" t="e">
        <f t="shared" si="47"/>
        <v>#DIV/0!</v>
      </c>
      <c r="T95" s="397"/>
      <c r="U95" s="397"/>
      <c r="V95" s="398"/>
      <c r="W95" s="398"/>
      <c r="X95" s="398">
        <v>1</v>
      </c>
      <c r="Y95" s="399"/>
      <c r="AB95" s="405"/>
      <c r="AC95" s="403"/>
    </row>
    <row r="96" spans="2:34" s="148" customFormat="1" ht="27" customHeight="1">
      <c r="B96" s="879"/>
      <c r="C96" s="880"/>
      <c r="D96" s="387">
        <v>18</v>
      </c>
      <c r="E96" s="390"/>
      <c r="F96" s="391"/>
      <c r="G96" s="392"/>
      <c r="H96" s="392"/>
      <c r="I96" s="393" t="e">
        <f t="shared" si="50"/>
        <v>#DIV/0!</v>
      </c>
      <c r="J96" s="392"/>
      <c r="K96" s="393" t="e">
        <f t="shared" si="51"/>
        <v>#DIV/0!</v>
      </c>
      <c r="L96" s="392"/>
      <c r="M96" s="393" t="e">
        <f t="shared" si="52"/>
        <v>#DIV/0!</v>
      </c>
      <c r="N96" s="394"/>
      <c r="O96" s="392"/>
      <c r="P96" s="393" t="e">
        <f t="shared" si="44"/>
        <v>#DIV/0!</v>
      </c>
      <c r="Q96" s="407">
        <f t="shared" si="45"/>
        <v>0</v>
      </c>
      <c r="R96" s="395">
        <f t="shared" si="46"/>
        <v>0</v>
      </c>
      <c r="S96" s="393" t="e">
        <f t="shared" si="47"/>
        <v>#DIV/0!</v>
      </c>
      <c r="T96" s="397"/>
      <c r="U96" s="397"/>
      <c r="V96" s="398"/>
      <c r="W96" s="398"/>
      <c r="X96" s="398">
        <v>1</v>
      </c>
      <c r="Y96" s="399"/>
      <c r="AC96" s="403"/>
    </row>
    <row r="97" spans="2:34" s="148" customFormat="1" ht="27" customHeight="1">
      <c r="B97" s="879"/>
      <c r="C97" s="880"/>
      <c r="D97" s="387">
        <v>19</v>
      </c>
      <c r="E97" s="390"/>
      <c r="F97" s="391"/>
      <c r="G97" s="392"/>
      <c r="H97" s="392"/>
      <c r="I97" s="393" t="e">
        <f t="shared" si="50"/>
        <v>#DIV/0!</v>
      </c>
      <c r="J97" s="392"/>
      <c r="K97" s="393" t="e">
        <f t="shared" si="51"/>
        <v>#DIV/0!</v>
      </c>
      <c r="L97" s="392"/>
      <c r="M97" s="393" t="e">
        <f t="shared" si="52"/>
        <v>#DIV/0!</v>
      </c>
      <c r="N97" s="394"/>
      <c r="O97" s="392"/>
      <c r="P97" s="393" t="e">
        <f t="shared" si="44"/>
        <v>#DIV/0!</v>
      </c>
      <c r="Q97" s="407">
        <f t="shared" si="45"/>
        <v>0</v>
      </c>
      <c r="R97" s="395">
        <f t="shared" si="46"/>
        <v>0</v>
      </c>
      <c r="S97" s="393" t="e">
        <f t="shared" si="47"/>
        <v>#DIV/0!</v>
      </c>
      <c r="T97" s="397"/>
      <c r="U97" s="397"/>
      <c r="V97" s="398"/>
      <c r="W97" s="398"/>
      <c r="X97" s="398">
        <v>1</v>
      </c>
      <c r="Y97" s="399"/>
      <c r="AB97" s="406"/>
      <c r="AC97" s="403"/>
    </row>
    <row r="98" spans="2:34" s="148" customFormat="1" ht="27" customHeight="1">
      <c r="B98" s="881"/>
      <c r="C98" s="882"/>
      <c r="D98" s="387">
        <v>20</v>
      </c>
      <c r="E98" s="390"/>
      <c r="F98" s="391"/>
      <c r="G98" s="392"/>
      <c r="H98" s="392"/>
      <c r="I98" s="393" t="e">
        <f t="shared" si="50"/>
        <v>#DIV/0!</v>
      </c>
      <c r="J98" s="392"/>
      <c r="K98" s="393" t="e">
        <f t="shared" si="51"/>
        <v>#DIV/0!</v>
      </c>
      <c r="L98" s="392"/>
      <c r="M98" s="393" t="e">
        <f t="shared" si="52"/>
        <v>#DIV/0!</v>
      </c>
      <c r="N98" s="394"/>
      <c r="O98" s="392"/>
      <c r="P98" s="393" t="e">
        <f t="shared" si="44"/>
        <v>#DIV/0!</v>
      </c>
      <c r="Q98" s="407">
        <f t="shared" si="45"/>
        <v>0</v>
      </c>
      <c r="R98" s="395">
        <f t="shared" si="46"/>
        <v>0</v>
      </c>
      <c r="S98" s="393" t="e">
        <f t="shared" si="47"/>
        <v>#DIV/0!</v>
      </c>
      <c r="T98" s="397"/>
      <c r="U98" s="397"/>
      <c r="V98" s="398"/>
      <c r="W98" s="398"/>
      <c r="X98" s="398">
        <v>1</v>
      </c>
      <c r="Y98" s="399"/>
      <c r="AB98" s="406"/>
      <c r="AC98" s="403"/>
    </row>
    <row r="99" spans="2:34" ht="16.5" customHeight="1">
      <c r="B99" s="896" t="s">
        <v>478</v>
      </c>
      <c r="C99" s="897"/>
      <c r="D99" s="893" t="s">
        <v>170</v>
      </c>
      <c r="E99" s="893"/>
      <c r="F99" s="893"/>
      <c r="G99" s="893" t="s">
        <v>184</v>
      </c>
      <c r="H99" s="893"/>
      <c r="I99" s="893"/>
      <c r="J99" s="893"/>
      <c r="K99" s="893"/>
      <c r="L99" s="893"/>
      <c r="M99" s="893"/>
      <c r="N99" s="893"/>
      <c r="O99" s="893"/>
      <c r="P99" s="893"/>
      <c r="Q99" s="893"/>
      <c r="R99" s="893"/>
      <c r="S99" s="893"/>
      <c r="T99" s="893" t="s">
        <v>171</v>
      </c>
      <c r="U99" s="883" t="s">
        <v>245</v>
      </c>
      <c r="V99" s="914" t="s">
        <v>486</v>
      </c>
      <c r="W99" s="914" t="s">
        <v>480</v>
      </c>
      <c r="X99" s="905" t="s">
        <v>246</v>
      </c>
      <c r="Y99" s="894" t="s">
        <v>172</v>
      </c>
      <c r="AA99" s="893" t="s">
        <v>247</v>
      </c>
      <c r="AB99" s="893"/>
      <c r="AC99" s="893"/>
      <c r="AD99" s="893"/>
      <c r="AE99" s="893"/>
      <c r="AF99" s="893"/>
      <c r="AG99" s="893"/>
      <c r="AH99" s="893"/>
    </row>
    <row r="100" spans="2:34" ht="17.100000000000001" customHeight="1">
      <c r="B100" s="898"/>
      <c r="C100" s="899"/>
      <c r="D100" s="892" t="s">
        <v>169</v>
      </c>
      <c r="E100" s="893" t="s">
        <v>173</v>
      </c>
      <c r="F100" s="893"/>
      <c r="G100" s="893" t="s">
        <v>185</v>
      </c>
      <c r="H100" s="893"/>
      <c r="I100" s="893"/>
      <c r="J100" s="893"/>
      <c r="K100" s="893"/>
      <c r="L100" s="893"/>
      <c r="M100" s="893"/>
      <c r="N100" s="893"/>
      <c r="O100" s="893" t="s">
        <v>174</v>
      </c>
      <c r="P100" s="893"/>
      <c r="Q100" s="893"/>
      <c r="R100" s="893"/>
      <c r="S100" s="893"/>
      <c r="T100" s="893"/>
      <c r="U100" s="886"/>
      <c r="V100" s="906"/>
      <c r="W100" s="915"/>
      <c r="X100" s="906"/>
      <c r="Y100" s="894"/>
      <c r="AA100" s="893"/>
      <c r="AB100" s="893"/>
      <c r="AC100" s="893"/>
      <c r="AD100" s="893"/>
      <c r="AE100" s="893"/>
      <c r="AF100" s="893"/>
      <c r="AG100" s="893"/>
      <c r="AH100" s="893"/>
    </row>
    <row r="101" spans="2:34" ht="17.100000000000001" customHeight="1">
      <c r="B101" s="898"/>
      <c r="C101" s="899"/>
      <c r="D101" s="892"/>
      <c r="E101" s="892" t="s">
        <v>175</v>
      </c>
      <c r="F101" s="910" t="s">
        <v>487</v>
      </c>
      <c r="G101" s="895" t="s">
        <v>186</v>
      </c>
      <c r="H101" s="895"/>
      <c r="I101" s="895"/>
      <c r="J101" s="895"/>
      <c r="K101" s="895"/>
      <c r="L101" s="895"/>
      <c r="M101" s="895"/>
      <c r="N101" s="895"/>
      <c r="O101" s="911" t="s">
        <v>168</v>
      </c>
      <c r="P101" s="912"/>
      <c r="Q101" s="913"/>
      <c r="R101" s="895" t="s">
        <v>176</v>
      </c>
      <c r="S101" s="895"/>
      <c r="T101" s="893"/>
      <c r="U101" s="886"/>
      <c r="V101" s="906"/>
      <c r="W101" s="915"/>
      <c r="X101" s="906"/>
      <c r="Y101" s="894"/>
      <c r="AA101" s="893"/>
      <c r="AB101" s="893"/>
      <c r="AC101" s="893"/>
      <c r="AD101" s="893"/>
      <c r="AE101" s="893"/>
      <c r="AF101" s="893"/>
      <c r="AG101" s="893"/>
      <c r="AH101" s="893"/>
    </row>
    <row r="102" spans="2:34" ht="38.450000000000003" customHeight="1">
      <c r="B102" s="900"/>
      <c r="C102" s="901"/>
      <c r="D102" s="892"/>
      <c r="E102" s="892"/>
      <c r="F102" s="910"/>
      <c r="G102" s="388" t="s">
        <v>177</v>
      </c>
      <c r="H102" s="388" t="s">
        <v>252</v>
      </c>
      <c r="I102" s="388" t="s">
        <v>253</v>
      </c>
      <c r="J102" s="388" t="s">
        <v>178</v>
      </c>
      <c r="K102" s="388" t="s">
        <v>250</v>
      </c>
      <c r="L102" s="388" t="s">
        <v>179</v>
      </c>
      <c r="M102" s="388" t="s">
        <v>187</v>
      </c>
      <c r="N102" s="388" t="s">
        <v>180</v>
      </c>
      <c r="O102" s="389" t="s">
        <v>181</v>
      </c>
      <c r="P102" s="389" t="s">
        <v>182</v>
      </c>
      <c r="Q102" s="388" t="s">
        <v>183</v>
      </c>
      <c r="R102" s="389" t="s">
        <v>181</v>
      </c>
      <c r="S102" s="389" t="s">
        <v>182</v>
      </c>
      <c r="T102" s="893"/>
      <c r="U102" s="889"/>
      <c r="V102" s="907"/>
      <c r="W102" s="916"/>
      <c r="X102" s="907"/>
      <c r="Y102" s="894"/>
      <c r="AA102" s="161" t="s">
        <v>244</v>
      </c>
      <c r="AB102" s="161" t="s">
        <v>481</v>
      </c>
      <c r="AC102" s="156" t="s">
        <v>395</v>
      </c>
      <c r="AD102" s="156" t="s">
        <v>339</v>
      </c>
      <c r="AE102" s="156" t="s">
        <v>460</v>
      </c>
      <c r="AF102" s="156" t="s">
        <v>215</v>
      </c>
      <c r="AG102" s="156" t="s">
        <v>216</v>
      </c>
      <c r="AH102" s="156" t="s">
        <v>396</v>
      </c>
    </row>
    <row r="103" spans="2:34" s="148" customFormat="1" ht="27" customHeight="1">
      <c r="B103" s="877" t="s">
        <v>686</v>
      </c>
      <c r="C103" s="878"/>
      <c r="D103" s="387">
        <v>1</v>
      </c>
      <c r="E103" s="390"/>
      <c r="F103" s="391"/>
      <c r="G103" s="392"/>
      <c r="H103" s="392"/>
      <c r="I103" s="393" t="e">
        <f>H103/G103</f>
        <v>#DIV/0!</v>
      </c>
      <c r="J103" s="392"/>
      <c r="K103" s="393" t="e">
        <f>J103/G103</f>
        <v>#DIV/0!</v>
      </c>
      <c r="L103" s="392"/>
      <c r="M103" s="393" t="e">
        <f>(H103+J103)/G103</f>
        <v>#DIV/0!</v>
      </c>
      <c r="N103" s="394"/>
      <c r="O103" s="392"/>
      <c r="P103" s="393" t="e">
        <f>O103/G103</f>
        <v>#DIV/0!</v>
      </c>
      <c r="Q103" s="407">
        <f>O103*L103</f>
        <v>0</v>
      </c>
      <c r="R103" s="395">
        <f>((H103+J103)-G103)-O103</f>
        <v>0</v>
      </c>
      <c r="S103" s="393" t="e">
        <f>R103/G103</f>
        <v>#DIV/0!</v>
      </c>
      <c r="T103" s="397"/>
      <c r="U103" s="397"/>
      <c r="V103" s="398"/>
      <c r="W103" s="398"/>
      <c r="X103" s="398">
        <v>1</v>
      </c>
      <c r="Y103" s="399"/>
      <c r="Z103" s="400" t="s">
        <v>482</v>
      </c>
      <c r="AA103" s="401">
        <f>SUM(X103:X122)</f>
        <v>20</v>
      </c>
      <c r="AB103" s="402">
        <f>SUMIF($U$103:$U$122,TRIM(AB102),$X$103:$X$122)</f>
        <v>0</v>
      </c>
      <c r="AC103" s="402">
        <f t="shared" ref="AC103:AH103" si="53">SUMIF($U$103:$U$122,TRIM(AC102),$X$103:$X$122)</f>
        <v>0</v>
      </c>
      <c r="AD103" s="402">
        <f t="shared" si="53"/>
        <v>0</v>
      </c>
      <c r="AE103" s="402">
        <f t="shared" si="53"/>
        <v>0</v>
      </c>
      <c r="AF103" s="402">
        <f t="shared" si="53"/>
        <v>0</v>
      </c>
      <c r="AG103" s="402">
        <f t="shared" si="53"/>
        <v>0</v>
      </c>
      <c r="AH103" s="402">
        <f t="shared" si="53"/>
        <v>0</v>
      </c>
    </row>
    <row r="104" spans="2:34" s="148" customFormat="1" ht="27" customHeight="1">
      <c r="B104" s="879"/>
      <c r="C104" s="880"/>
      <c r="D104" s="387">
        <v>2</v>
      </c>
      <c r="E104" s="390"/>
      <c r="F104" s="391"/>
      <c r="G104" s="392"/>
      <c r="H104" s="392"/>
      <c r="I104" s="393" t="e">
        <f t="shared" ref="I104:I105" si="54">H104/G104</f>
        <v>#DIV/0!</v>
      </c>
      <c r="J104" s="392"/>
      <c r="K104" s="393" t="e">
        <f t="shared" ref="K104:K109" si="55">J104/G104</f>
        <v>#DIV/0!</v>
      </c>
      <c r="L104" s="392"/>
      <c r="M104" s="393" t="e">
        <f t="shared" ref="M104:M109" si="56">(H104+J104)/G104</f>
        <v>#DIV/0!</v>
      </c>
      <c r="N104" s="394"/>
      <c r="O104" s="392"/>
      <c r="P104" s="393" t="e">
        <f t="shared" ref="P104:P122" si="57">O104/G104</f>
        <v>#DIV/0!</v>
      </c>
      <c r="Q104" s="407">
        <f t="shared" ref="Q104:Q122" si="58">O104*L104</f>
        <v>0</v>
      </c>
      <c r="R104" s="395">
        <f t="shared" ref="R104:R122" si="59">((H104+J104)-G104)-O104</f>
        <v>0</v>
      </c>
      <c r="S104" s="393" t="e">
        <f t="shared" ref="S104:S122" si="60">R104/G104</f>
        <v>#DIV/0!</v>
      </c>
      <c r="T104" s="397"/>
      <c r="U104" s="397"/>
      <c r="V104" s="398"/>
      <c r="W104" s="398"/>
      <c r="X104" s="398">
        <v>1</v>
      </c>
      <c r="Y104" s="399"/>
      <c r="AA104" s="401"/>
      <c r="AB104" s="408">
        <f>SUMIF($U$103:$U$122,TRIM(AB102),$F$103:$F$122)</f>
        <v>0</v>
      </c>
      <c r="AC104" s="408">
        <f t="shared" ref="AC104:AH104" si="61">SUMIF($U$103:$U$122,TRIM(AC102),$F$103:$F$122)</f>
        <v>0</v>
      </c>
      <c r="AD104" s="408">
        <f t="shared" si="61"/>
        <v>0</v>
      </c>
      <c r="AE104" s="408">
        <f t="shared" si="61"/>
        <v>0</v>
      </c>
      <c r="AF104" s="408">
        <f t="shared" si="61"/>
        <v>0</v>
      </c>
      <c r="AG104" s="408">
        <f t="shared" si="61"/>
        <v>0</v>
      </c>
      <c r="AH104" s="408">
        <f t="shared" si="61"/>
        <v>0</v>
      </c>
    </row>
    <row r="105" spans="2:34" s="148" customFormat="1" ht="27" customHeight="1">
      <c r="B105" s="879"/>
      <c r="C105" s="880"/>
      <c r="D105" s="387">
        <v>3</v>
      </c>
      <c r="E105" s="390"/>
      <c r="F105" s="391"/>
      <c r="G105" s="392"/>
      <c r="H105" s="392"/>
      <c r="I105" s="393" t="e">
        <f t="shared" si="54"/>
        <v>#DIV/0!</v>
      </c>
      <c r="J105" s="392"/>
      <c r="K105" s="393" t="e">
        <f t="shared" si="55"/>
        <v>#DIV/0!</v>
      </c>
      <c r="L105" s="392"/>
      <c r="M105" s="393" t="e">
        <f t="shared" si="56"/>
        <v>#DIV/0!</v>
      </c>
      <c r="N105" s="394"/>
      <c r="O105" s="392"/>
      <c r="P105" s="393" t="e">
        <f t="shared" si="57"/>
        <v>#DIV/0!</v>
      </c>
      <c r="Q105" s="407">
        <f t="shared" si="58"/>
        <v>0</v>
      </c>
      <c r="R105" s="395">
        <f t="shared" si="59"/>
        <v>0</v>
      </c>
      <c r="S105" s="393" t="e">
        <f t="shared" si="60"/>
        <v>#DIV/0!</v>
      </c>
      <c r="T105" s="397"/>
      <c r="U105" s="397"/>
      <c r="V105" s="398"/>
      <c r="W105" s="398"/>
      <c r="X105" s="398">
        <v>1</v>
      </c>
      <c r="Y105" s="399"/>
      <c r="AA105" s="387"/>
      <c r="AB105" s="409">
        <f>AB103/$AA103</f>
        <v>0</v>
      </c>
      <c r="AC105" s="409">
        <f t="shared" ref="AC105:AH105" si="62">AC103/$AA103</f>
        <v>0</v>
      </c>
      <c r="AD105" s="409">
        <f t="shared" si="62"/>
        <v>0</v>
      </c>
      <c r="AE105" s="409">
        <f t="shared" si="62"/>
        <v>0</v>
      </c>
      <c r="AF105" s="409">
        <f t="shared" si="62"/>
        <v>0</v>
      </c>
      <c r="AG105" s="409">
        <f t="shared" si="62"/>
        <v>0</v>
      </c>
      <c r="AH105" s="409">
        <f t="shared" si="62"/>
        <v>0</v>
      </c>
    </row>
    <row r="106" spans="2:34" s="148" customFormat="1" ht="27" customHeight="1">
      <c r="B106" s="879"/>
      <c r="C106" s="880"/>
      <c r="D106" s="387">
        <v>4</v>
      </c>
      <c r="E106" s="390"/>
      <c r="F106" s="391"/>
      <c r="G106" s="392"/>
      <c r="H106" s="392"/>
      <c r="I106" s="393" t="e">
        <f>H106/G106</f>
        <v>#DIV/0!</v>
      </c>
      <c r="J106" s="392"/>
      <c r="K106" s="393" t="e">
        <f t="shared" si="55"/>
        <v>#DIV/0!</v>
      </c>
      <c r="L106" s="392"/>
      <c r="M106" s="393" t="e">
        <f t="shared" si="56"/>
        <v>#DIV/0!</v>
      </c>
      <c r="N106" s="394"/>
      <c r="O106" s="392"/>
      <c r="P106" s="393" t="e">
        <f t="shared" si="57"/>
        <v>#DIV/0!</v>
      </c>
      <c r="Q106" s="407">
        <f t="shared" si="58"/>
        <v>0</v>
      </c>
      <c r="R106" s="395">
        <f t="shared" si="59"/>
        <v>0</v>
      </c>
      <c r="S106" s="393" t="e">
        <f t="shared" si="60"/>
        <v>#DIV/0!</v>
      </c>
      <c r="T106" s="397"/>
      <c r="U106" s="397"/>
      <c r="V106" s="398"/>
      <c r="W106" s="398"/>
      <c r="X106" s="398">
        <v>1</v>
      </c>
      <c r="Y106" s="399"/>
    </row>
    <row r="107" spans="2:34" s="148" customFormat="1" ht="27" customHeight="1">
      <c r="B107" s="879"/>
      <c r="C107" s="880"/>
      <c r="D107" s="387">
        <v>5</v>
      </c>
      <c r="E107" s="390"/>
      <c r="F107" s="391"/>
      <c r="G107" s="392"/>
      <c r="H107" s="392"/>
      <c r="I107" s="393" t="e">
        <f t="shared" ref="I107:I122" si="63">H107/G107</f>
        <v>#DIV/0!</v>
      </c>
      <c r="J107" s="392"/>
      <c r="K107" s="393" t="e">
        <f t="shared" si="55"/>
        <v>#DIV/0!</v>
      </c>
      <c r="L107" s="392"/>
      <c r="M107" s="393" t="e">
        <f t="shared" si="56"/>
        <v>#DIV/0!</v>
      </c>
      <c r="N107" s="394"/>
      <c r="O107" s="392"/>
      <c r="P107" s="393" t="e">
        <f t="shared" si="57"/>
        <v>#DIV/0!</v>
      </c>
      <c r="Q107" s="407">
        <f t="shared" si="58"/>
        <v>0</v>
      </c>
      <c r="R107" s="395">
        <f t="shared" si="59"/>
        <v>0</v>
      </c>
      <c r="S107" s="393" t="e">
        <f t="shared" si="60"/>
        <v>#DIV/0!</v>
      </c>
      <c r="T107" s="397"/>
      <c r="U107" s="397"/>
      <c r="V107" s="398"/>
      <c r="W107" s="398"/>
      <c r="X107" s="398">
        <v>1</v>
      </c>
      <c r="Y107" s="399"/>
    </row>
    <row r="108" spans="2:34" s="148" customFormat="1" ht="27" customHeight="1">
      <c r="B108" s="879"/>
      <c r="C108" s="880"/>
      <c r="D108" s="387">
        <v>6</v>
      </c>
      <c r="E108" s="390"/>
      <c r="F108" s="391"/>
      <c r="G108" s="392"/>
      <c r="H108" s="392"/>
      <c r="I108" s="393" t="e">
        <f t="shared" si="63"/>
        <v>#DIV/0!</v>
      </c>
      <c r="J108" s="392"/>
      <c r="K108" s="393" t="e">
        <f t="shared" si="55"/>
        <v>#DIV/0!</v>
      </c>
      <c r="L108" s="392"/>
      <c r="M108" s="393" t="e">
        <f t="shared" si="56"/>
        <v>#DIV/0!</v>
      </c>
      <c r="N108" s="394"/>
      <c r="O108" s="392"/>
      <c r="P108" s="393" t="e">
        <f t="shared" si="57"/>
        <v>#DIV/0!</v>
      </c>
      <c r="Q108" s="407">
        <f t="shared" si="58"/>
        <v>0</v>
      </c>
      <c r="R108" s="395">
        <f t="shared" si="59"/>
        <v>0</v>
      </c>
      <c r="S108" s="393" t="e">
        <f t="shared" si="60"/>
        <v>#DIV/0!</v>
      </c>
      <c r="T108" s="397"/>
      <c r="U108" s="397"/>
      <c r="V108" s="398"/>
      <c r="W108" s="398"/>
      <c r="X108" s="398">
        <v>1</v>
      </c>
      <c r="Y108" s="399"/>
    </row>
    <row r="109" spans="2:34" s="148" customFormat="1" ht="27" customHeight="1">
      <c r="B109" s="879"/>
      <c r="C109" s="880"/>
      <c r="D109" s="387">
        <v>7</v>
      </c>
      <c r="E109" s="390"/>
      <c r="F109" s="391"/>
      <c r="G109" s="392"/>
      <c r="H109" s="392"/>
      <c r="I109" s="393" t="e">
        <f t="shared" si="63"/>
        <v>#DIV/0!</v>
      </c>
      <c r="J109" s="392"/>
      <c r="K109" s="393" t="e">
        <f t="shared" si="55"/>
        <v>#DIV/0!</v>
      </c>
      <c r="L109" s="392"/>
      <c r="M109" s="393" t="e">
        <f t="shared" si="56"/>
        <v>#DIV/0!</v>
      </c>
      <c r="N109" s="394"/>
      <c r="O109" s="392"/>
      <c r="P109" s="393" t="e">
        <f t="shared" si="57"/>
        <v>#DIV/0!</v>
      </c>
      <c r="Q109" s="407">
        <f t="shared" si="58"/>
        <v>0</v>
      </c>
      <c r="R109" s="395">
        <f t="shared" si="59"/>
        <v>0</v>
      </c>
      <c r="S109" s="393" t="e">
        <f t="shared" si="60"/>
        <v>#DIV/0!</v>
      </c>
      <c r="T109" s="397"/>
      <c r="U109" s="397"/>
      <c r="V109" s="398"/>
      <c r="W109" s="398"/>
      <c r="X109" s="398">
        <v>1</v>
      </c>
      <c r="Y109" s="399"/>
    </row>
    <row r="110" spans="2:34" s="148" customFormat="1" ht="27" customHeight="1">
      <c r="B110" s="879"/>
      <c r="C110" s="880"/>
      <c r="D110" s="387">
        <v>8</v>
      </c>
      <c r="E110" s="390"/>
      <c r="F110" s="391"/>
      <c r="G110" s="392"/>
      <c r="H110" s="392"/>
      <c r="I110" s="393" t="e">
        <f t="shared" si="63"/>
        <v>#DIV/0!</v>
      </c>
      <c r="J110" s="392"/>
      <c r="K110" s="393" t="e">
        <f>J110/G110</f>
        <v>#DIV/0!</v>
      </c>
      <c r="L110" s="392"/>
      <c r="M110" s="393" t="e">
        <f>(H110+J110)/G110</f>
        <v>#DIV/0!</v>
      </c>
      <c r="N110" s="394"/>
      <c r="O110" s="392"/>
      <c r="P110" s="393" t="e">
        <f t="shared" si="57"/>
        <v>#DIV/0!</v>
      </c>
      <c r="Q110" s="407">
        <f t="shared" si="58"/>
        <v>0</v>
      </c>
      <c r="R110" s="395">
        <f t="shared" si="59"/>
        <v>0</v>
      </c>
      <c r="S110" s="393" t="e">
        <f t="shared" si="60"/>
        <v>#DIV/0!</v>
      </c>
      <c r="T110" s="397"/>
      <c r="U110" s="397"/>
      <c r="V110" s="398"/>
      <c r="W110" s="398"/>
      <c r="X110" s="398">
        <v>1</v>
      </c>
      <c r="Y110" s="399"/>
    </row>
    <row r="111" spans="2:34" s="148" customFormat="1" ht="27" customHeight="1">
      <c r="B111" s="879"/>
      <c r="C111" s="880"/>
      <c r="D111" s="387">
        <v>9</v>
      </c>
      <c r="E111" s="390"/>
      <c r="F111" s="391"/>
      <c r="G111" s="392"/>
      <c r="H111" s="392"/>
      <c r="I111" s="393" t="e">
        <f t="shared" si="63"/>
        <v>#DIV/0!</v>
      </c>
      <c r="J111" s="392"/>
      <c r="K111" s="393" t="e">
        <f t="shared" ref="K111:K122" si="64">J111/G111</f>
        <v>#DIV/0!</v>
      </c>
      <c r="L111" s="392"/>
      <c r="M111" s="393" t="e">
        <f t="shared" ref="M111:M122" si="65">(H111+J111)/G111</f>
        <v>#DIV/0!</v>
      </c>
      <c r="N111" s="394"/>
      <c r="O111" s="392"/>
      <c r="P111" s="393" t="e">
        <f t="shared" si="57"/>
        <v>#DIV/0!</v>
      </c>
      <c r="Q111" s="407">
        <f t="shared" si="58"/>
        <v>0</v>
      </c>
      <c r="R111" s="395">
        <f t="shared" si="59"/>
        <v>0</v>
      </c>
      <c r="S111" s="393" t="e">
        <f t="shared" si="60"/>
        <v>#DIV/0!</v>
      </c>
      <c r="T111" s="397"/>
      <c r="U111" s="397"/>
      <c r="V111" s="398"/>
      <c r="W111" s="398"/>
      <c r="X111" s="398">
        <v>1</v>
      </c>
      <c r="Y111" s="399"/>
    </row>
    <row r="112" spans="2:34" s="148" customFormat="1" ht="27" customHeight="1">
      <c r="B112" s="879"/>
      <c r="C112" s="880"/>
      <c r="D112" s="387">
        <v>10</v>
      </c>
      <c r="E112" s="390"/>
      <c r="F112" s="391"/>
      <c r="G112" s="392"/>
      <c r="H112" s="392"/>
      <c r="I112" s="393" t="e">
        <f t="shared" si="63"/>
        <v>#DIV/0!</v>
      </c>
      <c r="J112" s="392"/>
      <c r="K112" s="393" t="e">
        <f t="shared" si="64"/>
        <v>#DIV/0!</v>
      </c>
      <c r="L112" s="392"/>
      <c r="M112" s="393" t="e">
        <f t="shared" si="65"/>
        <v>#DIV/0!</v>
      </c>
      <c r="N112" s="394"/>
      <c r="O112" s="392"/>
      <c r="P112" s="393" t="e">
        <f t="shared" si="57"/>
        <v>#DIV/0!</v>
      </c>
      <c r="Q112" s="407">
        <f t="shared" si="58"/>
        <v>0</v>
      </c>
      <c r="R112" s="395">
        <f t="shared" si="59"/>
        <v>0</v>
      </c>
      <c r="S112" s="393" t="e">
        <f t="shared" si="60"/>
        <v>#DIV/0!</v>
      </c>
      <c r="T112" s="397"/>
      <c r="U112" s="397"/>
      <c r="V112" s="398"/>
      <c r="W112" s="398"/>
      <c r="X112" s="398">
        <v>1</v>
      </c>
      <c r="Y112" s="399"/>
    </row>
    <row r="113" spans="2:34" s="148" customFormat="1" ht="27" customHeight="1">
      <c r="B113" s="879"/>
      <c r="C113" s="880"/>
      <c r="D113" s="387">
        <v>11</v>
      </c>
      <c r="E113" s="390"/>
      <c r="F113" s="391"/>
      <c r="G113" s="392"/>
      <c r="H113" s="392"/>
      <c r="I113" s="393" t="e">
        <f t="shared" si="63"/>
        <v>#DIV/0!</v>
      </c>
      <c r="J113" s="392"/>
      <c r="K113" s="393" t="e">
        <f t="shared" si="64"/>
        <v>#DIV/0!</v>
      </c>
      <c r="L113" s="392"/>
      <c r="M113" s="393" t="e">
        <f t="shared" si="65"/>
        <v>#DIV/0!</v>
      </c>
      <c r="N113" s="394"/>
      <c r="O113" s="392"/>
      <c r="P113" s="393" t="e">
        <f t="shared" si="57"/>
        <v>#DIV/0!</v>
      </c>
      <c r="Q113" s="407">
        <f t="shared" si="58"/>
        <v>0</v>
      </c>
      <c r="R113" s="395">
        <f t="shared" si="59"/>
        <v>0</v>
      </c>
      <c r="S113" s="393" t="e">
        <f t="shared" si="60"/>
        <v>#DIV/0!</v>
      </c>
      <c r="T113" s="397"/>
      <c r="U113" s="397"/>
      <c r="V113" s="398"/>
      <c r="W113" s="398"/>
      <c r="X113" s="398">
        <v>1</v>
      </c>
      <c r="Y113" s="399"/>
    </row>
    <row r="114" spans="2:34" s="148" customFormat="1" ht="27" customHeight="1">
      <c r="B114" s="879"/>
      <c r="C114" s="880"/>
      <c r="D114" s="387">
        <v>12</v>
      </c>
      <c r="E114" s="390"/>
      <c r="F114" s="391"/>
      <c r="G114" s="392"/>
      <c r="H114" s="392"/>
      <c r="I114" s="393" t="e">
        <f t="shared" si="63"/>
        <v>#DIV/0!</v>
      </c>
      <c r="J114" s="392"/>
      <c r="K114" s="393" t="e">
        <f t="shared" si="64"/>
        <v>#DIV/0!</v>
      </c>
      <c r="L114" s="392"/>
      <c r="M114" s="393" t="e">
        <f t="shared" si="65"/>
        <v>#DIV/0!</v>
      </c>
      <c r="N114" s="394"/>
      <c r="O114" s="392"/>
      <c r="P114" s="393" t="e">
        <f t="shared" si="57"/>
        <v>#DIV/0!</v>
      </c>
      <c r="Q114" s="407">
        <f t="shared" si="58"/>
        <v>0</v>
      </c>
      <c r="R114" s="395">
        <f t="shared" si="59"/>
        <v>0</v>
      </c>
      <c r="S114" s="393" t="e">
        <f t="shared" si="60"/>
        <v>#DIV/0!</v>
      </c>
      <c r="T114" s="397"/>
      <c r="U114" s="397"/>
      <c r="V114" s="398"/>
      <c r="W114" s="398"/>
      <c r="X114" s="398">
        <v>1</v>
      </c>
      <c r="Y114" s="399"/>
    </row>
    <row r="115" spans="2:34" s="148" customFormat="1" ht="27" customHeight="1">
      <c r="B115" s="879"/>
      <c r="C115" s="880"/>
      <c r="D115" s="387">
        <v>13</v>
      </c>
      <c r="E115" s="390"/>
      <c r="F115" s="391"/>
      <c r="G115" s="392"/>
      <c r="H115" s="392"/>
      <c r="I115" s="393" t="e">
        <f t="shared" si="63"/>
        <v>#DIV/0!</v>
      </c>
      <c r="J115" s="392"/>
      <c r="K115" s="393" t="e">
        <f t="shared" si="64"/>
        <v>#DIV/0!</v>
      </c>
      <c r="L115" s="392"/>
      <c r="M115" s="393" t="e">
        <f t="shared" si="65"/>
        <v>#DIV/0!</v>
      </c>
      <c r="N115" s="394"/>
      <c r="O115" s="392"/>
      <c r="P115" s="393" t="e">
        <f t="shared" si="57"/>
        <v>#DIV/0!</v>
      </c>
      <c r="Q115" s="407">
        <f t="shared" si="58"/>
        <v>0</v>
      </c>
      <c r="R115" s="395">
        <f t="shared" si="59"/>
        <v>0</v>
      </c>
      <c r="S115" s="393" t="e">
        <f t="shared" si="60"/>
        <v>#DIV/0!</v>
      </c>
      <c r="T115" s="397"/>
      <c r="U115" s="397"/>
      <c r="V115" s="398"/>
      <c r="W115" s="398"/>
      <c r="X115" s="398">
        <v>1</v>
      </c>
      <c r="Y115" s="399"/>
    </row>
    <row r="116" spans="2:34" s="148" customFormat="1" ht="27" customHeight="1">
      <c r="B116" s="879"/>
      <c r="C116" s="880"/>
      <c r="D116" s="387">
        <v>14</v>
      </c>
      <c r="E116" s="390"/>
      <c r="F116" s="391"/>
      <c r="G116" s="392"/>
      <c r="H116" s="392"/>
      <c r="I116" s="393" t="e">
        <f t="shared" si="63"/>
        <v>#DIV/0!</v>
      </c>
      <c r="J116" s="392"/>
      <c r="K116" s="393" t="e">
        <f t="shared" si="64"/>
        <v>#DIV/0!</v>
      </c>
      <c r="L116" s="392"/>
      <c r="M116" s="393" t="e">
        <f t="shared" si="65"/>
        <v>#DIV/0!</v>
      </c>
      <c r="N116" s="394"/>
      <c r="O116" s="392"/>
      <c r="P116" s="393" t="e">
        <f t="shared" si="57"/>
        <v>#DIV/0!</v>
      </c>
      <c r="Q116" s="407">
        <f t="shared" si="58"/>
        <v>0</v>
      </c>
      <c r="R116" s="395">
        <f t="shared" si="59"/>
        <v>0</v>
      </c>
      <c r="S116" s="393" t="e">
        <f t="shared" si="60"/>
        <v>#DIV/0!</v>
      </c>
      <c r="T116" s="397"/>
      <c r="U116" s="397"/>
      <c r="V116" s="398"/>
      <c r="W116" s="398"/>
      <c r="X116" s="398">
        <v>1</v>
      </c>
      <c r="Y116" s="399"/>
    </row>
    <row r="117" spans="2:34" s="148" customFormat="1" ht="27" customHeight="1">
      <c r="B117" s="879"/>
      <c r="C117" s="880"/>
      <c r="D117" s="387">
        <v>15</v>
      </c>
      <c r="E117" s="390"/>
      <c r="F117" s="391"/>
      <c r="G117" s="392"/>
      <c r="H117" s="392"/>
      <c r="I117" s="393" t="e">
        <f t="shared" si="63"/>
        <v>#DIV/0!</v>
      </c>
      <c r="J117" s="392"/>
      <c r="K117" s="393" t="e">
        <f t="shared" si="64"/>
        <v>#DIV/0!</v>
      </c>
      <c r="L117" s="392"/>
      <c r="M117" s="393" t="e">
        <f t="shared" si="65"/>
        <v>#DIV/0!</v>
      </c>
      <c r="N117" s="394"/>
      <c r="O117" s="392"/>
      <c r="P117" s="393" t="e">
        <f t="shared" si="57"/>
        <v>#DIV/0!</v>
      </c>
      <c r="Q117" s="407">
        <f t="shared" si="58"/>
        <v>0</v>
      </c>
      <c r="R117" s="395">
        <f t="shared" si="59"/>
        <v>0</v>
      </c>
      <c r="S117" s="393" t="e">
        <f t="shared" si="60"/>
        <v>#DIV/0!</v>
      </c>
      <c r="T117" s="397"/>
      <c r="U117" s="397"/>
      <c r="V117" s="397"/>
      <c r="W117" s="398"/>
      <c r="X117" s="398">
        <v>1</v>
      </c>
      <c r="Y117" s="399"/>
    </row>
    <row r="118" spans="2:34" s="148" customFormat="1" ht="27" customHeight="1">
      <c r="B118" s="879"/>
      <c r="C118" s="880"/>
      <c r="D118" s="387">
        <v>16</v>
      </c>
      <c r="E118" s="390"/>
      <c r="F118" s="391"/>
      <c r="G118" s="392"/>
      <c r="H118" s="392"/>
      <c r="I118" s="393" t="e">
        <f t="shared" si="63"/>
        <v>#DIV/0!</v>
      </c>
      <c r="J118" s="392"/>
      <c r="K118" s="393" t="e">
        <f t="shared" si="64"/>
        <v>#DIV/0!</v>
      </c>
      <c r="L118" s="392"/>
      <c r="M118" s="393" t="e">
        <f t="shared" si="65"/>
        <v>#DIV/0!</v>
      </c>
      <c r="N118" s="394"/>
      <c r="O118" s="392"/>
      <c r="P118" s="393" t="e">
        <f t="shared" si="57"/>
        <v>#DIV/0!</v>
      </c>
      <c r="Q118" s="407">
        <f t="shared" si="58"/>
        <v>0</v>
      </c>
      <c r="R118" s="395">
        <f t="shared" si="59"/>
        <v>0</v>
      </c>
      <c r="S118" s="393" t="e">
        <f t="shared" si="60"/>
        <v>#DIV/0!</v>
      </c>
      <c r="T118" s="397"/>
      <c r="U118" s="397"/>
      <c r="V118" s="398"/>
      <c r="W118" s="398"/>
      <c r="X118" s="398">
        <v>1</v>
      </c>
      <c r="Y118" s="399"/>
    </row>
    <row r="119" spans="2:34" s="148" customFormat="1" ht="27" customHeight="1">
      <c r="B119" s="879"/>
      <c r="C119" s="880"/>
      <c r="D119" s="387">
        <v>17</v>
      </c>
      <c r="E119" s="390"/>
      <c r="F119" s="391"/>
      <c r="G119" s="392"/>
      <c r="H119" s="392"/>
      <c r="I119" s="393" t="e">
        <f t="shared" si="63"/>
        <v>#DIV/0!</v>
      </c>
      <c r="J119" s="392"/>
      <c r="K119" s="393" t="e">
        <f t="shared" si="64"/>
        <v>#DIV/0!</v>
      </c>
      <c r="L119" s="392"/>
      <c r="M119" s="393" t="e">
        <f t="shared" si="65"/>
        <v>#DIV/0!</v>
      </c>
      <c r="N119" s="394"/>
      <c r="O119" s="392"/>
      <c r="P119" s="393" t="e">
        <f t="shared" si="57"/>
        <v>#DIV/0!</v>
      </c>
      <c r="Q119" s="407">
        <f t="shared" si="58"/>
        <v>0</v>
      </c>
      <c r="R119" s="395">
        <f t="shared" si="59"/>
        <v>0</v>
      </c>
      <c r="S119" s="393" t="e">
        <f t="shared" si="60"/>
        <v>#DIV/0!</v>
      </c>
      <c r="T119" s="397"/>
      <c r="U119" s="397"/>
      <c r="V119" s="398"/>
      <c r="W119" s="398"/>
      <c r="X119" s="398">
        <v>1</v>
      </c>
      <c r="Y119" s="399"/>
    </row>
    <row r="120" spans="2:34" s="148" customFormat="1" ht="27" customHeight="1">
      <c r="B120" s="879"/>
      <c r="C120" s="880"/>
      <c r="D120" s="387">
        <v>18</v>
      </c>
      <c r="E120" s="390"/>
      <c r="F120" s="391"/>
      <c r="G120" s="392"/>
      <c r="H120" s="392"/>
      <c r="I120" s="393" t="e">
        <f t="shared" si="63"/>
        <v>#DIV/0!</v>
      </c>
      <c r="J120" s="392"/>
      <c r="K120" s="393" t="e">
        <f t="shared" si="64"/>
        <v>#DIV/0!</v>
      </c>
      <c r="L120" s="392"/>
      <c r="M120" s="393" t="e">
        <f t="shared" si="65"/>
        <v>#DIV/0!</v>
      </c>
      <c r="N120" s="394"/>
      <c r="O120" s="392"/>
      <c r="P120" s="393" t="e">
        <f t="shared" si="57"/>
        <v>#DIV/0!</v>
      </c>
      <c r="Q120" s="407">
        <f t="shared" si="58"/>
        <v>0</v>
      </c>
      <c r="R120" s="395">
        <f t="shared" si="59"/>
        <v>0</v>
      </c>
      <c r="S120" s="393" t="e">
        <f t="shared" si="60"/>
        <v>#DIV/0!</v>
      </c>
      <c r="T120" s="397"/>
      <c r="U120" s="397"/>
      <c r="V120" s="398"/>
      <c r="W120" s="398"/>
      <c r="X120" s="398">
        <v>1</v>
      </c>
      <c r="Y120" s="399"/>
    </row>
    <row r="121" spans="2:34" s="148" customFormat="1" ht="27" customHeight="1">
      <c r="B121" s="879"/>
      <c r="C121" s="880"/>
      <c r="D121" s="387">
        <v>19</v>
      </c>
      <c r="E121" s="390"/>
      <c r="F121" s="391"/>
      <c r="G121" s="392"/>
      <c r="H121" s="392"/>
      <c r="I121" s="393" t="e">
        <f t="shared" si="63"/>
        <v>#DIV/0!</v>
      </c>
      <c r="J121" s="392"/>
      <c r="K121" s="393" t="e">
        <f t="shared" si="64"/>
        <v>#DIV/0!</v>
      </c>
      <c r="L121" s="392"/>
      <c r="M121" s="393" t="e">
        <f t="shared" si="65"/>
        <v>#DIV/0!</v>
      </c>
      <c r="N121" s="394"/>
      <c r="O121" s="392"/>
      <c r="P121" s="393" t="e">
        <f t="shared" si="57"/>
        <v>#DIV/0!</v>
      </c>
      <c r="Q121" s="407">
        <f t="shared" si="58"/>
        <v>0</v>
      </c>
      <c r="R121" s="395">
        <f t="shared" si="59"/>
        <v>0</v>
      </c>
      <c r="S121" s="393" t="e">
        <f t="shared" si="60"/>
        <v>#DIV/0!</v>
      </c>
      <c r="T121" s="397"/>
      <c r="U121" s="397"/>
      <c r="V121" s="398"/>
      <c r="W121" s="398"/>
      <c r="X121" s="398">
        <v>1</v>
      </c>
      <c r="Y121" s="399"/>
    </row>
    <row r="122" spans="2:34" s="148" customFormat="1" ht="27" customHeight="1">
      <c r="B122" s="881"/>
      <c r="C122" s="882"/>
      <c r="D122" s="387">
        <v>20</v>
      </c>
      <c r="E122" s="390"/>
      <c r="F122" s="391"/>
      <c r="G122" s="392"/>
      <c r="H122" s="392"/>
      <c r="I122" s="393" t="e">
        <f t="shared" si="63"/>
        <v>#DIV/0!</v>
      </c>
      <c r="J122" s="392"/>
      <c r="K122" s="393" t="e">
        <f t="shared" si="64"/>
        <v>#DIV/0!</v>
      </c>
      <c r="L122" s="392"/>
      <c r="M122" s="393" t="e">
        <f t="shared" si="65"/>
        <v>#DIV/0!</v>
      </c>
      <c r="N122" s="394"/>
      <c r="O122" s="392"/>
      <c r="P122" s="393" t="e">
        <f t="shared" si="57"/>
        <v>#DIV/0!</v>
      </c>
      <c r="Q122" s="407">
        <f t="shared" si="58"/>
        <v>0</v>
      </c>
      <c r="R122" s="395">
        <f t="shared" si="59"/>
        <v>0</v>
      </c>
      <c r="S122" s="393" t="e">
        <f t="shared" si="60"/>
        <v>#DIV/0!</v>
      </c>
      <c r="T122" s="397"/>
      <c r="U122" s="397"/>
      <c r="V122" s="398"/>
      <c r="W122" s="398"/>
      <c r="X122" s="398">
        <v>1</v>
      </c>
      <c r="Y122" s="399"/>
      <c r="AB122" s="406"/>
      <c r="AC122" s="403"/>
    </row>
    <row r="123" spans="2:34" ht="16.5" customHeight="1">
      <c r="B123" s="896" t="s">
        <v>478</v>
      </c>
      <c r="C123" s="897"/>
      <c r="D123" s="893" t="s">
        <v>170</v>
      </c>
      <c r="E123" s="893"/>
      <c r="F123" s="893"/>
      <c r="G123" s="893" t="s">
        <v>184</v>
      </c>
      <c r="H123" s="893"/>
      <c r="I123" s="893"/>
      <c r="J123" s="893"/>
      <c r="K123" s="893"/>
      <c r="L123" s="893"/>
      <c r="M123" s="893"/>
      <c r="N123" s="893"/>
      <c r="O123" s="893"/>
      <c r="P123" s="893"/>
      <c r="Q123" s="893"/>
      <c r="R123" s="893"/>
      <c r="S123" s="893"/>
      <c r="T123" s="893" t="s">
        <v>171</v>
      </c>
      <c r="U123" s="883" t="s">
        <v>245</v>
      </c>
      <c r="V123" s="914" t="s">
        <v>486</v>
      </c>
      <c r="W123" s="914" t="s">
        <v>480</v>
      </c>
      <c r="X123" s="905" t="s">
        <v>246</v>
      </c>
      <c r="Y123" s="894" t="s">
        <v>172</v>
      </c>
      <c r="AA123" s="893" t="s">
        <v>247</v>
      </c>
      <c r="AB123" s="893"/>
      <c r="AC123" s="893"/>
      <c r="AD123" s="893"/>
      <c r="AE123" s="893"/>
      <c r="AF123" s="893"/>
      <c r="AG123" s="893"/>
      <c r="AH123" s="893"/>
    </row>
    <row r="124" spans="2:34" ht="17.100000000000001" customHeight="1">
      <c r="B124" s="898"/>
      <c r="C124" s="899"/>
      <c r="D124" s="892" t="s">
        <v>169</v>
      </c>
      <c r="E124" s="893" t="s">
        <v>173</v>
      </c>
      <c r="F124" s="893"/>
      <c r="G124" s="893" t="s">
        <v>185</v>
      </c>
      <c r="H124" s="893"/>
      <c r="I124" s="893"/>
      <c r="J124" s="893"/>
      <c r="K124" s="893"/>
      <c r="L124" s="893"/>
      <c r="M124" s="893"/>
      <c r="N124" s="893"/>
      <c r="O124" s="893" t="s">
        <v>174</v>
      </c>
      <c r="P124" s="893"/>
      <c r="Q124" s="893"/>
      <c r="R124" s="893"/>
      <c r="S124" s="893"/>
      <c r="T124" s="893"/>
      <c r="U124" s="886"/>
      <c r="V124" s="906"/>
      <c r="W124" s="915"/>
      <c r="X124" s="906"/>
      <c r="Y124" s="894"/>
      <c r="AA124" s="893"/>
      <c r="AB124" s="893"/>
      <c r="AC124" s="893"/>
      <c r="AD124" s="893"/>
      <c r="AE124" s="893"/>
      <c r="AF124" s="893"/>
      <c r="AG124" s="893"/>
      <c r="AH124" s="893"/>
    </row>
    <row r="125" spans="2:34" ht="17.100000000000001" customHeight="1">
      <c r="B125" s="898"/>
      <c r="C125" s="899"/>
      <c r="D125" s="892"/>
      <c r="E125" s="892" t="s">
        <v>175</v>
      </c>
      <c r="F125" s="910" t="s">
        <v>487</v>
      </c>
      <c r="G125" s="895" t="s">
        <v>186</v>
      </c>
      <c r="H125" s="895"/>
      <c r="I125" s="895"/>
      <c r="J125" s="895"/>
      <c r="K125" s="895"/>
      <c r="L125" s="895"/>
      <c r="M125" s="895"/>
      <c r="N125" s="895"/>
      <c r="O125" s="911" t="s">
        <v>168</v>
      </c>
      <c r="P125" s="912"/>
      <c r="Q125" s="913"/>
      <c r="R125" s="895" t="s">
        <v>176</v>
      </c>
      <c r="S125" s="895"/>
      <c r="T125" s="893"/>
      <c r="U125" s="886"/>
      <c r="V125" s="906"/>
      <c r="W125" s="915"/>
      <c r="X125" s="906"/>
      <c r="Y125" s="894"/>
      <c r="AA125" s="893"/>
      <c r="AB125" s="893"/>
      <c r="AC125" s="893"/>
      <c r="AD125" s="893"/>
      <c r="AE125" s="893"/>
      <c r="AF125" s="893"/>
      <c r="AG125" s="893"/>
      <c r="AH125" s="893"/>
    </row>
    <row r="126" spans="2:34" ht="38.450000000000003" customHeight="1">
      <c r="B126" s="900"/>
      <c r="C126" s="901"/>
      <c r="D126" s="892"/>
      <c r="E126" s="892"/>
      <c r="F126" s="910"/>
      <c r="G126" s="388" t="s">
        <v>177</v>
      </c>
      <c r="H126" s="388" t="s">
        <v>252</v>
      </c>
      <c r="I126" s="388" t="s">
        <v>253</v>
      </c>
      <c r="J126" s="388" t="s">
        <v>178</v>
      </c>
      <c r="K126" s="388" t="s">
        <v>250</v>
      </c>
      <c r="L126" s="388" t="s">
        <v>179</v>
      </c>
      <c r="M126" s="388" t="s">
        <v>187</v>
      </c>
      <c r="N126" s="388" t="s">
        <v>180</v>
      </c>
      <c r="O126" s="389" t="s">
        <v>181</v>
      </c>
      <c r="P126" s="389" t="s">
        <v>182</v>
      </c>
      <c r="Q126" s="388" t="s">
        <v>183</v>
      </c>
      <c r="R126" s="389" t="s">
        <v>181</v>
      </c>
      <c r="S126" s="389" t="s">
        <v>182</v>
      </c>
      <c r="T126" s="893"/>
      <c r="U126" s="889"/>
      <c r="V126" s="907"/>
      <c r="W126" s="916"/>
      <c r="X126" s="907"/>
      <c r="Y126" s="894"/>
      <c r="AA126" s="161" t="s">
        <v>244</v>
      </c>
      <c r="AB126" s="161" t="s">
        <v>481</v>
      </c>
      <c r="AC126" s="156" t="s">
        <v>395</v>
      </c>
      <c r="AD126" s="156" t="s">
        <v>339</v>
      </c>
      <c r="AE126" s="156" t="s">
        <v>460</v>
      </c>
      <c r="AF126" s="156" t="s">
        <v>215</v>
      </c>
      <c r="AG126" s="156" t="s">
        <v>216</v>
      </c>
      <c r="AH126" s="156" t="s">
        <v>396</v>
      </c>
    </row>
    <row r="127" spans="2:34" s="148" customFormat="1" ht="27" customHeight="1">
      <c r="B127" s="877" t="s">
        <v>687</v>
      </c>
      <c r="C127" s="878"/>
      <c r="D127" s="387">
        <v>1</v>
      </c>
      <c r="E127" s="390"/>
      <c r="F127" s="391"/>
      <c r="G127" s="392"/>
      <c r="H127" s="392"/>
      <c r="I127" s="393" t="e">
        <f>H127/G127</f>
        <v>#DIV/0!</v>
      </c>
      <c r="J127" s="392"/>
      <c r="K127" s="393" t="e">
        <f>J127/G127</f>
        <v>#DIV/0!</v>
      </c>
      <c r="L127" s="392"/>
      <c r="M127" s="393" t="e">
        <f>(H127+J127)/G127</f>
        <v>#DIV/0!</v>
      </c>
      <c r="N127" s="394"/>
      <c r="O127" s="392"/>
      <c r="P127" s="393" t="e">
        <f>O127/G127</f>
        <v>#DIV/0!</v>
      </c>
      <c r="Q127" s="407">
        <f>O127*L127</f>
        <v>0</v>
      </c>
      <c r="R127" s="395">
        <f>((H127+J127)-G127)-O127</f>
        <v>0</v>
      </c>
      <c r="S127" s="393" t="e">
        <f>R127/G127</f>
        <v>#DIV/0!</v>
      </c>
      <c r="T127" s="397"/>
      <c r="U127" s="397"/>
      <c r="V127" s="398"/>
      <c r="W127" s="398"/>
      <c r="X127" s="398">
        <v>1</v>
      </c>
      <c r="Y127" s="399"/>
      <c r="Z127" s="400" t="s">
        <v>482</v>
      </c>
      <c r="AA127" s="401">
        <f>SUM(X127:X146)</f>
        <v>20</v>
      </c>
      <c r="AB127" s="402">
        <f>SUMIF($U$127:$U$146,TRIM(AB126),$X$127:$X$146)</f>
        <v>0</v>
      </c>
      <c r="AC127" s="402">
        <f t="shared" ref="AC127:AH127" si="66">SUMIF($U$127:$U$146,TRIM(AC126),$X$127:$X$146)</f>
        <v>0</v>
      </c>
      <c r="AD127" s="402">
        <f t="shared" si="66"/>
        <v>0</v>
      </c>
      <c r="AE127" s="402">
        <f t="shared" si="66"/>
        <v>0</v>
      </c>
      <c r="AF127" s="402">
        <f t="shared" si="66"/>
        <v>0</v>
      </c>
      <c r="AG127" s="402">
        <f t="shared" si="66"/>
        <v>0</v>
      </c>
      <c r="AH127" s="402">
        <f t="shared" si="66"/>
        <v>0</v>
      </c>
    </row>
    <row r="128" spans="2:34" s="148" customFormat="1" ht="27" customHeight="1">
      <c r="B128" s="879"/>
      <c r="C128" s="880"/>
      <c r="D128" s="387">
        <v>2</v>
      </c>
      <c r="E128" s="390"/>
      <c r="F128" s="391"/>
      <c r="G128" s="392"/>
      <c r="H128" s="392"/>
      <c r="I128" s="393" t="e">
        <f t="shared" ref="I128:I129" si="67">H128/G128</f>
        <v>#DIV/0!</v>
      </c>
      <c r="J128" s="392"/>
      <c r="K128" s="393" t="e">
        <f t="shared" ref="K128:K133" si="68">J128/G128</f>
        <v>#DIV/0!</v>
      </c>
      <c r="L128" s="392"/>
      <c r="M128" s="393" t="e">
        <f t="shared" ref="M128:M133" si="69">(H128+J128)/G128</f>
        <v>#DIV/0!</v>
      </c>
      <c r="N128" s="394"/>
      <c r="O128" s="392"/>
      <c r="P128" s="393" t="e">
        <f t="shared" ref="P128:P146" si="70">O128/G128</f>
        <v>#DIV/0!</v>
      </c>
      <c r="Q128" s="407">
        <f t="shared" ref="Q128:Q146" si="71">O128*L128</f>
        <v>0</v>
      </c>
      <c r="R128" s="395">
        <f t="shared" ref="R128:R146" si="72">((H128+J128)-G128)-O128</f>
        <v>0</v>
      </c>
      <c r="S128" s="393" t="e">
        <f t="shared" ref="S128:S146" si="73">R128/G128</f>
        <v>#DIV/0!</v>
      </c>
      <c r="T128" s="397"/>
      <c r="U128" s="397"/>
      <c r="V128" s="398"/>
      <c r="W128" s="398"/>
      <c r="X128" s="398">
        <v>1</v>
      </c>
      <c r="Y128" s="399"/>
      <c r="AA128" s="401"/>
      <c r="AB128" s="408">
        <f>SUMIF($U$127:$U$146,TRIM(AB126),$F$127:$F$146)</f>
        <v>0</v>
      </c>
      <c r="AC128" s="408">
        <f t="shared" ref="AC128:AH128" si="74">SUMIF($U$127:$U$146,TRIM(AC126),$F$127:$F$146)</f>
        <v>0</v>
      </c>
      <c r="AD128" s="408">
        <f t="shared" si="74"/>
        <v>0</v>
      </c>
      <c r="AE128" s="408">
        <f t="shared" si="74"/>
        <v>0</v>
      </c>
      <c r="AF128" s="408">
        <f t="shared" si="74"/>
        <v>0</v>
      </c>
      <c r="AG128" s="408">
        <f t="shared" si="74"/>
        <v>0</v>
      </c>
      <c r="AH128" s="408">
        <f t="shared" si="74"/>
        <v>0</v>
      </c>
    </row>
    <row r="129" spans="2:34" s="148" customFormat="1" ht="27" customHeight="1">
      <c r="B129" s="879"/>
      <c r="C129" s="880"/>
      <c r="D129" s="387">
        <v>3</v>
      </c>
      <c r="E129" s="390"/>
      <c r="F129" s="391"/>
      <c r="G129" s="392"/>
      <c r="H129" s="392"/>
      <c r="I129" s="393" t="e">
        <f t="shared" si="67"/>
        <v>#DIV/0!</v>
      </c>
      <c r="J129" s="392"/>
      <c r="K129" s="393" t="e">
        <f t="shared" si="68"/>
        <v>#DIV/0!</v>
      </c>
      <c r="L129" s="392"/>
      <c r="M129" s="393" t="e">
        <f t="shared" si="69"/>
        <v>#DIV/0!</v>
      </c>
      <c r="N129" s="394"/>
      <c r="O129" s="392"/>
      <c r="P129" s="393" t="e">
        <f t="shared" si="70"/>
        <v>#DIV/0!</v>
      </c>
      <c r="Q129" s="407">
        <f t="shared" si="71"/>
        <v>0</v>
      </c>
      <c r="R129" s="395">
        <f t="shared" si="72"/>
        <v>0</v>
      </c>
      <c r="S129" s="393" t="e">
        <f t="shared" si="73"/>
        <v>#DIV/0!</v>
      </c>
      <c r="T129" s="397"/>
      <c r="U129" s="397"/>
      <c r="V129" s="398"/>
      <c r="W129" s="398"/>
      <c r="X129" s="398">
        <v>1</v>
      </c>
      <c r="Y129" s="399"/>
      <c r="AA129" s="387"/>
      <c r="AB129" s="409">
        <f>AB127/$AA127</f>
        <v>0</v>
      </c>
      <c r="AC129" s="409">
        <f t="shared" ref="AC129:AH129" si="75">AC127/$AA127</f>
        <v>0</v>
      </c>
      <c r="AD129" s="409">
        <f t="shared" si="75"/>
        <v>0</v>
      </c>
      <c r="AE129" s="409">
        <f t="shared" si="75"/>
        <v>0</v>
      </c>
      <c r="AF129" s="409">
        <f t="shared" si="75"/>
        <v>0</v>
      </c>
      <c r="AG129" s="409">
        <f t="shared" si="75"/>
        <v>0</v>
      </c>
      <c r="AH129" s="409">
        <f t="shared" si="75"/>
        <v>0</v>
      </c>
    </row>
    <row r="130" spans="2:34" s="148" customFormat="1" ht="27" customHeight="1">
      <c r="B130" s="879"/>
      <c r="C130" s="880"/>
      <c r="D130" s="387">
        <v>4</v>
      </c>
      <c r="E130" s="390"/>
      <c r="F130" s="391"/>
      <c r="G130" s="392"/>
      <c r="H130" s="392"/>
      <c r="I130" s="393" t="e">
        <f>H130/G130</f>
        <v>#DIV/0!</v>
      </c>
      <c r="J130" s="392"/>
      <c r="K130" s="393" t="e">
        <f t="shared" si="68"/>
        <v>#DIV/0!</v>
      </c>
      <c r="L130" s="392"/>
      <c r="M130" s="393" t="e">
        <f t="shared" si="69"/>
        <v>#DIV/0!</v>
      </c>
      <c r="N130" s="394"/>
      <c r="O130" s="392"/>
      <c r="P130" s="393" t="e">
        <f t="shared" si="70"/>
        <v>#DIV/0!</v>
      </c>
      <c r="Q130" s="407">
        <f t="shared" si="71"/>
        <v>0</v>
      </c>
      <c r="R130" s="395">
        <f t="shared" si="72"/>
        <v>0</v>
      </c>
      <c r="S130" s="393" t="e">
        <f t="shared" si="73"/>
        <v>#DIV/0!</v>
      </c>
      <c r="T130" s="397"/>
      <c r="U130" s="397"/>
      <c r="V130" s="398"/>
      <c r="W130" s="398"/>
      <c r="X130" s="398">
        <v>1</v>
      </c>
      <c r="Y130" s="399"/>
    </row>
    <row r="131" spans="2:34" s="148" customFormat="1" ht="27" customHeight="1">
      <c r="B131" s="879"/>
      <c r="C131" s="880"/>
      <c r="D131" s="387">
        <v>5</v>
      </c>
      <c r="E131" s="390"/>
      <c r="F131" s="391"/>
      <c r="G131" s="392"/>
      <c r="H131" s="392"/>
      <c r="I131" s="393" t="e">
        <f t="shared" ref="I131:I146" si="76">H131/G131</f>
        <v>#DIV/0!</v>
      </c>
      <c r="J131" s="392"/>
      <c r="K131" s="393" t="e">
        <f t="shared" si="68"/>
        <v>#DIV/0!</v>
      </c>
      <c r="L131" s="392"/>
      <c r="M131" s="393" t="e">
        <f t="shared" si="69"/>
        <v>#DIV/0!</v>
      </c>
      <c r="N131" s="394"/>
      <c r="O131" s="392"/>
      <c r="P131" s="393" t="e">
        <f t="shared" si="70"/>
        <v>#DIV/0!</v>
      </c>
      <c r="Q131" s="407">
        <f t="shared" si="71"/>
        <v>0</v>
      </c>
      <c r="R131" s="395">
        <f t="shared" si="72"/>
        <v>0</v>
      </c>
      <c r="S131" s="393" t="e">
        <f t="shared" si="73"/>
        <v>#DIV/0!</v>
      </c>
      <c r="T131" s="397"/>
      <c r="U131" s="397"/>
      <c r="V131" s="398"/>
      <c r="W131" s="398"/>
      <c r="X131" s="398">
        <v>1</v>
      </c>
      <c r="Y131" s="399"/>
    </row>
    <row r="132" spans="2:34" s="148" customFormat="1" ht="27" customHeight="1">
      <c r="B132" s="879"/>
      <c r="C132" s="880"/>
      <c r="D132" s="387">
        <v>6</v>
      </c>
      <c r="E132" s="390"/>
      <c r="F132" s="391"/>
      <c r="G132" s="392"/>
      <c r="H132" s="392"/>
      <c r="I132" s="393" t="e">
        <f t="shared" si="76"/>
        <v>#DIV/0!</v>
      </c>
      <c r="J132" s="392"/>
      <c r="K132" s="393" t="e">
        <f t="shared" si="68"/>
        <v>#DIV/0!</v>
      </c>
      <c r="L132" s="392"/>
      <c r="M132" s="393" t="e">
        <f t="shared" si="69"/>
        <v>#DIV/0!</v>
      </c>
      <c r="N132" s="394"/>
      <c r="O132" s="392"/>
      <c r="P132" s="393" t="e">
        <f t="shared" si="70"/>
        <v>#DIV/0!</v>
      </c>
      <c r="Q132" s="407">
        <f t="shared" si="71"/>
        <v>0</v>
      </c>
      <c r="R132" s="395">
        <f t="shared" si="72"/>
        <v>0</v>
      </c>
      <c r="S132" s="393" t="e">
        <f t="shared" si="73"/>
        <v>#DIV/0!</v>
      </c>
      <c r="T132" s="397"/>
      <c r="U132" s="397"/>
      <c r="V132" s="398"/>
      <c r="W132" s="398"/>
      <c r="X132" s="398">
        <v>1</v>
      </c>
      <c r="Y132" s="399"/>
    </row>
    <row r="133" spans="2:34" s="148" customFormat="1" ht="27" customHeight="1">
      <c r="B133" s="879"/>
      <c r="C133" s="880"/>
      <c r="D133" s="387">
        <v>7</v>
      </c>
      <c r="E133" s="390"/>
      <c r="F133" s="391"/>
      <c r="G133" s="392"/>
      <c r="H133" s="392"/>
      <c r="I133" s="393" t="e">
        <f t="shared" si="76"/>
        <v>#DIV/0!</v>
      </c>
      <c r="J133" s="392"/>
      <c r="K133" s="393" t="e">
        <f t="shared" si="68"/>
        <v>#DIV/0!</v>
      </c>
      <c r="L133" s="392"/>
      <c r="M133" s="393" t="e">
        <f t="shared" si="69"/>
        <v>#DIV/0!</v>
      </c>
      <c r="N133" s="394"/>
      <c r="O133" s="392"/>
      <c r="P133" s="393" t="e">
        <f t="shared" si="70"/>
        <v>#DIV/0!</v>
      </c>
      <c r="Q133" s="407">
        <f t="shared" si="71"/>
        <v>0</v>
      </c>
      <c r="R133" s="395">
        <f t="shared" si="72"/>
        <v>0</v>
      </c>
      <c r="S133" s="393" t="e">
        <f t="shared" si="73"/>
        <v>#DIV/0!</v>
      </c>
      <c r="T133" s="397"/>
      <c r="U133" s="397"/>
      <c r="V133" s="398"/>
      <c r="W133" s="398"/>
      <c r="X133" s="398">
        <v>1</v>
      </c>
      <c r="Y133" s="399"/>
    </row>
    <row r="134" spans="2:34" s="148" customFormat="1" ht="27" customHeight="1">
      <c r="B134" s="879"/>
      <c r="C134" s="880"/>
      <c r="D134" s="387">
        <v>8</v>
      </c>
      <c r="E134" s="390"/>
      <c r="F134" s="391"/>
      <c r="G134" s="392"/>
      <c r="H134" s="392"/>
      <c r="I134" s="393" t="e">
        <f t="shared" si="76"/>
        <v>#DIV/0!</v>
      </c>
      <c r="J134" s="392"/>
      <c r="K134" s="393" t="e">
        <f>J134/G134</f>
        <v>#DIV/0!</v>
      </c>
      <c r="L134" s="392"/>
      <c r="M134" s="393" t="e">
        <f>(H134+J134)/G134</f>
        <v>#DIV/0!</v>
      </c>
      <c r="N134" s="394"/>
      <c r="O134" s="392"/>
      <c r="P134" s="393" t="e">
        <f t="shared" si="70"/>
        <v>#DIV/0!</v>
      </c>
      <c r="Q134" s="407">
        <f t="shared" si="71"/>
        <v>0</v>
      </c>
      <c r="R134" s="395">
        <f t="shared" si="72"/>
        <v>0</v>
      </c>
      <c r="S134" s="393" t="e">
        <f t="shared" si="73"/>
        <v>#DIV/0!</v>
      </c>
      <c r="T134" s="397"/>
      <c r="U134" s="397"/>
      <c r="V134" s="398"/>
      <c r="W134" s="398"/>
      <c r="X134" s="398">
        <v>1</v>
      </c>
      <c r="Y134" s="399"/>
    </row>
    <row r="135" spans="2:34" s="148" customFormat="1" ht="27" customHeight="1">
      <c r="B135" s="879"/>
      <c r="C135" s="880"/>
      <c r="D135" s="387">
        <v>9</v>
      </c>
      <c r="E135" s="390"/>
      <c r="F135" s="391"/>
      <c r="G135" s="392"/>
      <c r="H135" s="392"/>
      <c r="I135" s="393" t="e">
        <f t="shared" si="76"/>
        <v>#DIV/0!</v>
      </c>
      <c r="J135" s="392"/>
      <c r="K135" s="393" t="e">
        <f t="shared" ref="K135:K146" si="77">J135/G135</f>
        <v>#DIV/0!</v>
      </c>
      <c r="L135" s="392"/>
      <c r="M135" s="393" t="e">
        <f t="shared" ref="M135:M146" si="78">(H135+J135)/G135</f>
        <v>#DIV/0!</v>
      </c>
      <c r="N135" s="394"/>
      <c r="O135" s="392"/>
      <c r="P135" s="393" t="e">
        <f t="shared" si="70"/>
        <v>#DIV/0!</v>
      </c>
      <c r="Q135" s="407">
        <f t="shared" si="71"/>
        <v>0</v>
      </c>
      <c r="R135" s="395">
        <f t="shared" si="72"/>
        <v>0</v>
      </c>
      <c r="S135" s="393" t="e">
        <f t="shared" si="73"/>
        <v>#DIV/0!</v>
      </c>
      <c r="T135" s="397"/>
      <c r="U135" s="397"/>
      <c r="V135" s="398"/>
      <c r="W135" s="398"/>
      <c r="X135" s="398">
        <v>1</v>
      </c>
      <c r="Y135" s="399"/>
    </row>
    <row r="136" spans="2:34" s="148" customFormat="1" ht="27" customHeight="1">
      <c r="B136" s="879"/>
      <c r="C136" s="880"/>
      <c r="D136" s="387">
        <v>10</v>
      </c>
      <c r="E136" s="390"/>
      <c r="F136" s="391"/>
      <c r="G136" s="392"/>
      <c r="H136" s="392"/>
      <c r="I136" s="393" t="e">
        <f t="shared" si="76"/>
        <v>#DIV/0!</v>
      </c>
      <c r="J136" s="392"/>
      <c r="K136" s="393" t="e">
        <f t="shared" si="77"/>
        <v>#DIV/0!</v>
      </c>
      <c r="L136" s="392"/>
      <c r="M136" s="393" t="e">
        <f t="shared" si="78"/>
        <v>#DIV/0!</v>
      </c>
      <c r="N136" s="394"/>
      <c r="O136" s="392"/>
      <c r="P136" s="393" t="e">
        <f t="shared" si="70"/>
        <v>#DIV/0!</v>
      </c>
      <c r="Q136" s="407">
        <f t="shared" si="71"/>
        <v>0</v>
      </c>
      <c r="R136" s="395">
        <f t="shared" si="72"/>
        <v>0</v>
      </c>
      <c r="S136" s="393" t="e">
        <f t="shared" si="73"/>
        <v>#DIV/0!</v>
      </c>
      <c r="T136" s="397"/>
      <c r="U136" s="397"/>
      <c r="V136" s="398"/>
      <c r="W136" s="398"/>
      <c r="X136" s="398">
        <v>1</v>
      </c>
      <c r="Y136" s="399"/>
    </row>
    <row r="137" spans="2:34" s="148" customFormat="1" ht="27" customHeight="1">
      <c r="B137" s="879"/>
      <c r="C137" s="880"/>
      <c r="D137" s="387">
        <v>11</v>
      </c>
      <c r="E137" s="390"/>
      <c r="F137" s="391"/>
      <c r="G137" s="392"/>
      <c r="H137" s="392"/>
      <c r="I137" s="393" t="e">
        <f t="shared" si="76"/>
        <v>#DIV/0!</v>
      </c>
      <c r="J137" s="392"/>
      <c r="K137" s="393" t="e">
        <f t="shared" si="77"/>
        <v>#DIV/0!</v>
      </c>
      <c r="L137" s="392"/>
      <c r="M137" s="393" t="e">
        <f t="shared" si="78"/>
        <v>#DIV/0!</v>
      </c>
      <c r="N137" s="394"/>
      <c r="O137" s="392"/>
      <c r="P137" s="393" t="e">
        <f t="shared" si="70"/>
        <v>#DIV/0!</v>
      </c>
      <c r="Q137" s="407">
        <f t="shared" si="71"/>
        <v>0</v>
      </c>
      <c r="R137" s="395">
        <f t="shared" si="72"/>
        <v>0</v>
      </c>
      <c r="S137" s="393" t="e">
        <f t="shared" si="73"/>
        <v>#DIV/0!</v>
      </c>
      <c r="T137" s="397"/>
      <c r="U137" s="397"/>
      <c r="V137" s="398"/>
      <c r="W137" s="398"/>
      <c r="X137" s="398">
        <v>1</v>
      </c>
      <c r="Y137" s="399"/>
    </row>
    <row r="138" spans="2:34" s="148" customFormat="1" ht="27" customHeight="1">
      <c r="B138" s="879"/>
      <c r="C138" s="880"/>
      <c r="D138" s="387">
        <v>12</v>
      </c>
      <c r="E138" s="390"/>
      <c r="F138" s="391"/>
      <c r="G138" s="392"/>
      <c r="H138" s="392"/>
      <c r="I138" s="393" t="e">
        <f t="shared" si="76"/>
        <v>#DIV/0!</v>
      </c>
      <c r="J138" s="392"/>
      <c r="K138" s="393" t="e">
        <f t="shared" si="77"/>
        <v>#DIV/0!</v>
      </c>
      <c r="L138" s="392"/>
      <c r="M138" s="393" t="e">
        <f t="shared" si="78"/>
        <v>#DIV/0!</v>
      </c>
      <c r="N138" s="394"/>
      <c r="O138" s="392"/>
      <c r="P138" s="393" t="e">
        <f t="shared" si="70"/>
        <v>#DIV/0!</v>
      </c>
      <c r="Q138" s="407">
        <f t="shared" si="71"/>
        <v>0</v>
      </c>
      <c r="R138" s="395">
        <f t="shared" si="72"/>
        <v>0</v>
      </c>
      <c r="S138" s="393" t="e">
        <f t="shared" si="73"/>
        <v>#DIV/0!</v>
      </c>
      <c r="T138" s="397"/>
      <c r="U138" s="397"/>
      <c r="V138" s="398"/>
      <c r="W138" s="398"/>
      <c r="X138" s="398">
        <v>1</v>
      </c>
      <c r="Y138" s="399"/>
      <c r="AA138" s="883" t="s">
        <v>247</v>
      </c>
      <c r="AB138" s="884"/>
      <c r="AC138" s="884"/>
      <c r="AD138" s="884"/>
      <c r="AE138" s="884"/>
      <c r="AF138" s="884"/>
      <c r="AG138" s="884"/>
      <c r="AH138" s="885"/>
    </row>
    <row r="139" spans="2:34" s="148" customFormat="1" ht="27" customHeight="1">
      <c r="B139" s="879"/>
      <c r="C139" s="880"/>
      <c r="D139" s="387">
        <v>13</v>
      </c>
      <c r="E139" s="390"/>
      <c r="F139" s="391"/>
      <c r="G139" s="392"/>
      <c r="H139" s="392"/>
      <c r="I139" s="393" t="e">
        <f t="shared" si="76"/>
        <v>#DIV/0!</v>
      </c>
      <c r="J139" s="392"/>
      <c r="K139" s="393" t="e">
        <f t="shared" si="77"/>
        <v>#DIV/0!</v>
      </c>
      <c r="L139" s="392"/>
      <c r="M139" s="393" t="e">
        <f t="shared" si="78"/>
        <v>#DIV/0!</v>
      </c>
      <c r="N139" s="394"/>
      <c r="O139" s="392"/>
      <c r="P139" s="393" t="e">
        <f t="shared" si="70"/>
        <v>#DIV/0!</v>
      </c>
      <c r="Q139" s="407">
        <f t="shared" si="71"/>
        <v>0</v>
      </c>
      <c r="R139" s="395">
        <f t="shared" si="72"/>
        <v>0</v>
      </c>
      <c r="S139" s="393" t="e">
        <f t="shared" si="73"/>
        <v>#DIV/0!</v>
      </c>
      <c r="T139" s="397"/>
      <c r="U139" s="397"/>
      <c r="V139" s="398"/>
      <c r="W139" s="398"/>
      <c r="X139" s="398">
        <v>1</v>
      </c>
      <c r="Y139" s="399"/>
      <c r="AA139" s="886"/>
      <c r="AB139" s="887"/>
      <c r="AC139" s="887"/>
      <c r="AD139" s="887"/>
      <c r="AE139" s="887"/>
      <c r="AF139" s="887"/>
      <c r="AG139" s="887"/>
      <c r="AH139" s="888"/>
    </row>
    <row r="140" spans="2:34" s="148" customFormat="1" ht="27" customHeight="1">
      <c r="B140" s="879"/>
      <c r="C140" s="880"/>
      <c r="D140" s="387">
        <v>14</v>
      </c>
      <c r="E140" s="390"/>
      <c r="F140" s="391"/>
      <c r="G140" s="392"/>
      <c r="H140" s="392"/>
      <c r="I140" s="393" t="e">
        <f t="shared" si="76"/>
        <v>#DIV/0!</v>
      </c>
      <c r="J140" s="392"/>
      <c r="K140" s="393" t="e">
        <f t="shared" si="77"/>
        <v>#DIV/0!</v>
      </c>
      <c r="L140" s="392"/>
      <c r="M140" s="393" t="e">
        <f t="shared" si="78"/>
        <v>#DIV/0!</v>
      </c>
      <c r="N140" s="394"/>
      <c r="O140" s="392"/>
      <c r="P140" s="393" t="e">
        <f t="shared" si="70"/>
        <v>#DIV/0!</v>
      </c>
      <c r="Q140" s="407">
        <f t="shared" si="71"/>
        <v>0</v>
      </c>
      <c r="R140" s="395">
        <f t="shared" si="72"/>
        <v>0</v>
      </c>
      <c r="S140" s="393" t="e">
        <f t="shared" si="73"/>
        <v>#DIV/0!</v>
      </c>
      <c r="T140" s="397"/>
      <c r="U140" s="397"/>
      <c r="V140" s="398"/>
      <c r="W140" s="398"/>
      <c r="X140" s="398">
        <v>1</v>
      </c>
      <c r="Y140" s="399"/>
      <c r="AA140" s="889"/>
      <c r="AB140" s="890"/>
      <c r="AC140" s="890"/>
      <c r="AD140" s="890"/>
      <c r="AE140" s="890"/>
      <c r="AF140" s="890"/>
      <c r="AG140" s="890"/>
      <c r="AH140" s="891"/>
    </row>
    <row r="141" spans="2:34" s="148" customFormat="1" ht="27" customHeight="1">
      <c r="B141" s="879"/>
      <c r="C141" s="880"/>
      <c r="D141" s="387">
        <v>15</v>
      </c>
      <c r="E141" s="390"/>
      <c r="F141" s="391"/>
      <c r="G141" s="392"/>
      <c r="H141" s="392"/>
      <c r="I141" s="393" t="e">
        <f t="shared" si="76"/>
        <v>#DIV/0!</v>
      </c>
      <c r="J141" s="392"/>
      <c r="K141" s="393" t="e">
        <f t="shared" si="77"/>
        <v>#DIV/0!</v>
      </c>
      <c r="L141" s="392"/>
      <c r="M141" s="393" t="e">
        <f t="shared" si="78"/>
        <v>#DIV/0!</v>
      </c>
      <c r="N141" s="394"/>
      <c r="O141" s="392"/>
      <c r="P141" s="393" t="e">
        <f t="shared" si="70"/>
        <v>#DIV/0!</v>
      </c>
      <c r="Q141" s="407">
        <f t="shared" si="71"/>
        <v>0</v>
      </c>
      <c r="R141" s="395">
        <f t="shared" si="72"/>
        <v>0</v>
      </c>
      <c r="S141" s="393" t="e">
        <f t="shared" si="73"/>
        <v>#DIV/0!</v>
      </c>
      <c r="T141" s="397"/>
      <c r="U141" s="397"/>
      <c r="V141" s="397"/>
      <c r="W141" s="398"/>
      <c r="X141" s="398">
        <v>1</v>
      </c>
      <c r="Y141" s="399"/>
      <c r="AA141" s="161" t="s">
        <v>244</v>
      </c>
      <c r="AB141" s="161" t="s">
        <v>481</v>
      </c>
      <c r="AC141" s="156" t="s">
        <v>395</v>
      </c>
      <c r="AD141" s="156" t="s">
        <v>339</v>
      </c>
      <c r="AE141" s="156" t="s">
        <v>460</v>
      </c>
      <c r="AF141" s="156" t="s">
        <v>215</v>
      </c>
      <c r="AG141" s="156" t="s">
        <v>216</v>
      </c>
      <c r="AH141" s="156" t="s">
        <v>396</v>
      </c>
    </row>
    <row r="142" spans="2:34" s="148" customFormat="1" ht="27" customHeight="1">
      <c r="B142" s="879"/>
      <c r="C142" s="880"/>
      <c r="D142" s="387">
        <v>16</v>
      </c>
      <c r="E142" s="390"/>
      <c r="F142" s="391"/>
      <c r="G142" s="392"/>
      <c r="H142" s="392"/>
      <c r="I142" s="393" t="e">
        <f t="shared" si="76"/>
        <v>#DIV/0!</v>
      </c>
      <c r="J142" s="392"/>
      <c r="K142" s="393" t="e">
        <f t="shared" si="77"/>
        <v>#DIV/0!</v>
      </c>
      <c r="L142" s="392"/>
      <c r="M142" s="393" t="e">
        <f t="shared" si="78"/>
        <v>#DIV/0!</v>
      </c>
      <c r="N142" s="394"/>
      <c r="O142" s="392"/>
      <c r="P142" s="393" t="e">
        <f t="shared" si="70"/>
        <v>#DIV/0!</v>
      </c>
      <c r="Q142" s="407">
        <f t="shared" si="71"/>
        <v>0</v>
      </c>
      <c r="R142" s="395">
        <f t="shared" si="72"/>
        <v>0</v>
      </c>
      <c r="S142" s="393" t="e">
        <f t="shared" si="73"/>
        <v>#DIV/0!</v>
      </c>
      <c r="T142" s="397"/>
      <c r="U142" s="397"/>
      <c r="V142" s="398"/>
      <c r="W142" s="398"/>
      <c r="X142" s="398">
        <v>1</v>
      </c>
      <c r="Y142" s="399"/>
      <c r="Z142" s="445" t="s">
        <v>530</v>
      </c>
      <c r="AA142" s="410">
        <f>AA31+AA55+AA79+AA103</f>
        <v>80</v>
      </c>
      <c r="AB142" s="410">
        <f>AB31+AB55+AB79+AB103</f>
        <v>0</v>
      </c>
      <c r="AC142" s="410">
        <f t="shared" ref="AC142:AH142" si="79">AC31+AC55+AC79+AC103</f>
        <v>0</v>
      </c>
      <c r="AD142" s="410">
        <f t="shared" si="79"/>
        <v>0</v>
      </c>
      <c r="AE142" s="410">
        <f t="shared" si="79"/>
        <v>33</v>
      </c>
      <c r="AF142" s="410">
        <f t="shared" si="79"/>
        <v>2</v>
      </c>
      <c r="AG142" s="410">
        <f t="shared" si="79"/>
        <v>5</v>
      </c>
      <c r="AH142" s="410">
        <f t="shared" si="79"/>
        <v>0</v>
      </c>
    </row>
    <row r="143" spans="2:34" s="148" customFormat="1" ht="27" customHeight="1">
      <c r="B143" s="879"/>
      <c r="C143" s="880"/>
      <c r="D143" s="387">
        <v>17</v>
      </c>
      <c r="E143" s="390"/>
      <c r="F143" s="391"/>
      <c r="G143" s="392"/>
      <c r="H143" s="392"/>
      <c r="I143" s="393" t="e">
        <f t="shared" si="76"/>
        <v>#DIV/0!</v>
      </c>
      <c r="J143" s="392"/>
      <c r="K143" s="393" t="e">
        <f t="shared" si="77"/>
        <v>#DIV/0!</v>
      </c>
      <c r="L143" s="392"/>
      <c r="M143" s="393" t="e">
        <f t="shared" si="78"/>
        <v>#DIV/0!</v>
      </c>
      <c r="N143" s="394"/>
      <c r="O143" s="392"/>
      <c r="P143" s="393" t="e">
        <f t="shared" si="70"/>
        <v>#DIV/0!</v>
      </c>
      <c r="Q143" s="407">
        <f t="shared" si="71"/>
        <v>0</v>
      </c>
      <c r="R143" s="395">
        <f t="shared" si="72"/>
        <v>0</v>
      </c>
      <c r="S143" s="393" t="e">
        <f t="shared" si="73"/>
        <v>#DIV/0!</v>
      </c>
      <c r="T143" s="397"/>
      <c r="U143" s="397"/>
      <c r="V143" s="398"/>
      <c r="W143" s="398"/>
      <c r="X143" s="398">
        <v>1</v>
      </c>
      <c r="Y143" s="399"/>
      <c r="AA143" s="411"/>
      <c r="AB143" s="408">
        <f>AB32+AB56+AB80+AB104</f>
        <v>0</v>
      </c>
      <c r="AC143" s="408">
        <f t="shared" ref="AC143:AH143" si="80">AC32+AC56+AC80+AC104</f>
        <v>0</v>
      </c>
      <c r="AD143" s="408">
        <f t="shared" si="80"/>
        <v>0</v>
      </c>
      <c r="AE143" s="408">
        <f t="shared" si="80"/>
        <v>127530.64739999999</v>
      </c>
      <c r="AF143" s="408">
        <f t="shared" si="80"/>
        <v>40652.348200000037</v>
      </c>
      <c r="AG143" s="408">
        <f t="shared" si="80"/>
        <v>26131.167300000037</v>
      </c>
      <c r="AH143" s="408">
        <f t="shared" si="80"/>
        <v>0</v>
      </c>
    </row>
    <row r="144" spans="2:34" s="148" customFormat="1" ht="27" customHeight="1">
      <c r="B144" s="879"/>
      <c r="C144" s="880"/>
      <c r="D144" s="387">
        <v>18</v>
      </c>
      <c r="E144" s="390"/>
      <c r="F144" s="391"/>
      <c r="G144" s="392"/>
      <c r="H144" s="392"/>
      <c r="I144" s="393" t="e">
        <f t="shared" si="76"/>
        <v>#DIV/0!</v>
      </c>
      <c r="J144" s="392"/>
      <c r="K144" s="393" t="e">
        <f t="shared" si="77"/>
        <v>#DIV/0!</v>
      </c>
      <c r="L144" s="392"/>
      <c r="M144" s="393" t="e">
        <f t="shared" si="78"/>
        <v>#DIV/0!</v>
      </c>
      <c r="N144" s="394"/>
      <c r="O144" s="392"/>
      <c r="P144" s="393" t="e">
        <f t="shared" si="70"/>
        <v>#DIV/0!</v>
      </c>
      <c r="Q144" s="407">
        <f t="shared" si="71"/>
        <v>0</v>
      </c>
      <c r="R144" s="395">
        <f t="shared" si="72"/>
        <v>0</v>
      </c>
      <c r="S144" s="393" t="e">
        <f t="shared" si="73"/>
        <v>#DIV/0!</v>
      </c>
      <c r="T144" s="397"/>
      <c r="U144" s="397"/>
      <c r="V144" s="398"/>
      <c r="W144" s="398"/>
      <c r="X144" s="398">
        <v>1</v>
      </c>
      <c r="Y144" s="399"/>
      <c r="AA144" s="387"/>
      <c r="AB144" s="409">
        <f>AB142/$AA142</f>
        <v>0</v>
      </c>
      <c r="AC144" s="409">
        <f t="shared" ref="AC144:AH144" si="81">AC142/$AA142</f>
        <v>0</v>
      </c>
      <c r="AD144" s="409">
        <f t="shared" si="81"/>
        <v>0</v>
      </c>
      <c r="AE144" s="409">
        <f t="shared" si="81"/>
        <v>0.41249999999999998</v>
      </c>
      <c r="AF144" s="409">
        <f t="shared" si="81"/>
        <v>2.5000000000000001E-2</v>
      </c>
      <c r="AG144" s="409">
        <f t="shared" si="81"/>
        <v>6.25E-2</v>
      </c>
      <c r="AH144" s="409">
        <f t="shared" si="81"/>
        <v>0</v>
      </c>
    </row>
    <row r="145" spans="2:29" s="148" customFormat="1" ht="27" customHeight="1">
      <c r="B145" s="879"/>
      <c r="C145" s="880"/>
      <c r="D145" s="387">
        <v>19</v>
      </c>
      <c r="E145" s="390"/>
      <c r="F145" s="391"/>
      <c r="G145" s="392"/>
      <c r="H145" s="392"/>
      <c r="I145" s="393" t="e">
        <f t="shared" si="76"/>
        <v>#DIV/0!</v>
      </c>
      <c r="J145" s="392"/>
      <c r="K145" s="393" t="e">
        <f t="shared" si="77"/>
        <v>#DIV/0!</v>
      </c>
      <c r="L145" s="392"/>
      <c r="M145" s="393" t="e">
        <f t="shared" si="78"/>
        <v>#DIV/0!</v>
      </c>
      <c r="N145" s="394"/>
      <c r="O145" s="392"/>
      <c r="P145" s="393" t="e">
        <f t="shared" si="70"/>
        <v>#DIV/0!</v>
      </c>
      <c r="Q145" s="407">
        <f t="shared" si="71"/>
        <v>0</v>
      </c>
      <c r="R145" s="395">
        <f t="shared" si="72"/>
        <v>0</v>
      </c>
      <c r="S145" s="393" t="e">
        <f t="shared" si="73"/>
        <v>#DIV/0!</v>
      </c>
      <c r="T145" s="397"/>
      <c r="U145" s="397"/>
      <c r="V145" s="398"/>
      <c r="W145" s="398"/>
      <c r="X145" s="398">
        <v>1</v>
      </c>
      <c r="Y145" s="399"/>
      <c r="AB145" s="406"/>
      <c r="AC145" s="403"/>
    </row>
    <row r="146" spans="2:29" s="148" customFormat="1" ht="27" customHeight="1">
      <c r="B146" s="881"/>
      <c r="C146" s="882"/>
      <c r="D146" s="387">
        <v>20</v>
      </c>
      <c r="E146" s="390"/>
      <c r="F146" s="391"/>
      <c r="G146" s="392"/>
      <c r="H146" s="392"/>
      <c r="I146" s="393" t="e">
        <f t="shared" si="76"/>
        <v>#DIV/0!</v>
      </c>
      <c r="J146" s="392"/>
      <c r="K146" s="393" t="e">
        <f t="shared" si="77"/>
        <v>#DIV/0!</v>
      </c>
      <c r="L146" s="392"/>
      <c r="M146" s="393" t="e">
        <f t="shared" si="78"/>
        <v>#DIV/0!</v>
      </c>
      <c r="N146" s="394"/>
      <c r="O146" s="392"/>
      <c r="P146" s="393" t="e">
        <f t="shared" si="70"/>
        <v>#DIV/0!</v>
      </c>
      <c r="Q146" s="407">
        <f t="shared" si="71"/>
        <v>0</v>
      </c>
      <c r="R146" s="395">
        <f t="shared" si="72"/>
        <v>0</v>
      </c>
      <c r="S146" s="393" t="e">
        <f t="shared" si="73"/>
        <v>#DIV/0!</v>
      </c>
      <c r="T146" s="397"/>
      <c r="U146" s="397"/>
      <c r="V146" s="398"/>
      <c r="W146" s="398"/>
      <c r="X146" s="398">
        <v>1</v>
      </c>
      <c r="Y146" s="399"/>
      <c r="AB146" s="406"/>
      <c r="AC146" s="403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</mergeCells>
  <phoneticPr fontId="16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20" t="s">
        <v>12</v>
      </c>
      <c r="D21" s="918"/>
      <c r="E21" s="919"/>
      <c r="F21" s="49" t="s">
        <v>46</v>
      </c>
      <c r="G21" s="49" t="s">
        <v>48</v>
      </c>
      <c r="H21" s="49" t="s">
        <v>49</v>
      </c>
      <c r="I21" s="8" t="s">
        <v>13</v>
      </c>
      <c r="J21" s="933" t="s">
        <v>51</v>
      </c>
      <c r="K21" s="91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2" t="s">
        <v>14</v>
      </c>
      <c r="D22" s="918"/>
      <c r="E22" s="919"/>
      <c r="F22" s="4">
        <v>3</v>
      </c>
      <c r="G22" s="4">
        <v>3000</v>
      </c>
      <c r="H22" s="4">
        <v>1000</v>
      </c>
      <c r="I22" s="4">
        <v>10</v>
      </c>
      <c r="J22" s="921" t="s">
        <v>76</v>
      </c>
      <c r="K22" s="919"/>
      <c r="M22" s="52" t="s">
        <v>26</v>
      </c>
      <c r="N22" s="57" t="s">
        <v>47</v>
      </c>
      <c r="O22" s="928" t="s">
        <v>12</v>
      </c>
      <c r="P22" s="918"/>
      <c r="Q22" s="919"/>
      <c r="R22" s="934" t="s">
        <v>53</v>
      </c>
      <c r="S22" s="918"/>
      <c r="T22" s="91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3" t="s">
        <v>51</v>
      </c>
      <c r="AA22" s="919"/>
    </row>
    <row r="23" spans="1:27" ht="15.75" customHeight="1">
      <c r="A23" s="23"/>
      <c r="B23" s="6">
        <v>2</v>
      </c>
      <c r="C23" s="917"/>
      <c r="D23" s="918"/>
      <c r="E23" s="919"/>
      <c r="F23" s="4"/>
      <c r="G23" s="4"/>
      <c r="H23" s="4"/>
      <c r="I23" s="4"/>
      <c r="J23" s="917"/>
      <c r="K23" s="919"/>
      <c r="M23" s="56" t="s">
        <v>42</v>
      </c>
      <c r="N23" s="24">
        <v>1</v>
      </c>
      <c r="O23" s="921" t="s">
        <v>82</v>
      </c>
      <c r="P23" s="918"/>
      <c r="Q23" s="919"/>
      <c r="R23" s="921" t="s">
        <v>85</v>
      </c>
      <c r="S23" s="918"/>
      <c r="T23" s="91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1" t="s">
        <v>86</v>
      </c>
      <c r="AA23" s="919"/>
    </row>
    <row r="24" spans="1:27" ht="15.75" customHeight="1">
      <c r="A24" s="23"/>
      <c r="B24" s="6">
        <v>3</v>
      </c>
      <c r="C24" s="917"/>
      <c r="D24" s="918"/>
      <c r="E24" s="919"/>
      <c r="F24" s="4"/>
      <c r="G24" s="4"/>
      <c r="H24" s="4"/>
      <c r="I24" s="4"/>
      <c r="J24" s="917"/>
      <c r="K24" s="919"/>
      <c r="M24" s="25"/>
      <c r="N24" s="24">
        <v>2</v>
      </c>
      <c r="O24" s="922"/>
      <c r="P24" s="918"/>
      <c r="Q24" s="919"/>
      <c r="R24" s="922"/>
      <c r="S24" s="918"/>
      <c r="T24" s="919"/>
      <c r="U24" s="4"/>
      <c r="V24" s="14"/>
      <c r="W24" s="4"/>
      <c r="X24" s="16">
        <f t="shared" si="16"/>
        <v>0</v>
      </c>
      <c r="Y24" s="4"/>
      <c r="Z24" s="922"/>
      <c r="AA24" s="919"/>
    </row>
    <row r="25" spans="1:27" ht="15.75" customHeight="1">
      <c r="A25" s="23"/>
      <c r="B25" s="6">
        <v>4</v>
      </c>
      <c r="C25" s="917"/>
      <c r="D25" s="918"/>
      <c r="E25" s="919"/>
      <c r="F25" s="4"/>
      <c r="G25" s="4"/>
      <c r="H25" s="4"/>
      <c r="I25" s="4"/>
      <c r="J25" s="917"/>
      <c r="K25" s="919"/>
      <c r="M25" s="25"/>
      <c r="N25" s="24">
        <v>3</v>
      </c>
      <c r="O25" s="922"/>
      <c r="P25" s="918"/>
      <c r="Q25" s="919"/>
      <c r="R25" s="922"/>
      <c r="S25" s="918"/>
      <c r="T25" s="919"/>
      <c r="U25" s="4"/>
      <c r="V25" s="14"/>
      <c r="W25" s="4"/>
      <c r="X25" s="16">
        <f t="shared" si="16"/>
        <v>0</v>
      </c>
      <c r="Y25" s="4"/>
      <c r="Z25" s="922"/>
      <c r="AA25" s="919"/>
    </row>
    <row r="26" spans="1:27" ht="15.75" customHeight="1">
      <c r="A26" s="23"/>
      <c r="B26" s="26">
        <v>5</v>
      </c>
      <c r="C26" s="931"/>
      <c r="D26" s="927"/>
      <c r="E26" s="924"/>
      <c r="F26" s="27"/>
      <c r="G26" s="27"/>
      <c r="H26" s="27"/>
      <c r="I26" s="27"/>
      <c r="J26" s="931"/>
      <c r="K26" s="924"/>
      <c r="M26" s="25"/>
      <c r="N26" s="24">
        <v>4</v>
      </c>
      <c r="O26" s="922"/>
      <c r="P26" s="918"/>
      <c r="Q26" s="919"/>
      <c r="R26" s="922"/>
      <c r="S26" s="918"/>
      <c r="T26" s="919"/>
      <c r="U26" s="4"/>
      <c r="V26" s="14"/>
      <c r="W26" s="4"/>
      <c r="X26" s="16">
        <f t="shared" si="16"/>
        <v>0</v>
      </c>
      <c r="Y26" s="4"/>
      <c r="Z26" s="922"/>
      <c r="AA26" s="919"/>
    </row>
    <row r="27" spans="1:27" ht="15.75" customHeight="1">
      <c r="A27" s="23"/>
      <c r="B27" s="69" t="s">
        <v>101</v>
      </c>
      <c r="C27" s="925" t="s">
        <v>75</v>
      </c>
      <c r="D27" s="932"/>
      <c r="E27" s="926"/>
      <c r="F27" s="28">
        <v>4</v>
      </c>
      <c r="G27" s="28">
        <v>2800</v>
      </c>
      <c r="H27" s="28">
        <v>700</v>
      </c>
      <c r="I27" s="28" t="s">
        <v>15</v>
      </c>
      <c r="J27" s="925" t="s">
        <v>77</v>
      </c>
      <c r="K27" s="926"/>
      <c r="M27" s="25"/>
      <c r="N27" s="29">
        <v>5</v>
      </c>
      <c r="O27" s="923"/>
      <c r="P27" s="927"/>
      <c r="Q27" s="924"/>
      <c r="R27" s="923"/>
      <c r="S27" s="927"/>
      <c r="T27" s="924"/>
      <c r="U27" s="27"/>
      <c r="V27" s="30"/>
      <c r="W27" s="27"/>
      <c r="X27" s="31">
        <f t="shared" si="16"/>
        <v>0</v>
      </c>
      <c r="Y27" s="4"/>
      <c r="Z27" s="923"/>
      <c r="AA27" s="924"/>
    </row>
    <row r="28" spans="1:27" ht="15.75" customHeight="1">
      <c r="A28" s="23"/>
      <c r="B28" s="70" t="s">
        <v>102</v>
      </c>
      <c r="C28" s="917"/>
      <c r="D28" s="918"/>
      <c r="E28" s="919"/>
      <c r="F28" s="4"/>
      <c r="G28" s="4"/>
      <c r="H28" s="4"/>
      <c r="I28" s="4"/>
      <c r="J28" s="917"/>
      <c r="K28" s="919"/>
      <c r="M28" s="32"/>
      <c r="N28" s="55"/>
      <c r="O28" s="929"/>
      <c r="P28" s="918"/>
      <c r="Q28" s="918"/>
      <c r="R28" s="929"/>
      <c r="S28" s="918"/>
      <c r="T28" s="918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9"/>
      <c r="AA28" s="919"/>
    </row>
    <row r="29" spans="1:27" ht="15.75" customHeight="1">
      <c r="A29" s="23"/>
      <c r="B29" s="70" t="s">
        <v>100</v>
      </c>
      <c r="C29" s="917"/>
      <c r="D29" s="918"/>
      <c r="E29" s="919"/>
      <c r="F29" s="4"/>
      <c r="G29" s="4"/>
      <c r="H29" s="4"/>
      <c r="I29" s="4"/>
      <c r="J29" s="917"/>
      <c r="K29" s="919"/>
      <c r="M29" s="56" t="s">
        <v>43</v>
      </c>
      <c r="N29" s="24">
        <v>1</v>
      </c>
      <c r="O29" s="942" t="s">
        <v>16</v>
      </c>
      <c r="P29" s="938"/>
      <c r="Q29" s="939"/>
      <c r="R29" s="937" t="s">
        <v>87</v>
      </c>
      <c r="S29" s="938"/>
      <c r="T29" s="93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7" t="s">
        <v>88</v>
      </c>
      <c r="AA29" s="939"/>
    </row>
    <row r="30" spans="1:27" ht="15.75" customHeight="1">
      <c r="A30" s="23"/>
      <c r="B30" s="70" t="s">
        <v>99</v>
      </c>
      <c r="C30" s="917"/>
      <c r="D30" s="918"/>
      <c r="E30" s="919"/>
      <c r="F30" s="4"/>
      <c r="G30" s="4"/>
      <c r="H30" s="4"/>
      <c r="I30" s="4"/>
      <c r="J30" s="917"/>
      <c r="K30" s="919"/>
      <c r="M30" s="25"/>
      <c r="N30" s="24">
        <v>2</v>
      </c>
      <c r="O30" s="922"/>
      <c r="P30" s="918"/>
      <c r="Q30" s="919"/>
      <c r="R30" s="922"/>
      <c r="S30" s="918"/>
      <c r="T30" s="919"/>
      <c r="U30" s="4"/>
      <c r="V30" s="14"/>
      <c r="W30" s="4"/>
      <c r="X30" s="16">
        <f t="shared" si="17"/>
        <v>0</v>
      </c>
      <c r="Y30" s="4"/>
      <c r="Z30" s="922"/>
      <c r="AA30" s="919"/>
    </row>
    <row r="31" spans="1:27" ht="15.75" customHeight="1">
      <c r="A31" s="20"/>
      <c r="B31" s="70" t="s">
        <v>103</v>
      </c>
      <c r="C31" s="917"/>
      <c r="D31" s="918"/>
      <c r="E31" s="919"/>
      <c r="F31" s="4"/>
      <c r="G31" s="4"/>
      <c r="H31" s="4"/>
      <c r="I31" s="4"/>
      <c r="J31" s="917"/>
      <c r="K31" s="919"/>
      <c r="M31" s="25"/>
      <c r="N31" s="24">
        <v>3</v>
      </c>
      <c r="O31" s="922"/>
      <c r="P31" s="918"/>
      <c r="Q31" s="919"/>
      <c r="R31" s="922"/>
      <c r="S31" s="918"/>
      <c r="T31" s="919"/>
      <c r="U31" s="4"/>
      <c r="V31" s="14"/>
      <c r="W31" s="4"/>
      <c r="X31" s="16">
        <f t="shared" si="17"/>
        <v>0</v>
      </c>
      <c r="Y31" s="4"/>
      <c r="Z31" s="922"/>
      <c r="AA31" s="919"/>
    </row>
    <row r="32" spans="1:27" ht="15.75" customHeight="1">
      <c r="A32" s="67"/>
      <c r="M32" s="25"/>
      <c r="N32" s="24">
        <v>4</v>
      </c>
      <c r="O32" s="922"/>
      <c r="P32" s="918"/>
      <c r="Q32" s="919"/>
      <c r="R32" s="922"/>
      <c r="S32" s="918"/>
      <c r="T32" s="919"/>
      <c r="U32" s="4"/>
      <c r="V32" s="14"/>
      <c r="W32" s="4"/>
      <c r="X32" s="16">
        <f t="shared" si="17"/>
        <v>0</v>
      </c>
      <c r="Y32" s="4"/>
      <c r="Z32" s="922"/>
      <c r="AA32" s="919"/>
    </row>
    <row r="33" spans="1:27" ht="15.75" customHeight="1">
      <c r="A33" s="18"/>
      <c r="B33" s="49" t="s">
        <v>47</v>
      </c>
      <c r="C33" s="920" t="s">
        <v>12</v>
      </c>
      <c r="D33" s="918"/>
      <c r="E33" s="919"/>
      <c r="F33" s="49" t="s">
        <v>46</v>
      </c>
      <c r="G33" s="49" t="s">
        <v>48</v>
      </c>
      <c r="H33" s="49" t="s">
        <v>49</v>
      </c>
      <c r="I33" s="8" t="s">
        <v>13</v>
      </c>
      <c r="J33" s="933" t="s">
        <v>51</v>
      </c>
      <c r="K33" s="919"/>
      <c r="M33" s="25"/>
      <c r="N33" s="29">
        <v>5</v>
      </c>
      <c r="O33" s="922"/>
      <c r="P33" s="918"/>
      <c r="Q33" s="919"/>
      <c r="R33" s="922"/>
      <c r="S33" s="918"/>
      <c r="T33" s="919"/>
      <c r="U33" s="27"/>
      <c r="V33" s="30"/>
      <c r="W33" s="27"/>
      <c r="X33" s="31">
        <f t="shared" si="17"/>
        <v>0</v>
      </c>
      <c r="Y33" s="4"/>
      <c r="Z33" s="922"/>
      <c r="AA33" s="919"/>
    </row>
    <row r="34" spans="1:27" ht="15.75" customHeight="1">
      <c r="A34" s="52" t="s">
        <v>35</v>
      </c>
      <c r="B34" s="6">
        <v>1</v>
      </c>
      <c r="C34" s="921" t="s">
        <v>79</v>
      </c>
      <c r="D34" s="918"/>
      <c r="E34" s="919"/>
      <c r="F34" s="4">
        <v>3</v>
      </c>
      <c r="G34" s="4">
        <v>2500</v>
      </c>
      <c r="H34" s="4">
        <v>833.33</v>
      </c>
      <c r="I34" s="4">
        <v>20</v>
      </c>
      <c r="J34" s="921" t="s">
        <v>78</v>
      </c>
      <c r="K34" s="919"/>
      <c r="M34" s="68"/>
      <c r="N34" s="45"/>
      <c r="O34" s="929"/>
      <c r="P34" s="918"/>
      <c r="Q34" s="918"/>
      <c r="R34" s="929"/>
      <c r="S34" s="918"/>
      <c r="T34" s="918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9"/>
      <c r="AA34" s="919"/>
    </row>
    <row r="35" spans="1:27" ht="15.75" customHeight="1">
      <c r="A35" s="23"/>
      <c r="B35" s="6">
        <v>2</v>
      </c>
      <c r="C35" s="922"/>
      <c r="D35" s="918"/>
      <c r="E35" s="919"/>
      <c r="F35" s="4"/>
      <c r="G35" s="4"/>
      <c r="H35" s="4"/>
      <c r="I35" s="4"/>
      <c r="J35" s="922"/>
      <c r="K35" s="919"/>
      <c r="M35" s="1"/>
      <c r="N35" s="1"/>
      <c r="O35" s="940"/>
      <c r="P35" s="941"/>
      <c r="Q35" s="941"/>
      <c r="R35" s="940"/>
      <c r="S35" s="941"/>
      <c r="T35" s="941"/>
      <c r="U35" s="1"/>
      <c r="V35" s="38"/>
      <c r="W35" s="1"/>
      <c r="X35" s="1"/>
      <c r="Y35" s="940"/>
      <c r="Z35" s="941"/>
      <c r="AA35" s="941"/>
    </row>
    <row r="36" spans="1:27" ht="15.75" customHeight="1">
      <c r="A36" s="23"/>
      <c r="B36" s="6">
        <v>3</v>
      </c>
      <c r="C36" s="922"/>
      <c r="D36" s="918"/>
      <c r="E36" s="919"/>
      <c r="F36" s="4"/>
      <c r="G36" s="4"/>
      <c r="H36" s="4"/>
      <c r="I36" s="4"/>
      <c r="J36" s="922"/>
      <c r="K36" s="919"/>
      <c r="M36" s="52" t="s">
        <v>27</v>
      </c>
      <c r="N36" s="57" t="s">
        <v>47</v>
      </c>
      <c r="O36" s="928" t="s">
        <v>12</v>
      </c>
      <c r="P36" s="929"/>
      <c r="Q36" s="930"/>
      <c r="R36" s="934" t="s">
        <v>53</v>
      </c>
      <c r="S36" s="935"/>
      <c r="T36" s="936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3" t="s">
        <v>51</v>
      </c>
      <c r="AA36" s="943"/>
    </row>
    <row r="37" spans="1:27" ht="15.75" customHeight="1">
      <c r="A37" s="23"/>
      <c r="B37" s="6">
        <v>4</v>
      </c>
      <c r="C37" s="922"/>
      <c r="D37" s="918"/>
      <c r="E37" s="919"/>
      <c r="F37" s="4"/>
      <c r="G37" s="4"/>
      <c r="H37" s="4"/>
      <c r="I37" s="4"/>
      <c r="J37" s="922"/>
      <c r="K37" s="919"/>
      <c r="M37" s="56" t="s">
        <v>42</v>
      </c>
      <c r="N37" s="24">
        <v>1</v>
      </c>
      <c r="O37" s="921" t="s">
        <v>89</v>
      </c>
      <c r="P37" s="918"/>
      <c r="Q37" s="919"/>
      <c r="R37" s="921" t="s">
        <v>90</v>
      </c>
      <c r="S37" s="918"/>
      <c r="T37" s="91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1" t="s">
        <v>91</v>
      </c>
      <c r="AA37" s="919"/>
    </row>
    <row r="38" spans="1:27" ht="15.75" customHeight="1">
      <c r="A38" s="23"/>
      <c r="B38" s="26">
        <v>5</v>
      </c>
      <c r="C38" s="923"/>
      <c r="D38" s="927"/>
      <c r="E38" s="924"/>
      <c r="F38" s="27"/>
      <c r="G38" s="27"/>
      <c r="H38" s="27"/>
      <c r="I38" s="27"/>
      <c r="J38" s="923"/>
      <c r="K38" s="924"/>
      <c r="M38" s="25"/>
      <c r="N38" s="24">
        <v>2</v>
      </c>
      <c r="O38" s="922"/>
      <c r="P38" s="918"/>
      <c r="Q38" s="919"/>
      <c r="R38" s="922"/>
      <c r="S38" s="918"/>
      <c r="T38" s="919"/>
      <c r="U38" s="4"/>
      <c r="V38" s="14"/>
      <c r="W38" s="4"/>
      <c r="X38" s="16">
        <f t="shared" si="18"/>
        <v>0</v>
      </c>
      <c r="Y38" s="4"/>
      <c r="Z38" s="922"/>
      <c r="AA38" s="919"/>
    </row>
    <row r="39" spans="1:27" ht="14.25">
      <c r="A39" s="23"/>
      <c r="B39" s="69" t="s">
        <v>101</v>
      </c>
      <c r="C39" s="925" t="s">
        <v>80</v>
      </c>
      <c r="D39" s="932"/>
      <c r="E39" s="926"/>
      <c r="F39" s="28">
        <v>7</v>
      </c>
      <c r="G39" s="28">
        <v>2200</v>
      </c>
      <c r="H39" s="28">
        <v>314.29000000000002</v>
      </c>
      <c r="I39" s="28">
        <v>-15</v>
      </c>
      <c r="J39" s="925" t="s">
        <v>81</v>
      </c>
      <c r="K39" s="926"/>
      <c r="M39" s="25"/>
      <c r="N39" s="24">
        <v>3</v>
      </c>
      <c r="O39" s="922"/>
      <c r="P39" s="918"/>
      <c r="Q39" s="919"/>
      <c r="R39" s="922"/>
      <c r="S39" s="918"/>
      <c r="T39" s="919"/>
      <c r="U39" s="4"/>
      <c r="V39" s="14"/>
      <c r="W39" s="4"/>
      <c r="X39" s="16">
        <f t="shared" si="18"/>
        <v>0</v>
      </c>
      <c r="Y39" s="4"/>
      <c r="Z39" s="922"/>
      <c r="AA39" s="919"/>
    </row>
    <row r="40" spans="1:27" ht="14.25">
      <c r="A40" s="23"/>
      <c r="B40" s="70" t="s">
        <v>102</v>
      </c>
      <c r="C40" s="922"/>
      <c r="D40" s="918"/>
      <c r="E40" s="919"/>
      <c r="F40" s="4"/>
      <c r="G40" s="4"/>
      <c r="H40" s="4"/>
      <c r="I40" s="4"/>
      <c r="J40" s="922"/>
      <c r="K40" s="919"/>
      <c r="M40" s="25"/>
      <c r="N40" s="24">
        <v>4</v>
      </c>
      <c r="O40" s="922"/>
      <c r="P40" s="918"/>
      <c r="Q40" s="919"/>
      <c r="R40" s="922"/>
      <c r="S40" s="918"/>
      <c r="T40" s="919"/>
      <c r="U40" s="4"/>
      <c r="V40" s="14"/>
      <c r="W40" s="4"/>
      <c r="X40" s="16">
        <f t="shared" si="18"/>
        <v>0</v>
      </c>
      <c r="Y40" s="4"/>
      <c r="Z40" s="922"/>
      <c r="AA40" s="919"/>
    </row>
    <row r="41" spans="1:27" ht="14.25">
      <c r="A41" s="23"/>
      <c r="B41" s="70" t="s">
        <v>100</v>
      </c>
      <c r="C41" s="922"/>
      <c r="D41" s="918"/>
      <c r="E41" s="919"/>
      <c r="F41" s="4"/>
      <c r="G41" s="4"/>
      <c r="H41" s="4"/>
      <c r="I41" s="4"/>
      <c r="J41" s="922"/>
      <c r="K41" s="919"/>
      <c r="M41" s="25"/>
      <c r="N41" s="29">
        <v>5</v>
      </c>
      <c r="O41" s="923"/>
      <c r="P41" s="927"/>
      <c r="Q41" s="924"/>
      <c r="R41" s="923"/>
      <c r="S41" s="927"/>
      <c r="T41" s="924"/>
      <c r="U41" s="27"/>
      <c r="V41" s="30"/>
      <c r="W41" s="27"/>
      <c r="X41" s="31">
        <f t="shared" si="18"/>
        <v>0</v>
      </c>
      <c r="Y41" s="4"/>
      <c r="Z41" s="922"/>
      <c r="AA41" s="919"/>
    </row>
    <row r="42" spans="1:27" ht="14.25">
      <c r="A42" s="23"/>
      <c r="B42" s="70" t="s">
        <v>99</v>
      </c>
      <c r="C42" s="922"/>
      <c r="D42" s="918"/>
      <c r="E42" s="919"/>
      <c r="F42" s="4"/>
      <c r="G42" s="4"/>
      <c r="H42" s="4"/>
      <c r="I42" s="4"/>
      <c r="J42" s="922"/>
      <c r="K42" s="919"/>
      <c r="M42" s="32"/>
      <c r="N42" s="54"/>
      <c r="O42" s="929"/>
      <c r="P42" s="918"/>
      <c r="Q42" s="918"/>
      <c r="R42" s="929"/>
      <c r="S42" s="918"/>
      <c r="T42" s="918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9"/>
      <c r="AA42" s="919"/>
    </row>
    <row r="43" spans="1:27" ht="14.25">
      <c r="A43" s="20"/>
      <c r="B43" s="70" t="s">
        <v>103</v>
      </c>
      <c r="C43" s="922"/>
      <c r="D43" s="918"/>
      <c r="E43" s="919"/>
      <c r="F43" s="4"/>
      <c r="G43" s="4"/>
      <c r="H43" s="4"/>
      <c r="I43" s="4"/>
      <c r="J43" s="922"/>
      <c r="K43" s="919"/>
      <c r="M43" s="56" t="s">
        <v>43</v>
      </c>
      <c r="N43" s="24">
        <v>1</v>
      </c>
      <c r="O43" s="921" t="s">
        <v>89</v>
      </c>
      <c r="P43" s="918"/>
      <c r="Q43" s="919"/>
      <c r="R43" s="937" t="s">
        <v>93</v>
      </c>
      <c r="S43" s="938"/>
      <c r="T43" s="93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1" t="s">
        <v>92</v>
      </c>
      <c r="AA43" s="919"/>
    </row>
    <row r="44" spans="1:27" ht="14.25">
      <c r="A44" s="67"/>
      <c r="M44" s="25"/>
      <c r="N44" s="24">
        <v>2</v>
      </c>
      <c r="O44" s="922"/>
      <c r="P44" s="918"/>
      <c r="Q44" s="919"/>
      <c r="R44" s="922"/>
      <c r="S44" s="918"/>
      <c r="T44" s="919"/>
      <c r="U44" s="4"/>
      <c r="V44" s="14"/>
      <c r="W44" s="4"/>
      <c r="X44" s="37">
        <f t="shared" si="19"/>
        <v>0</v>
      </c>
      <c r="Y44" s="4"/>
      <c r="Z44" s="922"/>
      <c r="AA44" s="919"/>
    </row>
    <row r="45" spans="1:27" ht="14.25">
      <c r="A45" s="18"/>
      <c r="B45" s="49" t="s">
        <v>47</v>
      </c>
      <c r="C45" s="920" t="s">
        <v>12</v>
      </c>
      <c r="D45" s="918"/>
      <c r="E45" s="919"/>
      <c r="F45" s="49" t="s">
        <v>46</v>
      </c>
      <c r="G45" s="49" t="s">
        <v>48</v>
      </c>
      <c r="H45" s="49" t="s">
        <v>49</v>
      </c>
      <c r="I45" s="8" t="s">
        <v>13</v>
      </c>
      <c r="J45" s="933" t="s">
        <v>51</v>
      </c>
      <c r="K45" s="919"/>
      <c r="M45" s="25"/>
      <c r="N45" s="24">
        <v>3</v>
      </c>
      <c r="O45" s="922"/>
      <c r="P45" s="918"/>
      <c r="Q45" s="919"/>
      <c r="R45" s="922"/>
      <c r="S45" s="918"/>
      <c r="T45" s="919"/>
      <c r="U45" s="4"/>
      <c r="V45" s="14"/>
      <c r="W45" s="4"/>
      <c r="X45" s="37">
        <f t="shared" si="19"/>
        <v>0</v>
      </c>
      <c r="Y45" s="4"/>
      <c r="Z45" s="922"/>
      <c r="AA45" s="919"/>
    </row>
    <row r="46" spans="1:27" ht="14.25">
      <c r="A46" s="52" t="s">
        <v>36</v>
      </c>
      <c r="B46" s="6">
        <v>1</v>
      </c>
      <c r="C46" s="921" t="s">
        <v>82</v>
      </c>
      <c r="D46" s="918"/>
      <c r="E46" s="919"/>
      <c r="F46" s="4">
        <v>15</v>
      </c>
      <c r="G46" s="4">
        <v>1200</v>
      </c>
      <c r="H46" s="4">
        <v>80</v>
      </c>
      <c r="I46" s="4">
        <v>5</v>
      </c>
      <c r="J46" s="921" t="s">
        <v>83</v>
      </c>
      <c r="K46" s="919"/>
      <c r="M46" s="25"/>
      <c r="N46" s="24">
        <v>4</v>
      </c>
      <c r="O46" s="922"/>
      <c r="P46" s="918"/>
      <c r="Q46" s="919"/>
      <c r="R46" s="922"/>
      <c r="S46" s="918"/>
      <c r="T46" s="919"/>
      <c r="U46" s="4"/>
      <c r="V46" s="14"/>
      <c r="W46" s="4"/>
      <c r="X46" s="37">
        <f t="shared" si="19"/>
        <v>0</v>
      </c>
      <c r="Y46" s="4"/>
      <c r="Z46" s="922"/>
      <c r="AA46" s="919"/>
    </row>
    <row r="47" spans="1:27" ht="14.25">
      <c r="A47" s="23"/>
      <c r="B47" s="6">
        <v>2</v>
      </c>
      <c r="C47" s="922"/>
      <c r="D47" s="918"/>
      <c r="E47" s="919"/>
      <c r="F47" s="4"/>
      <c r="G47" s="4"/>
      <c r="H47" s="4"/>
      <c r="I47" s="4"/>
      <c r="J47" s="922"/>
      <c r="K47" s="919"/>
      <c r="M47" s="25"/>
      <c r="N47" s="29">
        <v>5</v>
      </c>
      <c r="O47" s="922"/>
      <c r="P47" s="918"/>
      <c r="Q47" s="919"/>
      <c r="R47" s="922"/>
      <c r="S47" s="918"/>
      <c r="T47" s="919"/>
      <c r="U47" s="27"/>
      <c r="V47" s="30"/>
      <c r="W47" s="27"/>
      <c r="X47" s="40">
        <f t="shared" si="19"/>
        <v>0</v>
      </c>
      <c r="Y47" s="4"/>
      <c r="Z47" s="922"/>
      <c r="AA47" s="919"/>
    </row>
    <row r="48" spans="1:27" ht="14.25">
      <c r="A48" s="23"/>
      <c r="B48" s="6">
        <v>3</v>
      </c>
      <c r="C48" s="922"/>
      <c r="D48" s="918"/>
      <c r="E48" s="919"/>
      <c r="F48" s="4"/>
      <c r="G48" s="4"/>
      <c r="H48" s="4"/>
      <c r="I48" s="4"/>
      <c r="J48" s="922"/>
      <c r="K48" s="919"/>
      <c r="M48" s="68"/>
      <c r="N48" s="45"/>
      <c r="O48" s="929"/>
      <c r="P48" s="918"/>
      <c r="Q48" s="918"/>
      <c r="R48" s="929"/>
      <c r="S48" s="918"/>
      <c r="T48" s="918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9"/>
      <c r="AA48" s="919"/>
    </row>
    <row r="49" spans="1:27" ht="14.25">
      <c r="A49" s="23"/>
      <c r="B49" s="6">
        <v>4</v>
      </c>
      <c r="C49" s="922"/>
      <c r="D49" s="918"/>
      <c r="E49" s="919"/>
      <c r="F49" s="4"/>
      <c r="G49" s="4"/>
      <c r="H49" s="4"/>
      <c r="I49" s="4"/>
      <c r="J49" s="922"/>
      <c r="K49" s="91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23"/>
      <c r="D50" s="927"/>
      <c r="E50" s="924"/>
      <c r="F50" s="27"/>
      <c r="G50" s="27"/>
      <c r="H50" s="27"/>
      <c r="I50" s="27"/>
      <c r="J50" s="923"/>
      <c r="K50" s="92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5" t="s">
        <v>89</v>
      </c>
      <c r="D51" s="932"/>
      <c r="E51" s="926"/>
      <c r="F51" s="28">
        <v>18</v>
      </c>
      <c r="G51" s="28">
        <v>800</v>
      </c>
      <c r="H51" s="28">
        <v>44.44</v>
      </c>
      <c r="I51" s="28">
        <v>-15</v>
      </c>
      <c r="J51" s="925" t="s">
        <v>84</v>
      </c>
      <c r="K51" s="926"/>
      <c r="M51" s="8"/>
      <c r="N51" s="8" t="s">
        <v>18</v>
      </c>
      <c r="O51" s="928" t="s">
        <v>12</v>
      </c>
      <c r="P51" s="929"/>
      <c r="Q51" s="930"/>
      <c r="R51" s="934" t="s">
        <v>53</v>
      </c>
      <c r="S51" s="935"/>
      <c r="T51" s="936"/>
      <c r="U51" s="57" t="s">
        <v>54</v>
      </c>
      <c r="V51" s="39" t="s">
        <v>19</v>
      </c>
      <c r="W51" s="57" t="s">
        <v>57</v>
      </c>
      <c r="X51" s="8" t="s">
        <v>2</v>
      </c>
      <c r="Y51" s="928" t="s">
        <v>50</v>
      </c>
      <c r="Z51" s="929"/>
      <c r="AA51" s="930"/>
    </row>
    <row r="52" spans="1:27" ht="14.25">
      <c r="A52" s="23"/>
      <c r="B52" s="70" t="s">
        <v>102</v>
      </c>
      <c r="C52" s="922"/>
      <c r="D52" s="918"/>
      <c r="E52" s="919"/>
      <c r="F52" s="4"/>
      <c r="G52" s="4"/>
      <c r="H52" s="4"/>
      <c r="I52" s="4"/>
      <c r="J52" s="922"/>
      <c r="K52" s="919"/>
      <c r="M52" s="56" t="s">
        <v>42</v>
      </c>
      <c r="N52" s="24">
        <v>1</v>
      </c>
      <c r="O52" s="921" t="s">
        <v>89</v>
      </c>
      <c r="P52" s="918"/>
      <c r="Q52" s="919"/>
      <c r="R52" s="937" t="s">
        <v>93</v>
      </c>
      <c r="S52" s="938"/>
      <c r="T52" s="93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1" t="s">
        <v>97</v>
      </c>
      <c r="Z52" s="918"/>
      <c r="AA52" s="919"/>
    </row>
    <row r="53" spans="1:27" ht="14.25">
      <c r="A53" s="23"/>
      <c r="B53" s="70" t="s">
        <v>100</v>
      </c>
      <c r="C53" s="922"/>
      <c r="D53" s="918"/>
      <c r="E53" s="919"/>
      <c r="F53" s="4"/>
      <c r="G53" s="4"/>
      <c r="H53" s="4"/>
      <c r="I53" s="4"/>
      <c r="J53" s="922"/>
      <c r="K53" s="919"/>
      <c r="M53" s="25"/>
      <c r="N53" s="29">
        <v>2</v>
      </c>
      <c r="O53" s="923"/>
      <c r="P53" s="927"/>
      <c r="Q53" s="924"/>
      <c r="R53" s="923"/>
      <c r="S53" s="927"/>
      <c r="T53" s="924"/>
      <c r="U53" s="27"/>
      <c r="V53" s="30"/>
      <c r="W53" s="30"/>
      <c r="X53" s="41">
        <f t="shared" si="20"/>
        <v>0</v>
      </c>
      <c r="Y53" s="923"/>
      <c r="Z53" s="927"/>
      <c r="AA53" s="924"/>
    </row>
    <row r="54" spans="1:27" ht="14.25">
      <c r="A54" s="23"/>
      <c r="B54" s="70" t="s">
        <v>99</v>
      </c>
      <c r="C54" s="922"/>
      <c r="D54" s="918"/>
      <c r="E54" s="919"/>
      <c r="F54" s="4"/>
      <c r="G54" s="4"/>
      <c r="H54" s="4"/>
      <c r="I54" s="4"/>
      <c r="J54" s="922"/>
      <c r="K54" s="919"/>
      <c r="M54" s="56" t="s">
        <v>43</v>
      </c>
      <c r="N54" s="42">
        <v>1</v>
      </c>
      <c r="O54" s="925" t="s">
        <v>94</v>
      </c>
      <c r="P54" s="932"/>
      <c r="Q54" s="926"/>
      <c r="R54" s="925" t="s">
        <v>95</v>
      </c>
      <c r="S54" s="932"/>
      <c r="T54" s="92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5" t="s">
        <v>96</v>
      </c>
      <c r="Z54" s="932"/>
      <c r="AA54" s="926"/>
    </row>
    <row r="55" spans="1:27" ht="14.25">
      <c r="A55" s="20"/>
      <c r="B55" s="70" t="s">
        <v>103</v>
      </c>
      <c r="C55" s="922"/>
      <c r="D55" s="918"/>
      <c r="E55" s="919"/>
      <c r="F55" s="4"/>
      <c r="G55" s="4"/>
      <c r="H55" s="4"/>
      <c r="I55" s="4"/>
      <c r="J55" s="922"/>
      <c r="K55" s="919"/>
      <c r="M55" s="22"/>
      <c r="N55" s="24">
        <v>2</v>
      </c>
      <c r="O55" s="922"/>
      <c r="P55" s="918"/>
      <c r="Q55" s="919"/>
      <c r="R55" s="922"/>
      <c r="S55" s="918"/>
      <c r="T55" s="919"/>
      <c r="U55" s="4"/>
      <c r="V55" s="14"/>
      <c r="W55" s="14"/>
      <c r="X55" s="13">
        <f t="shared" si="20"/>
        <v>0</v>
      </c>
      <c r="Y55" s="922"/>
      <c r="Z55" s="918"/>
      <c r="AA55" s="91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44" t="s">
        <v>255</v>
      </c>
      <c r="C2" s="944"/>
      <c r="D2" s="944"/>
      <c r="E2" s="944"/>
      <c r="F2" s="944"/>
    </row>
    <row r="3" spans="2:7" ht="1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5">
      <c r="B20" s="152" t="s">
        <v>319</v>
      </c>
      <c r="C20" s="152" t="s">
        <v>320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49" t="s">
        <v>374</v>
      </c>
    </row>
    <row r="4" spans="1:2" ht="14.25">
      <c r="A4">
        <v>2</v>
      </c>
      <c r="B4" s="149" t="s">
        <v>395</v>
      </c>
    </row>
    <row r="5" spans="1:2" ht="14.25">
      <c r="A5">
        <v>3</v>
      </c>
      <c r="B5" s="149" t="s">
        <v>339</v>
      </c>
    </row>
    <row r="6" spans="1:2" ht="14.25">
      <c r="A6">
        <v>4</v>
      </c>
      <c r="B6" s="149" t="s">
        <v>214</v>
      </c>
    </row>
    <row r="7" spans="1:2" ht="14.25">
      <c r="A7">
        <v>5</v>
      </c>
      <c r="B7" s="149" t="s">
        <v>215</v>
      </c>
    </row>
    <row r="8" spans="1:2" ht="14.25">
      <c r="A8">
        <v>6</v>
      </c>
      <c r="B8" s="149" t="s">
        <v>216</v>
      </c>
    </row>
    <row r="9" spans="1:2" ht="14.25">
      <c r="A9">
        <v>7</v>
      </c>
      <c r="B9" s="149" t="s">
        <v>396</v>
      </c>
    </row>
    <row r="10" spans="1:2" ht="14.25">
      <c r="A10">
        <v>8</v>
      </c>
      <c r="B10" s="149" t="s">
        <v>397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2784B08-6113-45D0-BFE4-8001245AABF7}"/>
</file>

<file path=customXml/itemProps3.xml><?xml version="1.0" encoding="utf-8"?>
<ds:datastoreItem xmlns:ds="http://schemas.openxmlformats.org/officeDocument/2006/customXml" ds:itemID="{F170D65E-AF43-4A78-8DC7-B384CF4E2D94}"/>
</file>

<file path=customXml/itemProps4.xml><?xml version="1.0" encoding="utf-8"?>
<ds:datastoreItem xmlns:ds="http://schemas.openxmlformats.org/officeDocument/2006/customXml" ds:itemID="{795E9D9E-F253-4B6D-8326-534A40178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已命名的範圍</vt:lpstr>
      </vt:variant>
      <vt:variant>
        <vt:i4>18</vt:i4>
      </vt:variant>
    </vt:vector>
  </HeadingPairs>
  <TitlesOfParts>
    <vt:vector size="57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工作表1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2026-04-22T09:37:13Z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